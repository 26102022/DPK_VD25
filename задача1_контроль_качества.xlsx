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l\Downloads\"/>
    </mc:Choice>
  </mc:AlternateContent>
  <xr:revisionPtr revIDLastSave="0" documentId="8_{55E2FE6F-86DA-44AF-8AEB-25C343BC5F61}" xr6:coauthVersionLast="47" xr6:coauthVersionMax="47" xr10:uidLastSave="{00000000-0000-0000-0000-000000000000}"/>
  <bookViews>
    <workbookView xWindow="14400" yWindow="0" windowWidth="14400" windowHeight="15600" activeTab="3" xr2:uid="{9EF130D8-0952-4E6C-AF4C-42B075F4923E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5" i="4" l="1"/>
  <c r="AC85" i="4"/>
  <c r="AF84" i="4"/>
  <c r="AC84" i="4"/>
  <c r="AF83" i="4"/>
  <c r="AC83" i="4"/>
  <c r="AF82" i="4"/>
  <c r="AC82" i="4"/>
  <c r="AF81" i="4"/>
  <c r="AC81" i="4"/>
  <c r="AF80" i="4"/>
  <c r="AC80" i="4"/>
  <c r="AF79" i="4"/>
  <c r="AC79" i="4"/>
  <c r="AF78" i="4"/>
  <c r="AC78" i="4"/>
  <c r="AF77" i="4"/>
  <c r="AC77" i="4"/>
  <c r="AF76" i="4"/>
  <c r="AC76" i="4"/>
  <c r="AF75" i="4"/>
  <c r="AC75" i="4"/>
  <c r="AF74" i="4"/>
  <c r="AC74" i="4"/>
  <c r="AF73" i="4"/>
  <c r="AC73" i="4"/>
  <c r="AF72" i="4"/>
  <c r="AC72" i="4"/>
  <c r="AF71" i="4"/>
  <c r="AC71" i="4"/>
  <c r="AF70" i="4"/>
  <c r="AC70" i="4"/>
  <c r="AF69" i="4"/>
  <c r="AC69" i="4"/>
  <c r="AF68" i="4"/>
  <c r="AC68" i="4"/>
  <c r="AF67" i="4"/>
  <c r="AC67" i="4"/>
  <c r="AF66" i="4"/>
  <c r="AC66" i="4"/>
  <c r="AF65" i="4"/>
  <c r="AC65" i="4"/>
  <c r="AF64" i="4"/>
  <c r="AC64" i="4"/>
  <c r="AF63" i="4"/>
  <c r="AC63" i="4"/>
  <c r="AF62" i="4"/>
  <c r="AC62" i="4"/>
  <c r="AF61" i="4"/>
  <c r="AC61" i="4"/>
  <c r="AF60" i="4"/>
  <c r="AC60" i="4"/>
  <c r="AF59" i="4"/>
  <c r="AC59" i="4"/>
  <c r="AF58" i="4"/>
  <c r="AC58" i="4"/>
  <c r="AF57" i="4"/>
  <c r="AC57" i="4"/>
  <c r="AF56" i="4"/>
  <c r="AC56" i="4"/>
  <c r="AF55" i="4"/>
  <c r="AC55" i="4"/>
  <c r="AF54" i="4"/>
  <c r="AC54" i="4"/>
  <c r="AF53" i="4"/>
  <c r="AC53" i="4"/>
  <c r="AF52" i="4"/>
  <c r="AC52" i="4"/>
  <c r="AF51" i="4"/>
  <c r="AC51" i="4"/>
  <c r="AF50" i="4"/>
  <c r="AC50" i="4"/>
  <c r="AF49" i="4"/>
  <c r="AC49" i="4"/>
  <c r="AF48" i="4"/>
  <c r="AC48" i="4"/>
  <c r="AF47" i="4"/>
  <c r="AC47" i="4"/>
  <c r="AF46" i="4"/>
  <c r="AC46" i="4"/>
  <c r="AF45" i="4"/>
  <c r="AC45" i="4"/>
  <c r="AF44" i="4"/>
  <c r="AC44" i="4"/>
  <c r="AF43" i="4"/>
  <c r="AC43" i="4"/>
  <c r="AF42" i="4"/>
  <c r="AC42" i="4"/>
  <c r="AF41" i="4"/>
  <c r="AC41" i="4"/>
  <c r="AF40" i="4"/>
  <c r="AC40" i="4"/>
  <c r="AF39" i="4"/>
  <c r="AC39" i="4"/>
  <c r="AF38" i="4"/>
  <c r="AC38" i="4"/>
  <c r="AF37" i="4"/>
  <c r="AC37" i="4"/>
  <c r="AF36" i="4"/>
  <c r="AC36" i="4"/>
  <c r="AF35" i="4"/>
  <c r="AC35" i="4"/>
  <c r="AF34" i="4"/>
  <c r="AC34" i="4"/>
  <c r="AF33" i="4"/>
  <c r="AC33" i="4"/>
  <c r="AF32" i="4"/>
  <c r="AC32" i="4"/>
  <c r="AF31" i="4"/>
  <c r="AC31" i="4"/>
  <c r="V14" i="4"/>
  <c r="V13" i="4"/>
  <c r="V12" i="4"/>
  <c r="V11" i="4"/>
  <c r="V10" i="4"/>
  <c r="V9" i="4"/>
  <c r="V8" i="4"/>
  <c r="V7" i="4"/>
  <c r="V6" i="4"/>
  <c r="V5" i="4"/>
  <c r="L5" i="4"/>
  <c r="W4" i="4"/>
  <c r="V4" i="4"/>
  <c r="L4" i="4"/>
  <c r="Q3" i="4"/>
  <c r="L3" i="4"/>
  <c r="AF71" i="3"/>
  <c r="AC71" i="3"/>
  <c r="AF70" i="3"/>
  <c r="AC70" i="3"/>
  <c r="AF69" i="3"/>
  <c r="AC69" i="3"/>
  <c r="AF68" i="3"/>
  <c r="AC68" i="3"/>
  <c r="AF67" i="3"/>
  <c r="AC67" i="3"/>
  <c r="AF66" i="3"/>
  <c r="AC66" i="3"/>
  <c r="AF65" i="3"/>
  <c r="AC65" i="3"/>
  <c r="AF64" i="3"/>
  <c r="AC64" i="3"/>
  <c r="AF63" i="3"/>
  <c r="AC63" i="3"/>
  <c r="AF62" i="3"/>
  <c r="AC62" i="3"/>
  <c r="AF61" i="3"/>
  <c r="AC61" i="3"/>
  <c r="AF60" i="3"/>
  <c r="AC60" i="3"/>
  <c r="AF59" i="3"/>
  <c r="AC59" i="3"/>
  <c r="AF58" i="3"/>
  <c r="AC58" i="3"/>
  <c r="AF57" i="3"/>
  <c r="AC57" i="3"/>
  <c r="AF56" i="3"/>
  <c r="AC56" i="3"/>
  <c r="AF55" i="3"/>
  <c r="AC55" i="3"/>
  <c r="AF54" i="3"/>
  <c r="AC54" i="3"/>
  <c r="AF53" i="3"/>
  <c r="AC53" i="3"/>
  <c r="AF52" i="3"/>
  <c r="AC52" i="3"/>
  <c r="AF51" i="3"/>
  <c r="AC51" i="3"/>
  <c r="AF50" i="3"/>
  <c r="AC50" i="3"/>
  <c r="AF49" i="3"/>
  <c r="AC49" i="3"/>
  <c r="AF48" i="3"/>
  <c r="AC48" i="3"/>
  <c r="AF47" i="3"/>
  <c r="AC47" i="3"/>
  <c r="AF46" i="3"/>
  <c r="AC46" i="3"/>
  <c r="AF45" i="3"/>
  <c r="AC45" i="3"/>
  <c r="AF44" i="3"/>
  <c r="AC44" i="3"/>
  <c r="AF43" i="3"/>
  <c r="AC43" i="3"/>
  <c r="AF42" i="3"/>
  <c r="AC42" i="3"/>
  <c r="AF41" i="3"/>
  <c r="AC41" i="3"/>
  <c r="AF40" i="3"/>
  <c r="AC40" i="3"/>
  <c r="AF39" i="3"/>
  <c r="AC39" i="3"/>
  <c r="AF38" i="3"/>
  <c r="AC38" i="3"/>
  <c r="AF37" i="3"/>
  <c r="AC37" i="3"/>
  <c r="AF36" i="3"/>
  <c r="AC36" i="3"/>
  <c r="AF35" i="3"/>
  <c r="AC35" i="3"/>
  <c r="AF34" i="3"/>
  <c r="AC34" i="3"/>
  <c r="AF33" i="3"/>
  <c r="AC33" i="3"/>
  <c r="AF32" i="3"/>
  <c r="AC32" i="3"/>
  <c r="AF31" i="3"/>
  <c r="AC31" i="3"/>
  <c r="V16" i="3"/>
  <c r="V15" i="3"/>
  <c r="V14" i="3"/>
  <c r="V13" i="3"/>
  <c r="V12" i="3"/>
  <c r="V11" i="3"/>
  <c r="V10" i="3"/>
  <c r="V9" i="3"/>
  <c r="V8" i="3"/>
  <c r="V7" i="3"/>
  <c r="Z6" i="3"/>
  <c r="Y6" i="3"/>
  <c r="V6" i="3"/>
  <c r="V5" i="3"/>
  <c r="L5" i="3"/>
  <c r="V4" i="3"/>
  <c r="L4" i="3"/>
  <c r="Q3" i="3"/>
  <c r="L3" i="3"/>
  <c r="AF71" i="2"/>
  <c r="AC71" i="2"/>
  <c r="AF70" i="2"/>
  <c r="AC70" i="2"/>
  <c r="AF69" i="2"/>
  <c r="AC69" i="2"/>
  <c r="AF68" i="2"/>
  <c r="AC68" i="2"/>
  <c r="AF67" i="2"/>
  <c r="AC67" i="2"/>
  <c r="AF66" i="2"/>
  <c r="AC66" i="2"/>
  <c r="AF65" i="2"/>
  <c r="AC65" i="2"/>
  <c r="AF64" i="2"/>
  <c r="AC64" i="2"/>
  <c r="AF63" i="2"/>
  <c r="AC63" i="2"/>
  <c r="AF62" i="2"/>
  <c r="AC62" i="2"/>
  <c r="AF61" i="2"/>
  <c r="AC61" i="2"/>
  <c r="AF60" i="2"/>
  <c r="AC60" i="2"/>
  <c r="AF59" i="2"/>
  <c r="AC59" i="2"/>
  <c r="AF58" i="2"/>
  <c r="AC58" i="2"/>
  <c r="AF57" i="2"/>
  <c r="AC57" i="2"/>
  <c r="AF56" i="2"/>
  <c r="AC56" i="2"/>
  <c r="AF55" i="2"/>
  <c r="AC55" i="2"/>
  <c r="AF54" i="2"/>
  <c r="AC54" i="2"/>
  <c r="AF53" i="2"/>
  <c r="AC53" i="2"/>
  <c r="AF52" i="2"/>
  <c r="AC52" i="2"/>
  <c r="AF51" i="2"/>
  <c r="AC51" i="2"/>
  <c r="AF50" i="2"/>
  <c r="AC50" i="2"/>
  <c r="AF49" i="2"/>
  <c r="AC49" i="2"/>
  <c r="AF48" i="2"/>
  <c r="AC48" i="2"/>
  <c r="AF47" i="2"/>
  <c r="AC47" i="2"/>
  <c r="AF46" i="2"/>
  <c r="AC46" i="2"/>
  <c r="AF45" i="2"/>
  <c r="AC45" i="2"/>
  <c r="AF44" i="2"/>
  <c r="AC44" i="2"/>
  <c r="AF43" i="2"/>
  <c r="AC43" i="2"/>
  <c r="AF42" i="2"/>
  <c r="AC42" i="2"/>
  <c r="AF41" i="2"/>
  <c r="AC41" i="2"/>
  <c r="AF40" i="2"/>
  <c r="AC40" i="2"/>
  <c r="AF39" i="2"/>
  <c r="AC39" i="2"/>
  <c r="AF38" i="2"/>
  <c r="AC38" i="2"/>
  <c r="AF37" i="2"/>
  <c r="AC37" i="2"/>
  <c r="AF36" i="2"/>
  <c r="AC36" i="2"/>
  <c r="AF35" i="2"/>
  <c r="AC35" i="2"/>
  <c r="AF34" i="2"/>
  <c r="AC34" i="2"/>
  <c r="AF33" i="2"/>
  <c r="AC33" i="2"/>
  <c r="AF32" i="2"/>
  <c r="AC32" i="2"/>
  <c r="AF31" i="2"/>
  <c r="AC31" i="2"/>
  <c r="V14" i="2"/>
  <c r="V13" i="2"/>
  <c r="V12" i="2"/>
  <c r="V11" i="2"/>
  <c r="V10" i="2"/>
  <c r="V9" i="2"/>
  <c r="Z8" i="2"/>
  <c r="Y8" i="2"/>
  <c r="V8" i="2"/>
  <c r="V7" i="2"/>
  <c r="V6" i="2"/>
  <c r="V5" i="2"/>
  <c r="L5" i="2"/>
  <c r="W4" i="2"/>
  <c r="V4" i="2"/>
  <c r="L4" i="2"/>
  <c r="Q3" i="2"/>
  <c r="L3" i="2"/>
  <c r="AC285" i="1"/>
  <c r="AC284" i="1"/>
  <c r="AC283" i="1"/>
  <c r="AC282" i="1"/>
  <c r="AC281" i="1"/>
  <c r="AA281" i="1"/>
  <c r="Z281" i="1"/>
  <c r="Y281" i="1"/>
  <c r="X281" i="1"/>
  <c r="AC280" i="1"/>
  <c r="AA280" i="1"/>
  <c r="Z280" i="1"/>
  <c r="Y280" i="1"/>
  <c r="X280" i="1"/>
  <c r="AC279" i="1"/>
  <c r="AA279" i="1"/>
  <c r="Z279" i="1"/>
  <c r="Y279" i="1"/>
  <c r="X279" i="1"/>
  <c r="AC278" i="1"/>
  <c r="AA278" i="1"/>
  <c r="Z278" i="1"/>
  <c r="Y278" i="1"/>
  <c r="X278" i="1"/>
  <c r="AC277" i="1"/>
  <c r="AA277" i="1"/>
  <c r="Z277" i="1"/>
  <c r="Y277" i="1"/>
  <c r="X277" i="1"/>
  <c r="AC276" i="1"/>
  <c r="AA276" i="1"/>
  <c r="Z276" i="1"/>
  <c r="Y276" i="1"/>
  <c r="X276" i="1"/>
  <c r="AC275" i="1"/>
  <c r="AA275" i="1"/>
  <c r="Z275" i="1"/>
  <c r="Y275" i="1"/>
  <c r="X275" i="1"/>
  <c r="AC274" i="1"/>
  <c r="AA274" i="1"/>
  <c r="Z274" i="1"/>
  <c r="Y274" i="1"/>
  <c r="X274" i="1"/>
  <c r="AC273" i="1"/>
  <c r="AA273" i="1"/>
  <c r="Z273" i="1"/>
  <c r="Y273" i="1"/>
  <c r="X273" i="1"/>
  <c r="AC272" i="1"/>
  <c r="AA272" i="1"/>
  <c r="Z272" i="1"/>
  <c r="Y272" i="1"/>
  <c r="X272" i="1"/>
  <c r="AC271" i="1"/>
  <c r="AA271" i="1"/>
  <c r="Z271" i="1"/>
  <c r="Y271" i="1"/>
  <c r="X271" i="1"/>
  <c r="AC270" i="1"/>
  <c r="AA270" i="1"/>
  <c r="Z270" i="1"/>
  <c r="Y270" i="1"/>
  <c r="X270" i="1"/>
  <c r="AC269" i="1"/>
  <c r="AA269" i="1"/>
  <c r="Z269" i="1"/>
  <c r="Y269" i="1"/>
  <c r="X269" i="1"/>
  <c r="AC268" i="1"/>
  <c r="AA268" i="1"/>
  <c r="Z268" i="1"/>
  <c r="Y268" i="1"/>
  <c r="X268" i="1"/>
  <c r="AC267" i="1"/>
  <c r="AA267" i="1"/>
  <c r="Z267" i="1"/>
  <c r="Y267" i="1"/>
  <c r="X267" i="1"/>
  <c r="AC266" i="1"/>
  <c r="AA266" i="1"/>
  <c r="Z266" i="1"/>
  <c r="Y266" i="1"/>
  <c r="X266" i="1"/>
  <c r="AC265" i="1"/>
  <c r="AA265" i="1"/>
  <c r="Z265" i="1"/>
  <c r="Y265" i="1"/>
  <c r="X265" i="1"/>
  <c r="AC264" i="1"/>
  <c r="AA264" i="1"/>
  <c r="Z264" i="1"/>
  <c r="Y264" i="1"/>
  <c r="X264" i="1"/>
  <c r="AC263" i="1"/>
  <c r="AA263" i="1"/>
  <c r="Z263" i="1"/>
  <c r="Y263" i="1"/>
  <c r="X263" i="1"/>
  <c r="AC262" i="1"/>
  <c r="AA262" i="1"/>
  <c r="Z262" i="1"/>
  <c r="Y262" i="1"/>
  <c r="X262" i="1"/>
  <c r="AC261" i="1"/>
  <c r="AA261" i="1"/>
  <c r="Z261" i="1"/>
  <c r="Y261" i="1"/>
  <c r="X261" i="1"/>
  <c r="AC260" i="1"/>
  <c r="AA260" i="1"/>
  <c r="Z260" i="1"/>
  <c r="Y260" i="1"/>
  <c r="X260" i="1"/>
  <c r="AC259" i="1"/>
  <c r="AA259" i="1"/>
  <c r="Z259" i="1"/>
  <c r="Y259" i="1"/>
  <c r="X259" i="1"/>
  <c r="AC258" i="1"/>
  <c r="AA258" i="1"/>
  <c r="Z258" i="1"/>
  <c r="Y258" i="1"/>
  <c r="X258" i="1"/>
  <c r="AC257" i="1"/>
  <c r="AA257" i="1"/>
  <c r="Z257" i="1"/>
  <c r="Y257" i="1"/>
  <c r="X257" i="1"/>
  <c r="AC256" i="1"/>
  <c r="AA256" i="1"/>
  <c r="Z256" i="1"/>
  <c r="Y256" i="1"/>
  <c r="X256" i="1"/>
  <c r="AC255" i="1"/>
  <c r="AA255" i="1"/>
  <c r="Z255" i="1"/>
  <c r="Y255" i="1"/>
  <c r="X255" i="1"/>
  <c r="AC254" i="1"/>
  <c r="AA254" i="1"/>
  <c r="Z254" i="1"/>
  <c r="Y254" i="1"/>
  <c r="X254" i="1"/>
  <c r="AC253" i="1"/>
  <c r="AA253" i="1"/>
  <c r="Z253" i="1"/>
  <c r="Y253" i="1"/>
  <c r="X253" i="1"/>
  <c r="AC252" i="1"/>
  <c r="AA252" i="1"/>
  <c r="Z252" i="1"/>
  <c r="Y252" i="1"/>
  <c r="X252" i="1"/>
  <c r="AC251" i="1"/>
  <c r="AA251" i="1"/>
  <c r="Z251" i="1"/>
  <c r="Y251" i="1"/>
  <c r="X251" i="1"/>
  <c r="AC250" i="1"/>
  <c r="AA250" i="1"/>
  <c r="Z250" i="1"/>
  <c r="Y250" i="1"/>
  <c r="X250" i="1"/>
  <c r="AC249" i="1"/>
  <c r="AA249" i="1"/>
  <c r="Z249" i="1"/>
  <c r="Y249" i="1"/>
  <c r="X249" i="1"/>
  <c r="AC248" i="1"/>
  <c r="AA248" i="1"/>
  <c r="Z248" i="1"/>
  <c r="Y248" i="1"/>
  <c r="X248" i="1"/>
  <c r="AC247" i="1"/>
  <c r="AA247" i="1"/>
  <c r="Z247" i="1"/>
  <c r="Y247" i="1"/>
  <c r="X247" i="1"/>
  <c r="AC246" i="1"/>
  <c r="AA246" i="1"/>
  <c r="Z246" i="1"/>
  <c r="Y246" i="1"/>
  <c r="X246" i="1"/>
  <c r="AC245" i="1"/>
  <c r="AA245" i="1"/>
  <c r="Z245" i="1"/>
  <c r="Y245" i="1"/>
  <c r="X245" i="1"/>
  <c r="AC244" i="1"/>
  <c r="AA244" i="1"/>
  <c r="Z244" i="1"/>
  <c r="Y244" i="1"/>
  <c r="X244" i="1"/>
  <c r="AC243" i="1"/>
  <c r="AA243" i="1"/>
  <c r="Z243" i="1"/>
  <c r="Y243" i="1"/>
  <c r="X243" i="1"/>
  <c r="AC242" i="1"/>
  <c r="AA242" i="1"/>
  <c r="Z242" i="1"/>
  <c r="Y242" i="1"/>
  <c r="X242" i="1"/>
  <c r="AC241" i="1"/>
  <c r="AA241" i="1"/>
  <c r="Z241" i="1"/>
  <c r="Y241" i="1"/>
  <c r="X241" i="1"/>
  <c r="AC240" i="1"/>
  <c r="AA240" i="1"/>
  <c r="Z240" i="1"/>
  <c r="Y240" i="1"/>
  <c r="X240" i="1"/>
  <c r="AC239" i="1"/>
  <c r="AA239" i="1"/>
  <c r="Z239" i="1"/>
  <c r="Y239" i="1"/>
  <c r="X239" i="1"/>
  <c r="AC238" i="1"/>
  <c r="AA238" i="1"/>
  <c r="Z238" i="1"/>
  <c r="Y238" i="1"/>
  <c r="X238" i="1"/>
  <c r="AC237" i="1"/>
  <c r="AA237" i="1"/>
  <c r="Z237" i="1"/>
  <c r="Y237" i="1"/>
  <c r="X237" i="1"/>
  <c r="AC236" i="1"/>
  <c r="AA236" i="1"/>
  <c r="Z236" i="1"/>
  <c r="Y236" i="1"/>
  <c r="X236" i="1"/>
  <c r="AC235" i="1"/>
  <c r="AA235" i="1"/>
  <c r="Z235" i="1"/>
  <c r="Y235" i="1"/>
  <c r="X235" i="1"/>
  <c r="AC234" i="1"/>
  <c r="AA234" i="1"/>
  <c r="Z234" i="1"/>
  <c r="Y234" i="1"/>
  <c r="X234" i="1"/>
  <c r="AC233" i="1"/>
  <c r="AA233" i="1"/>
  <c r="Z233" i="1"/>
  <c r="Y233" i="1"/>
  <c r="X233" i="1"/>
  <c r="AC232" i="1"/>
  <c r="AC231" i="1"/>
  <c r="AA231" i="1"/>
  <c r="Z231" i="1"/>
  <c r="Y231" i="1"/>
  <c r="X231" i="1"/>
  <c r="AC230" i="1"/>
  <c r="Y230" i="1"/>
  <c r="X230" i="1"/>
  <c r="AC229" i="1"/>
  <c r="Z229" i="1"/>
  <c r="Y229" i="1"/>
  <c r="X229" i="1"/>
  <c r="AC228" i="1"/>
  <c r="AA228" i="1"/>
  <c r="Z228" i="1"/>
  <c r="Y228" i="1"/>
  <c r="X228" i="1"/>
  <c r="AC227" i="1"/>
  <c r="AA227" i="1"/>
  <c r="Z227" i="1"/>
  <c r="Y227" i="1"/>
  <c r="X227" i="1"/>
  <c r="AC226" i="1"/>
  <c r="AC225" i="1"/>
  <c r="AA225" i="1"/>
  <c r="Z225" i="1"/>
  <c r="Y225" i="1"/>
  <c r="X225" i="1"/>
  <c r="AC224" i="1"/>
  <c r="AA224" i="1"/>
  <c r="Z224" i="1"/>
  <c r="Y224" i="1"/>
  <c r="X224" i="1"/>
  <c r="AC223" i="1"/>
  <c r="AA223" i="1"/>
  <c r="Z223" i="1"/>
  <c r="Y223" i="1"/>
  <c r="X223" i="1"/>
  <c r="AC222" i="1"/>
  <c r="AC221" i="1"/>
  <c r="AA221" i="1"/>
  <c r="Z221" i="1"/>
  <c r="Y221" i="1"/>
  <c r="X221" i="1"/>
  <c r="AC220" i="1"/>
  <c r="AA220" i="1"/>
  <c r="Z220" i="1"/>
  <c r="Y220" i="1"/>
  <c r="X220" i="1"/>
  <c r="AC219" i="1"/>
  <c r="Z219" i="1"/>
  <c r="Y219" i="1"/>
  <c r="X219" i="1"/>
  <c r="AC218" i="1"/>
  <c r="AC217" i="1"/>
  <c r="AA217" i="1"/>
  <c r="Z217" i="1"/>
  <c r="Y217" i="1"/>
  <c r="X217" i="1"/>
  <c r="AC216" i="1"/>
  <c r="AC215" i="1"/>
  <c r="Z215" i="1"/>
  <c r="Y215" i="1"/>
  <c r="X215" i="1"/>
  <c r="AC214" i="1"/>
  <c r="AC213" i="1"/>
  <c r="AA213" i="1"/>
  <c r="Z213" i="1"/>
  <c r="Y213" i="1"/>
  <c r="X213" i="1"/>
  <c r="AC212" i="1"/>
  <c r="Z212" i="1"/>
  <c r="Y212" i="1"/>
  <c r="X212" i="1"/>
  <c r="AC211" i="1"/>
  <c r="AC210" i="1"/>
  <c r="AA210" i="1"/>
  <c r="Z210" i="1"/>
  <c r="Y210" i="1"/>
  <c r="X210" i="1"/>
  <c r="AC209" i="1"/>
  <c r="X209" i="1"/>
  <c r="AC208" i="1"/>
  <c r="AA208" i="1"/>
  <c r="Z208" i="1"/>
  <c r="Y208" i="1"/>
  <c r="X208" i="1"/>
  <c r="AC207" i="1"/>
  <c r="AA207" i="1"/>
  <c r="Z207" i="1"/>
  <c r="Y207" i="1"/>
  <c r="X207" i="1"/>
  <c r="AC206" i="1"/>
  <c r="AC205" i="1"/>
  <c r="Z205" i="1"/>
  <c r="Y205" i="1"/>
  <c r="X205" i="1"/>
  <c r="AC204" i="1"/>
  <c r="AA204" i="1"/>
  <c r="Z204" i="1"/>
  <c r="Y204" i="1"/>
  <c r="X204" i="1"/>
  <c r="AC203" i="1"/>
  <c r="X203" i="1"/>
  <c r="AC202" i="1"/>
  <c r="X202" i="1"/>
  <c r="AC201" i="1"/>
  <c r="AA201" i="1"/>
  <c r="Z201" i="1"/>
  <c r="Y201" i="1"/>
  <c r="X201" i="1"/>
  <c r="AC200" i="1"/>
  <c r="X200" i="1"/>
  <c r="AC199" i="1"/>
  <c r="AC198" i="1"/>
  <c r="AA198" i="1"/>
  <c r="Z198" i="1"/>
  <c r="Y198" i="1"/>
  <c r="X198" i="1"/>
  <c r="AC197" i="1"/>
  <c r="AA197" i="1"/>
  <c r="Z197" i="1"/>
  <c r="Y197" i="1"/>
  <c r="X197" i="1"/>
  <c r="AC196" i="1"/>
  <c r="AA196" i="1"/>
  <c r="Z196" i="1"/>
  <c r="Y196" i="1"/>
  <c r="X196" i="1"/>
  <c r="AC195" i="1"/>
  <c r="AA195" i="1"/>
  <c r="Z195" i="1"/>
  <c r="Y195" i="1"/>
  <c r="X195" i="1"/>
  <c r="AC194" i="1"/>
  <c r="AA194" i="1"/>
  <c r="Z194" i="1"/>
  <c r="Y194" i="1"/>
  <c r="X194" i="1"/>
  <c r="AC193" i="1"/>
  <c r="AA193" i="1"/>
  <c r="Z193" i="1"/>
  <c r="Y193" i="1"/>
  <c r="X193" i="1"/>
  <c r="AC192" i="1"/>
  <c r="AA192" i="1"/>
  <c r="Z192" i="1"/>
  <c r="Y192" i="1"/>
  <c r="X192" i="1"/>
  <c r="AC191" i="1"/>
  <c r="AA191" i="1"/>
  <c r="Z191" i="1"/>
  <c r="Y191" i="1"/>
  <c r="X191" i="1"/>
  <c r="AC190" i="1"/>
  <c r="AA190" i="1"/>
  <c r="Z190" i="1"/>
  <c r="Y190" i="1"/>
  <c r="X190" i="1"/>
  <c r="AC189" i="1"/>
  <c r="AA189" i="1"/>
  <c r="Z189" i="1"/>
  <c r="Y189" i="1"/>
  <c r="X189" i="1"/>
  <c r="AC188" i="1"/>
  <c r="AA188" i="1"/>
  <c r="Z188" i="1"/>
  <c r="Y188" i="1"/>
  <c r="X188" i="1"/>
  <c r="AC187" i="1"/>
  <c r="AA187" i="1"/>
  <c r="Z187" i="1"/>
  <c r="Y187" i="1"/>
  <c r="X187" i="1"/>
  <c r="AC186" i="1"/>
  <c r="AA186" i="1"/>
  <c r="Z186" i="1"/>
  <c r="Y186" i="1"/>
  <c r="X186" i="1"/>
  <c r="AC185" i="1"/>
  <c r="AA185" i="1"/>
  <c r="Z185" i="1"/>
  <c r="Y185" i="1"/>
  <c r="X185" i="1"/>
  <c r="AC184" i="1"/>
  <c r="AA184" i="1"/>
  <c r="Z184" i="1"/>
  <c r="Y184" i="1"/>
  <c r="X184" i="1"/>
  <c r="AC183" i="1"/>
  <c r="AA183" i="1"/>
  <c r="Z183" i="1"/>
  <c r="Y183" i="1"/>
  <c r="X183" i="1"/>
  <c r="AC182" i="1"/>
  <c r="AA182" i="1"/>
  <c r="Z182" i="1"/>
  <c r="Y182" i="1"/>
  <c r="X182" i="1"/>
  <c r="AC181" i="1"/>
  <c r="AA181" i="1"/>
  <c r="Z181" i="1"/>
  <c r="Y181" i="1"/>
  <c r="X181" i="1"/>
  <c r="AC180" i="1"/>
  <c r="AA180" i="1"/>
  <c r="Z180" i="1"/>
  <c r="Y180" i="1"/>
  <c r="X180" i="1"/>
  <c r="AC179" i="1"/>
  <c r="AA179" i="1"/>
  <c r="Z179" i="1"/>
  <c r="Y179" i="1"/>
  <c r="X179" i="1"/>
  <c r="AC178" i="1"/>
  <c r="AA178" i="1"/>
  <c r="Z178" i="1"/>
  <c r="Y178" i="1"/>
  <c r="X178" i="1"/>
  <c r="AC177" i="1"/>
  <c r="AA177" i="1"/>
  <c r="Z177" i="1"/>
  <c r="Y177" i="1"/>
  <c r="X177" i="1"/>
  <c r="AC176" i="1"/>
  <c r="AA176" i="1"/>
  <c r="Z176" i="1"/>
  <c r="Y176" i="1"/>
  <c r="X176" i="1"/>
  <c r="AC175" i="1"/>
  <c r="AA175" i="1"/>
  <c r="Z175" i="1"/>
  <c r="Y175" i="1"/>
  <c r="X175" i="1"/>
  <c r="AC174" i="1"/>
  <c r="AA174" i="1"/>
  <c r="Z174" i="1"/>
  <c r="Y174" i="1"/>
  <c r="X174" i="1"/>
  <c r="AC173" i="1"/>
  <c r="AA173" i="1"/>
  <c r="Z173" i="1"/>
  <c r="Y173" i="1"/>
  <c r="X173" i="1"/>
  <c r="AC172" i="1"/>
  <c r="AA172" i="1"/>
  <c r="Z172" i="1"/>
  <c r="Y172" i="1"/>
  <c r="X172" i="1"/>
  <c r="AC171" i="1"/>
  <c r="AA171" i="1"/>
  <c r="Z171" i="1"/>
  <c r="Y171" i="1"/>
  <c r="X171" i="1"/>
  <c r="AC170" i="1"/>
  <c r="AA170" i="1"/>
  <c r="Z170" i="1"/>
  <c r="Y170" i="1"/>
  <c r="X170" i="1"/>
  <c r="AC169" i="1"/>
  <c r="AA169" i="1"/>
  <c r="Z169" i="1"/>
  <c r="Y169" i="1"/>
  <c r="X169" i="1"/>
  <c r="AC168" i="1"/>
  <c r="AA168" i="1"/>
  <c r="Z168" i="1"/>
  <c r="Y168" i="1"/>
  <c r="X168" i="1"/>
  <c r="AC167" i="1"/>
  <c r="AA167" i="1"/>
  <c r="Z167" i="1"/>
  <c r="Y167" i="1"/>
  <c r="X167" i="1"/>
  <c r="AC166" i="1"/>
  <c r="AA166" i="1"/>
  <c r="Z166" i="1"/>
  <c r="Y166" i="1"/>
  <c r="X166" i="1"/>
  <c r="AC165" i="1"/>
  <c r="AA165" i="1"/>
  <c r="Z165" i="1"/>
  <c r="Y165" i="1"/>
  <c r="X165" i="1"/>
  <c r="AC164" i="1"/>
  <c r="AC163" i="1"/>
  <c r="X163" i="1"/>
  <c r="AC162" i="1"/>
  <c r="AC161" i="1"/>
  <c r="Z161" i="1"/>
  <c r="Y161" i="1"/>
  <c r="X161" i="1"/>
  <c r="AC160" i="1"/>
  <c r="Y160" i="1"/>
  <c r="X160" i="1"/>
  <c r="AC159" i="1"/>
  <c r="AC158" i="1"/>
  <c r="Y158" i="1"/>
  <c r="X158" i="1"/>
  <c r="AC157" i="1"/>
  <c r="X157" i="1"/>
  <c r="AC156" i="1"/>
  <c r="AC155" i="1"/>
  <c r="AA155" i="1"/>
  <c r="Z155" i="1"/>
  <c r="Y155" i="1"/>
  <c r="X155" i="1"/>
  <c r="AC154" i="1"/>
  <c r="AA154" i="1"/>
  <c r="Z154" i="1"/>
  <c r="Y154" i="1"/>
  <c r="X154" i="1"/>
  <c r="AC153" i="1"/>
  <c r="AA153" i="1"/>
  <c r="Z153" i="1"/>
  <c r="Y153" i="1"/>
  <c r="X153" i="1"/>
  <c r="AC152" i="1"/>
  <c r="AA152" i="1"/>
  <c r="Z152" i="1"/>
  <c r="Y152" i="1"/>
  <c r="X152" i="1"/>
  <c r="AC151" i="1"/>
  <c r="AA151" i="1"/>
  <c r="Z151" i="1"/>
  <c r="Y151" i="1"/>
  <c r="X151" i="1"/>
  <c r="AC150" i="1"/>
  <c r="AA150" i="1"/>
  <c r="Z150" i="1"/>
  <c r="Y150" i="1"/>
  <c r="X150" i="1"/>
  <c r="AC149" i="1"/>
  <c r="AA149" i="1"/>
  <c r="Z149" i="1"/>
  <c r="Y149" i="1"/>
  <c r="X149" i="1"/>
  <c r="AC148" i="1"/>
  <c r="AA148" i="1"/>
  <c r="Z148" i="1"/>
  <c r="Y148" i="1"/>
  <c r="X148" i="1"/>
  <c r="AC147" i="1"/>
  <c r="AA147" i="1"/>
  <c r="Z147" i="1"/>
  <c r="Y147" i="1"/>
  <c r="X147" i="1"/>
  <c r="AC146" i="1"/>
  <c r="AA146" i="1"/>
  <c r="Z146" i="1"/>
  <c r="Y146" i="1"/>
  <c r="X146" i="1"/>
  <c r="AC145" i="1"/>
  <c r="AA145" i="1"/>
  <c r="Z145" i="1"/>
  <c r="Y145" i="1"/>
  <c r="X145" i="1"/>
  <c r="AC144" i="1"/>
  <c r="AA144" i="1"/>
  <c r="Z144" i="1"/>
  <c r="Y144" i="1"/>
  <c r="X144" i="1"/>
  <c r="AC143" i="1"/>
  <c r="AA143" i="1"/>
  <c r="Z143" i="1"/>
  <c r="Y143" i="1"/>
  <c r="X143" i="1"/>
  <c r="AC142" i="1"/>
  <c r="AA142" i="1"/>
  <c r="Z142" i="1"/>
  <c r="Y142" i="1"/>
  <c r="X142" i="1"/>
  <c r="AC141" i="1"/>
  <c r="AA141" i="1"/>
  <c r="Z141" i="1"/>
  <c r="Y141" i="1"/>
  <c r="X141" i="1"/>
  <c r="AC140" i="1"/>
  <c r="AA140" i="1"/>
  <c r="Z140" i="1"/>
  <c r="Y140" i="1"/>
  <c r="X140" i="1"/>
  <c r="AC139" i="1"/>
  <c r="AA139" i="1"/>
  <c r="Z139" i="1"/>
  <c r="Y139" i="1"/>
  <c r="X139" i="1"/>
  <c r="AC138" i="1"/>
  <c r="AA138" i="1"/>
  <c r="Z138" i="1"/>
  <c r="Y138" i="1"/>
  <c r="X138" i="1"/>
  <c r="AC137" i="1"/>
  <c r="AA137" i="1"/>
  <c r="Z137" i="1"/>
  <c r="Y137" i="1"/>
  <c r="X137" i="1"/>
  <c r="AC136" i="1"/>
  <c r="AA136" i="1"/>
  <c r="Z136" i="1"/>
  <c r="Y136" i="1"/>
  <c r="X136" i="1"/>
  <c r="AC135" i="1"/>
  <c r="AA135" i="1"/>
  <c r="Z135" i="1"/>
  <c r="Y135" i="1"/>
  <c r="X135" i="1"/>
  <c r="AC134" i="1"/>
  <c r="AA134" i="1"/>
  <c r="Z134" i="1"/>
  <c r="Y134" i="1"/>
  <c r="X134" i="1"/>
  <c r="AC133" i="1"/>
  <c r="AA133" i="1"/>
  <c r="Z133" i="1"/>
  <c r="Y133" i="1"/>
  <c r="X133" i="1"/>
  <c r="AC132" i="1"/>
  <c r="AA132" i="1"/>
  <c r="Z132" i="1"/>
  <c r="Y132" i="1"/>
  <c r="X132" i="1"/>
  <c r="AC131" i="1"/>
  <c r="AA131" i="1"/>
  <c r="Z131" i="1"/>
  <c r="Y131" i="1"/>
  <c r="X131" i="1"/>
  <c r="AC130" i="1"/>
  <c r="AA130" i="1"/>
  <c r="Z130" i="1"/>
  <c r="Y130" i="1"/>
  <c r="X130" i="1"/>
  <c r="AC129" i="1"/>
  <c r="AA129" i="1"/>
  <c r="Z129" i="1"/>
  <c r="Y129" i="1"/>
  <c r="X129" i="1"/>
  <c r="AC128" i="1"/>
  <c r="AA128" i="1"/>
  <c r="Z128" i="1"/>
  <c r="Y128" i="1"/>
  <c r="X128" i="1"/>
  <c r="AC127" i="1"/>
  <c r="AA127" i="1"/>
  <c r="Z127" i="1"/>
  <c r="Y127" i="1"/>
  <c r="X127" i="1"/>
  <c r="AC126" i="1"/>
  <c r="AA126" i="1"/>
  <c r="Z126" i="1"/>
  <c r="Y126" i="1"/>
  <c r="X126" i="1"/>
  <c r="AC125" i="1"/>
  <c r="AA125" i="1"/>
  <c r="Z125" i="1"/>
  <c r="Y125" i="1"/>
  <c r="X125" i="1"/>
  <c r="AC124" i="1"/>
  <c r="AA124" i="1"/>
  <c r="Z124" i="1"/>
  <c r="Y124" i="1"/>
  <c r="X124" i="1"/>
  <c r="AC123" i="1"/>
  <c r="AA123" i="1"/>
  <c r="Z123" i="1"/>
  <c r="Y123" i="1"/>
  <c r="X123" i="1"/>
  <c r="AC122" i="1"/>
  <c r="AA122" i="1"/>
  <c r="Z122" i="1"/>
  <c r="Y122" i="1"/>
  <c r="X122" i="1"/>
  <c r="AC121" i="1"/>
  <c r="AA121" i="1"/>
  <c r="Z121" i="1"/>
  <c r="Y121" i="1"/>
  <c r="X121" i="1"/>
  <c r="AC120" i="1"/>
  <c r="AA120" i="1"/>
  <c r="Z120" i="1"/>
  <c r="Y120" i="1"/>
  <c r="X120" i="1"/>
  <c r="AC119" i="1"/>
  <c r="AA119" i="1"/>
  <c r="Z119" i="1"/>
  <c r="Y119" i="1"/>
  <c r="X119" i="1"/>
  <c r="AC118" i="1"/>
  <c r="AA118" i="1"/>
  <c r="Z118" i="1"/>
  <c r="Y118" i="1"/>
  <c r="X118" i="1"/>
  <c r="AC117" i="1"/>
  <c r="AA117" i="1"/>
  <c r="Z117" i="1"/>
  <c r="Y117" i="1"/>
  <c r="X117" i="1"/>
  <c r="AC116" i="1"/>
  <c r="AA116" i="1"/>
  <c r="Z116" i="1"/>
  <c r="Y116" i="1"/>
  <c r="X116" i="1"/>
  <c r="AC115" i="1"/>
  <c r="AA115" i="1"/>
  <c r="Z115" i="1"/>
  <c r="Y115" i="1"/>
  <c r="X115" i="1"/>
  <c r="AC114" i="1"/>
  <c r="AA114" i="1"/>
  <c r="Z114" i="1"/>
  <c r="Y114" i="1"/>
  <c r="X114" i="1"/>
  <c r="AC113" i="1"/>
  <c r="AA113" i="1"/>
  <c r="Z113" i="1"/>
  <c r="AC112" i="1"/>
  <c r="AA112" i="1"/>
  <c r="Z112" i="1"/>
  <c r="Y112" i="1"/>
  <c r="X112" i="1"/>
  <c r="AC111" i="1"/>
  <c r="AA111" i="1"/>
  <c r="Z111" i="1"/>
  <c r="Y111" i="1"/>
  <c r="X111" i="1"/>
  <c r="AC110" i="1"/>
  <c r="AA110" i="1"/>
  <c r="Z110" i="1"/>
  <c r="Y110" i="1"/>
  <c r="X110" i="1"/>
  <c r="AC109" i="1"/>
  <c r="AA109" i="1"/>
  <c r="Z109" i="1"/>
  <c r="Y109" i="1"/>
  <c r="X109" i="1"/>
  <c r="AC108" i="1"/>
  <c r="AA108" i="1"/>
  <c r="Z108" i="1"/>
  <c r="Y108" i="1"/>
  <c r="X108" i="1"/>
  <c r="AC107" i="1"/>
  <c r="AA107" i="1"/>
  <c r="Z107" i="1"/>
  <c r="Y107" i="1"/>
  <c r="X107" i="1"/>
  <c r="AC106" i="1"/>
  <c r="AA106" i="1"/>
  <c r="Z106" i="1"/>
  <c r="Y106" i="1"/>
  <c r="X106" i="1"/>
  <c r="AC105" i="1"/>
  <c r="AA105" i="1"/>
  <c r="Z105" i="1"/>
  <c r="Y105" i="1"/>
  <c r="X105" i="1"/>
  <c r="AC104" i="1"/>
  <c r="AA104" i="1"/>
  <c r="Z104" i="1"/>
  <c r="Y104" i="1"/>
  <c r="X104" i="1"/>
  <c r="AC103" i="1"/>
  <c r="AA103" i="1"/>
  <c r="Z103" i="1"/>
  <c r="Y103" i="1"/>
  <c r="X103" i="1"/>
  <c r="AC102" i="1"/>
  <c r="AA102" i="1"/>
  <c r="Z102" i="1"/>
  <c r="Y102" i="1"/>
  <c r="X102" i="1"/>
  <c r="AC101" i="1"/>
  <c r="AA101" i="1"/>
  <c r="Z101" i="1"/>
  <c r="Y101" i="1"/>
  <c r="X101" i="1"/>
  <c r="AC100" i="1"/>
  <c r="AA100" i="1"/>
  <c r="Z100" i="1"/>
  <c r="Y100" i="1"/>
  <c r="X100" i="1"/>
  <c r="AC99" i="1"/>
  <c r="AA99" i="1"/>
  <c r="Z99" i="1"/>
  <c r="Y99" i="1"/>
  <c r="X99" i="1"/>
  <c r="AC98" i="1"/>
  <c r="AA98" i="1"/>
  <c r="Z98" i="1"/>
  <c r="Y98" i="1"/>
  <c r="X98" i="1"/>
  <c r="AC97" i="1"/>
  <c r="AA97" i="1"/>
  <c r="Z97" i="1"/>
  <c r="Y97" i="1"/>
  <c r="X97" i="1"/>
  <c r="AC96" i="1"/>
  <c r="AA96" i="1"/>
  <c r="Z96" i="1"/>
  <c r="Y96" i="1"/>
  <c r="X96" i="1"/>
  <c r="AC95" i="1"/>
  <c r="AA95" i="1"/>
  <c r="Z95" i="1"/>
  <c r="Y95" i="1"/>
  <c r="X95" i="1"/>
  <c r="AC94" i="1"/>
  <c r="AA94" i="1"/>
  <c r="Z94" i="1"/>
  <c r="Y94" i="1"/>
  <c r="X94" i="1"/>
  <c r="AC93" i="1"/>
  <c r="AA93" i="1"/>
  <c r="Z93" i="1"/>
  <c r="Y93" i="1"/>
  <c r="X93" i="1"/>
  <c r="AC92" i="1"/>
  <c r="AA92" i="1"/>
  <c r="Z92" i="1"/>
  <c r="Y92" i="1"/>
  <c r="X92" i="1"/>
  <c r="AC91" i="1"/>
  <c r="AA91" i="1"/>
  <c r="Z91" i="1"/>
  <c r="Y91" i="1"/>
  <c r="X91" i="1"/>
  <c r="AC90" i="1"/>
  <c r="AA90" i="1"/>
  <c r="Z90" i="1"/>
  <c r="Y90" i="1"/>
  <c r="X90" i="1"/>
  <c r="AC89" i="1"/>
  <c r="AA89" i="1"/>
  <c r="Z89" i="1"/>
  <c r="Y89" i="1"/>
  <c r="X89" i="1"/>
  <c r="AC88" i="1"/>
  <c r="AA88" i="1"/>
  <c r="Z88" i="1"/>
  <c r="Y88" i="1"/>
  <c r="X88" i="1"/>
  <c r="AC87" i="1"/>
  <c r="AA87" i="1"/>
  <c r="Z87" i="1"/>
  <c r="Y87" i="1"/>
  <c r="X87" i="1"/>
  <c r="AC86" i="1"/>
  <c r="AA86" i="1"/>
  <c r="Z86" i="1"/>
  <c r="Y86" i="1"/>
  <c r="X86" i="1"/>
  <c r="AC85" i="1"/>
  <c r="AA85" i="1"/>
  <c r="Z85" i="1"/>
  <c r="Y85" i="1"/>
  <c r="X85" i="1"/>
  <c r="AC84" i="1"/>
  <c r="AA84" i="1"/>
  <c r="Z84" i="1"/>
  <c r="Y84" i="1"/>
  <c r="X84" i="1"/>
  <c r="AC83" i="1"/>
  <c r="AA83" i="1"/>
  <c r="Z83" i="1"/>
  <c r="Y83" i="1"/>
  <c r="X83" i="1"/>
  <c r="AC82" i="1"/>
  <c r="AA82" i="1"/>
  <c r="Z82" i="1"/>
  <c r="Y82" i="1"/>
  <c r="X82" i="1"/>
  <c r="AC81" i="1"/>
  <c r="AA81" i="1"/>
  <c r="Z81" i="1"/>
  <c r="Y81" i="1"/>
  <c r="X81" i="1"/>
  <c r="AC80" i="1"/>
  <c r="AA80" i="1"/>
  <c r="Z80" i="1"/>
  <c r="Y80" i="1"/>
  <c r="X80" i="1"/>
  <c r="AC79" i="1"/>
  <c r="AA79" i="1"/>
  <c r="Z79" i="1"/>
  <c r="Y79" i="1"/>
  <c r="X79" i="1"/>
  <c r="AC78" i="1"/>
  <c r="AA78" i="1"/>
  <c r="Z78" i="1"/>
  <c r="Y78" i="1"/>
  <c r="X78" i="1"/>
  <c r="AC77" i="1"/>
  <c r="AA77" i="1"/>
  <c r="Z77" i="1"/>
  <c r="Y77" i="1"/>
  <c r="X77" i="1"/>
  <c r="AC76" i="1"/>
  <c r="AA76" i="1"/>
  <c r="Z76" i="1"/>
  <c r="Y76" i="1"/>
  <c r="X76" i="1"/>
  <c r="AC75" i="1"/>
  <c r="AA75" i="1"/>
  <c r="Z75" i="1"/>
  <c r="Y75" i="1"/>
  <c r="X75" i="1"/>
  <c r="AC74" i="1"/>
  <c r="AA74" i="1"/>
  <c r="Z74" i="1"/>
  <c r="Y74" i="1"/>
  <c r="X74" i="1"/>
  <c r="AC73" i="1"/>
  <c r="AA73" i="1"/>
  <c r="Z73" i="1"/>
  <c r="Y73" i="1"/>
  <c r="X73" i="1"/>
  <c r="AC72" i="1"/>
  <c r="AA72" i="1"/>
  <c r="Z72" i="1"/>
  <c r="Y72" i="1"/>
  <c r="X72" i="1"/>
  <c r="AC71" i="1"/>
  <c r="AA71" i="1"/>
  <c r="Z71" i="1"/>
  <c r="Y71" i="1"/>
  <c r="X71" i="1"/>
  <c r="AC70" i="1"/>
  <c r="AA70" i="1"/>
  <c r="Z70" i="1"/>
  <c r="Y70" i="1"/>
  <c r="AC69" i="1"/>
  <c r="AA69" i="1"/>
  <c r="Z69" i="1"/>
  <c r="Y69" i="1"/>
  <c r="X69" i="1"/>
  <c r="AC68" i="1"/>
  <c r="AA68" i="1"/>
  <c r="Z68" i="1"/>
  <c r="Y68" i="1"/>
  <c r="X68" i="1"/>
  <c r="AC67" i="1"/>
  <c r="AA67" i="1"/>
  <c r="Z67" i="1"/>
  <c r="Y67" i="1"/>
  <c r="X67" i="1"/>
  <c r="AC66" i="1"/>
  <c r="AA66" i="1"/>
  <c r="Z66" i="1"/>
  <c r="Y66" i="1"/>
  <c r="X66" i="1"/>
  <c r="AC65" i="1"/>
  <c r="AA65" i="1"/>
  <c r="Z65" i="1"/>
  <c r="Y65" i="1"/>
  <c r="X65" i="1"/>
  <c r="AC64" i="1"/>
  <c r="Y64" i="1"/>
  <c r="X64" i="1"/>
  <c r="AC63" i="1"/>
  <c r="AA63" i="1"/>
  <c r="Z63" i="1"/>
  <c r="Y63" i="1"/>
  <c r="X63" i="1"/>
  <c r="AC62" i="1"/>
  <c r="AA62" i="1"/>
  <c r="Z62" i="1"/>
  <c r="Y62" i="1"/>
  <c r="X62" i="1"/>
  <c r="AC61" i="1"/>
  <c r="AA61" i="1"/>
  <c r="Z61" i="1"/>
  <c r="Y61" i="1"/>
  <c r="X61" i="1"/>
  <c r="AC60" i="1"/>
  <c r="AA60" i="1"/>
  <c r="Z60" i="1"/>
  <c r="Y60" i="1"/>
  <c r="X60" i="1"/>
  <c r="AC59" i="1"/>
  <c r="AC58" i="1"/>
  <c r="AA58" i="1"/>
  <c r="Z58" i="1"/>
  <c r="Y58" i="1"/>
  <c r="X58" i="1"/>
  <c r="AC57" i="1"/>
  <c r="Y57" i="1"/>
  <c r="X57" i="1"/>
  <c r="AC56" i="1"/>
  <c r="X56" i="1"/>
  <c r="AC55" i="1"/>
  <c r="Y55" i="1"/>
  <c r="X55" i="1"/>
  <c r="AC54" i="1"/>
  <c r="Y54" i="1"/>
  <c r="X54" i="1"/>
  <c r="AC53" i="1"/>
  <c r="X53" i="1"/>
  <c r="AC52" i="1"/>
  <c r="X52" i="1"/>
  <c r="AC51" i="1"/>
  <c r="Y51" i="1"/>
  <c r="X51" i="1"/>
  <c r="AC50" i="1"/>
  <c r="AC49" i="1"/>
  <c r="X49" i="1"/>
  <c r="AC48" i="1"/>
  <c r="X48" i="1"/>
  <c r="AC47" i="1"/>
  <c r="Y47" i="1"/>
  <c r="X47" i="1"/>
  <c r="AC46" i="1"/>
  <c r="Y46" i="1"/>
  <c r="X46" i="1"/>
  <c r="AC45" i="1"/>
  <c r="AA45" i="1"/>
  <c r="Z45" i="1"/>
  <c r="Y45" i="1"/>
  <c r="X45" i="1"/>
  <c r="AC44" i="1"/>
  <c r="AA44" i="1"/>
  <c r="Z44" i="1"/>
  <c r="Y44" i="1"/>
  <c r="X44" i="1"/>
  <c r="AC43" i="1"/>
  <c r="AA43" i="1"/>
  <c r="Z43" i="1"/>
  <c r="Y43" i="1"/>
  <c r="X43" i="1"/>
  <c r="AC42" i="1"/>
  <c r="AA42" i="1"/>
  <c r="Z42" i="1"/>
  <c r="Y42" i="1"/>
  <c r="X42" i="1"/>
  <c r="AC41" i="1"/>
  <c r="AA41" i="1"/>
  <c r="Z41" i="1"/>
  <c r="Y41" i="1"/>
  <c r="X41" i="1"/>
  <c r="AC40" i="1"/>
  <c r="AA40" i="1"/>
  <c r="Z40" i="1"/>
  <c r="Y40" i="1"/>
  <c r="X40" i="1"/>
  <c r="AC39" i="1"/>
  <c r="AA39" i="1"/>
  <c r="Z39" i="1"/>
  <c r="Y39" i="1"/>
  <c r="X39" i="1"/>
  <c r="AC38" i="1"/>
  <c r="AA38" i="1"/>
  <c r="Z38" i="1"/>
  <c r="Y38" i="1"/>
  <c r="X38" i="1"/>
  <c r="AC37" i="1"/>
  <c r="AA37" i="1"/>
  <c r="Z37" i="1"/>
  <c r="Y37" i="1"/>
  <c r="X37" i="1"/>
  <c r="AC36" i="1"/>
  <c r="AA36" i="1"/>
  <c r="Z36" i="1"/>
  <c r="Y36" i="1"/>
  <c r="X36" i="1"/>
  <c r="AC35" i="1"/>
  <c r="AA35" i="1"/>
  <c r="Z35" i="1"/>
  <c r="Y35" i="1"/>
  <c r="X35" i="1"/>
  <c r="AC34" i="1"/>
  <c r="AA34" i="1"/>
  <c r="Z34" i="1"/>
  <c r="Y34" i="1"/>
  <c r="X34" i="1"/>
  <c r="AC33" i="1"/>
  <c r="AA33" i="1"/>
  <c r="Z33" i="1"/>
  <c r="Y33" i="1"/>
  <c r="X33" i="1"/>
  <c r="AH32" i="1"/>
  <c r="AF32" i="1"/>
  <c r="AC32" i="1"/>
  <c r="AA32" i="1"/>
  <c r="Z32" i="1"/>
  <c r="Y32" i="1"/>
  <c r="X32" i="1"/>
  <c r="AI31" i="1"/>
  <c r="AF31" i="1"/>
  <c r="AC31" i="1"/>
  <c r="AA31" i="1"/>
  <c r="Z31" i="1"/>
  <c r="Y31" i="1"/>
  <c r="X31" i="1"/>
  <c r="AC30" i="1"/>
  <c r="Z30" i="1"/>
  <c r="Y30" i="1"/>
  <c r="X30" i="1"/>
  <c r="AC29" i="1"/>
  <c r="AC28" i="1"/>
  <c r="X28" i="1"/>
  <c r="AC27" i="1"/>
  <c r="X27" i="1"/>
  <c r="AL26" i="1"/>
  <c r="AC26" i="1"/>
  <c r="AG25" i="1"/>
  <c r="AC25" i="1"/>
  <c r="AG24" i="1"/>
  <c r="AC24" i="1"/>
  <c r="AG23" i="1"/>
  <c r="AC23" i="1"/>
  <c r="AG22" i="1"/>
  <c r="AC22" i="1"/>
  <c r="AG21" i="1"/>
  <c r="AC21" i="1"/>
  <c r="X21" i="1"/>
  <c r="AG20" i="1"/>
  <c r="AC20" i="1"/>
  <c r="AA20" i="1"/>
  <c r="Z20" i="1"/>
  <c r="Y20" i="1"/>
  <c r="X20" i="1"/>
  <c r="AG19" i="1"/>
  <c r="AC19" i="1"/>
  <c r="X19" i="1"/>
  <c r="AG18" i="1"/>
  <c r="AC18" i="1"/>
  <c r="AG17" i="1"/>
  <c r="AC17" i="1"/>
  <c r="AG16" i="1"/>
  <c r="AC16" i="1"/>
  <c r="Z16" i="1"/>
  <c r="Y16" i="1"/>
  <c r="X16" i="1"/>
  <c r="AG15" i="1"/>
  <c r="AC15" i="1"/>
  <c r="X15" i="1"/>
  <c r="AG14" i="1"/>
  <c r="AC14" i="1"/>
  <c r="Z14" i="1"/>
  <c r="Y14" i="1"/>
  <c r="X14" i="1"/>
  <c r="AG13" i="1"/>
  <c r="AC13" i="1"/>
  <c r="AG12" i="1"/>
  <c r="AC12" i="1"/>
  <c r="X12" i="1"/>
  <c r="AG11" i="1"/>
  <c r="AC11" i="1"/>
  <c r="AG10" i="1"/>
  <c r="AC10" i="1"/>
  <c r="Y10" i="1"/>
  <c r="X10" i="1"/>
  <c r="AG9" i="1"/>
  <c r="AC9" i="1"/>
  <c r="X9" i="1"/>
  <c r="AG8" i="1"/>
  <c r="AC8" i="1"/>
  <c r="Y8" i="1"/>
  <c r="X8" i="1"/>
  <c r="AG7" i="1"/>
  <c r="AC7" i="1"/>
  <c r="X7" i="1"/>
  <c r="AG6" i="1"/>
  <c r="AC6" i="1"/>
  <c r="X6" i="1"/>
  <c r="AG5" i="1"/>
  <c r="AC5" i="1"/>
  <c r="Y5" i="1"/>
  <c r="X5" i="1"/>
  <c r="U5" i="1"/>
  <c r="P5" i="1"/>
  <c r="U4" i="1"/>
  <c r="P4" i="1"/>
  <c r="U3" i="1"/>
  <c r="P3" i="1"/>
  <c r="AG85" i="4" l="1"/>
  <c r="AD79" i="4"/>
  <c r="AG78" i="4"/>
  <c r="AD72" i="4"/>
  <c r="AG71" i="4"/>
  <c r="AG70" i="4"/>
  <c r="AD70" i="4"/>
  <c r="AD68" i="4"/>
  <c r="AG64" i="4"/>
  <c r="AG62" i="4"/>
  <c r="AG58" i="4"/>
  <c r="AD45" i="4"/>
  <c r="AD42" i="4"/>
  <c r="AD40" i="4"/>
  <c r="Z14" i="4"/>
  <c r="Y14" i="4"/>
  <c r="X14" i="4"/>
  <c r="Z13" i="4"/>
  <c r="Y13" i="4"/>
  <c r="X13" i="4"/>
  <c r="Z12" i="4"/>
  <c r="Y12" i="4"/>
  <c r="X12" i="4"/>
  <c r="Z11" i="4"/>
  <c r="Y11" i="4"/>
  <c r="X11" i="4"/>
  <c r="Z10" i="4"/>
  <c r="Y10" i="4"/>
  <c r="X10" i="4"/>
  <c r="Z9" i="4"/>
  <c r="Y9" i="4"/>
  <c r="X9" i="4"/>
  <c r="Z8" i="4"/>
  <c r="Y8" i="4"/>
  <c r="X8" i="4"/>
  <c r="Z7" i="4"/>
  <c r="Y7" i="4"/>
  <c r="X7" i="4"/>
  <c r="Z6" i="4"/>
  <c r="Y6" i="4"/>
  <c r="X6" i="4"/>
  <c r="Z5" i="4"/>
  <c r="Y5" i="4"/>
  <c r="X5" i="4"/>
  <c r="Z4" i="4"/>
  <c r="AI4" i="4" s="1"/>
  <c r="Y4" i="4"/>
  <c r="AH4" i="4" s="1"/>
  <c r="X4" i="4"/>
  <c r="AG4" i="4" s="1"/>
  <c r="AG84" i="4"/>
  <c r="AG82" i="4"/>
  <c r="AG81" i="4"/>
  <c r="AD81" i="4"/>
  <c r="AD67" i="4"/>
  <c r="AD65" i="4"/>
  <c r="AG59" i="4"/>
  <c r="AG51" i="4"/>
  <c r="AG49" i="4"/>
  <c r="AG35" i="4"/>
  <c r="AD34" i="4"/>
  <c r="AD31" i="4"/>
  <c r="AD85" i="4"/>
  <c r="AD78" i="4"/>
  <c r="AG77" i="4"/>
  <c r="AG75" i="4"/>
  <c r="AG74" i="4"/>
  <c r="AD74" i="4"/>
  <c r="AD73" i="4"/>
  <c r="AD71" i="4"/>
  <c r="AD64" i="4"/>
  <c r="AG60" i="4"/>
  <c r="AG56" i="4"/>
  <c r="AG45" i="4"/>
  <c r="AG34" i="4"/>
  <c r="AD80" i="4"/>
  <c r="AG73" i="4"/>
  <c r="AG72" i="4"/>
  <c r="AD69" i="4"/>
  <c r="AG68" i="4"/>
  <c r="AD63" i="4"/>
  <c r="AD57" i="4"/>
  <c r="AG50" i="4"/>
  <c r="AG46" i="4"/>
  <c r="AG44" i="4"/>
  <c r="AG43" i="4"/>
  <c r="AG38" i="4"/>
  <c r="AD60" i="4"/>
  <c r="AD55" i="4"/>
  <c r="AG52" i="4"/>
  <c r="AD47" i="4"/>
  <c r="AD43" i="4"/>
  <c r="AD41" i="4"/>
  <c r="AG36" i="4"/>
  <c r="AG31" i="4"/>
  <c r="AG80" i="4"/>
  <c r="AG67" i="4"/>
  <c r="AD54" i="4"/>
  <c r="AD53" i="4"/>
  <c r="AD52" i="4"/>
  <c r="AD49" i="4"/>
  <c r="AG47" i="4"/>
  <c r="AD46" i="4"/>
  <c r="AG39" i="4"/>
  <c r="AD84" i="4"/>
  <c r="AG83" i="4"/>
  <c r="AD83" i="4"/>
  <c r="AD82" i="4"/>
  <c r="AD66" i="4"/>
  <c r="AD59" i="4"/>
  <c r="AD58" i="4"/>
  <c r="AG54" i="4"/>
  <c r="AD51" i="4"/>
  <c r="AD50" i="4"/>
  <c r="AG48" i="4"/>
  <c r="AD39" i="4"/>
  <c r="AD38" i="4"/>
  <c r="AD36" i="4"/>
  <c r="AG32" i="4"/>
  <c r="AG76" i="4"/>
  <c r="AG63" i="4"/>
  <c r="AD62" i="4"/>
  <c r="AD61" i="4"/>
  <c r="AG57" i="4"/>
  <c r="AG53" i="4"/>
  <c r="AD48" i="4"/>
  <c r="AG42" i="4"/>
  <c r="AG41" i="4"/>
  <c r="AG40" i="4"/>
  <c r="AG37" i="4"/>
  <c r="AD37" i="4"/>
  <c r="AD33" i="4"/>
  <c r="AD32" i="4"/>
  <c r="AG79" i="4"/>
  <c r="AD77" i="4"/>
  <c r="AD76" i="4"/>
  <c r="AD75" i="4"/>
  <c r="AG69" i="4"/>
  <c r="AG66" i="4"/>
  <c r="AG65" i="4"/>
  <c r="AG61" i="4"/>
  <c r="AD56" i="4"/>
  <c r="AG55" i="4"/>
  <c r="AD44" i="4"/>
  <c r="AD35" i="4"/>
  <c r="AG33" i="4"/>
  <c r="AG71" i="3"/>
  <c r="AD69" i="3"/>
  <c r="AD65" i="3"/>
  <c r="AD63" i="3"/>
  <c r="AD57" i="3"/>
  <c r="AG55" i="3"/>
  <c r="AG54" i="3"/>
  <c r="AD50" i="3"/>
  <c r="AD49" i="3"/>
  <c r="AD48" i="3"/>
  <c r="AD47" i="3"/>
  <c r="AD46" i="3"/>
  <c r="AD31" i="3"/>
  <c r="Z15" i="3"/>
  <c r="X11" i="3"/>
  <c r="Z8" i="3"/>
  <c r="X6" i="3"/>
  <c r="Z5" i="3"/>
  <c r="Y5" i="3"/>
  <c r="X5" i="3"/>
  <c r="Z4" i="3"/>
  <c r="Y4" i="3"/>
  <c r="X4" i="3"/>
  <c r="W4" i="3"/>
  <c r="AG70" i="3"/>
  <c r="AD62" i="3"/>
  <c r="AD61" i="3"/>
  <c r="AG60" i="3"/>
  <c r="AD55" i="3"/>
  <c r="AG42" i="3"/>
  <c r="AG35" i="3"/>
  <c r="AG33" i="3"/>
  <c r="Y16" i="3"/>
  <c r="Z7" i="3"/>
  <c r="AD71" i="3"/>
  <c r="AG68" i="3"/>
  <c r="AG66" i="3"/>
  <c r="AD66" i="3"/>
  <c r="AG44" i="3"/>
  <c r="AD33" i="3"/>
  <c r="AD32" i="3"/>
  <c r="Y15" i="3"/>
  <c r="Y8" i="3"/>
  <c r="X7" i="3"/>
  <c r="AG58" i="3"/>
  <c r="AG56" i="3"/>
  <c r="AG52" i="3"/>
  <c r="AG51" i="3"/>
  <c r="AG46" i="3"/>
  <c r="AG45" i="3"/>
  <c r="AG40" i="3"/>
  <c r="AD39" i="3"/>
  <c r="Y9" i="3"/>
  <c r="AD53" i="3"/>
  <c r="AG41" i="3"/>
  <c r="AD40" i="3"/>
  <c r="AD34" i="3"/>
  <c r="Y12" i="3"/>
  <c r="Y11" i="3"/>
  <c r="Z10" i="3"/>
  <c r="Z9" i="3"/>
  <c r="X9" i="3"/>
  <c r="AD70" i="3"/>
  <c r="AD68" i="3"/>
  <c r="AG67" i="3"/>
  <c r="AD64" i="3"/>
  <c r="AG59" i="3"/>
  <c r="AG57" i="3"/>
  <c r="AG49" i="3"/>
  <c r="AG43" i="3"/>
  <c r="AD42" i="3"/>
  <c r="AD41" i="3"/>
  <c r="AG39" i="3"/>
  <c r="AG36" i="3"/>
  <c r="Y14" i="3"/>
  <c r="Z12" i="3"/>
  <c r="X8" i="3"/>
  <c r="Y7" i="3"/>
  <c r="AG69" i="3"/>
  <c r="AG63" i="3"/>
  <c r="AD59" i="3"/>
  <c r="AD56" i="3"/>
  <c r="AG50" i="3"/>
  <c r="AD44" i="3"/>
  <c r="AD43" i="3"/>
  <c r="AG38" i="3"/>
  <c r="AD36" i="3"/>
  <c r="AG34" i="3"/>
  <c r="AG31" i="3"/>
  <c r="X15" i="3"/>
  <c r="Z14" i="3"/>
  <c r="Z13" i="3"/>
  <c r="X12" i="3"/>
  <c r="Y10" i="3"/>
  <c r="AD67" i="3"/>
  <c r="AG65" i="3"/>
  <c r="AG64" i="3"/>
  <c r="AG62" i="3"/>
  <c r="AG61" i="3"/>
  <c r="AD51" i="3"/>
  <c r="AD45" i="3"/>
  <c r="AD38" i="3"/>
  <c r="AG32" i="3"/>
  <c r="Z16" i="3"/>
  <c r="X14" i="3"/>
  <c r="X13" i="3"/>
  <c r="Z11" i="3"/>
  <c r="AD58" i="3"/>
  <c r="AD54" i="3"/>
  <c r="AG37" i="3"/>
  <c r="AD60" i="3"/>
  <c r="AG53" i="3"/>
  <c r="AD52" i="3"/>
  <c r="AG48" i="3"/>
  <c r="AG47" i="3"/>
  <c r="AD37" i="3"/>
  <c r="AD35" i="3"/>
  <c r="X16" i="3"/>
  <c r="Y13" i="3"/>
  <c r="X10" i="3"/>
  <c r="AG71" i="2"/>
  <c r="AG69" i="2"/>
  <c r="AD68" i="2"/>
  <c r="AG67" i="2"/>
  <c r="AD67" i="2"/>
  <c r="AG64" i="2"/>
  <c r="AG62" i="2"/>
  <c r="AG61" i="2"/>
  <c r="AD61" i="2"/>
  <c r="AD60" i="2"/>
  <c r="AD59" i="2"/>
  <c r="AD58" i="2"/>
  <c r="AG55" i="2"/>
  <c r="AD51" i="2"/>
  <c r="AG49" i="2"/>
  <c r="AD43" i="2"/>
  <c r="AG40" i="2"/>
  <c r="AD38" i="2"/>
  <c r="AD35" i="2"/>
  <c r="AD34" i="2"/>
  <c r="AD32" i="2"/>
  <c r="AI31" i="2"/>
  <c r="X8" i="2"/>
  <c r="Z7" i="2"/>
  <c r="Y7" i="2"/>
  <c r="X7" i="2"/>
  <c r="Z6" i="2"/>
  <c r="Y6" i="2"/>
  <c r="X6" i="2"/>
  <c r="Z5" i="2"/>
  <c r="Y5" i="2"/>
  <c r="X5" i="2"/>
  <c r="Z4" i="2"/>
  <c r="Y4" i="2"/>
  <c r="X4" i="2"/>
  <c r="AG63" i="2"/>
  <c r="AD39" i="2"/>
  <c r="AG32" i="2"/>
  <c r="AD31" i="2"/>
  <c r="Y14" i="2"/>
  <c r="Z13" i="2"/>
  <c r="Y13" i="2"/>
  <c r="X13" i="2"/>
  <c r="Z11" i="2"/>
  <c r="X9" i="2"/>
  <c r="AD71" i="2"/>
  <c r="AG58" i="2"/>
  <c r="AG57" i="2"/>
  <c r="AG56" i="2"/>
  <c r="AD56" i="2"/>
  <c r="AG48" i="2"/>
  <c r="AG41" i="2"/>
  <c r="AG38" i="2"/>
  <c r="AG37" i="2"/>
  <c r="AG36" i="2"/>
  <c r="AJ32" i="2"/>
  <c r="AG70" i="2"/>
  <c r="AG68" i="2"/>
  <c r="AG53" i="2"/>
  <c r="AG52" i="2"/>
  <c r="AG51" i="2"/>
  <c r="AD50" i="2"/>
  <c r="AG46" i="2"/>
  <c r="AJ44" i="2"/>
  <c r="AG65" i="2"/>
  <c r="AD64" i="2"/>
  <c r="AD63" i="2"/>
  <c r="AG60" i="2"/>
  <c r="AG54" i="2"/>
  <c r="AG47" i="2"/>
  <c r="AD46" i="2"/>
  <c r="AI44" i="2"/>
  <c r="AD55" i="2"/>
  <c r="AD37" i="2"/>
  <c r="AD36" i="2"/>
  <c r="AJ31" i="2"/>
  <c r="AD54" i="2"/>
  <c r="AG45" i="2"/>
  <c r="AG44" i="2"/>
  <c r="AJ43" i="2"/>
  <c r="AD70" i="2"/>
  <c r="AD69" i="2"/>
  <c r="AG66" i="2"/>
  <c r="AD66" i="2"/>
  <c r="AD62" i="2"/>
  <c r="AG59" i="2"/>
  <c r="AG50" i="2"/>
  <c r="AD49" i="2"/>
  <c r="AD48" i="2"/>
  <c r="AD47" i="2"/>
  <c r="AD44" i="2"/>
  <c r="AI43" i="2"/>
  <c r="AD65" i="2"/>
  <c r="AD57" i="2"/>
  <c r="AD53" i="2"/>
  <c r="AD52" i="2"/>
  <c r="AG43" i="2"/>
  <c r="AD42" i="2"/>
  <c r="AD41" i="2"/>
  <c r="AD40" i="2"/>
  <c r="AG39" i="2"/>
  <c r="AG34" i="2"/>
  <c r="AG33" i="2"/>
  <c r="AI32" i="2"/>
  <c r="AD45" i="2"/>
  <c r="AG42" i="2"/>
  <c r="AG35" i="2"/>
  <c r="AD33" i="2"/>
  <c r="AG31" i="2"/>
  <c r="Z14" i="2"/>
  <c r="X14" i="2"/>
  <c r="Z12" i="2"/>
  <c r="Y12" i="2"/>
  <c r="X12" i="2"/>
  <c r="Y11" i="2"/>
  <c r="X11" i="2"/>
  <c r="Z10" i="2"/>
  <c r="Y10" i="2"/>
  <c r="X10" i="2"/>
  <c r="Z9" i="2"/>
  <c r="Y9" i="2"/>
  <c r="Z202" i="1"/>
  <c r="Z200" i="1"/>
  <c r="Y163" i="1"/>
  <c r="AA162" i="1"/>
  <c r="AA158" i="1"/>
  <c r="AA156" i="1"/>
  <c r="Z28" i="1"/>
  <c r="AA27" i="1"/>
  <c r="AA25" i="1"/>
  <c r="AI24" i="1"/>
  <c r="Z24" i="1"/>
  <c r="X23" i="1"/>
  <c r="AA22" i="1"/>
  <c r="AH21" i="1"/>
  <c r="Z21" i="1"/>
  <c r="AH20" i="1"/>
  <c r="AA18" i="1"/>
  <c r="AI17" i="1"/>
  <c r="AI15" i="1"/>
  <c r="AA15" i="1"/>
  <c r="AH12" i="1"/>
  <c r="Z12" i="1"/>
  <c r="AH11" i="1"/>
  <c r="AA11" i="1"/>
  <c r="AI9" i="1"/>
  <c r="Y9" i="1"/>
  <c r="AI6" i="1"/>
  <c r="Y6" i="1"/>
  <c r="AA229" i="1"/>
  <c r="AA219" i="1"/>
  <c r="AA215" i="1"/>
  <c r="AA205" i="1"/>
  <c r="Z164" i="1"/>
  <c r="Z159" i="1"/>
  <c r="X159" i="1"/>
  <c r="Z158" i="1"/>
  <c r="AA157" i="1"/>
  <c r="Y157" i="1"/>
  <c r="Y28" i="1"/>
  <c r="Y26" i="1"/>
  <c r="X25" i="1"/>
  <c r="AA24" i="1"/>
  <c r="X24" i="1"/>
  <c r="AI21" i="1"/>
  <c r="Y21" i="1"/>
  <c r="Y19" i="1"/>
  <c r="AH18" i="1"/>
  <c r="X18" i="1"/>
  <c r="AH15" i="1"/>
  <c r="X13" i="1"/>
  <c r="Y11" i="1"/>
  <c r="Z10" i="1"/>
  <c r="AI8" i="1"/>
  <c r="AA8" i="1"/>
  <c r="AH5" i="1"/>
  <c r="AA199" i="1"/>
  <c r="Z199" i="1"/>
  <c r="Y199" i="1"/>
  <c r="X199" i="1"/>
  <c r="AA164" i="1"/>
  <c r="X164" i="1"/>
  <c r="AA163" i="1"/>
  <c r="AA159" i="1"/>
  <c r="Y159" i="1"/>
  <c r="Z157" i="1"/>
  <c r="AA29" i="1"/>
  <c r="Y27" i="1"/>
  <c r="Z156" i="1"/>
  <c r="Y156" i="1"/>
  <c r="X156" i="1"/>
  <c r="Z29" i="1"/>
  <c r="AA28" i="1"/>
  <c r="Y113" i="1"/>
  <c r="X113" i="1"/>
  <c r="AA64" i="1"/>
  <c r="Z64" i="1"/>
  <c r="AA59" i="1"/>
  <c r="Z59" i="1"/>
  <c r="Y59" i="1"/>
  <c r="X59" i="1"/>
  <c r="AA56" i="1"/>
  <c r="Z56" i="1"/>
  <c r="Y56" i="1"/>
  <c r="AA55" i="1"/>
  <c r="Z55" i="1"/>
  <c r="AA53" i="1"/>
  <c r="Z53" i="1"/>
  <c r="Y53" i="1"/>
  <c r="AA52" i="1"/>
  <c r="Z52" i="1"/>
  <c r="Y52" i="1"/>
  <c r="AA51" i="1"/>
  <c r="Z51" i="1"/>
  <c r="AA50" i="1"/>
  <c r="Z50" i="1"/>
  <c r="Y50" i="1"/>
  <c r="X50" i="1"/>
  <c r="AA49" i="1"/>
  <c r="Z49" i="1"/>
  <c r="Y49" i="1"/>
  <c r="AA46" i="1"/>
  <c r="Z46" i="1"/>
  <c r="AA30" i="1"/>
  <c r="X26" i="1"/>
  <c r="Y24" i="1"/>
  <c r="AH23" i="1"/>
  <c r="Z23" i="1"/>
  <c r="Z22" i="1"/>
  <c r="AH19" i="1"/>
  <c r="Z19" i="1"/>
  <c r="Z18" i="1"/>
  <c r="AH17" i="1"/>
  <c r="Y17" i="1"/>
  <c r="Y15" i="1"/>
  <c r="AH14" i="1"/>
  <c r="AH13" i="1"/>
  <c r="AA13" i="1"/>
  <c r="AA7" i="1"/>
  <c r="X70" i="1"/>
  <c r="AA57" i="1"/>
  <c r="Z57" i="1"/>
  <c r="AA54" i="1"/>
  <c r="Z54" i="1"/>
  <c r="AA48" i="1"/>
  <c r="Z48" i="1"/>
  <c r="Y48" i="1"/>
  <c r="AA47" i="1"/>
  <c r="Z47" i="1"/>
  <c r="AG31" i="1"/>
  <c r="X29" i="1"/>
  <c r="AH33" i="1"/>
  <c r="AI32" i="1"/>
  <c r="AJ32" i="1" s="1"/>
  <c r="AG32" i="1"/>
  <c r="AJ31" i="1"/>
  <c r="AA17" i="1"/>
  <c r="AI12" i="1"/>
  <c r="AI11" i="1"/>
  <c r="Z11" i="1"/>
  <c r="Z5" i="1"/>
  <c r="AI16" i="1"/>
  <c r="AA16" i="1"/>
  <c r="Z15" i="1"/>
  <c r="Z13" i="1"/>
  <c r="AA12" i="1"/>
  <c r="X11" i="1"/>
  <c r="AA9" i="1"/>
  <c r="Z6" i="1"/>
  <c r="AA285" i="1"/>
  <c r="Z284" i="1"/>
  <c r="X284" i="1"/>
  <c r="Z27" i="1"/>
  <c r="AA26" i="1"/>
  <c r="AI25" i="1"/>
  <c r="Y25" i="1"/>
  <c r="AI23" i="1"/>
  <c r="AH22" i="1"/>
  <c r="AA21" i="1"/>
  <c r="AI18" i="1"/>
  <c r="Y18" i="1"/>
  <c r="X17" i="1"/>
  <c r="AI14" i="1"/>
  <c r="AA14" i="1"/>
  <c r="AI13" i="1"/>
  <c r="AI10" i="1"/>
  <c r="AH8" i="1"/>
  <c r="AH7" i="1"/>
  <c r="Z285" i="1"/>
  <c r="Y285" i="1"/>
  <c r="AA284" i="1"/>
  <c r="Y284" i="1"/>
  <c r="AA283" i="1"/>
  <c r="Z283" i="1"/>
  <c r="Y283" i="1"/>
  <c r="Z211" i="1"/>
  <c r="AA203" i="1"/>
  <c r="AA202" i="1"/>
  <c r="Y162" i="1"/>
  <c r="AA160" i="1"/>
  <c r="Y23" i="1"/>
  <c r="X22" i="1"/>
  <c r="AH16" i="1"/>
  <c r="Z8" i="1"/>
  <c r="Z7" i="1"/>
  <c r="AH6" i="1"/>
  <c r="AI5" i="1"/>
  <c r="AA5" i="1"/>
  <c r="X285" i="1"/>
  <c r="X283" i="1"/>
  <c r="AA282" i="1"/>
  <c r="Z282" i="1"/>
  <c r="Y282" i="1"/>
  <c r="X282" i="1"/>
  <c r="AA232" i="1"/>
  <c r="Z232" i="1"/>
  <c r="Y232" i="1"/>
  <c r="X232" i="1"/>
  <c r="AA230" i="1"/>
  <c r="Z230" i="1"/>
  <c r="AA226" i="1"/>
  <c r="Z226" i="1"/>
  <c r="Y226" i="1"/>
  <c r="X226" i="1"/>
  <c r="AA222" i="1"/>
  <c r="Z222" i="1"/>
  <c r="Y222" i="1"/>
  <c r="X222" i="1"/>
  <c r="AA218" i="1"/>
  <c r="Z218" i="1"/>
  <c r="Y218" i="1"/>
  <c r="X218" i="1"/>
  <c r="AA216" i="1"/>
  <c r="Z216" i="1"/>
  <c r="Y216" i="1"/>
  <c r="X216" i="1"/>
  <c r="AA214" i="1"/>
  <c r="Z214" i="1"/>
  <c r="Y214" i="1"/>
  <c r="X214" i="1"/>
  <c r="AA212" i="1"/>
  <c r="AA211" i="1"/>
  <c r="Y211" i="1"/>
  <c r="X211" i="1"/>
  <c r="AA209" i="1"/>
  <c r="Z209" i="1"/>
  <c r="Y209" i="1"/>
  <c r="AA206" i="1"/>
  <c r="Z206" i="1"/>
  <c r="Y206" i="1"/>
  <c r="X206" i="1"/>
  <c r="Z203" i="1"/>
  <c r="Y203" i="1"/>
  <c r="Y202" i="1"/>
  <c r="AA200" i="1"/>
  <c r="Y200" i="1"/>
  <c r="Y164" i="1"/>
  <c r="Z163" i="1"/>
  <c r="Z162" i="1"/>
  <c r="X162" i="1"/>
  <c r="AA161" i="1"/>
  <c r="Z160" i="1"/>
  <c r="Y29" i="1"/>
  <c r="Z26" i="1"/>
  <c r="AH25" i="1"/>
  <c r="Z25" i="1"/>
  <c r="AH24" i="1"/>
  <c r="AA23" i="1"/>
  <c r="AI22" i="1"/>
  <c r="Y22" i="1"/>
  <c r="AI20" i="1"/>
  <c r="AI19" i="1"/>
  <c r="AA19" i="1"/>
  <c r="Z17" i="1"/>
  <c r="Y13" i="1"/>
  <c r="Y12" i="1"/>
  <c r="AH10" i="1"/>
  <c r="AA10" i="1"/>
  <c r="AH9" i="1"/>
  <c r="Z9" i="1"/>
  <c r="AI7" i="1"/>
  <c r="Y7" i="1"/>
  <c r="AA6" i="1"/>
  <c r="Q6" i="4" l="1"/>
  <c r="Q5" i="4"/>
  <c r="AJ4" i="4"/>
  <c r="Q4" i="4"/>
  <c r="AD27" i="4"/>
  <c r="AG27" i="4"/>
  <c r="AG27" i="3"/>
  <c r="AG4" i="3"/>
  <c r="AD27" i="3"/>
  <c r="AI4" i="3"/>
  <c r="AH4" i="3"/>
  <c r="AG4" i="2"/>
  <c r="AD27" i="2"/>
  <c r="AG27" i="2"/>
  <c r="AI4" i="2"/>
  <c r="AH4" i="2"/>
  <c r="AI33" i="1"/>
  <c r="AJ33" i="1" s="1"/>
  <c r="AH34" i="1"/>
  <c r="AF33" i="1"/>
  <c r="AG33" i="1" s="1"/>
  <c r="AG5" i="4" l="1"/>
  <c r="AI5" i="4"/>
  <c r="AH5" i="4"/>
  <c r="Q6" i="3"/>
  <c r="AJ4" i="3"/>
  <c r="Q4" i="3"/>
  <c r="AI5" i="3"/>
  <c r="AH5" i="3"/>
  <c r="Q5" i="3"/>
  <c r="Q6" i="2"/>
  <c r="AJ4" i="2"/>
  <c r="Q4" i="2"/>
  <c r="AI5" i="2"/>
  <c r="AH5" i="2"/>
  <c r="Q5" i="2"/>
  <c r="AI34" i="1"/>
  <c r="AJ34" i="1" s="1"/>
  <c r="AH35" i="1"/>
  <c r="AF34" i="1"/>
  <c r="AG34" i="1" s="1"/>
  <c r="AG5" i="3" l="1"/>
  <c r="AG5" i="2"/>
  <c r="AI35" i="1"/>
  <c r="AJ35" i="1" s="1"/>
  <c r="AH36" i="1"/>
  <c r="AF35" i="1"/>
  <c r="AG35" i="1" s="1"/>
  <c r="AI36" i="1" l="1"/>
  <c r="AJ36" i="1" s="1"/>
  <c r="AH37" i="1"/>
  <c r="AF36" i="1"/>
  <c r="AG36" i="1" s="1"/>
  <c r="AI37" i="1" l="1"/>
  <c r="AH38" i="1"/>
  <c r="AF37" i="1"/>
  <c r="AG37" i="1" s="1"/>
  <c r="AI38" i="1" l="1"/>
  <c r="AJ38" i="1" s="1"/>
  <c r="AH39" i="1"/>
  <c r="AF38" i="1"/>
  <c r="AG38" i="1" s="1"/>
  <c r="AJ37" i="1"/>
  <c r="AI39" i="1" l="1"/>
  <c r="AJ39" i="1" s="1"/>
  <c r="AH40" i="1"/>
  <c r="AF39" i="1"/>
  <c r="AG39" i="1" s="1"/>
  <c r="AI40" i="1" l="1"/>
  <c r="AJ40" i="1" s="1"/>
  <c r="AH41" i="1"/>
  <c r="AF40" i="1"/>
  <c r="AG40" i="1" s="1"/>
  <c r="AI41" i="1" l="1"/>
  <c r="AJ41" i="1" s="1"/>
  <c r="AH42" i="1"/>
  <c r="AF41" i="1"/>
  <c r="AG41" i="1" s="1"/>
  <c r="AI42" i="1" l="1"/>
  <c r="AJ42" i="1" s="1"/>
  <c r="AH43" i="1"/>
  <c r="AF42" i="1"/>
  <c r="AG42" i="1" s="1"/>
  <c r="AI43" i="1" l="1"/>
  <c r="AJ43" i="1" s="1"/>
  <c r="AH44" i="1"/>
  <c r="AF43" i="1"/>
  <c r="AG43" i="1" s="1"/>
  <c r="AI44" i="1" l="1"/>
  <c r="AJ44" i="1" s="1"/>
  <c r="AH45" i="1"/>
  <c r="AF44" i="1"/>
  <c r="AG44" i="1" s="1"/>
  <c r="AH46" i="1" l="1"/>
  <c r="AI45" i="1"/>
  <c r="AJ45" i="1" s="1"/>
  <c r="AF45" i="1"/>
  <c r="AG45" i="1" s="1"/>
  <c r="AI46" i="1" l="1"/>
  <c r="AJ46" i="1" s="1"/>
  <c r="AH47" i="1"/>
  <c r="AF46" i="1"/>
  <c r="AG46" i="1" s="1"/>
  <c r="AI47" i="1" l="1"/>
  <c r="AJ47" i="1" s="1"/>
  <c r="AH48" i="1"/>
  <c r="AF47" i="1"/>
  <c r="AG47" i="1" s="1"/>
  <c r="AI48" i="1" l="1"/>
  <c r="AJ48" i="1" s="1"/>
  <c r="AH49" i="1"/>
  <c r="AF48" i="1"/>
  <c r="AG48" i="1" s="1"/>
  <c r="AI49" i="1" l="1"/>
  <c r="AJ49" i="1" s="1"/>
  <c r="AH50" i="1"/>
  <c r="AF49" i="1"/>
  <c r="AG49" i="1" s="1"/>
  <c r="AH51" i="1" l="1"/>
  <c r="AF50" i="1"/>
  <c r="AG50" i="1" s="1"/>
  <c r="AI50" i="1"/>
  <c r="AJ50" i="1" s="1"/>
  <c r="AI51" i="1" l="1"/>
  <c r="AJ51" i="1" s="1"/>
  <c r="AH52" i="1"/>
  <c r="AF51" i="1"/>
  <c r="AG51" i="1" s="1"/>
  <c r="AI52" i="1" l="1"/>
  <c r="AJ52" i="1" s="1"/>
  <c r="AH53" i="1"/>
  <c r="AF52" i="1"/>
  <c r="AG52" i="1" s="1"/>
  <c r="AF53" i="1" l="1"/>
  <c r="AG53" i="1" s="1"/>
  <c r="AI53" i="1"/>
  <c r="AJ53" i="1" s="1"/>
  <c r="AH54" i="1"/>
  <c r="AI54" i="1" l="1"/>
  <c r="AJ54" i="1" s="1"/>
  <c r="AH55" i="1"/>
  <c r="AF54" i="1"/>
  <c r="AG54" i="1" s="1"/>
  <c r="AI55" i="1" l="1"/>
  <c r="AJ55" i="1" s="1"/>
  <c r="AH56" i="1"/>
  <c r="AF55" i="1"/>
  <c r="AG55" i="1" s="1"/>
  <c r="AF56" i="1" l="1"/>
  <c r="AG56" i="1" s="1"/>
  <c r="AI56" i="1"/>
  <c r="AJ56" i="1" s="1"/>
  <c r="AH57" i="1"/>
  <c r="AH58" i="1" l="1"/>
  <c r="AF57" i="1"/>
  <c r="AG57" i="1" s="1"/>
  <c r="AI57" i="1"/>
  <c r="AJ57" i="1" s="1"/>
  <c r="AI58" i="1" l="1"/>
  <c r="AJ58" i="1" s="1"/>
  <c r="AH59" i="1"/>
  <c r="AF58" i="1"/>
  <c r="AG58" i="1" s="1"/>
  <c r="AI59" i="1" l="1"/>
  <c r="AJ59" i="1" s="1"/>
  <c r="AH60" i="1"/>
  <c r="AF59" i="1"/>
  <c r="AG59" i="1" s="1"/>
  <c r="AF60" i="1" l="1"/>
  <c r="AG60" i="1" s="1"/>
  <c r="AI60" i="1"/>
  <c r="AJ60" i="1" s="1"/>
  <c r="AH61" i="1"/>
  <c r="AI61" i="1" l="1"/>
  <c r="AJ61" i="1" s="1"/>
  <c r="AH62" i="1"/>
  <c r="AF61" i="1"/>
  <c r="AG61" i="1" s="1"/>
  <c r="AI62" i="1" l="1"/>
  <c r="AJ62" i="1" s="1"/>
  <c r="AH63" i="1"/>
  <c r="AF62" i="1"/>
  <c r="AG62" i="1" s="1"/>
  <c r="AI63" i="1" l="1"/>
  <c r="AJ63" i="1" s="1"/>
  <c r="AJ27" i="1" s="1"/>
  <c r="AF63" i="1"/>
  <c r="AG63" i="1" s="1"/>
  <c r="AG27" i="1" s="1"/>
</calcChain>
</file>

<file path=xl/sharedStrings.xml><?xml version="1.0" encoding="utf-8"?>
<sst xmlns="http://schemas.openxmlformats.org/spreadsheetml/2006/main" count="197" uniqueCount="82">
  <si>
    <t>Точность расположения устьев фактических скважин относительно проектных</t>
  </si>
  <si>
    <t>XY accuracy</t>
  </si>
  <si>
    <t>Проектные данные</t>
  </si>
  <si>
    <t>Фактические данные</t>
  </si>
  <si>
    <t>Количество скважин, шт</t>
  </si>
  <si>
    <t>Погрешность, м</t>
  </si>
  <si>
    <t>In Spec</t>
  </si>
  <si>
    <t>Out of Spec</t>
  </si>
  <si>
    <t>Столбец1</t>
  </si>
  <si>
    <t>№ скв.</t>
  </si>
  <si>
    <t>Устье X</t>
  </si>
  <si>
    <t>Устье Y</t>
  </si>
  <si>
    <t>Устье Z</t>
  </si>
  <si>
    <t>Ввод данных</t>
  </si>
  <si>
    <t>Максимальное отклонение, м</t>
  </si>
  <si>
    <t>% скважин по проекту</t>
  </si>
  <si>
    <t>X</t>
  </si>
  <si>
    <t>Y</t>
  </si>
  <si>
    <t>XY Accuracy</t>
  </si>
  <si>
    <t>Tolerance</t>
  </si>
  <si>
    <t>Accuracy circle data - DO NOT EDIT</t>
  </si>
  <si>
    <t>Среднее отклонение, м</t>
  </si>
  <si>
    <t>% скважин не по проекту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</si>
  <si>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</si>
  <si>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</si>
  <si>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</si>
  <si>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</si>
  <si>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</si>
  <si>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</si>
  <si>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</si>
  <si>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</si>
  <si>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</si>
  <si>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</si>
  <si>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</si>
  <si>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</si>
  <si>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</si>
  <si>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-</t>
  </si>
  <si>
    <t>Below Tolerance</t>
  </si>
  <si>
    <t>Above Tolerance</t>
  </si>
  <si>
    <t>Distance</t>
  </si>
  <si>
    <t>Count</t>
  </si>
  <si>
    <t>Глубина фактических скважин относительно проектных</t>
  </si>
  <si>
    <t>Недобуренные</t>
  </si>
  <si>
    <t>Перебуренные</t>
  </si>
  <si>
    <t>Проектные</t>
  </si>
  <si>
    <t>Глубина скважин, м</t>
  </si>
  <si>
    <t>Deviation</t>
  </si>
  <si>
    <t>Underdrilled</t>
  </si>
  <si>
    <t>Overdrilled</t>
  </si>
  <si>
    <t>In Spec.</t>
  </si>
  <si>
    <t>Design</t>
  </si>
  <si>
    <t>Количество скважин по проекту, шт</t>
  </si>
  <si>
    <t>Total</t>
  </si>
  <si>
    <t>Минимальное отклонение, м</t>
  </si>
  <si>
    <t>Количество перебуренных скважин, шт</t>
  </si>
  <si>
    <t>%</t>
  </si>
  <si>
    <t>Количество недобуренных скважин, шт</t>
  </si>
  <si>
    <t>Фактическая масса ВВ в скважинах относительно проектной</t>
  </si>
  <si>
    <t>Недозаряженные</t>
  </si>
  <si>
    <t>Перезаряженные</t>
  </si>
  <si>
    <t>Масса ВВ в скв. без ПБ, кг</t>
  </si>
  <si>
    <t>Погрешность, кг</t>
  </si>
  <si>
    <t>Undercharged</t>
  </si>
  <si>
    <t>Overchared</t>
  </si>
  <si>
    <t>Overcharged</t>
  </si>
  <si>
    <t>Максимальный перелив, кг</t>
  </si>
  <si>
    <t>Максимальный недолив, кг</t>
  </si>
  <si>
    <t>Количество перезаряженных скважин, шт</t>
  </si>
  <si>
    <t>Количество недозаряженных скважин, шт</t>
  </si>
  <si>
    <t>Confidence Level(95.0%)</t>
  </si>
  <si>
    <t>Фактическая длина недозаряда в скважинах относительно проектной</t>
  </si>
  <si>
    <t>Длина недозаряда &lt; проектного</t>
  </si>
  <si>
    <t>Длина недозаряда &gt; проектного</t>
  </si>
  <si>
    <t>Проектная</t>
  </si>
  <si>
    <t>Длина недозаряда, м</t>
  </si>
  <si>
    <t>Understemmed</t>
  </si>
  <si>
    <t>Overstemmed</t>
  </si>
  <si>
    <t>Максимальное отклонение (недолив), м</t>
  </si>
  <si>
    <t>Lнед. меньше проектного</t>
  </si>
  <si>
    <t>Минимальное отклонение (перелив), м</t>
  </si>
  <si>
    <t>Lнед. больше проектного</t>
  </si>
  <si>
    <t>Lнед. проектная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</si>
</sst>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2"/>
      <color theme="1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0"/>
      <color theme="0"/>
      <name val="Arial"/>
      <family val="2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sz val="36"/>
      <color theme="1"/>
      <name val="Times New Roman"/>
      <family val="1"/>
      <charset val="204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rgb="FFFF0000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9"/>
      <name val="Arial"/>
      <family val="2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99CC"/>
      </left>
      <right style="thin">
        <color rgb="FF0099CC"/>
      </right>
      <top style="thin">
        <color rgb="FF0099CC"/>
      </top>
      <bottom style="thin">
        <color rgb="FF0099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99CC"/>
      </left>
      <right/>
      <top style="thin">
        <color rgb="FF0099CC"/>
      </top>
      <bottom style="thin">
        <color rgb="FF006386"/>
      </bottom>
      <diagonal/>
    </border>
    <border>
      <left/>
      <right/>
      <top style="thin">
        <color rgb="FF0099CC"/>
      </top>
      <bottom style="thin">
        <color rgb="FF006386"/>
      </bottom>
      <diagonal/>
    </border>
    <border>
      <left/>
      <right style="thin">
        <color rgb="FF0099CC"/>
      </right>
      <top style="thin">
        <color rgb="FF0099CC"/>
      </top>
      <bottom style="thin">
        <color rgb="FF00638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99CC"/>
      </left>
      <right/>
      <top style="thin">
        <color rgb="FF006386"/>
      </top>
      <bottom style="thin">
        <color rgb="FF006386"/>
      </bottom>
      <diagonal/>
    </border>
    <border>
      <left/>
      <right style="thin">
        <color rgb="FF006386"/>
      </right>
      <top style="thin">
        <color rgb="FF006386"/>
      </top>
      <bottom style="thin">
        <color rgb="FF006386"/>
      </bottom>
      <diagonal/>
    </border>
    <border>
      <left style="thin">
        <color rgb="FF006386"/>
      </left>
      <right/>
      <top style="thin">
        <color rgb="FF006386"/>
      </top>
      <bottom style="thin">
        <color rgb="FF006386"/>
      </bottom>
      <diagonal/>
    </border>
    <border>
      <left/>
      <right style="thin">
        <color rgb="FF0099CC"/>
      </right>
      <top style="thin">
        <color rgb="FF006386"/>
      </top>
      <bottom style="thin">
        <color rgb="FF006386"/>
      </bottom>
      <diagonal/>
    </border>
    <border>
      <left/>
      <right style="thin">
        <color rgb="FF006386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99CC"/>
      </left>
      <right style="thin">
        <color rgb="FF006386"/>
      </right>
      <top style="thin">
        <color rgb="FF006386"/>
      </top>
      <bottom style="thin">
        <color rgb="FF0099CC"/>
      </bottom>
      <diagonal/>
    </border>
    <border>
      <left style="thin">
        <color rgb="FF006386"/>
      </left>
      <right style="thin">
        <color rgb="FF006386"/>
      </right>
      <top style="thin">
        <color rgb="FF006386"/>
      </top>
      <bottom style="thin">
        <color rgb="FF0099CC"/>
      </bottom>
      <diagonal/>
    </border>
    <border>
      <left/>
      <right style="thin">
        <color rgb="FF006386"/>
      </right>
      <top style="thin">
        <color rgb="FF006386"/>
      </top>
      <bottom style="thin">
        <color rgb="FF0099CC"/>
      </bottom>
      <diagonal/>
    </border>
    <border>
      <left style="thin">
        <color rgb="FF006386"/>
      </left>
      <right style="thin">
        <color rgb="FF0099CC"/>
      </right>
      <top style="thin">
        <color rgb="FF006386"/>
      </top>
      <bottom style="thin">
        <color rgb="FF0099CC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99CC"/>
      </left>
      <right style="thin">
        <color rgb="FF006386"/>
      </right>
      <top style="thin">
        <color rgb="FF006386"/>
      </top>
      <bottom/>
      <diagonal/>
    </border>
    <border>
      <left style="thin">
        <color rgb="FF006386"/>
      </left>
      <right style="thin">
        <color rgb="FF0099CC"/>
      </right>
      <top style="thin">
        <color rgb="FF006386"/>
      </top>
      <bottom/>
      <diagonal/>
    </border>
    <border>
      <left style="thin">
        <color rgb="FF8A8D91"/>
      </left>
      <right style="thin">
        <color rgb="FF8A8D91"/>
      </right>
      <top style="thin">
        <color rgb="FF8A8D91"/>
      </top>
      <bottom style="thin">
        <color rgb="FF8A8D91"/>
      </bottom>
      <diagonal/>
    </border>
    <border>
      <left style="thin">
        <color rgb="FF8A8D91"/>
      </left>
      <right style="thin">
        <color rgb="FF8A8D9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99CC"/>
      </left>
      <right style="thin">
        <color rgb="FF006386"/>
      </right>
      <top style="thin">
        <color rgb="FF0099CC"/>
      </top>
      <bottom style="thin">
        <color rgb="FF006386"/>
      </bottom>
      <diagonal/>
    </border>
    <border>
      <left style="thin">
        <color rgb="FF006386"/>
      </left>
      <right style="thin">
        <color rgb="FF0099CC"/>
      </right>
      <top style="thin">
        <color rgb="FF0099CC"/>
      </top>
      <bottom style="thin">
        <color rgb="FF006386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4" fillId="4" borderId="2">
      <alignment horizontal="center" vertical="center"/>
    </xf>
    <xf numFmtId="9" fontId="9" fillId="0" borderId="0" applyFont="0" applyFill="0" applyBorder="0" applyAlignment="0" applyProtection="0"/>
    <xf numFmtId="0" fontId="9" fillId="0" borderId="0"/>
    <xf numFmtId="0" fontId="9" fillId="0" borderId="0" applyAlignment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0" fontId="5" fillId="0" borderId="0" xfId="2" applyFont="1" applyFill="1" applyBorder="1" applyAlignment="1">
      <alignment vertical="center"/>
    </xf>
    <xf numFmtId="0" fontId="5" fillId="3" borderId="3" xfId="2" applyFont="1" applyFill="1" applyBorder="1" applyAlignment="1">
      <alignment horizontal="center" vertical="center" wrapText="1"/>
    </xf>
    <xf numFmtId="0" fontId="5" fillId="5" borderId="4" xfId="2" applyFont="1" applyFill="1" applyBorder="1">
      <alignment horizontal="center" vertical="center"/>
    </xf>
    <xf numFmtId="0" fontId="5" fillId="5" borderId="5" xfId="2" applyFont="1" applyFill="1" applyBorder="1">
      <alignment horizontal="center" vertical="center"/>
    </xf>
    <xf numFmtId="0" fontId="5" fillId="5" borderId="6" xfId="2" applyFont="1" applyFill="1" applyBorder="1">
      <alignment horizontal="center" vertical="center"/>
    </xf>
    <xf numFmtId="0" fontId="6" fillId="5" borderId="0" xfId="0" applyFont="1" applyFill="1"/>
    <xf numFmtId="0" fontId="5" fillId="6" borderId="7" xfId="2" applyFont="1" applyFill="1" applyBorder="1">
      <alignment horizontal="center" vertical="center"/>
    </xf>
    <xf numFmtId="0" fontId="5" fillId="6" borderId="8" xfId="2" applyFont="1" applyFill="1" applyBorder="1">
      <alignment horizontal="center" vertical="center"/>
    </xf>
    <xf numFmtId="0" fontId="5" fillId="6" borderId="9" xfId="2" applyFont="1" applyFill="1" applyBorder="1">
      <alignment horizontal="center" vertical="center"/>
    </xf>
    <xf numFmtId="0" fontId="5" fillId="6" borderId="10" xfId="2" applyFont="1" applyFill="1" applyBorder="1">
      <alignment horizontal="center" vertical="center"/>
    </xf>
    <xf numFmtId="0" fontId="5" fillId="6" borderId="11" xfId="2" applyFont="1" applyFill="1" applyBorder="1">
      <alignment horizontal="center" vertical="center"/>
    </xf>
    <xf numFmtId="0" fontId="5" fillId="6" borderId="12" xfId="2" applyFont="1" applyFill="1" applyBorder="1">
      <alignment horizontal="center" vertical="center"/>
    </xf>
    <xf numFmtId="0" fontId="6" fillId="3" borderId="3" xfId="0" applyFont="1" applyFill="1" applyBorder="1" applyAlignment="1">
      <alignment horizontal="left"/>
    </xf>
    <xf numFmtId="1" fontId="5" fillId="3" borderId="3" xfId="0" applyNumberFormat="1" applyFont="1" applyFill="1" applyBorder="1" applyAlignment="1">
      <alignment horizontal="right"/>
    </xf>
    <xf numFmtId="0" fontId="6" fillId="3" borderId="0" xfId="0" applyFont="1" applyFill="1"/>
    <xf numFmtId="164" fontId="5" fillId="3" borderId="3" xfId="0" applyNumberFormat="1" applyFont="1" applyFill="1" applyBorder="1" applyAlignment="1">
      <alignment horizontal="right"/>
    </xf>
    <xf numFmtId="0" fontId="5" fillId="5" borderId="13" xfId="2" applyFont="1" applyFill="1" applyBorder="1">
      <alignment horizontal="center" vertical="center"/>
    </xf>
    <xf numFmtId="0" fontId="5" fillId="5" borderId="14" xfId="2" applyFont="1" applyFill="1" applyBorder="1">
      <alignment horizontal="center" vertical="center"/>
    </xf>
    <xf numFmtId="0" fontId="5" fillId="5" borderId="15" xfId="2" applyFont="1" applyFill="1" applyBorder="1">
      <alignment horizontal="center" vertical="center"/>
    </xf>
    <xf numFmtId="0" fontId="5" fillId="5" borderId="16" xfId="2" applyFont="1" applyFill="1" applyBorder="1">
      <alignment horizontal="center" vertical="center"/>
    </xf>
    <xf numFmtId="0" fontId="5" fillId="5" borderId="17" xfId="2" applyFont="1" applyFill="1" applyBorder="1" applyAlignment="1">
      <alignment vertical="center"/>
    </xf>
    <xf numFmtId="0" fontId="7" fillId="0" borderId="11" xfId="0" applyFont="1" applyBorder="1" applyAlignment="1">
      <alignment horizontal="centerContinuous"/>
    </xf>
    <xf numFmtId="0" fontId="5" fillId="6" borderId="18" xfId="2" applyFont="1" applyFill="1" applyBorder="1" applyAlignment="1">
      <alignment horizontal="center" vertical="center" wrapText="1"/>
    </xf>
    <xf numFmtId="0" fontId="5" fillId="6" borderId="19" xfId="2" applyFont="1" applyFill="1" applyBorder="1" applyAlignment="1">
      <alignment horizontal="center" vertical="center" wrapText="1"/>
    </xf>
    <xf numFmtId="0" fontId="5" fillId="6" borderId="20" xfId="2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textRotation="90"/>
    </xf>
    <xf numFmtId="165" fontId="10" fillId="3" borderId="3" xfId="3" applyNumberFormat="1" applyFont="1" applyFill="1" applyBorder="1" applyAlignment="1">
      <alignment horizontal="right" vertical="center"/>
    </xf>
    <xf numFmtId="0" fontId="5" fillId="5" borderId="21" xfId="2" applyFont="1" applyFill="1" applyBorder="1">
      <alignment horizontal="center" vertical="center"/>
    </xf>
    <xf numFmtId="0" fontId="5" fillId="5" borderId="22" xfId="2" applyFont="1" applyFill="1" applyBorder="1">
      <alignment horizontal="center" vertical="center"/>
    </xf>
    <xf numFmtId="0" fontId="5" fillId="5" borderId="23" xfId="2" applyFont="1" applyFill="1" applyBorder="1">
      <alignment horizontal="center" vertical="center"/>
    </xf>
    <xf numFmtId="0" fontId="5" fillId="5" borderId="24" xfId="2" applyFont="1" applyFill="1" applyBorder="1">
      <alignment horizontal="center" vertical="center"/>
    </xf>
    <xf numFmtId="0" fontId="5" fillId="5" borderId="0" xfId="2" applyFont="1" applyFill="1" applyBorder="1" applyAlignment="1">
      <alignment vertical="center"/>
    </xf>
    <xf numFmtId="0" fontId="11" fillId="5" borderId="0" xfId="4" applyFont="1" applyFill="1" applyAlignment="1">
      <alignment horizontal="center" vertical="center"/>
    </xf>
    <xf numFmtId="0" fontId="11" fillId="5" borderId="25" xfId="4" applyFont="1" applyFill="1" applyBorder="1" applyAlignment="1">
      <alignment horizontal="center" vertical="center"/>
    </xf>
    <xf numFmtId="2" fontId="6" fillId="5" borderId="0" xfId="4" applyNumberFormat="1" applyFont="1" applyFill="1" applyAlignment="1">
      <alignment horizontal="center" vertical="center"/>
    </xf>
    <xf numFmtId="2" fontId="6" fillId="5" borderId="0" xfId="5" applyNumberFormat="1" applyFont="1" applyFill="1" applyAlignment="1">
      <alignment horizontal="center" vertical="center"/>
    </xf>
    <xf numFmtId="164" fontId="6" fillId="7" borderId="0" xfId="0" applyNumberFormat="1" applyFont="1" applyFill="1"/>
    <xf numFmtId="2" fontId="11" fillId="5" borderId="0" xfId="4" applyNumberFormat="1" applyFont="1" applyFill="1" applyAlignment="1">
      <alignment horizontal="center"/>
    </xf>
    <xf numFmtId="0" fontId="0" fillId="0" borderId="26" xfId="0" applyBorder="1"/>
    <xf numFmtId="0" fontId="12" fillId="0" borderId="0" xfId="0" applyFont="1" applyAlignment="1">
      <alignment horizontal="center" textRotation="90"/>
    </xf>
    <xf numFmtId="0" fontId="2" fillId="8" borderId="0" xfId="0" applyFont="1" applyFill="1" applyAlignment="1">
      <alignment horizontal="center"/>
    </xf>
    <xf numFmtId="1" fontId="0" fillId="0" borderId="0" xfId="0" applyNumberFormat="1"/>
    <xf numFmtId="0" fontId="4" fillId="4" borderId="4" xfId="2" applyBorder="1">
      <alignment horizontal="center" vertical="center"/>
    </xf>
    <xf numFmtId="0" fontId="4" fillId="4" borderId="6" xfId="2" applyBorder="1">
      <alignment horizontal="center" vertical="center"/>
    </xf>
    <xf numFmtId="164" fontId="13" fillId="3" borderId="0" xfId="4" applyNumberFormat="1" applyFont="1" applyFill="1" applyAlignment="1">
      <alignment horizontal="center" vertical="center"/>
    </xf>
    <xf numFmtId="0" fontId="4" fillId="4" borderId="27" xfId="2" applyBorder="1">
      <alignment horizontal="center" vertical="center"/>
    </xf>
    <xf numFmtId="0" fontId="4" fillId="4" borderId="28" xfId="2" applyBorder="1">
      <alignment horizontal="center" vertical="center"/>
    </xf>
    <xf numFmtId="164" fontId="9" fillId="3" borderId="29" xfId="4" applyNumberFormat="1" applyFill="1" applyBorder="1" applyAlignment="1">
      <alignment horizontal="center" vertical="center"/>
    </xf>
    <xf numFmtId="1" fontId="9" fillId="3" borderId="29" xfId="4" applyNumberFormat="1" applyFill="1" applyBorder="1" applyAlignment="1">
      <alignment horizontal="center" vertical="center"/>
    </xf>
    <xf numFmtId="164" fontId="1" fillId="2" borderId="1" xfId="1" applyNumberFormat="1" applyAlignment="1">
      <alignment horizontal="center"/>
    </xf>
    <xf numFmtId="1" fontId="9" fillId="3" borderId="30" xfId="4" applyNumberFormat="1" applyFill="1" applyBorder="1" applyAlignment="1">
      <alignment horizontal="center" vertical="center"/>
    </xf>
    <xf numFmtId="49" fontId="0" fillId="0" borderId="0" xfId="0" applyNumberFormat="1"/>
    <xf numFmtId="0" fontId="5" fillId="0" borderId="3" xfId="2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5" fillId="6" borderId="31" xfId="2" applyFont="1" applyFill="1" applyBorder="1" applyAlignment="1">
      <alignment horizontal="center" vertical="center" wrapText="1"/>
    </xf>
    <xf numFmtId="0" fontId="5" fillId="6" borderId="32" xfId="2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right"/>
    </xf>
    <xf numFmtId="0" fontId="6" fillId="0" borderId="0" xfId="0" applyFont="1"/>
    <xf numFmtId="0" fontId="14" fillId="9" borderId="33" xfId="0" applyFont="1" applyFill="1" applyBorder="1"/>
    <xf numFmtId="0" fontId="0" fillId="9" borderId="33" xfId="0" applyFill="1" applyBorder="1"/>
    <xf numFmtId="0" fontId="15" fillId="9" borderId="0" xfId="0" applyFont="1" applyFill="1"/>
    <xf numFmtId="0" fontId="14" fillId="9" borderId="0" xfId="0" applyFont="1" applyFill="1"/>
    <xf numFmtId="0" fontId="7" fillId="9" borderId="0" xfId="0" applyFont="1" applyFill="1" applyAlignment="1">
      <alignment horizontal="center"/>
    </xf>
    <xf numFmtId="0" fontId="0" fillId="9" borderId="0" xfId="0" applyFill="1"/>
    <xf numFmtId="0" fontId="0" fillId="8" borderId="3" xfId="0" applyFill="1" applyBorder="1"/>
    <xf numFmtId="0" fontId="10" fillId="0" borderId="3" xfId="3" applyNumberFormat="1" applyFont="1" applyFill="1" applyBorder="1" applyAlignment="1">
      <alignment horizontal="right" vertical="center"/>
    </xf>
    <xf numFmtId="2" fontId="14" fillId="9" borderId="3" xfId="0" applyNumberFormat="1" applyFont="1" applyFill="1" applyBorder="1"/>
    <xf numFmtId="0" fontId="14" fillId="9" borderId="3" xfId="0" applyFont="1" applyFill="1" applyBorder="1"/>
    <xf numFmtId="0" fontId="14" fillId="7" borderId="0" xfId="0" applyFont="1" applyFill="1"/>
    <xf numFmtId="0" fontId="6" fillId="0" borderId="0" xfId="0" applyFont="1" applyAlignment="1">
      <alignment horizontal="left"/>
    </xf>
    <xf numFmtId="0" fontId="5" fillId="0" borderId="0" xfId="0" applyFont="1"/>
    <xf numFmtId="0" fontId="0" fillId="9" borderId="26" xfId="0" applyFill="1" applyBorder="1"/>
    <xf numFmtId="0" fontId="14" fillId="0" borderId="0" xfId="1" applyNumberFormat="1" applyFont="1" applyFill="1" applyBorder="1" applyAlignment="1">
      <alignment horizontal="center"/>
    </xf>
    <xf numFmtId="0" fontId="9" fillId="0" borderId="0" xfId="4" applyAlignment="1">
      <alignment horizontal="center" vertical="center"/>
    </xf>
    <xf numFmtId="1" fontId="14" fillId="0" borderId="0" xfId="0" applyNumberFormat="1" applyFont="1"/>
    <xf numFmtId="0" fontId="4" fillId="4" borderId="34" xfId="2" applyBorder="1">
      <alignment horizontal="center" vertical="center"/>
    </xf>
    <xf numFmtId="0" fontId="4" fillId="4" borderId="35" xfId="2" applyBorder="1">
      <alignment horizontal="center" vertical="center"/>
    </xf>
    <xf numFmtId="0" fontId="2" fillId="8" borderId="3" xfId="0" applyFont="1" applyFill="1" applyBorder="1"/>
    <xf numFmtId="0" fontId="5" fillId="0" borderId="3" xfId="0" applyFont="1" applyBorder="1"/>
    <xf numFmtId="0" fontId="16" fillId="0" borderId="0" xfId="0" applyFont="1"/>
    <xf numFmtId="0" fontId="14" fillId="0" borderId="0" xfId="0" applyFont="1" applyAlignment="1">
      <alignment wrapText="1"/>
    </xf>
    <xf numFmtId="0" fontId="17" fillId="0" borderId="3" xfId="0" applyFont="1" applyBorder="1"/>
    <xf numFmtId="0" fontId="17" fillId="0" borderId="3" xfId="0" applyFont="1" applyBorder="1" applyAlignment="1">
      <alignment horizontal="right"/>
    </xf>
    <xf numFmtId="0" fontId="6" fillId="0" borderId="3" xfId="0" applyFont="1" applyBorder="1" applyAlignment="1">
      <alignment horizontal="left" wrapText="1"/>
    </xf>
  </cellXfs>
  <cellStyles count="6">
    <cellStyle name="Normal 2" xfId="4" xr:uid="{56E7DCC3-F01B-4F66-89FF-04AE87471AEA}"/>
    <cellStyle name="Normal_Collar Position analysis" xfId="5" xr:uid="{897226D0-2CA8-440D-B00C-2683E6BF7B64}"/>
    <cellStyle name="Orica blue" xfId="2" xr:uid="{5FD4D734-9600-42FA-900F-E7A007F8BE52}"/>
    <cellStyle name="Percent 2" xfId="3" xr:uid="{172BE46F-3B57-4590-9338-5F92662F1693}"/>
    <cellStyle name="Ввод " xfId="1" builtinId="20"/>
    <cellStyle name="Обычный" xfId="0" builtinId="0"/>
  </cellStyles>
  <dxfs count="5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4867141742643895E-2"/>
          <c:y val="3.1404002992264902E-2"/>
          <c:w val="0.93309856079924547"/>
          <c:h val="0.953265057689465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'[1]Точность устьев скважин'!$AD$4</c:f>
              <c:strCache>
                <c:ptCount val="1"/>
                <c:pt idx="0">
                  <c:v>Tolerance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'[1]Точность устьев скважин'!$AH$5:$AH$25</c:f>
              <c:numCache>
                <c:formatCode>General</c:formatCode>
                <c:ptCount val="21"/>
                <c:pt idx="0">
                  <c:v>0.3</c:v>
                </c:pt>
                <c:pt idx="1">
                  <c:v>0.28531688678350103</c:v>
                </c:pt>
                <c:pt idx="2">
                  <c:v>0.24270483922552763</c:v>
                </c:pt>
                <c:pt idx="3">
                  <c:v>0.17633504078395024</c:v>
                </c:pt>
                <c:pt idx="4">
                  <c:v>9.2704259889928156E-2</c:v>
                </c:pt>
                <c:pt idx="5">
                  <c:v>-1.1019615310039644E-6</c:v>
                </c:pt>
                <c:pt idx="6">
                  <c:v>-9.2706355944817354E-2</c:v>
                </c:pt>
                <c:pt idx="7">
                  <c:v>-0.17633682379325841</c:v>
                </c:pt>
                <c:pt idx="8">
                  <c:v>-0.24270613465507104</c:v>
                </c:pt>
                <c:pt idx="9">
                  <c:v>-0.28531756782702211</c:v>
                </c:pt>
                <c:pt idx="10">
                  <c:v>-0.29999999999190452</c:v>
                </c:pt>
                <c:pt idx="11">
                  <c:v>-0.28531620572458144</c:v>
                </c:pt>
                <c:pt idx="12">
                  <c:v>-0.2427035437828855</c:v>
                </c:pt>
                <c:pt idx="13">
                  <c:v>-0.17633325776512532</c:v>
                </c:pt>
                <c:pt idx="14">
                  <c:v>-9.2702163830035586E-2</c:v>
                </c:pt>
                <c:pt idx="15">
                  <c:v>3.305884592885808E-6</c:v>
                </c:pt>
                <c:pt idx="16">
                  <c:v>9.2708451994703234E-2</c:v>
                </c:pt>
                <c:pt idx="17">
                  <c:v>0.17633860679304966</c:v>
                </c:pt>
                <c:pt idx="18">
                  <c:v>0.24270743007151574</c:v>
                </c:pt>
                <c:pt idx="19">
                  <c:v>0.28531824885514462</c:v>
                </c:pt>
                <c:pt idx="20">
                  <c:v>0.29999999996761817</c:v>
                </c:pt>
              </c:numCache>
            </c:numRef>
          </c:xVal>
          <c:yVal>
            <c:numRef>
              <c:f>'[1]Точность устьев скважин'!$AI$5:$AI$25</c:f>
              <c:numCache>
                <c:formatCode>General</c:formatCode>
                <c:ptCount val="21"/>
                <c:pt idx="0">
                  <c:v>0</c:v>
                </c:pt>
                <c:pt idx="1">
                  <c:v>9.2705307917998164E-2</c:v>
                </c:pt>
                <c:pt idx="2">
                  <c:v>0.17633593228979388</c:v>
                </c:pt>
                <c:pt idx="3">
                  <c:v>0.24270548694193667</c:v>
                </c:pt>
                <c:pt idx="4">
                  <c:v>0.28531722730718634</c:v>
                </c:pt>
                <c:pt idx="5">
                  <c:v>0.29999999999797611</c:v>
                </c:pt>
                <c:pt idx="6">
                  <c:v>0.28531654625596609</c:v>
                </c:pt>
                <c:pt idx="7">
                  <c:v>0.24270419150584388</c:v>
                </c:pt>
                <c:pt idx="8">
                  <c:v>0.17633414927572741</c:v>
                </c:pt>
                <c:pt idx="9">
                  <c:v>9.270321186060726E-2</c:v>
                </c:pt>
                <c:pt idx="10">
                  <c:v>-2.2039230619930609E-6</c:v>
                </c:pt>
                <c:pt idx="11">
                  <c:v>-9.2707403970385779E-2</c:v>
                </c:pt>
                <c:pt idx="12">
                  <c:v>-0.17633771529434356</c:v>
                </c:pt>
                <c:pt idx="13">
                  <c:v>-0.24270678236493076</c:v>
                </c:pt>
                <c:pt idx="14">
                  <c:v>-0.28531790834300819</c:v>
                </c:pt>
                <c:pt idx="15">
                  <c:v>-0.29999999998178517</c:v>
                </c:pt>
                <c:pt idx="16">
                  <c:v>-0.28531586518934732</c:v>
                </c:pt>
                <c:pt idx="17">
                  <c:v>-0.24270289605665241</c:v>
                </c:pt>
                <c:pt idx="18">
                  <c:v>-0.17633236625214407</c:v>
                </c:pt>
                <c:pt idx="19">
                  <c:v>-9.2701115798213385E-2</c:v>
                </c:pt>
                <c:pt idx="20">
                  <c:v>4.4078461238671772E-6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C0-4792-AB50-FC249568E64F}"/>
            </c:ext>
          </c:extLst>
        </c:ser>
        <c:ser>
          <c:idx val="1"/>
          <c:order val="1"/>
          <c:tx>
            <c:strRef>
              <c:f>'[1]Точность устьев скважин'!$X$3</c:f>
              <c:strCache>
                <c:ptCount val="1"/>
                <c:pt idx="0">
                  <c:v>In Spec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'[1]Точность устьев скважин'!$X$5:$X$151</c:f>
              <c:numCache>
                <c:formatCode>General</c:formatCode>
                <c:ptCount val="14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-3.0000000260770321E-2</c:v>
                </c:pt>
                <c:pt idx="7">
                  <c:v>100</c:v>
                </c:pt>
                <c:pt idx="8">
                  <c:v>100</c:v>
                </c:pt>
                <c:pt idx="9">
                  <c:v>7.0000000298023224E-2</c:v>
                </c:pt>
                <c:pt idx="10">
                  <c:v>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0.12999999988824129</c:v>
                </c:pt>
                <c:pt idx="16">
                  <c:v>100</c:v>
                </c:pt>
                <c:pt idx="17">
                  <c:v>100</c:v>
                </c:pt>
                <c:pt idx="18">
                  <c:v>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-6.9999999366700649E-2</c:v>
                </c:pt>
                <c:pt idx="25">
                  <c:v>100</c:v>
                </c:pt>
                <c:pt idx="26">
                  <c:v>0.12999999988824129</c:v>
                </c:pt>
                <c:pt idx="27">
                  <c:v>100</c:v>
                </c:pt>
                <c:pt idx="28">
                  <c:v>-8.9999999850988388E-2</c:v>
                </c:pt>
                <c:pt idx="29">
                  <c:v>100</c:v>
                </c:pt>
                <c:pt idx="30">
                  <c:v>100</c:v>
                </c:pt>
                <c:pt idx="31">
                  <c:v>2.0000000484287739E-2</c:v>
                </c:pt>
                <c:pt idx="32">
                  <c:v>100</c:v>
                </c:pt>
                <c:pt idx="33">
                  <c:v>3.0000000260770321E-2</c:v>
                </c:pt>
                <c:pt idx="34">
                  <c:v>100</c:v>
                </c:pt>
                <c:pt idx="35">
                  <c:v>-9.9999997764825821E-3</c:v>
                </c:pt>
                <c:pt idx="36">
                  <c:v>7.0000000298023224E-2</c:v>
                </c:pt>
                <c:pt idx="37">
                  <c:v>100</c:v>
                </c:pt>
                <c:pt idx="38">
                  <c:v>-0.26999999955296516</c:v>
                </c:pt>
                <c:pt idx="39">
                  <c:v>100</c:v>
                </c:pt>
                <c:pt idx="40">
                  <c:v>100</c:v>
                </c:pt>
                <c:pt idx="41">
                  <c:v>0.25999999977648258</c:v>
                </c:pt>
                <c:pt idx="42">
                  <c:v>100</c:v>
                </c:pt>
                <c:pt idx="43">
                  <c:v>-9.9999997764825821E-3</c:v>
                </c:pt>
                <c:pt idx="44">
                  <c:v>100</c:v>
                </c:pt>
                <c:pt idx="45">
                  <c:v>3.0000000260770321E-2</c:v>
                </c:pt>
                <c:pt idx="46">
                  <c:v>100</c:v>
                </c:pt>
                <c:pt idx="47">
                  <c:v>100</c:v>
                </c:pt>
                <c:pt idx="48">
                  <c:v>-0.13999999966472387</c:v>
                </c:pt>
                <c:pt idx="49">
                  <c:v>0</c:v>
                </c:pt>
                <c:pt idx="50">
                  <c:v>100</c:v>
                </c:pt>
                <c:pt idx="51">
                  <c:v>100</c:v>
                </c:pt>
                <c:pt idx="52">
                  <c:v>-8.9999999850988388E-2</c:v>
                </c:pt>
                <c:pt idx="53">
                  <c:v>0</c:v>
                </c:pt>
                <c:pt idx="54">
                  <c:v>-6.0000000521540642E-2</c:v>
                </c:pt>
                <c:pt idx="55">
                  <c:v>0.13999999966472387</c:v>
                </c:pt>
                <c:pt idx="56">
                  <c:v>0.12999999988824129</c:v>
                </c:pt>
                <c:pt idx="57">
                  <c:v>0.13999999966472387</c:v>
                </c:pt>
                <c:pt idx="58">
                  <c:v>-0.22000000067055225</c:v>
                </c:pt>
                <c:pt idx="59">
                  <c:v>9.9999997764825821E-3</c:v>
                </c:pt>
                <c:pt idx="60">
                  <c:v>100</c:v>
                </c:pt>
                <c:pt idx="61">
                  <c:v>-9.9999997764825821E-3</c:v>
                </c:pt>
                <c:pt idx="62">
                  <c:v>6.0000000521540642E-2</c:v>
                </c:pt>
                <c:pt idx="63">
                  <c:v>100</c:v>
                </c:pt>
                <c:pt idx="64">
                  <c:v>-1.9999999552965164E-2</c:v>
                </c:pt>
                <c:pt idx="65">
                  <c:v>-9.999999962747097E-2</c:v>
                </c:pt>
                <c:pt idx="66">
                  <c:v>100</c:v>
                </c:pt>
                <c:pt idx="67">
                  <c:v>-0.2900000000372529</c:v>
                </c:pt>
                <c:pt idx="68">
                  <c:v>100</c:v>
                </c:pt>
                <c:pt idx="69">
                  <c:v>0.10000000055879354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-0.11000000033527613</c:v>
                </c:pt>
                <c:pt idx="76">
                  <c:v>0.13999999966472387</c:v>
                </c:pt>
                <c:pt idx="77">
                  <c:v>3.0000000260770321E-2</c:v>
                </c:pt>
                <c:pt idx="78">
                  <c:v>0.16000000014901161</c:v>
                </c:pt>
                <c:pt idx="79">
                  <c:v>100</c:v>
                </c:pt>
                <c:pt idx="80">
                  <c:v>100</c:v>
                </c:pt>
                <c:pt idx="81">
                  <c:v>0.26999999955296516</c:v>
                </c:pt>
                <c:pt idx="82">
                  <c:v>100</c:v>
                </c:pt>
                <c:pt idx="83">
                  <c:v>100</c:v>
                </c:pt>
                <c:pt idx="84">
                  <c:v>-6.0000000521540642E-2</c:v>
                </c:pt>
                <c:pt idx="85">
                  <c:v>100</c:v>
                </c:pt>
                <c:pt idx="86">
                  <c:v>100</c:v>
                </c:pt>
                <c:pt idx="87">
                  <c:v>2.9999999329447746E-2</c:v>
                </c:pt>
                <c:pt idx="88">
                  <c:v>100</c:v>
                </c:pt>
                <c:pt idx="89">
                  <c:v>-8.0000000074505806E-2</c:v>
                </c:pt>
                <c:pt idx="90">
                  <c:v>100</c:v>
                </c:pt>
                <c:pt idx="91">
                  <c:v>100</c:v>
                </c:pt>
                <c:pt idx="92">
                  <c:v>-2.0000000484287739E-2</c:v>
                </c:pt>
                <c:pt idx="93">
                  <c:v>0.10999999940395355</c:v>
                </c:pt>
                <c:pt idx="94">
                  <c:v>7.9999999143183231E-2</c:v>
                </c:pt>
                <c:pt idx="95">
                  <c:v>100</c:v>
                </c:pt>
                <c:pt idx="96">
                  <c:v>-1.0000000707805157E-2</c:v>
                </c:pt>
                <c:pt idx="97">
                  <c:v>100</c:v>
                </c:pt>
                <c:pt idx="98">
                  <c:v>7.9999999143183231E-2</c:v>
                </c:pt>
                <c:pt idx="99">
                  <c:v>100</c:v>
                </c:pt>
                <c:pt idx="100">
                  <c:v>100</c:v>
                </c:pt>
                <c:pt idx="101">
                  <c:v>-0.20000000018626451</c:v>
                </c:pt>
                <c:pt idx="102">
                  <c:v>100</c:v>
                </c:pt>
                <c:pt idx="103">
                  <c:v>-6.0000000521540642E-2</c:v>
                </c:pt>
                <c:pt idx="104">
                  <c:v>100</c:v>
                </c:pt>
                <c:pt idx="105">
                  <c:v>0</c:v>
                </c:pt>
                <c:pt idx="106">
                  <c:v>-0.16000000014901161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0.24000000022351742</c:v>
                </c:pt>
                <c:pt idx="111">
                  <c:v>-9.999999962747097E-2</c:v>
                </c:pt>
                <c:pt idx="112">
                  <c:v>-0.29999999981373549</c:v>
                </c:pt>
                <c:pt idx="113">
                  <c:v>0.11000000033527613</c:v>
                </c:pt>
                <c:pt idx="114">
                  <c:v>100</c:v>
                </c:pt>
                <c:pt idx="115">
                  <c:v>8.0000000074505806E-2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0.12999999988824129</c:v>
                </c:pt>
                <c:pt idx="131">
                  <c:v>0.2900000000372529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0.10000000055879354</c:v>
                </c:pt>
                <c:pt idx="142">
                  <c:v>-0.10000000055879354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</c:numCache>
            </c:numRef>
          </c:xVal>
          <c:yVal>
            <c:numRef>
              <c:f>'[1]Точность устьев скважин'!$Y$5:$Y$151</c:f>
              <c:numCache>
                <c:formatCode>General</c:formatCode>
                <c:ptCount val="14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0.16999999992549419</c:v>
                </c:pt>
                <c:pt idx="7">
                  <c:v>100</c:v>
                </c:pt>
                <c:pt idx="8">
                  <c:v>100</c:v>
                </c:pt>
                <c:pt idx="9">
                  <c:v>-0.13000000012107193</c:v>
                </c:pt>
                <c:pt idx="10">
                  <c:v>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-0.26000000000931323</c:v>
                </c:pt>
                <c:pt idx="16">
                  <c:v>100</c:v>
                </c:pt>
                <c:pt idx="17">
                  <c:v>100</c:v>
                </c:pt>
                <c:pt idx="18">
                  <c:v>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1.0000000009313226E-2</c:v>
                </c:pt>
                <c:pt idx="25">
                  <c:v>100</c:v>
                </c:pt>
                <c:pt idx="26">
                  <c:v>0.26000000000931323</c:v>
                </c:pt>
                <c:pt idx="27">
                  <c:v>100</c:v>
                </c:pt>
                <c:pt idx="28">
                  <c:v>0</c:v>
                </c:pt>
                <c:pt idx="29">
                  <c:v>100</c:v>
                </c:pt>
                <c:pt idx="30">
                  <c:v>100</c:v>
                </c:pt>
                <c:pt idx="31">
                  <c:v>-6.0000000055879354E-2</c:v>
                </c:pt>
                <c:pt idx="32">
                  <c:v>100</c:v>
                </c:pt>
                <c:pt idx="33">
                  <c:v>0.28000000002793968</c:v>
                </c:pt>
                <c:pt idx="34">
                  <c:v>100</c:v>
                </c:pt>
                <c:pt idx="35">
                  <c:v>-0.17999999993480742</c:v>
                </c:pt>
                <c:pt idx="36">
                  <c:v>0.2900000000372529</c:v>
                </c:pt>
                <c:pt idx="37">
                  <c:v>100</c:v>
                </c:pt>
                <c:pt idx="38">
                  <c:v>5.0000000046566129E-2</c:v>
                </c:pt>
                <c:pt idx="39">
                  <c:v>100</c:v>
                </c:pt>
                <c:pt idx="40">
                  <c:v>100</c:v>
                </c:pt>
                <c:pt idx="41">
                  <c:v>-6.0000000055879354E-2</c:v>
                </c:pt>
                <c:pt idx="42">
                  <c:v>100</c:v>
                </c:pt>
                <c:pt idx="43">
                  <c:v>-4.9999999813735485E-2</c:v>
                </c:pt>
                <c:pt idx="44">
                  <c:v>100</c:v>
                </c:pt>
                <c:pt idx="45">
                  <c:v>-1.0000000009313226E-2</c:v>
                </c:pt>
                <c:pt idx="46">
                  <c:v>100</c:v>
                </c:pt>
                <c:pt idx="47">
                  <c:v>100</c:v>
                </c:pt>
                <c:pt idx="48">
                  <c:v>-0.17999999993480742</c:v>
                </c:pt>
                <c:pt idx="49">
                  <c:v>0.2900000000372529</c:v>
                </c:pt>
                <c:pt idx="50">
                  <c:v>100</c:v>
                </c:pt>
                <c:pt idx="51">
                  <c:v>100</c:v>
                </c:pt>
                <c:pt idx="52">
                  <c:v>0.25</c:v>
                </c:pt>
                <c:pt idx="53">
                  <c:v>0.19000000017695129</c:v>
                </c:pt>
                <c:pt idx="54">
                  <c:v>0.23999999999068677</c:v>
                </c:pt>
                <c:pt idx="55">
                  <c:v>0.19999999995343387</c:v>
                </c:pt>
                <c:pt idx="56">
                  <c:v>8.0000000074505806E-2</c:v>
                </c:pt>
                <c:pt idx="57">
                  <c:v>-2.9999999795109034E-2</c:v>
                </c:pt>
                <c:pt idx="58">
                  <c:v>-7.000000006519258E-2</c:v>
                </c:pt>
                <c:pt idx="59">
                  <c:v>-9.0000000083819032E-2</c:v>
                </c:pt>
                <c:pt idx="60">
                  <c:v>100</c:v>
                </c:pt>
                <c:pt idx="61">
                  <c:v>4.0000000037252903E-2</c:v>
                </c:pt>
                <c:pt idx="62">
                  <c:v>8.9999999850988388E-2</c:v>
                </c:pt>
                <c:pt idx="63">
                  <c:v>100</c:v>
                </c:pt>
                <c:pt idx="64">
                  <c:v>-0.12999999988824129</c:v>
                </c:pt>
                <c:pt idx="65">
                  <c:v>-0.18999999994412065</c:v>
                </c:pt>
                <c:pt idx="66">
                  <c:v>100</c:v>
                </c:pt>
                <c:pt idx="67">
                  <c:v>0</c:v>
                </c:pt>
                <c:pt idx="68">
                  <c:v>100</c:v>
                </c:pt>
                <c:pt idx="69">
                  <c:v>-0.11999999987892807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-0.14999999990686774</c:v>
                </c:pt>
                <c:pt idx="76">
                  <c:v>-0.23999999999068677</c:v>
                </c:pt>
                <c:pt idx="77">
                  <c:v>-0.20000000018626451</c:v>
                </c:pt>
                <c:pt idx="78">
                  <c:v>-0.13999999989755452</c:v>
                </c:pt>
                <c:pt idx="79">
                  <c:v>100</c:v>
                </c:pt>
                <c:pt idx="80">
                  <c:v>100</c:v>
                </c:pt>
                <c:pt idx="81">
                  <c:v>8.9999999850988388E-2</c:v>
                </c:pt>
                <c:pt idx="82">
                  <c:v>100</c:v>
                </c:pt>
                <c:pt idx="83">
                  <c:v>100</c:v>
                </c:pt>
                <c:pt idx="84">
                  <c:v>-0.26000000000931323</c:v>
                </c:pt>
                <c:pt idx="85">
                  <c:v>100</c:v>
                </c:pt>
                <c:pt idx="86">
                  <c:v>100</c:v>
                </c:pt>
                <c:pt idx="87">
                  <c:v>0.17999999993480742</c:v>
                </c:pt>
                <c:pt idx="88">
                  <c:v>100</c:v>
                </c:pt>
                <c:pt idx="89">
                  <c:v>0.12000000011175871</c:v>
                </c:pt>
                <c:pt idx="90">
                  <c:v>100</c:v>
                </c:pt>
                <c:pt idx="91">
                  <c:v>100</c:v>
                </c:pt>
                <c:pt idx="92">
                  <c:v>0.11999999987892807</c:v>
                </c:pt>
                <c:pt idx="93">
                  <c:v>-0.23999999999068677</c:v>
                </c:pt>
                <c:pt idx="94">
                  <c:v>-0.21999999997206032</c:v>
                </c:pt>
                <c:pt idx="95">
                  <c:v>100</c:v>
                </c:pt>
                <c:pt idx="96">
                  <c:v>0.12000000011175871</c:v>
                </c:pt>
                <c:pt idx="97">
                  <c:v>100</c:v>
                </c:pt>
                <c:pt idx="98">
                  <c:v>-9.0000000083819032E-2</c:v>
                </c:pt>
                <c:pt idx="99">
                  <c:v>100</c:v>
                </c:pt>
                <c:pt idx="100">
                  <c:v>100</c:v>
                </c:pt>
                <c:pt idx="101">
                  <c:v>0.11999999987892807</c:v>
                </c:pt>
                <c:pt idx="102">
                  <c:v>100</c:v>
                </c:pt>
                <c:pt idx="103">
                  <c:v>-0.23999999999068677</c:v>
                </c:pt>
                <c:pt idx="104">
                  <c:v>100</c:v>
                </c:pt>
                <c:pt idx="105">
                  <c:v>-1.0000000009313226E-2</c:v>
                </c:pt>
                <c:pt idx="106">
                  <c:v>-0.13000000012107193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-3.0000000027939677E-2</c:v>
                </c:pt>
                <c:pt idx="111">
                  <c:v>-0.11000000010244548</c:v>
                </c:pt>
                <c:pt idx="112">
                  <c:v>0</c:v>
                </c:pt>
                <c:pt idx="113">
                  <c:v>-0.2099999999627471</c:v>
                </c:pt>
                <c:pt idx="114">
                  <c:v>100</c:v>
                </c:pt>
                <c:pt idx="115">
                  <c:v>-6.0000000055879354E-2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-5.0000000046566129E-2</c:v>
                </c:pt>
                <c:pt idx="131">
                  <c:v>-3.0000000027939677E-2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-0.15999999991618097</c:v>
                </c:pt>
                <c:pt idx="142">
                  <c:v>-0.12000000011175871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C0-4792-AB50-FC249568E64F}"/>
            </c:ext>
          </c:extLst>
        </c:ser>
        <c:ser>
          <c:idx val="2"/>
          <c:order val="2"/>
          <c:tx>
            <c:strRef>
              <c:f>'[1]Точность устьев скважин'!$Z$3</c:f>
              <c:strCache>
                <c:ptCount val="1"/>
                <c:pt idx="0">
                  <c:v>Out of Spec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33CC"/>
              </a:solidFill>
              <a:ln>
                <a:solidFill>
                  <a:srgbClr val="0033CC"/>
                </a:solidFill>
              </a:ln>
            </c:spPr>
          </c:marker>
          <c:xVal>
            <c:numRef>
              <c:f>'[1]Точность устьев скважин'!$Z$5:$Z$151</c:f>
              <c:numCache>
                <c:formatCode>General</c:formatCode>
                <c:ptCount val="147"/>
                <c:pt idx="0">
                  <c:v>1.1000000005587935</c:v>
                </c:pt>
                <c:pt idx="1">
                  <c:v>0.40000000037252903</c:v>
                </c:pt>
                <c:pt idx="2">
                  <c:v>0.87000000011175871</c:v>
                </c:pt>
                <c:pt idx="3">
                  <c:v>0.29999999981373549</c:v>
                </c:pt>
                <c:pt idx="4">
                  <c:v>0.88999999966472387</c:v>
                </c:pt>
                <c:pt idx="5">
                  <c:v>0.41000000014901161</c:v>
                </c:pt>
                <c:pt idx="6">
                  <c:v>100</c:v>
                </c:pt>
                <c:pt idx="7">
                  <c:v>-0.12999999988824129</c:v>
                </c:pt>
                <c:pt idx="8">
                  <c:v>0</c:v>
                </c:pt>
                <c:pt idx="9">
                  <c:v>100</c:v>
                </c:pt>
                <c:pt idx="10">
                  <c:v>100</c:v>
                </c:pt>
                <c:pt idx="11">
                  <c:v>8.9999999850988388E-2</c:v>
                </c:pt>
                <c:pt idx="12">
                  <c:v>0.59999999962747097</c:v>
                </c:pt>
                <c:pt idx="13">
                  <c:v>2.400000000372529</c:v>
                </c:pt>
                <c:pt idx="14">
                  <c:v>0.85999999940395355</c:v>
                </c:pt>
                <c:pt idx="15">
                  <c:v>100</c:v>
                </c:pt>
                <c:pt idx="16">
                  <c:v>0.41000000014901161</c:v>
                </c:pt>
                <c:pt idx="17">
                  <c:v>0.54999999981373549</c:v>
                </c:pt>
                <c:pt idx="18">
                  <c:v>100</c:v>
                </c:pt>
                <c:pt idx="19">
                  <c:v>-1.0000000707805157E-2</c:v>
                </c:pt>
                <c:pt idx="20">
                  <c:v>0.33000000007450581</c:v>
                </c:pt>
                <c:pt idx="21">
                  <c:v>0.25999999977648258</c:v>
                </c:pt>
                <c:pt idx="22">
                  <c:v>0.78000000026077032</c:v>
                </c:pt>
                <c:pt idx="23">
                  <c:v>0.40000000037252903</c:v>
                </c:pt>
                <c:pt idx="24">
                  <c:v>100</c:v>
                </c:pt>
                <c:pt idx="25">
                  <c:v>-0.5</c:v>
                </c:pt>
                <c:pt idx="26">
                  <c:v>100</c:v>
                </c:pt>
                <c:pt idx="27">
                  <c:v>0.31000000052154064</c:v>
                </c:pt>
                <c:pt idx="28">
                  <c:v>100</c:v>
                </c:pt>
                <c:pt idx="29">
                  <c:v>0.32000000029802322</c:v>
                </c:pt>
                <c:pt idx="30">
                  <c:v>1.1199999991804361</c:v>
                </c:pt>
                <c:pt idx="31">
                  <c:v>100</c:v>
                </c:pt>
                <c:pt idx="32">
                  <c:v>0.44000000040978193</c:v>
                </c:pt>
                <c:pt idx="33">
                  <c:v>100</c:v>
                </c:pt>
                <c:pt idx="34">
                  <c:v>-0.37000000011175871</c:v>
                </c:pt>
                <c:pt idx="35">
                  <c:v>100</c:v>
                </c:pt>
                <c:pt idx="36">
                  <c:v>100</c:v>
                </c:pt>
                <c:pt idx="37">
                  <c:v>-0.2099999999627471</c:v>
                </c:pt>
                <c:pt idx="38">
                  <c:v>100</c:v>
                </c:pt>
                <c:pt idx="39">
                  <c:v>-0.10999999940395355</c:v>
                </c:pt>
                <c:pt idx="40">
                  <c:v>0.52000000048428774</c:v>
                </c:pt>
                <c:pt idx="41">
                  <c:v>100</c:v>
                </c:pt>
                <c:pt idx="42">
                  <c:v>1.4900000002235174</c:v>
                </c:pt>
                <c:pt idx="43">
                  <c:v>100</c:v>
                </c:pt>
                <c:pt idx="44">
                  <c:v>-0.77000000048428774</c:v>
                </c:pt>
                <c:pt idx="45">
                  <c:v>100</c:v>
                </c:pt>
                <c:pt idx="46">
                  <c:v>-9.999999962747097E-2</c:v>
                </c:pt>
                <c:pt idx="47">
                  <c:v>3.0000000260770321E-2</c:v>
                </c:pt>
                <c:pt idx="48">
                  <c:v>100</c:v>
                </c:pt>
                <c:pt idx="49">
                  <c:v>100</c:v>
                </c:pt>
                <c:pt idx="50">
                  <c:v>-2.0000000484287739E-2</c:v>
                </c:pt>
                <c:pt idx="51">
                  <c:v>-0.26000000070780516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-0.12000000011175871</c:v>
                </c:pt>
                <c:pt idx="61">
                  <c:v>100</c:v>
                </c:pt>
                <c:pt idx="62">
                  <c:v>100</c:v>
                </c:pt>
                <c:pt idx="63">
                  <c:v>0.2900000000372529</c:v>
                </c:pt>
                <c:pt idx="64">
                  <c:v>100</c:v>
                </c:pt>
                <c:pt idx="65">
                  <c:v>100</c:v>
                </c:pt>
                <c:pt idx="66">
                  <c:v>-0.11000000033527613</c:v>
                </c:pt>
                <c:pt idx="67">
                  <c:v>100</c:v>
                </c:pt>
                <c:pt idx="68">
                  <c:v>-0.41000000014901161</c:v>
                </c:pt>
                <c:pt idx="69">
                  <c:v>100</c:v>
                </c:pt>
                <c:pt idx="70">
                  <c:v>-0.33000000007450581</c:v>
                </c:pt>
                <c:pt idx="71">
                  <c:v>-0.39999999944120646</c:v>
                </c:pt>
                <c:pt idx="72">
                  <c:v>-8.0000000074505806E-2</c:v>
                </c:pt>
                <c:pt idx="73">
                  <c:v>-0.20000000018626451</c:v>
                </c:pt>
                <c:pt idx="74">
                  <c:v>0.21999999973922968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-0.20000000018626451</c:v>
                </c:pt>
                <c:pt idx="80">
                  <c:v>1.6399999996647239</c:v>
                </c:pt>
                <c:pt idx="81">
                  <c:v>100</c:v>
                </c:pt>
                <c:pt idx="82">
                  <c:v>-0.58999999985098839</c:v>
                </c:pt>
                <c:pt idx="83">
                  <c:v>-0.16000000014901161</c:v>
                </c:pt>
                <c:pt idx="84">
                  <c:v>100</c:v>
                </c:pt>
                <c:pt idx="85">
                  <c:v>0.12999999988824129</c:v>
                </c:pt>
                <c:pt idx="86">
                  <c:v>-0.18000000063329935</c:v>
                </c:pt>
                <c:pt idx="87">
                  <c:v>100</c:v>
                </c:pt>
                <c:pt idx="88">
                  <c:v>-0.61000000033527613</c:v>
                </c:pt>
                <c:pt idx="89">
                  <c:v>100</c:v>
                </c:pt>
                <c:pt idx="90">
                  <c:v>-6.0000000521540642E-2</c:v>
                </c:pt>
                <c:pt idx="91">
                  <c:v>0.75999999977648258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0.42999999970197678</c:v>
                </c:pt>
                <c:pt idx="96">
                  <c:v>100</c:v>
                </c:pt>
                <c:pt idx="97">
                  <c:v>0.41999999992549419</c:v>
                </c:pt>
                <c:pt idx="98">
                  <c:v>100</c:v>
                </c:pt>
                <c:pt idx="99">
                  <c:v>0</c:v>
                </c:pt>
                <c:pt idx="100">
                  <c:v>-7.0000000298023224E-2</c:v>
                </c:pt>
                <c:pt idx="101">
                  <c:v>100</c:v>
                </c:pt>
                <c:pt idx="102">
                  <c:v>0.30999999959021807</c:v>
                </c:pt>
                <c:pt idx="103">
                  <c:v>100</c:v>
                </c:pt>
                <c:pt idx="104">
                  <c:v>-8.9999999850988388E-2</c:v>
                </c:pt>
                <c:pt idx="105">
                  <c:v>100</c:v>
                </c:pt>
                <c:pt idx="106">
                  <c:v>100</c:v>
                </c:pt>
                <c:pt idx="107">
                  <c:v>5.9999999590218067E-2</c:v>
                </c:pt>
                <c:pt idx="108">
                  <c:v>-0.75</c:v>
                </c:pt>
                <c:pt idx="109">
                  <c:v>-0.79999999981373549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-0.54999999981373549</c:v>
                </c:pt>
                <c:pt idx="115">
                  <c:v>100</c:v>
                </c:pt>
                <c:pt idx="116">
                  <c:v>0.37999999988824129</c:v>
                </c:pt>
                <c:pt idx="117">
                  <c:v>0.80999999959021807</c:v>
                </c:pt>
                <c:pt idx="118">
                  <c:v>1.9999999552965164E-2</c:v>
                </c:pt>
                <c:pt idx="119">
                  <c:v>-0.25999999977648258</c:v>
                </c:pt>
                <c:pt idx="120">
                  <c:v>-0.59000000078231096</c:v>
                </c:pt>
                <c:pt idx="121">
                  <c:v>0.54999999981373549</c:v>
                </c:pt>
                <c:pt idx="122">
                  <c:v>0.64000000059604645</c:v>
                </c:pt>
                <c:pt idx="123">
                  <c:v>0.45000000018626451</c:v>
                </c:pt>
                <c:pt idx="124">
                  <c:v>0.5</c:v>
                </c:pt>
                <c:pt idx="125">
                  <c:v>-0.5</c:v>
                </c:pt>
                <c:pt idx="126">
                  <c:v>0.41999999992549419</c:v>
                </c:pt>
                <c:pt idx="127">
                  <c:v>0.14000000059604645</c:v>
                </c:pt>
                <c:pt idx="128">
                  <c:v>-1.1099999994039536</c:v>
                </c:pt>
                <c:pt idx="129">
                  <c:v>0.37000000011175871</c:v>
                </c:pt>
                <c:pt idx="130">
                  <c:v>100</c:v>
                </c:pt>
                <c:pt idx="131">
                  <c:v>100</c:v>
                </c:pt>
                <c:pt idx="132">
                  <c:v>0.32000000029802322</c:v>
                </c:pt>
                <c:pt idx="133">
                  <c:v>0</c:v>
                </c:pt>
                <c:pt idx="134">
                  <c:v>0.11000000033527613</c:v>
                </c:pt>
                <c:pt idx="135">
                  <c:v>0.19000000040978193</c:v>
                </c:pt>
                <c:pt idx="136">
                  <c:v>0.15000000037252903</c:v>
                </c:pt>
                <c:pt idx="137">
                  <c:v>0.12999999988824129</c:v>
                </c:pt>
                <c:pt idx="138">
                  <c:v>-9.999999962747097E-2</c:v>
                </c:pt>
                <c:pt idx="139">
                  <c:v>-0.18999999947845936</c:v>
                </c:pt>
                <c:pt idx="140">
                  <c:v>0.24000000022351742</c:v>
                </c:pt>
                <c:pt idx="141">
                  <c:v>100</c:v>
                </c:pt>
                <c:pt idx="142">
                  <c:v>100</c:v>
                </c:pt>
                <c:pt idx="143">
                  <c:v>-0.24000000022351742</c:v>
                </c:pt>
                <c:pt idx="144">
                  <c:v>-0.12000000011175871</c:v>
                </c:pt>
                <c:pt idx="145">
                  <c:v>-0.31000000052154064</c:v>
                </c:pt>
                <c:pt idx="146">
                  <c:v>-0.81000000052154064</c:v>
                </c:pt>
              </c:numCache>
            </c:numRef>
          </c:xVal>
          <c:yVal>
            <c:numRef>
              <c:f>'[1]Точность устьев скважин'!$AA$5:$AA$151</c:f>
              <c:numCache>
                <c:formatCode>General</c:formatCode>
                <c:ptCount val="147"/>
                <c:pt idx="0">
                  <c:v>0.11999999987892807</c:v>
                </c:pt>
                <c:pt idx="1">
                  <c:v>-0.23999999999068677</c:v>
                </c:pt>
                <c:pt idx="2">
                  <c:v>-6.0000000055879354E-2</c:v>
                </c:pt>
                <c:pt idx="3">
                  <c:v>-0.46000000019557774</c:v>
                </c:pt>
                <c:pt idx="4">
                  <c:v>0.16000000014901161</c:v>
                </c:pt>
                <c:pt idx="5">
                  <c:v>-0.12999999988824129</c:v>
                </c:pt>
                <c:pt idx="6">
                  <c:v>100</c:v>
                </c:pt>
                <c:pt idx="7">
                  <c:v>-0.45000000018626451</c:v>
                </c:pt>
                <c:pt idx="8">
                  <c:v>-0.32000000006519258</c:v>
                </c:pt>
                <c:pt idx="9">
                  <c:v>100</c:v>
                </c:pt>
                <c:pt idx="10">
                  <c:v>100</c:v>
                </c:pt>
                <c:pt idx="11">
                  <c:v>0.47999999998137355</c:v>
                </c:pt>
                <c:pt idx="12">
                  <c:v>-5.0000000046566129E-2</c:v>
                </c:pt>
                <c:pt idx="13">
                  <c:v>1.0000000009313226E-2</c:v>
                </c:pt>
                <c:pt idx="14">
                  <c:v>0.23999999999068677</c:v>
                </c:pt>
                <c:pt idx="15">
                  <c:v>100</c:v>
                </c:pt>
                <c:pt idx="16">
                  <c:v>-0.36999999987892807</c:v>
                </c:pt>
                <c:pt idx="17">
                  <c:v>1.0000000009313226E-2</c:v>
                </c:pt>
                <c:pt idx="18">
                  <c:v>100</c:v>
                </c:pt>
                <c:pt idx="19">
                  <c:v>0.63999999989755452</c:v>
                </c:pt>
                <c:pt idx="20">
                  <c:v>-6.9999999832361937E-2</c:v>
                </c:pt>
                <c:pt idx="21">
                  <c:v>-0.23999999999068677</c:v>
                </c:pt>
                <c:pt idx="22">
                  <c:v>-1.0000000009313226E-2</c:v>
                </c:pt>
                <c:pt idx="23">
                  <c:v>-5.0000000046566129E-2</c:v>
                </c:pt>
                <c:pt idx="24">
                  <c:v>100</c:v>
                </c:pt>
                <c:pt idx="25">
                  <c:v>0.5</c:v>
                </c:pt>
                <c:pt idx="26">
                  <c:v>100</c:v>
                </c:pt>
                <c:pt idx="27">
                  <c:v>-5.0000000046566129E-2</c:v>
                </c:pt>
                <c:pt idx="28">
                  <c:v>100</c:v>
                </c:pt>
                <c:pt idx="29">
                  <c:v>-0.23999999999068677</c:v>
                </c:pt>
                <c:pt idx="30">
                  <c:v>-0.60999999986961484</c:v>
                </c:pt>
                <c:pt idx="31">
                  <c:v>100</c:v>
                </c:pt>
                <c:pt idx="32">
                  <c:v>-0.14999999990686774</c:v>
                </c:pt>
                <c:pt idx="33">
                  <c:v>100</c:v>
                </c:pt>
                <c:pt idx="34">
                  <c:v>8.0000000074505806E-2</c:v>
                </c:pt>
                <c:pt idx="35">
                  <c:v>100</c:v>
                </c:pt>
                <c:pt idx="36">
                  <c:v>100</c:v>
                </c:pt>
                <c:pt idx="37">
                  <c:v>0.32000000006519258</c:v>
                </c:pt>
                <c:pt idx="38">
                  <c:v>100</c:v>
                </c:pt>
                <c:pt idx="39">
                  <c:v>-0.37999999988824129</c:v>
                </c:pt>
                <c:pt idx="40">
                  <c:v>-0.90999999991618097</c:v>
                </c:pt>
                <c:pt idx="41">
                  <c:v>100</c:v>
                </c:pt>
                <c:pt idx="42">
                  <c:v>-0.41999999992549419</c:v>
                </c:pt>
                <c:pt idx="43">
                  <c:v>100</c:v>
                </c:pt>
                <c:pt idx="44">
                  <c:v>-1.0199999997857958</c:v>
                </c:pt>
                <c:pt idx="45">
                  <c:v>100</c:v>
                </c:pt>
                <c:pt idx="46">
                  <c:v>0.33000000007450581</c:v>
                </c:pt>
                <c:pt idx="47">
                  <c:v>0.57999999984167516</c:v>
                </c:pt>
                <c:pt idx="48">
                  <c:v>100</c:v>
                </c:pt>
                <c:pt idx="49">
                  <c:v>100</c:v>
                </c:pt>
                <c:pt idx="50">
                  <c:v>0.34000000008381903</c:v>
                </c:pt>
                <c:pt idx="51">
                  <c:v>0.23999999999068677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-0.5</c:v>
                </c:pt>
                <c:pt idx="61">
                  <c:v>100</c:v>
                </c:pt>
                <c:pt idx="62">
                  <c:v>100</c:v>
                </c:pt>
                <c:pt idx="63">
                  <c:v>-0.25999999977648258</c:v>
                </c:pt>
                <c:pt idx="64">
                  <c:v>100</c:v>
                </c:pt>
                <c:pt idx="65">
                  <c:v>100</c:v>
                </c:pt>
                <c:pt idx="66">
                  <c:v>-0.2900000000372529</c:v>
                </c:pt>
                <c:pt idx="67">
                  <c:v>100</c:v>
                </c:pt>
                <c:pt idx="68">
                  <c:v>-0.28999999980442226</c:v>
                </c:pt>
                <c:pt idx="69">
                  <c:v>100</c:v>
                </c:pt>
                <c:pt idx="70">
                  <c:v>-0.59000000008381903</c:v>
                </c:pt>
                <c:pt idx="71">
                  <c:v>-0.31000000005587935</c:v>
                </c:pt>
                <c:pt idx="72">
                  <c:v>-0.32000000006519258</c:v>
                </c:pt>
                <c:pt idx="73">
                  <c:v>-0.69999999995343387</c:v>
                </c:pt>
                <c:pt idx="74">
                  <c:v>-0.28000000002793968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0.69000000017695129</c:v>
                </c:pt>
                <c:pt idx="80">
                  <c:v>-2.0300000000279397</c:v>
                </c:pt>
                <c:pt idx="81">
                  <c:v>100</c:v>
                </c:pt>
                <c:pt idx="82">
                  <c:v>-6.0000000055879354E-2</c:v>
                </c:pt>
                <c:pt idx="83">
                  <c:v>-0.26000000000931323</c:v>
                </c:pt>
                <c:pt idx="84">
                  <c:v>100</c:v>
                </c:pt>
                <c:pt idx="85">
                  <c:v>-0.2900000000372529</c:v>
                </c:pt>
                <c:pt idx="86">
                  <c:v>0.44000000017695129</c:v>
                </c:pt>
                <c:pt idx="87">
                  <c:v>100</c:v>
                </c:pt>
                <c:pt idx="88">
                  <c:v>-0.40000000013969839</c:v>
                </c:pt>
                <c:pt idx="89">
                  <c:v>100</c:v>
                </c:pt>
                <c:pt idx="90">
                  <c:v>0.38000000012107193</c:v>
                </c:pt>
                <c:pt idx="91">
                  <c:v>0.44000000017695129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0</c:v>
                </c:pt>
                <c:pt idx="96">
                  <c:v>100</c:v>
                </c:pt>
                <c:pt idx="97">
                  <c:v>0.27000000001862645</c:v>
                </c:pt>
                <c:pt idx="98">
                  <c:v>100</c:v>
                </c:pt>
                <c:pt idx="99">
                  <c:v>-0.60999999986961484</c:v>
                </c:pt>
                <c:pt idx="100">
                  <c:v>-0.90999999991618097</c:v>
                </c:pt>
                <c:pt idx="101">
                  <c:v>100</c:v>
                </c:pt>
                <c:pt idx="102">
                  <c:v>0.68000000016763806</c:v>
                </c:pt>
                <c:pt idx="103">
                  <c:v>100</c:v>
                </c:pt>
                <c:pt idx="104">
                  <c:v>-0.61999999987892807</c:v>
                </c:pt>
                <c:pt idx="105">
                  <c:v>100</c:v>
                </c:pt>
                <c:pt idx="106">
                  <c:v>100</c:v>
                </c:pt>
                <c:pt idx="107">
                  <c:v>-0.37999999988824129</c:v>
                </c:pt>
                <c:pt idx="108">
                  <c:v>1.0800000000745058</c:v>
                </c:pt>
                <c:pt idx="109">
                  <c:v>-0.21999999997206032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0.10000000009313226</c:v>
                </c:pt>
                <c:pt idx="115">
                  <c:v>100</c:v>
                </c:pt>
                <c:pt idx="116">
                  <c:v>0.93999999994412065</c:v>
                </c:pt>
                <c:pt idx="117">
                  <c:v>-1.2899999998044223</c:v>
                </c:pt>
                <c:pt idx="118">
                  <c:v>-0.33999999985098839</c:v>
                </c:pt>
                <c:pt idx="119">
                  <c:v>-0.75999999977648258</c:v>
                </c:pt>
                <c:pt idx="120">
                  <c:v>-0.36999999987892807</c:v>
                </c:pt>
                <c:pt idx="121">
                  <c:v>1.0000000009313226E-2</c:v>
                </c:pt>
                <c:pt idx="122">
                  <c:v>0.70000000018626451</c:v>
                </c:pt>
                <c:pt idx="123">
                  <c:v>0.61999999987892807</c:v>
                </c:pt>
                <c:pt idx="124">
                  <c:v>0.19999999995343387</c:v>
                </c:pt>
                <c:pt idx="125">
                  <c:v>-0.33000000007450581</c:v>
                </c:pt>
                <c:pt idx="126">
                  <c:v>-0.22999999998137355</c:v>
                </c:pt>
                <c:pt idx="127">
                  <c:v>-0.34999999986030161</c:v>
                </c:pt>
                <c:pt idx="128">
                  <c:v>0.11999999987892807</c:v>
                </c:pt>
                <c:pt idx="129">
                  <c:v>0.11999999987892807</c:v>
                </c:pt>
                <c:pt idx="130">
                  <c:v>100</c:v>
                </c:pt>
                <c:pt idx="131">
                  <c:v>100</c:v>
                </c:pt>
                <c:pt idx="132">
                  <c:v>0.24000000022351742</c:v>
                </c:pt>
                <c:pt idx="133">
                  <c:v>0.96999999997206032</c:v>
                </c:pt>
                <c:pt idx="134">
                  <c:v>0.66999999992549419</c:v>
                </c:pt>
                <c:pt idx="135">
                  <c:v>0.47999999998137355</c:v>
                </c:pt>
                <c:pt idx="136">
                  <c:v>0.46999999997206032</c:v>
                </c:pt>
                <c:pt idx="137">
                  <c:v>0.5400000000372529</c:v>
                </c:pt>
                <c:pt idx="138">
                  <c:v>0.38999999989755452</c:v>
                </c:pt>
                <c:pt idx="139">
                  <c:v>0.66999999992549419</c:v>
                </c:pt>
                <c:pt idx="140">
                  <c:v>1.1899999999441206</c:v>
                </c:pt>
                <c:pt idx="141">
                  <c:v>100</c:v>
                </c:pt>
                <c:pt idx="142">
                  <c:v>100</c:v>
                </c:pt>
                <c:pt idx="143">
                  <c:v>-0.65999999991618097</c:v>
                </c:pt>
                <c:pt idx="144">
                  <c:v>-0.31999999983236194</c:v>
                </c:pt>
                <c:pt idx="145">
                  <c:v>0.26000000000931323</c:v>
                </c:pt>
                <c:pt idx="146">
                  <c:v>-0.13000000012107193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C0-4792-AB50-FC249568E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46944"/>
        <c:axId val="400946552"/>
      </c:scatterChart>
      <c:valAx>
        <c:axId val="400946944"/>
        <c:scaling>
          <c:orientation val="minMax"/>
          <c:max val="2.5"/>
          <c:min val="-2.5"/>
        </c:scaling>
        <c:delete val="0"/>
        <c:axPos val="b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19050"/>
        </c:spPr>
        <c:crossAx val="400946552"/>
        <c:crosses val="autoZero"/>
        <c:crossBetween val="midCat"/>
      </c:valAx>
      <c:valAx>
        <c:axId val="400946552"/>
        <c:scaling>
          <c:orientation val="minMax"/>
          <c:max val="2.5"/>
          <c:min val="-2.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\ &quot;m&quot;" sourceLinked="0"/>
        <c:majorTickMark val="out"/>
        <c:minorTickMark val="none"/>
        <c:tickLblPos val="nextTo"/>
        <c:crossAx val="40094694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317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324334458192763E-2"/>
          <c:y val="3.2997407710660481E-2"/>
          <c:w val="0.89577524048432056"/>
          <c:h val="0.855873055232314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устьев скважин'!$AF$29:$AG$29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2D-41C0-80A3-31525B790EA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C2D-41C0-80A3-31525B790E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C2D-41C0-80A3-31525B790EA2}"/>
              </c:ext>
            </c:extLst>
          </c:dPt>
          <c:dLbls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2D-41C0-80A3-31525B790EA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2D-41C0-80A3-31525B790EA2}"/>
                </c:ext>
              </c:extLst>
            </c:dLbl>
            <c:dLbl>
              <c:idx val="22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2D-41C0-80A3-31525B790EA2}"/>
                </c:ext>
              </c:extLst>
            </c:dLbl>
            <c:dLbl>
              <c:idx val="25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2D-41C0-80A3-31525B790EA2}"/>
                </c:ext>
              </c:extLst>
            </c:dLbl>
            <c:dLbl>
              <c:idx val="26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C2D-41C0-80A3-31525B790EA2}"/>
                </c:ext>
              </c:extLst>
            </c:dLbl>
            <c:dLbl>
              <c:idx val="27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2D-41C0-80A3-31525B790EA2}"/>
                </c:ext>
              </c:extLst>
            </c:dLbl>
            <c:dLbl>
              <c:idx val="28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C2D-41C0-80A3-31525B790EA2}"/>
                </c:ext>
              </c:extLst>
            </c:dLbl>
            <c:dLbl>
              <c:idx val="29"/>
              <c:delete val="1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2D-41C0-80A3-31525B790EA2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устьев скважин'!$AH$31:$AH$63</c:f>
              <c:numCache>
                <c:formatCode>General</c:formatCode>
                <c:ptCount val="33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0.30000000000000004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0.79999999999999993</c:v>
                </c:pt>
                <c:pt idx="11">
                  <c:v>0.89999999999999991</c:v>
                </c:pt>
                <c:pt idx="12">
                  <c:v>0.99999999999999989</c:v>
                </c:pt>
                <c:pt idx="13">
                  <c:v>1.0999999999999999</c:v>
                </c:pt>
                <c:pt idx="14">
                  <c:v>1.2</c:v>
                </c:pt>
                <c:pt idx="15">
                  <c:v>1.3</c:v>
                </c:pt>
                <c:pt idx="16">
                  <c:v>1.4000000000000001</c:v>
                </c:pt>
                <c:pt idx="17">
                  <c:v>1.5000000000000002</c:v>
                </c:pt>
                <c:pt idx="18">
                  <c:v>1.6000000000000003</c:v>
                </c:pt>
                <c:pt idx="19">
                  <c:v>1.7000000000000004</c:v>
                </c:pt>
                <c:pt idx="20">
                  <c:v>1.8000000000000005</c:v>
                </c:pt>
                <c:pt idx="21">
                  <c:v>1.9000000000000006</c:v>
                </c:pt>
                <c:pt idx="22">
                  <c:v>2.0000000000000004</c:v>
                </c:pt>
                <c:pt idx="23">
                  <c:v>2.1000000000000005</c:v>
                </c:pt>
                <c:pt idx="24">
                  <c:v>2.2000000000000006</c:v>
                </c:pt>
                <c:pt idx="25">
                  <c:v>2.3000000000000007</c:v>
                </c:pt>
                <c:pt idx="26">
                  <c:v>2.4000000000000008</c:v>
                </c:pt>
                <c:pt idx="27">
                  <c:v>2.5000000000000009</c:v>
                </c:pt>
                <c:pt idx="28">
                  <c:v>2.600000000000001</c:v>
                </c:pt>
                <c:pt idx="29">
                  <c:v>2.7000000000000011</c:v>
                </c:pt>
                <c:pt idx="30">
                  <c:v>2.8000000000000012</c:v>
                </c:pt>
                <c:pt idx="31">
                  <c:v>2.9000000000000012</c:v>
                </c:pt>
                <c:pt idx="32">
                  <c:v>3.0000000000000013</c:v>
                </c:pt>
              </c:numCache>
            </c:numRef>
          </c:cat>
          <c:val>
            <c:numRef>
              <c:f>'[1]Точность устьев скважин'!$AG$31:$AG$63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18</c:v>
                </c:pt>
                <c:pt idx="3">
                  <c:v>43</c:v>
                </c:pt>
                <c:pt idx="4">
                  <c:v>54</c:v>
                </c:pt>
                <c:pt idx="5">
                  <c:v>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2D-41C0-80A3-31525B790EA2}"/>
            </c:ext>
          </c:extLst>
        </c:ser>
        <c:ser>
          <c:idx val="1"/>
          <c:order val="1"/>
          <c:tx>
            <c:strRef>
              <c:f>'[1]Точность устьев скважин'!$AI$29:$AJ$29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устьев скважин'!$AH$31:$AH$63</c:f>
              <c:numCache>
                <c:formatCode>General</c:formatCode>
                <c:ptCount val="33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0.30000000000000004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0.79999999999999993</c:v>
                </c:pt>
                <c:pt idx="11">
                  <c:v>0.89999999999999991</c:v>
                </c:pt>
                <c:pt idx="12">
                  <c:v>0.99999999999999989</c:v>
                </c:pt>
                <c:pt idx="13">
                  <c:v>1.0999999999999999</c:v>
                </c:pt>
                <c:pt idx="14">
                  <c:v>1.2</c:v>
                </c:pt>
                <c:pt idx="15">
                  <c:v>1.3</c:v>
                </c:pt>
                <c:pt idx="16">
                  <c:v>1.4000000000000001</c:v>
                </c:pt>
                <c:pt idx="17">
                  <c:v>1.5000000000000002</c:v>
                </c:pt>
                <c:pt idx="18">
                  <c:v>1.6000000000000003</c:v>
                </c:pt>
                <c:pt idx="19">
                  <c:v>1.7000000000000004</c:v>
                </c:pt>
                <c:pt idx="20">
                  <c:v>1.8000000000000005</c:v>
                </c:pt>
                <c:pt idx="21">
                  <c:v>1.9000000000000006</c:v>
                </c:pt>
                <c:pt idx="22">
                  <c:v>2.0000000000000004</c:v>
                </c:pt>
                <c:pt idx="23">
                  <c:v>2.1000000000000005</c:v>
                </c:pt>
                <c:pt idx="24">
                  <c:v>2.2000000000000006</c:v>
                </c:pt>
                <c:pt idx="25">
                  <c:v>2.3000000000000007</c:v>
                </c:pt>
                <c:pt idx="26">
                  <c:v>2.4000000000000008</c:v>
                </c:pt>
                <c:pt idx="27">
                  <c:v>2.5000000000000009</c:v>
                </c:pt>
                <c:pt idx="28">
                  <c:v>2.600000000000001</c:v>
                </c:pt>
                <c:pt idx="29">
                  <c:v>2.7000000000000011</c:v>
                </c:pt>
                <c:pt idx="30">
                  <c:v>2.8000000000000012</c:v>
                </c:pt>
                <c:pt idx="31">
                  <c:v>2.9000000000000012</c:v>
                </c:pt>
                <c:pt idx="32">
                  <c:v>3.0000000000000013</c:v>
                </c:pt>
              </c:numCache>
            </c:numRef>
          </c:cat>
          <c:val>
            <c:numRef>
              <c:f>'[1]Точность устьев скважин'!$AJ$31:$AJ$63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29</c:v>
                </c:pt>
                <c:pt idx="7">
                  <c:v>23</c:v>
                </c:pt>
                <c:pt idx="8">
                  <c:v>16</c:v>
                </c:pt>
                <c:pt idx="9">
                  <c:v>13</c:v>
                </c:pt>
                <c:pt idx="10">
                  <c:v>10</c:v>
                </c:pt>
                <c:pt idx="11">
                  <c:v>6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C2D-41C0-80A3-31525B790E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8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проектного расположения</a:t>
                </a:r>
                <a:r>
                  <a:rPr lang="ru-RU" sz="1200" baseline="0"/>
                  <a:t> (м)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'[1]Точность глубин скважин '!$AF$4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explosion val="13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4C-40C5-861E-2B23624153D2}"/>
              </c:ext>
            </c:extLst>
          </c:dPt>
          <c:dPt>
            <c:idx val="1"/>
            <c:bubble3D val="0"/>
            <c:explosion val="4"/>
            <c:spPr>
              <a:solidFill>
                <a:srgbClr val="92D050"/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4C-40C5-861E-2B23624153D2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4C-40C5-861E-2B23624153D2}"/>
              </c:ext>
            </c:extLst>
          </c:dPt>
          <c:dLbls>
            <c:dLbl>
              <c:idx val="0"/>
              <c:layout>
                <c:manualLayout>
                  <c:x val="-0.15372546487975461"/>
                  <c:y val="2.99785724022849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4C-40C5-861E-2B23624153D2}"/>
                </c:ext>
              </c:extLst>
            </c:dLbl>
            <c:dLbl>
              <c:idx val="1"/>
              <c:layout>
                <c:manualLayout>
                  <c:x val="0.19032676604160098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4C-40C5-861E-2B23624153D2}"/>
                </c:ext>
              </c:extLst>
            </c:dLbl>
            <c:dLbl>
              <c:idx val="2"/>
              <c:layout>
                <c:manualLayout>
                  <c:x val="-0.15738559499593927"/>
                  <c:y val="-7.49464310057122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4C-40C5-861E-2B23624153D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80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'[1]Точность глубин скважин '!$AG$2:$AI$2</c:f>
              <c:strCache>
                <c:ptCount val="3"/>
                <c:pt idx="0">
                  <c:v>Недобуренные</c:v>
                </c:pt>
                <c:pt idx="1">
                  <c:v>Перебуренные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глубин скважин '!$AG$4:$AI$4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4C-40C5-861E-2B23624153D2}"/>
            </c:ext>
          </c:extLst>
        </c:ser>
        <c:ser>
          <c:idx val="1"/>
          <c:order val="1"/>
          <c:tx>
            <c:strRef>
              <c:f>'[1]Точность глубин скважин '!$AF$5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E4C-40C5-861E-2B23624153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E4C-40C5-861E-2B23624153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E4C-40C5-861E-2B23624153D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'[1]Точность глубин скважин '!$AG$2:$AI$2</c:f>
              <c:strCache>
                <c:ptCount val="3"/>
                <c:pt idx="0">
                  <c:v>Недобуренные</c:v>
                </c:pt>
                <c:pt idx="1">
                  <c:v>Перебуренные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глубин скважин '!$AG$5:$AI$5</c:f>
              <c:numCache>
                <c:formatCode>General</c:formatCode>
                <c:ptCount val="3"/>
                <c:pt idx="0">
                  <c:v>0.27272727272727271</c:v>
                </c:pt>
                <c:pt idx="1">
                  <c:v>0</c:v>
                </c:pt>
                <c:pt idx="2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4C-40C5-861E-2B23624153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pct5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74437365976318E-2"/>
          <c:y val="5.073112591700072E-2"/>
          <c:w val="0.89577524048432056"/>
          <c:h val="0.82978905692065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глубин скважин '!$AC$29:$AD$29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C-4370-BA79-65E76D9776F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92C-4370-BA79-65E76D9776F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2C-4370-BA79-65E76D9776FF}"/>
              </c:ext>
            </c:extLst>
          </c:dPt>
          <c:dLbls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92C-4370-BA79-65E76D977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глубин скважин '!$AE$31:$AE$71</c:f>
              <c:numCache>
                <c:formatCode>General</c:formatCode>
                <c:ptCount val="4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1.9</c:v>
                </c:pt>
                <c:pt idx="30">
                  <c:v>2</c:v>
                </c:pt>
                <c:pt idx="31">
                  <c:v>2.1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2.6</c:v>
                </c:pt>
                <c:pt idx="37">
                  <c:v>2.7</c:v>
                </c:pt>
                <c:pt idx="38">
                  <c:v>2.8</c:v>
                </c:pt>
                <c:pt idx="39">
                  <c:v>2.9</c:v>
                </c:pt>
                <c:pt idx="40">
                  <c:v>3</c:v>
                </c:pt>
              </c:numCache>
            </c:numRef>
          </c:cat>
          <c:val>
            <c:numRef>
              <c:f>'[1]Точность глубин скважин '!$AD$31:$AD$71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2C-4370-BA79-65E76D9776FF}"/>
            </c:ext>
          </c:extLst>
        </c:ser>
        <c:ser>
          <c:idx val="1"/>
          <c:order val="1"/>
          <c:tx>
            <c:strRef>
              <c:f>'[1]Точность глубин скважин '!$AF$29:$AG$29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'[1]Точность глубин скважин '!$AE$31:$AE$71</c:f>
              <c:numCache>
                <c:formatCode>General</c:formatCode>
                <c:ptCount val="4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1.9</c:v>
                </c:pt>
                <c:pt idx="30">
                  <c:v>2</c:v>
                </c:pt>
                <c:pt idx="31">
                  <c:v>2.1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2.6</c:v>
                </c:pt>
                <c:pt idx="37">
                  <c:v>2.7</c:v>
                </c:pt>
                <c:pt idx="38">
                  <c:v>2.8</c:v>
                </c:pt>
                <c:pt idx="39">
                  <c:v>2.9</c:v>
                </c:pt>
                <c:pt idx="40">
                  <c:v>3</c:v>
                </c:pt>
              </c:numCache>
            </c:numRef>
          </c:cat>
          <c:val>
            <c:numRef>
              <c:f>'[1]Точность глубин скважин '!$AG$31:$AG$71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2C-4370-BA79-65E76D9776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проектной глубины</a:t>
                </a:r>
                <a:r>
                  <a:rPr lang="ru-RU" sz="1200" baseline="0"/>
                  <a:t> (м)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'[1]Точность массы ВВ в скважинах'!$AF$4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explosion val="13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E2-4B2D-AFF5-A1ED7E108D50}"/>
              </c:ext>
            </c:extLst>
          </c:dPt>
          <c:dPt>
            <c:idx val="1"/>
            <c:bubble3D val="0"/>
            <c:explosion val="4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E2-4B2D-AFF5-A1ED7E108D50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E2-4B2D-AFF5-A1ED7E108D50}"/>
              </c:ext>
            </c:extLst>
          </c:dPt>
          <c:dLbls>
            <c:dLbl>
              <c:idx val="1"/>
              <c:layout>
                <c:manualLayout>
                  <c:x val="0.17440105754314378"/>
                  <c:y val="-2.411712796529114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E2-4B2D-AFF5-A1ED7E108D5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80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'[1]Точность массы ВВ в скважинах'!$AG$2:$AI$2</c:f>
              <c:strCache>
                <c:ptCount val="3"/>
                <c:pt idx="0">
                  <c:v>Недозаряженные</c:v>
                </c:pt>
                <c:pt idx="1">
                  <c:v>Перезаряженные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массы ВВ в скважинах'!$AG$4:$AI$4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E2-4B2D-AFF5-A1ED7E108D50}"/>
            </c:ext>
          </c:extLst>
        </c:ser>
        <c:ser>
          <c:idx val="1"/>
          <c:order val="1"/>
          <c:tx>
            <c:strRef>
              <c:f>'[1]Точность массы ВВ в скважинах'!$AF$5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FE2-4B2D-AFF5-A1ED7E108D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FE2-4B2D-AFF5-A1ED7E108D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FE2-4B2D-AFF5-A1ED7E108D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'[1]Точность массы ВВ в скважинах'!$AG$2:$AI$2</c:f>
              <c:strCache>
                <c:ptCount val="3"/>
                <c:pt idx="0">
                  <c:v>Недозаряженные</c:v>
                </c:pt>
                <c:pt idx="1">
                  <c:v>Перезаряженные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массы ВВ в скважинах'!$AG$5:$AI$5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FE2-4B2D-AFF5-A1ED7E108D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pct5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74437365976318E-2"/>
          <c:y val="5.073112591700072E-2"/>
          <c:w val="0.89577524048432056"/>
          <c:h val="0.82820706309358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массы ВВ в скважинах'!$AC$29:$AD$29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E-41E0-A8C0-D279D74B27F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F1E-41E0-A8C0-D279D74B27F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F1E-41E0-A8C0-D279D74B27F4}"/>
              </c:ext>
            </c:extLst>
          </c:dPt>
          <c:dLbls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массы ВВ в скважинах'!$AE$31:$AE$71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'[1]Точность массы ВВ в скважинах'!$AD$31:$AD$71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E-41E0-A8C0-D279D74B27F4}"/>
            </c:ext>
          </c:extLst>
        </c:ser>
        <c:ser>
          <c:idx val="1"/>
          <c:order val="1"/>
          <c:tx>
            <c:strRef>
              <c:f>'[1]Точность массы ВВ в скважинах'!$AF$29:$AG$29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массы ВВ в скважинах'!$AE$31:$AE$71</c:f>
              <c:numCache>
                <c:formatCode>General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'[1]Точность массы ВВ в скважинах'!$AG$31:$AG$71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1E-41E0-A8C0-D279D74B2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проектной массы ВВ</a:t>
                </a:r>
                <a:r>
                  <a:rPr lang="ru-RU" sz="1200" baseline="0"/>
                  <a:t> (кг)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'[1]Точность недозаряда в скважинах'!$AF$4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explosion val="13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15-412C-B14D-763CA7EC1B4A}"/>
              </c:ext>
            </c:extLst>
          </c:dPt>
          <c:dPt>
            <c:idx val="1"/>
            <c:bubble3D val="0"/>
            <c:explosion val="4"/>
            <c:spPr>
              <a:solidFill>
                <a:srgbClr val="FF0000"/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15-412C-B14D-763CA7EC1B4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15-412C-B14D-763CA7EC1B4A}"/>
              </c:ext>
            </c:extLst>
          </c:dPt>
          <c:dLbls>
            <c:dLbl>
              <c:idx val="0"/>
              <c:layout>
                <c:manualLayout>
                  <c:x val="0.15042284305098286"/>
                  <c:y val="7.4975219229488085E-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15-412C-B14D-763CA7EC1B4A}"/>
                </c:ext>
              </c:extLst>
            </c:dLbl>
            <c:dLbl>
              <c:idx val="1"/>
              <c:layout>
                <c:manualLayout>
                  <c:x val="0.22325939566035544"/>
                  <c:y val="1.24910718342853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15-412C-B14D-763CA7EC1B4A}"/>
                </c:ext>
              </c:extLst>
            </c:dLbl>
            <c:dLbl>
              <c:idx val="2"/>
              <c:layout>
                <c:manualLayout>
                  <c:x val="-9.693009471673035E-2"/>
                  <c:y val="7.91426729736729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15-412C-B14D-763CA7EC1B4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80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'[1]Точность недозаряда в скважинах'!$AG$2:$AI$2</c:f>
              <c:strCache>
                <c:ptCount val="3"/>
                <c:pt idx="0">
                  <c:v>Длина недозаряда &lt; проектного</c:v>
                </c:pt>
                <c:pt idx="1">
                  <c:v>Длина недозаряда &gt; проектного</c:v>
                </c:pt>
                <c:pt idx="2">
                  <c:v>Проектная</c:v>
                </c:pt>
              </c:strCache>
            </c:strRef>
          </c:cat>
          <c:val>
            <c:numRef>
              <c:f>'[1]Точность недозаряда в скважинах'!$AG$4:$AI$4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15-412C-B14D-763CA7EC1B4A}"/>
            </c:ext>
          </c:extLst>
        </c:ser>
        <c:ser>
          <c:idx val="1"/>
          <c:order val="1"/>
          <c:tx>
            <c:strRef>
              <c:f>'[1]Точность недозаряда в скважинах'!$AF$5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815-412C-B14D-763CA7EC1B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2815-412C-B14D-763CA7EC1B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815-412C-B14D-763CA7EC1B4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'[1]Точность недозаряда в скважинах'!$AG$2:$AI$2</c:f>
              <c:strCache>
                <c:ptCount val="3"/>
                <c:pt idx="0">
                  <c:v>Длина недозаряда &lt; проектного</c:v>
                </c:pt>
                <c:pt idx="1">
                  <c:v>Длина недозаряда &gt; проектного</c:v>
                </c:pt>
                <c:pt idx="2">
                  <c:v>Проектная</c:v>
                </c:pt>
              </c:strCache>
            </c:strRef>
          </c:cat>
          <c:val>
            <c:numRef>
              <c:f>'[1]Точность недозаряда в скважинах'!$AG$5:$AI$5</c:f>
              <c:numCache>
                <c:formatCode>General</c:formatCode>
                <c:ptCount val="3"/>
                <c:pt idx="0">
                  <c:v>9.0909090909090912E-2</c:v>
                </c:pt>
                <c:pt idx="1">
                  <c:v>0.27272727272727271</c:v>
                </c:pt>
                <c:pt idx="2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15-412C-B14D-763CA7EC1B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pct5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74437365976318E-2"/>
          <c:y val="5.073112591700072E-2"/>
          <c:w val="0.89577524048432056"/>
          <c:h val="0.82820706309358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недозаряда в скважинах'!$AC$29:$AD$29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F1-461A-B5D3-0293084D723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DF1-461A-B5D3-0293084D723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DF1-461A-B5D3-0293084D723F}"/>
              </c:ext>
            </c:extLst>
          </c:dPt>
          <c:dLbls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F1-461A-B5D3-0293084D723F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F1-461A-B5D3-0293084D723F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F1-461A-B5D3-0293084D723F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F1-461A-B5D3-0293084D723F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недозаряда в скважинах'!$AE$31:$AE$85</c:f>
              <c:numCache>
                <c:formatCode>General</c:formatCode>
                <c:ptCount val="55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</c:numCache>
            </c:numRef>
          </c:cat>
          <c:val>
            <c:numRef>
              <c:f>'[1]Точность недозаряда в скважинах'!$AD$31:$AD$85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F1-461A-B5D3-0293084D723F}"/>
            </c:ext>
          </c:extLst>
        </c:ser>
        <c:ser>
          <c:idx val="1"/>
          <c:order val="1"/>
          <c:tx>
            <c:strRef>
              <c:f>'[1]Точность недозаряда в скважинах'!$AF$29:$AG$29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F1-461A-B5D3-0293084D723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F1-461A-B5D3-0293084D723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F1-461A-B5D3-0293084D723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F1-461A-B5D3-0293084D723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F1-461A-B5D3-0293084D723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F1-461A-B5D3-0293084D723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F1-461A-B5D3-0293084D723F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F1-461A-B5D3-0293084D723F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недозаряда в скважинах'!$AE$31:$AE$85</c:f>
              <c:numCache>
                <c:formatCode>General</c:formatCode>
                <c:ptCount val="55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</c:numCache>
            </c:numRef>
          </c:cat>
          <c:val>
            <c:numRef>
              <c:f>'[1]Точность недозаряда в скважинах'!$AG$31:$AG$85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DF1-461A-B5D3-0293084D72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проектной величины</a:t>
                </a:r>
                <a:r>
                  <a:rPr lang="ru-RU" sz="1200" baseline="0"/>
                  <a:t> недозаряда (м)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294409</xdr:colOff>
      <xdr:row>6</xdr:row>
      <xdr:rowOff>17318</xdr:rowOff>
    </xdr:from>
    <xdr:to>
      <xdr:col>21</xdr:col>
      <xdr:colOff>190500</xdr:colOff>
      <xdr:row>35</xdr:row>
      <xdr:rowOff>86591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DD87AE8-C3A4-43C7-A78F-A685C3ECD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204106</xdr:colOff>
      <xdr:row>37</xdr:row>
      <xdr:rowOff>163285</xdr:rowOff>
    </xdr:from>
    <xdr:to>
      <xdr:col>22</xdr:col>
      <xdr:colOff>457200</xdr:colOff>
      <xdr:row>71</xdr:row>
      <xdr:rowOff>13854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92F257-139B-4811-A42C-AAE701D30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27215</xdr:rowOff>
    </xdr:from>
    <xdr:to>
      <xdr:col>17</xdr:col>
      <xdr:colOff>27215</xdr:colOff>
      <xdr:row>33</xdr:row>
      <xdr:rowOff>190503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59D40-26F7-4A4D-95C2-902E4ADF7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19</xdr:col>
      <xdr:colOff>429491</xdr:colOff>
      <xdr:row>71</xdr:row>
      <xdr:rowOff>27709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BA8E1-AB71-4367-92F8-5669FA4DC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16</xdr:col>
      <xdr:colOff>571502</xdr:colOff>
      <xdr:row>33</xdr:row>
      <xdr:rowOff>163288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84CEA06-2023-4D13-81BA-CB26E44E0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19</xdr:col>
      <xdr:colOff>290946</xdr:colOff>
      <xdr:row>71</xdr:row>
      <xdr:rowOff>27708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C3BF2-C9CF-4503-997C-4AE08D9FE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462642</xdr:colOff>
      <xdr:row>7</xdr:row>
      <xdr:rowOff>163285</xdr:rowOff>
    </xdr:from>
    <xdr:to>
      <xdr:col>17</xdr:col>
      <xdr:colOff>217715</xdr:colOff>
      <xdr:row>33</xdr:row>
      <xdr:rowOff>122466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12D0606-8955-4D92-AD00-1B3F6993D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367392</xdr:colOff>
      <xdr:row>36</xdr:row>
      <xdr:rowOff>122465</xdr:rowOff>
    </xdr:from>
    <xdr:to>
      <xdr:col>19</xdr:col>
      <xdr:colOff>478230</xdr:colOff>
      <xdr:row>71</xdr:row>
      <xdr:rowOff>150174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F9D0F-4F92-432F-A224-165002A17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pypypypy/QualityControl/&#1055;&#1088;&#1080;&#1084;&#1077;&#1088;_&#1050;&#1086;&#1085;&#1090;&#1088;&#1086;&#1083;&#1100;%20&#1082;&#1072;&#1095;&#1077;&#1089;&#1090;&#1074;&#1072;%20&#8212;%20&#1082;&#1086;&#1087;&#1080;&#1103;.xlsx" TargetMode="External"/><Relationship Id="rId2" Type="http://schemas.openxmlformats.org/officeDocument/2006/relationships/externalLinkPath" Target="file:///C:\Users\Adil\Desktop\pypypypy\QualityControl\&#1055;&#1088;&#1080;&#1084;&#1077;&#1088;_&#1050;&#1086;&#1085;&#1090;&#1088;&#1086;&#1083;&#1100;%20&#1082;&#1072;&#1095;&#1077;&#1089;&#1090;&#1074;&#1072;%20&#8212;%20&#1082;&#1086;&#1087;&#1080;&#1103;.xlsx" TargetMode="External"/><Relationship Id="rId1" Type="http://schemas.openxmlformats.org/officeDocument/2006/relationships/externalLinkPath" Target="/Users/Adil/Desktop/pypypypy/QualityControl/&#1055;&#1088;&#1080;&#1084;&#1077;&#1088;_&#1050;&#1086;&#1085;&#1090;&#1088;&#1086;&#1083;&#1100;%20&#1082;&#1072;&#1095;&#1077;&#1089;&#1090;&#1074;&#1072;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Точность устьев скважин"/>
      <sheetName val="Лист1"/>
      <sheetName val="Точность глубин скважин "/>
      <sheetName val="Точность массы ВВ в скважинах"/>
      <sheetName val="Точность недозаряда в скважинах"/>
    </sheetNames>
    <sheetDataSet>
      <sheetData sheetId="0">
        <row r="3">
          <cell r="X3" t="str">
            <v>In Spec</v>
          </cell>
          <cell r="Z3" t="str">
            <v>Out of Spec</v>
          </cell>
        </row>
        <row r="4">
          <cell r="AD4" t="str">
            <v>Tolerance</v>
          </cell>
        </row>
        <row r="5">
          <cell r="X5">
            <v>100</v>
          </cell>
          <cell r="Y5">
            <v>100</v>
          </cell>
          <cell r="Z5">
            <v>1.1000000005587935</v>
          </cell>
          <cell r="AA5">
            <v>0.11999999987892807</v>
          </cell>
          <cell r="AH5">
            <v>0.3</v>
          </cell>
          <cell r="AI5">
            <v>0</v>
          </cell>
        </row>
        <row r="6">
          <cell r="X6">
            <v>100</v>
          </cell>
          <cell r="Y6">
            <v>100</v>
          </cell>
          <cell r="Z6">
            <v>0.40000000037252903</v>
          </cell>
          <cell r="AA6">
            <v>-0.23999999999068677</v>
          </cell>
          <cell r="AH6">
            <v>0.28531688678350103</v>
          </cell>
          <cell r="AI6">
            <v>9.2705307917998164E-2</v>
          </cell>
        </row>
        <row r="7">
          <cell r="X7">
            <v>100</v>
          </cell>
          <cell r="Y7">
            <v>100</v>
          </cell>
          <cell r="Z7">
            <v>0.87000000011175871</v>
          </cell>
          <cell r="AA7">
            <v>-6.0000000055879354E-2</v>
          </cell>
          <cell r="AH7">
            <v>0.24270483922552763</v>
          </cell>
          <cell r="AI7">
            <v>0.17633593228979388</v>
          </cell>
        </row>
        <row r="8">
          <cell r="X8">
            <v>100</v>
          </cell>
          <cell r="Y8">
            <v>100</v>
          </cell>
          <cell r="Z8">
            <v>0.29999999981373549</v>
          </cell>
          <cell r="AA8">
            <v>-0.46000000019557774</v>
          </cell>
          <cell r="AH8">
            <v>0.17633504078395024</v>
          </cell>
          <cell r="AI8">
            <v>0.24270548694193667</v>
          </cell>
        </row>
        <row r="9">
          <cell r="X9">
            <v>100</v>
          </cell>
          <cell r="Y9">
            <v>100</v>
          </cell>
          <cell r="Z9">
            <v>0.88999999966472387</v>
          </cell>
          <cell r="AA9">
            <v>0.16000000014901161</v>
          </cell>
          <cell r="AH9">
            <v>9.2704259889928156E-2</v>
          </cell>
          <cell r="AI9">
            <v>0.28531722730718634</v>
          </cell>
        </row>
        <row r="10">
          <cell r="X10">
            <v>100</v>
          </cell>
          <cell r="Y10">
            <v>100</v>
          </cell>
          <cell r="Z10">
            <v>0.41000000014901161</v>
          </cell>
          <cell r="AA10">
            <v>-0.12999999988824129</v>
          </cell>
          <cell r="AH10">
            <v>-1.1019615310039644E-6</v>
          </cell>
          <cell r="AI10">
            <v>0.29999999999797611</v>
          </cell>
        </row>
        <row r="11">
          <cell r="X11">
            <v>-3.0000000260770321E-2</v>
          </cell>
          <cell r="Y11">
            <v>0.16999999992549419</v>
          </cell>
          <cell r="Z11">
            <v>100</v>
          </cell>
          <cell r="AA11">
            <v>100</v>
          </cell>
          <cell r="AH11">
            <v>-9.2706355944817354E-2</v>
          </cell>
          <cell r="AI11">
            <v>0.28531654625596609</v>
          </cell>
        </row>
        <row r="12">
          <cell r="X12">
            <v>100</v>
          </cell>
          <cell r="Y12">
            <v>100</v>
          </cell>
          <cell r="Z12">
            <v>-0.12999999988824129</v>
          </cell>
          <cell r="AA12">
            <v>-0.45000000018626451</v>
          </cell>
          <cell r="AH12">
            <v>-0.17633682379325841</v>
          </cell>
          <cell r="AI12">
            <v>0.24270419150584388</v>
          </cell>
        </row>
        <row r="13">
          <cell r="X13">
            <v>100</v>
          </cell>
          <cell r="Y13">
            <v>100</v>
          </cell>
          <cell r="Z13">
            <v>0</v>
          </cell>
          <cell r="AA13">
            <v>-0.32000000006519258</v>
          </cell>
          <cell r="AH13">
            <v>-0.24270613465507104</v>
          </cell>
          <cell r="AI13">
            <v>0.17633414927572741</v>
          </cell>
        </row>
        <row r="14">
          <cell r="X14">
            <v>7.0000000298023224E-2</v>
          </cell>
          <cell r="Y14">
            <v>-0.13000000012107193</v>
          </cell>
          <cell r="Z14">
            <v>100</v>
          </cell>
          <cell r="AA14">
            <v>100</v>
          </cell>
          <cell r="AH14">
            <v>-0.28531756782702211</v>
          </cell>
          <cell r="AI14">
            <v>9.270321186060726E-2</v>
          </cell>
        </row>
        <row r="15">
          <cell r="X15">
            <v>0</v>
          </cell>
          <cell r="Y15">
            <v>0</v>
          </cell>
          <cell r="Z15">
            <v>100</v>
          </cell>
          <cell r="AA15">
            <v>100</v>
          </cell>
          <cell r="AH15">
            <v>-0.29999999999190452</v>
          </cell>
          <cell r="AI15">
            <v>-2.2039230619930609E-6</v>
          </cell>
        </row>
        <row r="16">
          <cell r="X16">
            <v>100</v>
          </cell>
          <cell r="Y16">
            <v>100</v>
          </cell>
          <cell r="Z16">
            <v>8.9999999850988388E-2</v>
          </cell>
          <cell r="AA16">
            <v>0.47999999998137355</v>
          </cell>
          <cell r="AH16">
            <v>-0.28531620572458144</v>
          </cell>
          <cell r="AI16">
            <v>-9.2707403970385779E-2</v>
          </cell>
        </row>
        <row r="17">
          <cell r="X17">
            <v>100</v>
          </cell>
          <cell r="Y17">
            <v>100</v>
          </cell>
          <cell r="Z17">
            <v>0.59999999962747097</v>
          </cell>
          <cell r="AA17">
            <v>-5.0000000046566129E-2</v>
          </cell>
          <cell r="AH17">
            <v>-0.2427035437828855</v>
          </cell>
          <cell r="AI17">
            <v>-0.17633771529434356</v>
          </cell>
        </row>
        <row r="18">
          <cell r="X18">
            <v>100</v>
          </cell>
          <cell r="Y18">
            <v>100</v>
          </cell>
          <cell r="Z18">
            <v>2.400000000372529</v>
          </cell>
          <cell r="AA18">
            <v>1.0000000009313226E-2</v>
          </cell>
          <cell r="AH18">
            <v>-0.17633325776512532</v>
          </cell>
          <cell r="AI18">
            <v>-0.24270678236493076</v>
          </cell>
        </row>
        <row r="19">
          <cell r="X19">
            <v>100</v>
          </cell>
          <cell r="Y19">
            <v>100</v>
          </cell>
          <cell r="Z19">
            <v>0.85999999940395355</v>
          </cell>
          <cell r="AA19">
            <v>0.23999999999068677</v>
          </cell>
          <cell r="AH19">
            <v>-9.2702163830035586E-2</v>
          </cell>
          <cell r="AI19">
            <v>-0.28531790834300819</v>
          </cell>
        </row>
        <row r="20">
          <cell r="X20">
            <v>0.12999999988824129</v>
          </cell>
          <cell r="Y20">
            <v>-0.26000000000931323</v>
          </cell>
          <cell r="Z20">
            <v>100</v>
          </cell>
          <cell r="AA20">
            <v>100</v>
          </cell>
          <cell r="AH20">
            <v>3.305884592885808E-6</v>
          </cell>
          <cell r="AI20">
            <v>-0.29999999998178517</v>
          </cell>
        </row>
        <row r="21">
          <cell r="X21">
            <v>100</v>
          </cell>
          <cell r="Y21">
            <v>100</v>
          </cell>
          <cell r="Z21">
            <v>0.41000000014901161</v>
          </cell>
          <cell r="AA21">
            <v>-0.36999999987892807</v>
          </cell>
          <cell r="AH21">
            <v>9.2708451994703234E-2</v>
          </cell>
          <cell r="AI21">
            <v>-0.28531586518934732</v>
          </cell>
        </row>
        <row r="22">
          <cell r="X22">
            <v>100</v>
          </cell>
          <cell r="Y22">
            <v>100</v>
          </cell>
          <cell r="Z22">
            <v>0.54999999981373549</v>
          </cell>
          <cell r="AA22">
            <v>1.0000000009313226E-2</v>
          </cell>
          <cell r="AH22">
            <v>0.17633860679304966</v>
          </cell>
          <cell r="AI22">
            <v>-0.24270289605665241</v>
          </cell>
        </row>
        <row r="23">
          <cell r="X23">
            <v>0</v>
          </cell>
          <cell r="Y23">
            <v>0</v>
          </cell>
          <cell r="Z23">
            <v>100</v>
          </cell>
          <cell r="AA23">
            <v>100</v>
          </cell>
          <cell r="AH23">
            <v>0.24270743007151574</v>
          </cell>
          <cell r="AI23">
            <v>-0.17633236625214407</v>
          </cell>
        </row>
        <row r="24">
          <cell r="X24">
            <v>100</v>
          </cell>
          <cell r="Y24">
            <v>100</v>
          </cell>
          <cell r="Z24">
            <v>-1.0000000707805157E-2</v>
          </cell>
          <cell r="AA24">
            <v>0.63999999989755452</v>
          </cell>
          <cell r="AH24">
            <v>0.28531824885514462</v>
          </cell>
          <cell r="AI24">
            <v>-9.2701115798213385E-2</v>
          </cell>
        </row>
        <row r="25">
          <cell r="X25">
            <v>100</v>
          </cell>
          <cell r="Y25">
            <v>100</v>
          </cell>
          <cell r="Z25">
            <v>0.33000000007450581</v>
          </cell>
          <cell r="AA25">
            <v>-6.9999999832361937E-2</v>
          </cell>
          <cell r="AH25">
            <v>0.29999999996761817</v>
          </cell>
          <cell r="AI25">
            <v>4.4078461238671772E-6</v>
          </cell>
        </row>
        <row r="26">
          <cell r="X26">
            <v>100</v>
          </cell>
          <cell r="Y26">
            <v>100</v>
          </cell>
          <cell r="Z26">
            <v>0.25999999977648258</v>
          </cell>
          <cell r="AA26">
            <v>-0.23999999999068677</v>
          </cell>
        </row>
        <row r="27">
          <cell r="X27">
            <v>100</v>
          </cell>
          <cell r="Y27">
            <v>100</v>
          </cell>
          <cell r="Z27">
            <v>0.78000000026077032</v>
          </cell>
          <cell r="AA27">
            <v>-1.0000000009313226E-2</v>
          </cell>
        </row>
        <row r="28">
          <cell r="X28">
            <v>100</v>
          </cell>
          <cell r="Y28">
            <v>100</v>
          </cell>
          <cell r="Z28">
            <v>0.40000000037252903</v>
          </cell>
          <cell r="AA28">
            <v>-5.0000000046566129E-2</v>
          </cell>
        </row>
        <row r="29">
          <cell r="X29">
            <v>-6.9999999366700649E-2</v>
          </cell>
          <cell r="Y29">
            <v>1.0000000009313226E-2</v>
          </cell>
          <cell r="Z29">
            <v>100</v>
          </cell>
          <cell r="AA29">
            <v>100</v>
          </cell>
          <cell r="AF29" t="str">
            <v>Below Tolerance</v>
          </cell>
          <cell r="AI29" t="str">
            <v>Above Tolerance</v>
          </cell>
        </row>
        <row r="30">
          <cell r="X30">
            <v>100</v>
          </cell>
          <cell r="Y30">
            <v>100</v>
          </cell>
          <cell r="Z30">
            <v>-0.5</v>
          </cell>
          <cell r="AA30">
            <v>0.5</v>
          </cell>
        </row>
        <row r="31">
          <cell r="X31">
            <v>0.12999999988824129</v>
          </cell>
          <cell r="Y31">
            <v>0.26000000000931323</v>
          </cell>
          <cell r="Z31">
            <v>100</v>
          </cell>
          <cell r="AA31">
            <v>100</v>
          </cell>
          <cell r="AG31">
            <v>0</v>
          </cell>
          <cell r="AH31">
            <v>-0.2</v>
          </cell>
          <cell r="AJ31" t="str">
            <v/>
          </cell>
        </row>
        <row r="32">
          <cell r="X32">
            <v>100</v>
          </cell>
          <cell r="Y32">
            <v>100</v>
          </cell>
          <cell r="Z32">
            <v>0.31000000052154064</v>
          </cell>
          <cell r="AA32">
            <v>-5.0000000046566129E-2</v>
          </cell>
          <cell r="AG32">
            <v>0</v>
          </cell>
          <cell r="AH32">
            <v>-0.1</v>
          </cell>
          <cell r="AJ32" t="str">
            <v/>
          </cell>
        </row>
        <row r="33">
          <cell r="X33">
            <v>-8.9999999850988388E-2</v>
          </cell>
          <cell r="Y33">
            <v>0</v>
          </cell>
          <cell r="Z33">
            <v>100</v>
          </cell>
          <cell r="AA33">
            <v>100</v>
          </cell>
          <cell r="AG33">
            <v>18</v>
          </cell>
          <cell r="AH33">
            <v>0</v>
          </cell>
          <cell r="AJ33" t="str">
            <v/>
          </cell>
        </row>
        <row r="34">
          <cell r="X34">
            <v>100</v>
          </cell>
          <cell r="Y34">
            <v>100</v>
          </cell>
          <cell r="Z34">
            <v>0.32000000029802322</v>
          </cell>
          <cell r="AA34">
            <v>-0.23999999999068677</v>
          </cell>
          <cell r="AG34">
            <v>43</v>
          </cell>
          <cell r="AH34">
            <v>0.1</v>
          </cell>
          <cell r="AJ34" t="str">
            <v/>
          </cell>
        </row>
        <row r="35">
          <cell r="X35">
            <v>100</v>
          </cell>
          <cell r="Y35">
            <v>100</v>
          </cell>
          <cell r="Z35">
            <v>1.1199999991804361</v>
          </cell>
          <cell r="AA35">
            <v>-0.60999999986961484</v>
          </cell>
          <cell r="AG35">
            <v>54</v>
          </cell>
          <cell r="AH35">
            <v>0.2</v>
          </cell>
          <cell r="AJ35" t="str">
            <v/>
          </cell>
        </row>
        <row r="36">
          <cell r="X36">
            <v>2.0000000484287739E-2</v>
          </cell>
          <cell r="Y36">
            <v>-6.0000000055879354E-2</v>
          </cell>
          <cell r="Z36">
            <v>100</v>
          </cell>
          <cell r="AA36">
            <v>100</v>
          </cell>
          <cell r="AG36">
            <v>47</v>
          </cell>
          <cell r="AH36">
            <v>0.30000000000000004</v>
          </cell>
          <cell r="AJ36" t="str">
            <v/>
          </cell>
        </row>
        <row r="37">
          <cell r="X37">
            <v>100</v>
          </cell>
          <cell r="Y37">
            <v>100</v>
          </cell>
          <cell r="Z37">
            <v>0.44000000040978193</v>
          </cell>
          <cell r="AA37">
            <v>-0.14999999990686774</v>
          </cell>
          <cell r="AG37" t="str">
            <v/>
          </cell>
          <cell r="AH37">
            <v>0.4</v>
          </cell>
          <cell r="AJ37">
            <v>29</v>
          </cell>
        </row>
        <row r="38">
          <cell r="X38">
            <v>3.0000000260770321E-2</v>
          </cell>
          <cell r="Y38">
            <v>0.28000000002793968</v>
          </cell>
          <cell r="Z38">
            <v>100</v>
          </cell>
          <cell r="AA38">
            <v>100</v>
          </cell>
          <cell r="AG38" t="str">
            <v/>
          </cell>
          <cell r="AH38">
            <v>0.5</v>
          </cell>
          <cell r="AJ38">
            <v>23</v>
          </cell>
        </row>
        <row r="39">
          <cell r="X39">
            <v>100</v>
          </cell>
          <cell r="Y39">
            <v>100</v>
          </cell>
          <cell r="Z39">
            <v>-0.37000000011175871</v>
          </cell>
          <cell r="AA39">
            <v>8.0000000074505806E-2</v>
          </cell>
          <cell r="AG39" t="str">
            <v/>
          </cell>
          <cell r="AH39">
            <v>0.6</v>
          </cell>
          <cell r="AJ39">
            <v>16</v>
          </cell>
        </row>
        <row r="40">
          <cell r="X40">
            <v>-9.9999997764825821E-3</v>
          </cell>
          <cell r="Y40">
            <v>-0.17999999993480742</v>
          </cell>
          <cell r="Z40">
            <v>100</v>
          </cell>
          <cell r="AA40">
            <v>100</v>
          </cell>
          <cell r="AG40" t="str">
            <v/>
          </cell>
          <cell r="AH40">
            <v>0.7</v>
          </cell>
          <cell r="AJ40">
            <v>13</v>
          </cell>
        </row>
        <row r="41">
          <cell r="X41">
            <v>7.0000000298023224E-2</v>
          </cell>
          <cell r="Y41">
            <v>0.2900000000372529</v>
          </cell>
          <cell r="Z41">
            <v>100</v>
          </cell>
          <cell r="AA41">
            <v>100</v>
          </cell>
          <cell r="AG41" t="str">
            <v/>
          </cell>
          <cell r="AH41">
            <v>0.79999999999999993</v>
          </cell>
          <cell r="AJ41">
            <v>10</v>
          </cell>
        </row>
        <row r="42">
          <cell r="X42">
            <v>100</v>
          </cell>
          <cell r="Y42">
            <v>100</v>
          </cell>
          <cell r="Z42">
            <v>-0.2099999999627471</v>
          </cell>
          <cell r="AA42">
            <v>0.32000000006519258</v>
          </cell>
          <cell r="AG42" t="str">
            <v/>
          </cell>
          <cell r="AH42">
            <v>0.89999999999999991</v>
          </cell>
          <cell r="AJ42">
            <v>6</v>
          </cell>
        </row>
        <row r="43">
          <cell r="X43">
            <v>-0.26999999955296516</v>
          </cell>
          <cell r="Y43">
            <v>5.0000000046566129E-2</v>
          </cell>
          <cell r="Z43">
            <v>100</v>
          </cell>
          <cell r="AA43">
            <v>100</v>
          </cell>
          <cell r="AG43" t="str">
            <v/>
          </cell>
          <cell r="AH43">
            <v>0.99999999999999989</v>
          </cell>
          <cell r="AJ43">
            <v>4</v>
          </cell>
        </row>
        <row r="44">
          <cell r="X44">
            <v>100</v>
          </cell>
          <cell r="Y44">
            <v>100</v>
          </cell>
          <cell r="Z44">
            <v>-0.10999999940395355</v>
          </cell>
          <cell r="AA44">
            <v>-0.37999999988824129</v>
          </cell>
          <cell r="AG44" t="str">
            <v/>
          </cell>
          <cell r="AH44">
            <v>1.0999999999999999</v>
          </cell>
          <cell r="AJ44">
            <v>5</v>
          </cell>
        </row>
        <row r="45">
          <cell r="X45">
            <v>100</v>
          </cell>
          <cell r="Y45">
            <v>100</v>
          </cell>
          <cell r="Z45">
            <v>0.52000000048428774</v>
          </cell>
          <cell r="AA45">
            <v>-0.90999999991618097</v>
          </cell>
          <cell r="AG45" t="str">
            <v/>
          </cell>
          <cell r="AH45">
            <v>1.2</v>
          </cell>
          <cell r="AJ45">
            <v>4</v>
          </cell>
        </row>
        <row r="46">
          <cell r="X46">
            <v>0.25999999977648258</v>
          </cell>
          <cell r="Y46">
            <v>-6.0000000055879354E-2</v>
          </cell>
          <cell r="Z46">
            <v>100</v>
          </cell>
          <cell r="AA46">
            <v>100</v>
          </cell>
          <cell r="AG46" t="str">
            <v/>
          </cell>
          <cell r="AH46">
            <v>1.3</v>
          </cell>
          <cell r="AJ46">
            <v>1</v>
          </cell>
        </row>
        <row r="47">
          <cell r="X47">
            <v>100</v>
          </cell>
          <cell r="Y47">
            <v>100</v>
          </cell>
          <cell r="Z47">
            <v>1.4900000002235174</v>
          </cell>
          <cell r="AA47">
            <v>-0.41999999992549419</v>
          </cell>
          <cell r="AG47" t="str">
            <v/>
          </cell>
          <cell r="AH47">
            <v>1.4000000000000001</v>
          </cell>
          <cell r="AJ47">
            <v>0</v>
          </cell>
        </row>
        <row r="48">
          <cell r="X48">
            <v>-9.9999997764825821E-3</v>
          </cell>
          <cell r="Y48">
            <v>-4.9999999813735485E-2</v>
          </cell>
          <cell r="Z48">
            <v>100</v>
          </cell>
          <cell r="AA48">
            <v>100</v>
          </cell>
          <cell r="AG48" t="str">
            <v/>
          </cell>
          <cell r="AH48">
            <v>1.5000000000000002</v>
          </cell>
          <cell r="AJ48">
            <v>2</v>
          </cell>
        </row>
        <row r="49">
          <cell r="X49">
            <v>100</v>
          </cell>
          <cell r="Y49">
            <v>100</v>
          </cell>
          <cell r="Z49">
            <v>-0.77000000048428774</v>
          </cell>
          <cell r="AA49">
            <v>-1.0199999997857958</v>
          </cell>
          <cell r="AG49" t="str">
            <v/>
          </cell>
          <cell r="AH49">
            <v>1.6000000000000003</v>
          </cell>
          <cell r="AJ49">
            <v>0</v>
          </cell>
        </row>
        <row r="50">
          <cell r="X50">
            <v>3.0000000260770321E-2</v>
          </cell>
          <cell r="Y50">
            <v>-1.0000000009313226E-2</v>
          </cell>
          <cell r="Z50">
            <v>100</v>
          </cell>
          <cell r="AA50">
            <v>100</v>
          </cell>
          <cell r="AG50" t="str">
            <v/>
          </cell>
          <cell r="AH50">
            <v>1.7000000000000004</v>
          </cell>
          <cell r="AJ50">
            <v>0</v>
          </cell>
        </row>
        <row r="51">
          <cell r="X51">
            <v>100</v>
          </cell>
          <cell r="Y51">
            <v>100</v>
          </cell>
          <cell r="Z51">
            <v>-9.999999962747097E-2</v>
          </cell>
          <cell r="AA51">
            <v>0.33000000007450581</v>
          </cell>
          <cell r="AG51" t="str">
            <v/>
          </cell>
          <cell r="AH51">
            <v>1.8000000000000005</v>
          </cell>
          <cell r="AJ51">
            <v>0</v>
          </cell>
        </row>
        <row r="52">
          <cell r="X52">
            <v>100</v>
          </cell>
          <cell r="Y52">
            <v>100</v>
          </cell>
          <cell r="Z52">
            <v>3.0000000260770321E-2</v>
          </cell>
          <cell r="AA52">
            <v>0.57999999984167516</v>
          </cell>
          <cell r="AG52" t="str">
            <v/>
          </cell>
          <cell r="AH52">
            <v>1.9000000000000006</v>
          </cell>
          <cell r="AJ52">
            <v>0</v>
          </cell>
        </row>
        <row r="53">
          <cell r="X53">
            <v>-0.13999999966472387</v>
          </cell>
          <cell r="Y53">
            <v>-0.17999999993480742</v>
          </cell>
          <cell r="Z53">
            <v>100</v>
          </cell>
          <cell r="AA53">
            <v>100</v>
          </cell>
          <cell r="AG53" t="str">
            <v/>
          </cell>
          <cell r="AH53">
            <v>2.0000000000000004</v>
          </cell>
          <cell r="AJ53">
            <v>1</v>
          </cell>
        </row>
        <row r="54">
          <cell r="X54">
            <v>0</v>
          </cell>
          <cell r="Y54">
            <v>0.2900000000372529</v>
          </cell>
          <cell r="Z54">
            <v>100</v>
          </cell>
          <cell r="AA54">
            <v>100</v>
          </cell>
          <cell r="AG54" t="str">
            <v/>
          </cell>
          <cell r="AH54">
            <v>2.1000000000000005</v>
          </cell>
          <cell r="AJ54">
            <v>0</v>
          </cell>
        </row>
        <row r="55">
          <cell r="X55">
            <v>100</v>
          </cell>
          <cell r="Y55">
            <v>100</v>
          </cell>
          <cell r="Z55">
            <v>-2.0000000484287739E-2</v>
          </cell>
          <cell r="AA55">
            <v>0.34000000008381903</v>
          </cell>
          <cell r="AG55" t="str">
            <v/>
          </cell>
          <cell r="AH55">
            <v>2.2000000000000006</v>
          </cell>
          <cell r="AJ55">
            <v>0</v>
          </cell>
        </row>
        <row r="56">
          <cell r="X56">
            <v>100</v>
          </cell>
          <cell r="Y56">
            <v>100</v>
          </cell>
          <cell r="Z56">
            <v>-0.26000000070780516</v>
          </cell>
          <cell r="AA56">
            <v>0.23999999999068677</v>
          </cell>
          <cell r="AG56" t="str">
            <v/>
          </cell>
          <cell r="AH56">
            <v>2.3000000000000007</v>
          </cell>
          <cell r="AJ56">
            <v>1</v>
          </cell>
        </row>
        <row r="57">
          <cell r="X57">
            <v>-8.9999999850988388E-2</v>
          </cell>
          <cell r="Y57">
            <v>0.25</v>
          </cell>
          <cell r="Z57">
            <v>100</v>
          </cell>
          <cell r="AA57">
            <v>100</v>
          </cell>
          <cell r="AG57" t="str">
            <v/>
          </cell>
          <cell r="AH57">
            <v>2.4000000000000008</v>
          </cell>
          <cell r="AJ57">
            <v>1</v>
          </cell>
        </row>
        <row r="58">
          <cell r="X58">
            <v>0</v>
          </cell>
          <cell r="Y58">
            <v>0.19000000017695129</v>
          </cell>
          <cell r="Z58">
            <v>100</v>
          </cell>
          <cell r="AA58">
            <v>100</v>
          </cell>
          <cell r="AG58" t="str">
            <v/>
          </cell>
          <cell r="AH58">
            <v>2.5000000000000009</v>
          </cell>
          <cell r="AJ58">
            <v>1</v>
          </cell>
        </row>
        <row r="59">
          <cell r="X59">
            <v>-6.0000000521540642E-2</v>
          </cell>
          <cell r="Y59">
            <v>0.23999999999068677</v>
          </cell>
          <cell r="Z59">
            <v>100</v>
          </cell>
          <cell r="AA59">
            <v>100</v>
          </cell>
          <cell r="AG59" t="str">
            <v/>
          </cell>
          <cell r="AH59">
            <v>2.600000000000001</v>
          </cell>
          <cell r="AJ59">
            <v>1</v>
          </cell>
        </row>
        <row r="60">
          <cell r="X60">
            <v>0.13999999966472387</v>
          </cell>
          <cell r="Y60">
            <v>0.19999999995343387</v>
          </cell>
          <cell r="Z60">
            <v>100</v>
          </cell>
          <cell r="AA60">
            <v>100</v>
          </cell>
          <cell r="AG60" t="str">
            <v/>
          </cell>
          <cell r="AH60">
            <v>2.7000000000000011</v>
          </cell>
          <cell r="AJ60">
            <v>1</v>
          </cell>
        </row>
        <row r="61">
          <cell r="X61">
            <v>0.12999999988824129</v>
          </cell>
          <cell r="Y61">
            <v>8.0000000074505806E-2</v>
          </cell>
          <cell r="Z61">
            <v>100</v>
          </cell>
          <cell r="AA61">
            <v>100</v>
          </cell>
          <cell r="AG61" t="str">
            <v/>
          </cell>
          <cell r="AH61">
            <v>2.8000000000000012</v>
          </cell>
          <cell r="AJ61">
            <v>0</v>
          </cell>
        </row>
        <row r="62">
          <cell r="X62">
            <v>0.13999999966472387</v>
          </cell>
          <cell r="Y62">
            <v>-2.9999999795109034E-2</v>
          </cell>
          <cell r="Z62">
            <v>100</v>
          </cell>
          <cell r="AA62">
            <v>100</v>
          </cell>
          <cell r="AG62" t="str">
            <v/>
          </cell>
          <cell r="AH62">
            <v>2.9000000000000012</v>
          </cell>
          <cell r="AJ62">
            <v>0</v>
          </cell>
        </row>
        <row r="63">
          <cell r="X63">
            <v>-0.22000000067055225</v>
          </cell>
          <cell r="Y63">
            <v>-7.000000006519258E-2</v>
          </cell>
          <cell r="Z63">
            <v>100</v>
          </cell>
          <cell r="AA63">
            <v>100</v>
          </cell>
          <cell r="AG63" t="str">
            <v/>
          </cell>
          <cell r="AH63">
            <v>3.0000000000000013</v>
          </cell>
          <cell r="AJ63">
            <v>0</v>
          </cell>
        </row>
        <row r="64">
          <cell r="X64">
            <v>9.9999997764825821E-3</v>
          </cell>
          <cell r="Y64">
            <v>-9.0000000083819032E-2</v>
          </cell>
          <cell r="Z64">
            <v>100</v>
          </cell>
          <cell r="AA64">
            <v>100</v>
          </cell>
        </row>
        <row r="65">
          <cell r="X65">
            <v>100</v>
          </cell>
          <cell r="Y65">
            <v>100</v>
          </cell>
          <cell r="Z65">
            <v>-0.12000000011175871</v>
          </cell>
          <cell r="AA65">
            <v>-0.5</v>
          </cell>
        </row>
        <row r="66">
          <cell r="X66">
            <v>-9.9999997764825821E-3</v>
          </cell>
          <cell r="Y66">
            <v>4.0000000037252903E-2</v>
          </cell>
          <cell r="Z66">
            <v>100</v>
          </cell>
          <cell r="AA66">
            <v>100</v>
          </cell>
        </row>
        <row r="67">
          <cell r="X67">
            <v>6.0000000521540642E-2</v>
          </cell>
          <cell r="Y67">
            <v>8.9999999850988388E-2</v>
          </cell>
          <cell r="Z67">
            <v>100</v>
          </cell>
          <cell r="AA67">
            <v>100</v>
          </cell>
        </row>
        <row r="68">
          <cell r="X68">
            <v>100</v>
          </cell>
          <cell r="Y68">
            <v>100</v>
          </cell>
          <cell r="Z68">
            <v>0.2900000000372529</v>
          </cell>
          <cell r="AA68">
            <v>-0.25999999977648258</v>
          </cell>
        </row>
        <row r="69">
          <cell r="X69">
            <v>-1.9999999552965164E-2</v>
          </cell>
          <cell r="Y69">
            <v>-0.12999999988824129</v>
          </cell>
          <cell r="Z69">
            <v>100</v>
          </cell>
          <cell r="AA69">
            <v>100</v>
          </cell>
        </row>
        <row r="70">
          <cell r="X70">
            <v>-9.999999962747097E-2</v>
          </cell>
          <cell r="Y70">
            <v>-0.18999999994412065</v>
          </cell>
          <cell r="Z70">
            <v>100</v>
          </cell>
          <cell r="AA70">
            <v>100</v>
          </cell>
        </row>
        <row r="71">
          <cell r="X71">
            <v>100</v>
          </cell>
          <cell r="Y71">
            <v>100</v>
          </cell>
          <cell r="Z71">
            <v>-0.11000000033527613</v>
          </cell>
          <cell r="AA71">
            <v>-0.2900000000372529</v>
          </cell>
        </row>
        <row r="72">
          <cell r="X72">
            <v>-0.2900000000372529</v>
          </cell>
          <cell r="Y72">
            <v>0</v>
          </cell>
          <cell r="Z72">
            <v>100</v>
          </cell>
          <cell r="AA72">
            <v>100</v>
          </cell>
        </row>
        <row r="73">
          <cell r="X73">
            <v>100</v>
          </cell>
          <cell r="Y73">
            <v>100</v>
          </cell>
          <cell r="Z73">
            <v>-0.41000000014901161</v>
          </cell>
          <cell r="AA73">
            <v>-0.28999999980442226</v>
          </cell>
        </row>
        <row r="74">
          <cell r="X74">
            <v>0.10000000055879354</v>
          </cell>
          <cell r="Y74">
            <v>-0.11999999987892807</v>
          </cell>
          <cell r="Z74">
            <v>100</v>
          </cell>
          <cell r="AA74">
            <v>100</v>
          </cell>
        </row>
        <row r="75">
          <cell r="X75">
            <v>100</v>
          </cell>
          <cell r="Y75">
            <v>100</v>
          </cell>
          <cell r="Z75">
            <v>-0.33000000007450581</v>
          </cell>
          <cell r="AA75">
            <v>-0.59000000008381903</v>
          </cell>
        </row>
        <row r="76">
          <cell r="X76">
            <v>100</v>
          </cell>
          <cell r="Y76">
            <v>100</v>
          </cell>
          <cell r="Z76">
            <v>-0.39999999944120646</v>
          </cell>
          <cell r="AA76">
            <v>-0.31000000005587935</v>
          </cell>
        </row>
        <row r="77">
          <cell r="X77">
            <v>100</v>
          </cell>
          <cell r="Y77">
            <v>100</v>
          </cell>
          <cell r="Z77">
            <v>-8.0000000074505806E-2</v>
          </cell>
          <cell r="AA77">
            <v>-0.32000000006519258</v>
          </cell>
        </row>
        <row r="78">
          <cell r="X78">
            <v>100</v>
          </cell>
          <cell r="Y78">
            <v>100</v>
          </cell>
          <cell r="Z78">
            <v>-0.20000000018626451</v>
          </cell>
          <cell r="AA78">
            <v>-0.69999999995343387</v>
          </cell>
        </row>
        <row r="79">
          <cell r="X79">
            <v>100</v>
          </cell>
          <cell r="Y79">
            <v>100</v>
          </cell>
          <cell r="Z79">
            <v>0.21999999973922968</v>
          </cell>
          <cell r="AA79">
            <v>-0.28000000002793968</v>
          </cell>
        </row>
        <row r="80">
          <cell r="X80">
            <v>-0.11000000033527613</v>
          </cell>
          <cell r="Y80">
            <v>-0.14999999990686774</v>
          </cell>
          <cell r="Z80">
            <v>100</v>
          </cell>
          <cell r="AA80">
            <v>100</v>
          </cell>
        </row>
        <row r="81">
          <cell r="X81">
            <v>0.13999999966472387</v>
          </cell>
          <cell r="Y81">
            <v>-0.23999999999068677</v>
          </cell>
          <cell r="Z81">
            <v>100</v>
          </cell>
          <cell r="AA81">
            <v>100</v>
          </cell>
        </row>
        <row r="82">
          <cell r="X82">
            <v>3.0000000260770321E-2</v>
          </cell>
          <cell r="Y82">
            <v>-0.20000000018626451</v>
          </cell>
          <cell r="Z82">
            <v>100</v>
          </cell>
          <cell r="AA82">
            <v>100</v>
          </cell>
        </row>
        <row r="83">
          <cell r="X83">
            <v>0.16000000014901161</v>
          </cell>
          <cell r="Y83">
            <v>-0.13999999989755452</v>
          </cell>
          <cell r="Z83">
            <v>100</v>
          </cell>
          <cell r="AA83">
            <v>100</v>
          </cell>
        </row>
        <row r="84">
          <cell r="X84">
            <v>100</v>
          </cell>
          <cell r="Y84">
            <v>100</v>
          </cell>
          <cell r="Z84">
            <v>-0.20000000018626451</v>
          </cell>
          <cell r="AA84">
            <v>0.69000000017695129</v>
          </cell>
        </row>
        <row r="85">
          <cell r="X85">
            <v>100</v>
          </cell>
          <cell r="Y85">
            <v>100</v>
          </cell>
          <cell r="Z85">
            <v>1.6399999996647239</v>
          </cell>
          <cell r="AA85">
            <v>-2.0300000000279397</v>
          </cell>
        </row>
        <row r="86">
          <cell r="X86">
            <v>0.26999999955296516</v>
          </cell>
          <cell r="Y86">
            <v>8.9999999850988388E-2</v>
          </cell>
          <cell r="Z86">
            <v>100</v>
          </cell>
          <cell r="AA86">
            <v>100</v>
          </cell>
        </row>
        <row r="87">
          <cell r="X87">
            <v>100</v>
          </cell>
          <cell r="Y87">
            <v>100</v>
          </cell>
          <cell r="Z87">
            <v>-0.58999999985098839</v>
          </cell>
          <cell r="AA87">
            <v>-6.0000000055879354E-2</v>
          </cell>
        </row>
        <row r="88">
          <cell r="X88">
            <v>100</v>
          </cell>
          <cell r="Y88">
            <v>100</v>
          </cell>
          <cell r="Z88">
            <v>-0.16000000014901161</v>
          </cell>
          <cell r="AA88">
            <v>-0.26000000000931323</v>
          </cell>
        </row>
        <row r="89">
          <cell r="X89">
            <v>-6.0000000521540642E-2</v>
          </cell>
          <cell r="Y89">
            <v>-0.26000000000931323</v>
          </cell>
          <cell r="Z89">
            <v>100</v>
          </cell>
          <cell r="AA89">
            <v>100</v>
          </cell>
        </row>
        <row r="90">
          <cell r="X90">
            <v>100</v>
          </cell>
          <cell r="Y90">
            <v>100</v>
          </cell>
          <cell r="Z90">
            <v>0.12999999988824129</v>
          </cell>
          <cell r="AA90">
            <v>-0.2900000000372529</v>
          </cell>
        </row>
        <row r="91">
          <cell r="X91">
            <v>100</v>
          </cell>
          <cell r="Y91">
            <v>100</v>
          </cell>
          <cell r="Z91">
            <v>-0.18000000063329935</v>
          </cell>
          <cell r="AA91">
            <v>0.44000000017695129</v>
          </cell>
        </row>
        <row r="92">
          <cell r="X92">
            <v>2.9999999329447746E-2</v>
          </cell>
          <cell r="Y92">
            <v>0.17999999993480742</v>
          </cell>
          <cell r="Z92">
            <v>100</v>
          </cell>
          <cell r="AA92">
            <v>100</v>
          </cell>
        </row>
        <row r="93">
          <cell r="X93">
            <v>100</v>
          </cell>
          <cell r="Y93">
            <v>100</v>
          </cell>
          <cell r="Z93">
            <v>-0.61000000033527613</v>
          </cell>
          <cell r="AA93">
            <v>-0.40000000013969839</v>
          </cell>
        </row>
        <row r="94">
          <cell r="X94">
            <v>-8.0000000074505806E-2</v>
          </cell>
          <cell r="Y94">
            <v>0.12000000011175871</v>
          </cell>
          <cell r="Z94">
            <v>100</v>
          </cell>
          <cell r="AA94">
            <v>100</v>
          </cell>
        </row>
        <row r="95">
          <cell r="X95">
            <v>100</v>
          </cell>
          <cell r="Y95">
            <v>100</v>
          </cell>
          <cell r="Z95">
            <v>-6.0000000521540642E-2</v>
          </cell>
          <cell r="AA95">
            <v>0.38000000012107193</v>
          </cell>
        </row>
        <row r="96">
          <cell r="X96">
            <v>100</v>
          </cell>
          <cell r="Y96">
            <v>100</v>
          </cell>
          <cell r="Z96">
            <v>0.75999999977648258</v>
          </cell>
          <cell r="AA96">
            <v>0.44000000017695129</v>
          </cell>
        </row>
        <row r="97">
          <cell r="X97">
            <v>-2.0000000484287739E-2</v>
          </cell>
          <cell r="Y97">
            <v>0.11999999987892807</v>
          </cell>
          <cell r="Z97">
            <v>100</v>
          </cell>
          <cell r="AA97">
            <v>100</v>
          </cell>
        </row>
        <row r="98">
          <cell r="X98">
            <v>0.10999999940395355</v>
          </cell>
          <cell r="Y98">
            <v>-0.23999999999068677</v>
          </cell>
          <cell r="Z98">
            <v>100</v>
          </cell>
          <cell r="AA98">
            <v>100</v>
          </cell>
        </row>
        <row r="99">
          <cell r="X99">
            <v>7.9999999143183231E-2</v>
          </cell>
          <cell r="Y99">
            <v>-0.21999999997206032</v>
          </cell>
          <cell r="Z99">
            <v>100</v>
          </cell>
          <cell r="AA99">
            <v>100</v>
          </cell>
        </row>
        <row r="100">
          <cell r="X100">
            <v>100</v>
          </cell>
          <cell r="Y100">
            <v>100</v>
          </cell>
          <cell r="Z100">
            <v>0.42999999970197678</v>
          </cell>
          <cell r="AA100">
            <v>0</v>
          </cell>
        </row>
        <row r="101">
          <cell r="X101">
            <v>-1.0000000707805157E-2</v>
          </cell>
          <cell r="Y101">
            <v>0.12000000011175871</v>
          </cell>
          <cell r="Z101">
            <v>100</v>
          </cell>
          <cell r="AA101">
            <v>100</v>
          </cell>
        </row>
        <row r="102">
          <cell r="X102">
            <v>100</v>
          </cell>
          <cell r="Y102">
            <v>100</v>
          </cell>
          <cell r="Z102">
            <v>0.41999999992549419</v>
          </cell>
          <cell r="AA102">
            <v>0.27000000001862645</v>
          </cell>
        </row>
        <row r="103">
          <cell r="X103">
            <v>7.9999999143183231E-2</v>
          </cell>
          <cell r="Y103">
            <v>-9.0000000083819032E-2</v>
          </cell>
          <cell r="Z103">
            <v>100</v>
          </cell>
          <cell r="AA103">
            <v>100</v>
          </cell>
        </row>
        <row r="104">
          <cell r="X104">
            <v>100</v>
          </cell>
          <cell r="Y104">
            <v>100</v>
          </cell>
          <cell r="Z104">
            <v>0</v>
          </cell>
          <cell r="AA104">
            <v>-0.60999999986961484</v>
          </cell>
        </row>
        <row r="105">
          <cell r="X105">
            <v>100</v>
          </cell>
          <cell r="Y105">
            <v>100</v>
          </cell>
          <cell r="Z105">
            <v>-7.0000000298023224E-2</v>
          </cell>
          <cell r="AA105">
            <v>-0.90999999991618097</v>
          </cell>
        </row>
        <row r="106">
          <cell r="X106">
            <v>-0.20000000018626451</v>
          </cell>
          <cell r="Y106">
            <v>0.11999999987892807</v>
          </cell>
          <cell r="Z106">
            <v>100</v>
          </cell>
          <cell r="AA106">
            <v>100</v>
          </cell>
        </row>
        <row r="107">
          <cell r="X107">
            <v>100</v>
          </cell>
          <cell r="Y107">
            <v>100</v>
          </cell>
          <cell r="Z107">
            <v>0.30999999959021807</v>
          </cell>
          <cell r="AA107">
            <v>0.68000000016763806</v>
          </cell>
        </row>
        <row r="108">
          <cell r="X108">
            <v>-6.0000000521540642E-2</v>
          </cell>
          <cell r="Y108">
            <v>-0.23999999999068677</v>
          </cell>
          <cell r="Z108">
            <v>100</v>
          </cell>
          <cell r="AA108">
            <v>100</v>
          </cell>
        </row>
        <row r="109">
          <cell r="X109">
            <v>100</v>
          </cell>
          <cell r="Y109">
            <v>100</v>
          </cell>
          <cell r="Z109">
            <v>-8.9999999850988388E-2</v>
          </cell>
          <cell r="AA109">
            <v>-0.61999999987892807</v>
          </cell>
        </row>
        <row r="110">
          <cell r="X110">
            <v>0</v>
          </cell>
          <cell r="Y110">
            <v>-1.0000000009313226E-2</v>
          </cell>
          <cell r="Z110">
            <v>100</v>
          </cell>
          <cell r="AA110">
            <v>100</v>
          </cell>
        </row>
        <row r="111">
          <cell r="X111">
            <v>-0.16000000014901161</v>
          </cell>
          <cell r="Y111">
            <v>-0.13000000012107193</v>
          </cell>
          <cell r="Z111">
            <v>100</v>
          </cell>
          <cell r="AA111">
            <v>100</v>
          </cell>
        </row>
        <row r="112">
          <cell r="X112">
            <v>100</v>
          </cell>
          <cell r="Y112">
            <v>100</v>
          </cell>
          <cell r="Z112">
            <v>5.9999999590218067E-2</v>
          </cell>
          <cell r="AA112">
            <v>-0.37999999988824129</v>
          </cell>
        </row>
        <row r="113">
          <cell r="X113">
            <v>100</v>
          </cell>
          <cell r="Y113">
            <v>100</v>
          </cell>
          <cell r="Z113">
            <v>-0.75</v>
          </cell>
          <cell r="AA113">
            <v>1.0800000000745058</v>
          </cell>
        </row>
        <row r="114">
          <cell r="X114">
            <v>100</v>
          </cell>
          <cell r="Y114">
            <v>100</v>
          </cell>
          <cell r="Z114">
            <v>-0.79999999981373549</v>
          </cell>
          <cell r="AA114">
            <v>-0.21999999997206032</v>
          </cell>
        </row>
        <row r="115">
          <cell r="X115">
            <v>0.24000000022351742</v>
          </cell>
          <cell r="Y115">
            <v>-3.0000000027939677E-2</v>
          </cell>
          <cell r="Z115">
            <v>100</v>
          </cell>
          <cell r="AA115">
            <v>100</v>
          </cell>
        </row>
        <row r="116">
          <cell r="X116">
            <v>-9.999999962747097E-2</v>
          </cell>
          <cell r="Y116">
            <v>-0.11000000010244548</v>
          </cell>
          <cell r="Z116">
            <v>100</v>
          </cell>
          <cell r="AA116">
            <v>100</v>
          </cell>
        </row>
        <row r="117">
          <cell r="X117">
            <v>-0.29999999981373549</v>
          </cell>
          <cell r="Y117">
            <v>0</v>
          </cell>
          <cell r="Z117">
            <v>100</v>
          </cell>
          <cell r="AA117">
            <v>100</v>
          </cell>
        </row>
        <row r="118">
          <cell r="X118">
            <v>0.11000000033527613</v>
          </cell>
          <cell r="Y118">
            <v>-0.2099999999627471</v>
          </cell>
          <cell r="Z118">
            <v>100</v>
          </cell>
          <cell r="AA118">
            <v>100</v>
          </cell>
        </row>
        <row r="119">
          <cell r="X119">
            <v>100</v>
          </cell>
          <cell r="Y119">
            <v>100</v>
          </cell>
          <cell r="Z119">
            <v>-0.54999999981373549</v>
          </cell>
          <cell r="AA119">
            <v>0.10000000009313226</v>
          </cell>
        </row>
        <row r="120">
          <cell r="X120">
            <v>8.0000000074505806E-2</v>
          </cell>
          <cell r="Y120">
            <v>-6.0000000055879354E-2</v>
          </cell>
          <cell r="Z120">
            <v>100</v>
          </cell>
          <cell r="AA120">
            <v>100</v>
          </cell>
        </row>
        <row r="121">
          <cell r="X121">
            <v>100</v>
          </cell>
          <cell r="Y121">
            <v>100</v>
          </cell>
          <cell r="Z121">
            <v>0.37999999988824129</v>
          </cell>
          <cell r="AA121">
            <v>0.93999999994412065</v>
          </cell>
        </row>
        <row r="122">
          <cell r="X122">
            <v>100</v>
          </cell>
          <cell r="Y122">
            <v>100</v>
          </cell>
          <cell r="Z122">
            <v>0.80999999959021807</v>
          </cell>
          <cell r="AA122">
            <v>-1.2899999998044223</v>
          </cell>
        </row>
        <row r="123">
          <cell r="X123">
            <v>100</v>
          </cell>
          <cell r="Y123">
            <v>100</v>
          </cell>
          <cell r="Z123">
            <v>1.9999999552965164E-2</v>
          </cell>
          <cell r="AA123">
            <v>-0.33999999985098839</v>
          </cell>
        </row>
        <row r="124">
          <cell r="X124">
            <v>100</v>
          </cell>
          <cell r="Y124">
            <v>100</v>
          </cell>
          <cell r="Z124">
            <v>-0.25999999977648258</v>
          </cell>
          <cell r="AA124">
            <v>-0.75999999977648258</v>
          </cell>
        </row>
        <row r="125">
          <cell r="X125">
            <v>100</v>
          </cell>
          <cell r="Y125">
            <v>100</v>
          </cell>
          <cell r="Z125">
            <v>-0.59000000078231096</v>
          </cell>
          <cell r="AA125">
            <v>-0.36999999987892807</v>
          </cell>
        </row>
        <row r="126">
          <cell r="X126">
            <v>100</v>
          </cell>
          <cell r="Y126">
            <v>100</v>
          </cell>
          <cell r="Z126">
            <v>0.54999999981373549</v>
          </cell>
          <cell r="AA126">
            <v>1.0000000009313226E-2</v>
          </cell>
        </row>
        <row r="127">
          <cell r="X127">
            <v>100</v>
          </cell>
          <cell r="Y127">
            <v>100</v>
          </cell>
          <cell r="Z127">
            <v>0.64000000059604645</v>
          </cell>
          <cell r="AA127">
            <v>0.70000000018626451</v>
          </cell>
        </row>
        <row r="128">
          <cell r="X128">
            <v>100</v>
          </cell>
          <cell r="Y128">
            <v>100</v>
          </cell>
          <cell r="Z128">
            <v>0.45000000018626451</v>
          </cell>
          <cell r="AA128">
            <v>0.61999999987892807</v>
          </cell>
        </row>
        <row r="129">
          <cell r="X129">
            <v>100</v>
          </cell>
          <cell r="Y129">
            <v>100</v>
          </cell>
          <cell r="Z129">
            <v>0.5</v>
          </cell>
          <cell r="AA129">
            <v>0.19999999995343387</v>
          </cell>
        </row>
        <row r="130">
          <cell r="X130">
            <v>100</v>
          </cell>
          <cell r="Y130">
            <v>100</v>
          </cell>
          <cell r="Z130">
            <v>-0.5</v>
          </cell>
          <cell r="AA130">
            <v>-0.33000000007450581</v>
          </cell>
        </row>
        <row r="131">
          <cell r="X131">
            <v>100</v>
          </cell>
          <cell r="Y131">
            <v>100</v>
          </cell>
          <cell r="Z131">
            <v>0.41999999992549419</v>
          </cell>
          <cell r="AA131">
            <v>-0.22999999998137355</v>
          </cell>
        </row>
        <row r="132">
          <cell r="X132">
            <v>100</v>
          </cell>
          <cell r="Y132">
            <v>100</v>
          </cell>
          <cell r="Z132">
            <v>0.14000000059604645</v>
          </cell>
          <cell r="AA132">
            <v>-0.34999999986030161</v>
          </cell>
        </row>
        <row r="133">
          <cell r="X133">
            <v>100</v>
          </cell>
          <cell r="Y133">
            <v>100</v>
          </cell>
          <cell r="Z133">
            <v>-1.1099999994039536</v>
          </cell>
          <cell r="AA133">
            <v>0.11999999987892807</v>
          </cell>
        </row>
        <row r="134">
          <cell r="X134">
            <v>100</v>
          </cell>
          <cell r="Y134">
            <v>100</v>
          </cell>
          <cell r="Z134">
            <v>0.37000000011175871</v>
          </cell>
          <cell r="AA134">
            <v>0.11999999987892807</v>
          </cell>
        </row>
        <row r="135">
          <cell r="X135">
            <v>0.12999999988824129</v>
          </cell>
          <cell r="Y135">
            <v>-5.0000000046566129E-2</v>
          </cell>
          <cell r="Z135">
            <v>100</v>
          </cell>
          <cell r="AA135">
            <v>100</v>
          </cell>
        </row>
        <row r="136">
          <cell r="X136">
            <v>0.2900000000372529</v>
          </cell>
          <cell r="Y136">
            <v>-3.0000000027939677E-2</v>
          </cell>
          <cell r="Z136">
            <v>100</v>
          </cell>
          <cell r="AA136">
            <v>100</v>
          </cell>
        </row>
        <row r="137">
          <cell r="X137">
            <v>100</v>
          </cell>
          <cell r="Y137">
            <v>100</v>
          </cell>
          <cell r="Z137">
            <v>0.32000000029802322</v>
          </cell>
          <cell r="AA137">
            <v>0.24000000022351742</v>
          </cell>
        </row>
        <row r="138">
          <cell r="X138">
            <v>100</v>
          </cell>
          <cell r="Y138">
            <v>100</v>
          </cell>
          <cell r="Z138">
            <v>0</v>
          </cell>
          <cell r="AA138">
            <v>0.96999999997206032</v>
          </cell>
        </row>
        <row r="139">
          <cell r="X139">
            <v>100</v>
          </cell>
          <cell r="Y139">
            <v>100</v>
          </cell>
          <cell r="Z139">
            <v>0.11000000033527613</v>
          </cell>
          <cell r="AA139">
            <v>0.66999999992549419</v>
          </cell>
        </row>
        <row r="140">
          <cell r="X140">
            <v>100</v>
          </cell>
          <cell r="Y140">
            <v>100</v>
          </cell>
          <cell r="Z140">
            <v>0.19000000040978193</v>
          </cell>
          <cell r="AA140">
            <v>0.47999999998137355</v>
          </cell>
        </row>
        <row r="141">
          <cell r="X141">
            <v>100</v>
          </cell>
          <cell r="Y141">
            <v>100</v>
          </cell>
          <cell r="Z141">
            <v>0.15000000037252903</v>
          </cell>
          <cell r="AA141">
            <v>0.46999999997206032</v>
          </cell>
        </row>
        <row r="142">
          <cell r="X142">
            <v>100</v>
          </cell>
          <cell r="Y142">
            <v>100</v>
          </cell>
          <cell r="Z142">
            <v>0.12999999988824129</v>
          </cell>
          <cell r="AA142">
            <v>0.5400000000372529</v>
          </cell>
        </row>
        <row r="143">
          <cell r="X143">
            <v>100</v>
          </cell>
          <cell r="Y143">
            <v>100</v>
          </cell>
          <cell r="Z143">
            <v>-9.999999962747097E-2</v>
          </cell>
          <cell r="AA143">
            <v>0.38999999989755452</v>
          </cell>
        </row>
        <row r="144">
          <cell r="X144">
            <v>100</v>
          </cell>
          <cell r="Y144">
            <v>100</v>
          </cell>
          <cell r="Z144">
            <v>-0.18999999947845936</v>
          </cell>
          <cell r="AA144">
            <v>0.66999999992549419</v>
          </cell>
        </row>
        <row r="145">
          <cell r="X145">
            <v>100</v>
          </cell>
          <cell r="Y145">
            <v>100</v>
          </cell>
          <cell r="Z145">
            <v>0.24000000022351742</v>
          </cell>
          <cell r="AA145">
            <v>1.1899999999441206</v>
          </cell>
        </row>
        <row r="146">
          <cell r="X146">
            <v>0.10000000055879354</v>
          </cell>
          <cell r="Y146">
            <v>-0.15999999991618097</v>
          </cell>
          <cell r="Z146">
            <v>100</v>
          </cell>
          <cell r="AA146">
            <v>100</v>
          </cell>
        </row>
        <row r="147">
          <cell r="X147">
            <v>-0.10000000055879354</v>
          </cell>
          <cell r="Y147">
            <v>-0.12000000011175871</v>
          </cell>
          <cell r="Z147">
            <v>100</v>
          </cell>
          <cell r="AA147">
            <v>100</v>
          </cell>
        </row>
        <row r="148">
          <cell r="X148">
            <v>100</v>
          </cell>
          <cell r="Y148">
            <v>100</v>
          </cell>
          <cell r="Z148">
            <v>-0.24000000022351742</v>
          </cell>
          <cell r="AA148">
            <v>-0.65999999991618097</v>
          </cell>
        </row>
        <row r="149">
          <cell r="X149">
            <v>100</v>
          </cell>
          <cell r="Y149">
            <v>100</v>
          </cell>
          <cell r="Z149">
            <v>-0.12000000011175871</v>
          </cell>
          <cell r="AA149">
            <v>-0.31999999983236194</v>
          </cell>
        </row>
        <row r="150">
          <cell r="X150">
            <v>100</v>
          </cell>
          <cell r="Y150">
            <v>100</v>
          </cell>
          <cell r="Z150">
            <v>-0.31000000052154064</v>
          </cell>
          <cell r="AA150">
            <v>0.26000000000931323</v>
          </cell>
        </row>
        <row r="151">
          <cell r="X151">
            <v>100</v>
          </cell>
          <cell r="Y151">
            <v>100</v>
          </cell>
          <cell r="Z151">
            <v>-0.81000000052154064</v>
          </cell>
          <cell r="AA151">
            <v>-0.13000000012107193</v>
          </cell>
        </row>
      </sheetData>
      <sheetData sheetId="1" refreshError="1"/>
      <sheetData sheetId="2">
        <row r="2">
          <cell r="AG2" t="str">
            <v>Недобуренные</v>
          </cell>
          <cell r="AH2" t="str">
            <v>Перебуренные</v>
          </cell>
          <cell r="AI2" t="str">
            <v>Проектные</v>
          </cell>
        </row>
        <row r="4">
          <cell r="AF4" t="str">
            <v>Total</v>
          </cell>
          <cell r="AG4">
            <v>3</v>
          </cell>
          <cell r="AH4">
            <v>0</v>
          </cell>
          <cell r="AI4">
            <v>8</v>
          </cell>
        </row>
        <row r="5">
          <cell r="AF5" t="str">
            <v>%</v>
          </cell>
          <cell r="AG5">
            <v>0.27272727272727271</v>
          </cell>
          <cell r="AH5">
            <v>0</v>
          </cell>
          <cell r="AI5">
            <v>0.72727272727272729</v>
          </cell>
        </row>
        <row r="29">
          <cell r="AC29" t="str">
            <v>Below Tolerance</v>
          </cell>
          <cell r="AF29" t="str">
            <v>Above Tolerance</v>
          </cell>
        </row>
        <row r="31">
          <cell r="AD31">
            <v>0</v>
          </cell>
          <cell r="AE31">
            <v>-1</v>
          </cell>
          <cell r="AG31" t="str">
            <v/>
          </cell>
        </row>
        <row r="32">
          <cell r="AD32">
            <v>1</v>
          </cell>
          <cell r="AE32">
            <v>-0.9</v>
          </cell>
          <cell r="AG32" t="str">
            <v/>
          </cell>
        </row>
        <row r="33">
          <cell r="AD33">
            <v>0</v>
          </cell>
          <cell r="AE33">
            <v>-0.8</v>
          </cell>
          <cell r="AG33" t="str">
            <v/>
          </cell>
        </row>
        <row r="34">
          <cell r="AD34">
            <v>0</v>
          </cell>
          <cell r="AE34">
            <v>-0.7</v>
          </cell>
          <cell r="AG34" t="str">
            <v/>
          </cell>
        </row>
        <row r="35">
          <cell r="AD35">
            <v>0</v>
          </cell>
          <cell r="AE35">
            <v>-0.6</v>
          </cell>
          <cell r="AG35" t="str">
            <v/>
          </cell>
        </row>
        <row r="36">
          <cell r="AD36">
            <v>2</v>
          </cell>
          <cell r="AE36">
            <v>-0.5</v>
          </cell>
          <cell r="AG36" t="str">
            <v/>
          </cell>
        </row>
        <row r="37">
          <cell r="AD37">
            <v>0</v>
          </cell>
          <cell r="AE37">
            <v>-0.4</v>
          </cell>
          <cell r="AG37" t="str">
            <v/>
          </cell>
        </row>
        <row r="38">
          <cell r="AD38">
            <v>0</v>
          </cell>
          <cell r="AE38">
            <v>-0.3</v>
          </cell>
          <cell r="AG38" t="str">
            <v/>
          </cell>
        </row>
        <row r="39">
          <cell r="AD39">
            <v>2</v>
          </cell>
          <cell r="AE39">
            <v>-0.2</v>
          </cell>
          <cell r="AG39" t="str">
            <v/>
          </cell>
        </row>
        <row r="40">
          <cell r="AD40">
            <v>0</v>
          </cell>
          <cell r="AE40">
            <v>-0.1</v>
          </cell>
          <cell r="AG40" t="str">
            <v/>
          </cell>
        </row>
        <row r="41">
          <cell r="AD41">
            <v>4</v>
          </cell>
          <cell r="AE41">
            <v>0</v>
          </cell>
          <cell r="AG41" t="str">
            <v/>
          </cell>
        </row>
        <row r="42">
          <cell r="AD42">
            <v>1</v>
          </cell>
          <cell r="AE42">
            <v>0.1</v>
          </cell>
          <cell r="AG42" t="str">
            <v/>
          </cell>
        </row>
        <row r="43">
          <cell r="AD43">
            <v>1</v>
          </cell>
          <cell r="AE43">
            <v>0.2</v>
          </cell>
          <cell r="AG43" t="str">
            <v/>
          </cell>
        </row>
        <row r="44">
          <cell r="AD44">
            <v>0</v>
          </cell>
          <cell r="AE44">
            <v>0.3</v>
          </cell>
          <cell r="AG44" t="str">
            <v/>
          </cell>
        </row>
        <row r="45">
          <cell r="AD45" t="str">
            <v/>
          </cell>
          <cell r="AE45">
            <v>0.4</v>
          </cell>
          <cell r="AG45">
            <v>0</v>
          </cell>
        </row>
        <row r="46">
          <cell r="AD46" t="str">
            <v/>
          </cell>
          <cell r="AE46">
            <v>0.5</v>
          </cell>
          <cell r="AG46">
            <v>0</v>
          </cell>
        </row>
        <row r="47">
          <cell r="AD47" t="str">
            <v/>
          </cell>
          <cell r="AE47">
            <v>0.6</v>
          </cell>
          <cell r="AG47">
            <v>0</v>
          </cell>
        </row>
        <row r="48">
          <cell r="AD48" t="str">
            <v/>
          </cell>
          <cell r="AE48">
            <v>0.7</v>
          </cell>
          <cell r="AG48">
            <v>0</v>
          </cell>
        </row>
        <row r="49">
          <cell r="AD49" t="str">
            <v/>
          </cell>
          <cell r="AE49">
            <v>0.8</v>
          </cell>
          <cell r="AG49">
            <v>0</v>
          </cell>
        </row>
        <row r="50">
          <cell r="AD50" t="str">
            <v/>
          </cell>
          <cell r="AE50">
            <v>0.9</v>
          </cell>
          <cell r="AG50">
            <v>0</v>
          </cell>
        </row>
        <row r="51">
          <cell r="AD51" t="str">
            <v/>
          </cell>
          <cell r="AE51">
            <v>1</v>
          </cell>
          <cell r="AG51">
            <v>0</v>
          </cell>
        </row>
        <row r="52">
          <cell r="AD52" t="str">
            <v/>
          </cell>
          <cell r="AE52">
            <v>1.1000000000000001</v>
          </cell>
          <cell r="AG52">
            <v>0</v>
          </cell>
        </row>
        <row r="53">
          <cell r="AD53" t="str">
            <v/>
          </cell>
          <cell r="AE53">
            <v>1.2</v>
          </cell>
          <cell r="AG53">
            <v>0</v>
          </cell>
        </row>
        <row r="54">
          <cell r="AD54" t="str">
            <v/>
          </cell>
          <cell r="AE54">
            <v>1.3</v>
          </cell>
          <cell r="AG54">
            <v>0</v>
          </cell>
        </row>
        <row r="55">
          <cell r="AD55" t="str">
            <v/>
          </cell>
          <cell r="AE55">
            <v>1.4</v>
          </cell>
          <cell r="AG55">
            <v>0</v>
          </cell>
        </row>
        <row r="56">
          <cell r="AD56" t="str">
            <v/>
          </cell>
          <cell r="AE56">
            <v>1.5</v>
          </cell>
          <cell r="AG56">
            <v>0</v>
          </cell>
        </row>
        <row r="57">
          <cell r="AD57" t="str">
            <v/>
          </cell>
          <cell r="AE57">
            <v>1.6</v>
          </cell>
          <cell r="AG57">
            <v>0</v>
          </cell>
        </row>
        <row r="58">
          <cell r="AD58" t="str">
            <v/>
          </cell>
          <cell r="AE58">
            <v>1.7</v>
          </cell>
          <cell r="AG58">
            <v>0</v>
          </cell>
        </row>
        <row r="59">
          <cell r="AD59" t="str">
            <v/>
          </cell>
          <cell r="AE59">
            <v>1.8</v>
          </cell>
          <cell r="AG59">
            <v>0</v>
          </cell>
        </row>
        <row r="60">
          <cell r="AD60" t="str">
            <v/>
          </cell>
          <cell r="AE60">
            <v>1.9</v>
          </cell>
          <cell r="AG60">
            <v>0</v>
          </cell>
        </row>
        <row r="61">
          <cell r="AD61" t="str">
            <v/>
          </cell>
          <cell r="AE61">
            <v>2</v>
          </cell>
          <cell r="AG61">
            <v>0</v>
          </cell>
        </row>
        <row r="62">
          <cell r="AD62" t="str">
            <v/>
          </cell>
          <cell r="AE62">
            <v>2.1</v>
          </cell>
          <cell r="AG62">
            <v>0</v>
          </cell>
        </row>
        <row r="63">
          <cell r="AD63" t="str">
            <v/>
          </cell>
          <cell r="AE63">
            <v>2.2000000000000002</v>
          </cell>
          <cell r="AG63">
            <v>0</v>
          </cell>
        </row>
        <row r="64">
          <cell r="AD64" t="str">
            <v/>
          </cell>
          <cell r="AE64">
            <v>2.2999999999999998</v>
          </cell>
          <cell r="AG64">
            <v>0</v>
          </cell>
        </row>
        <row r="65">
          <cell r="AD65" t="str">
            <v/>
          </cell>
          <cell r="AE65">
            <v>2.4</v>
          </cell>
          <cell r="AG65">
            <v>0</v>
          </cell>
        </row>
        <row r="66">
          <cell r="AD66" t="str">
            <v/>
          </cell>
          <cell r="AE66">
            <v>2.5</v>
          </cell>
          <cell r="AG66">
            <v>0</v>
          </cell>
        </row>
        <row r="67">
          <cell r="AD67" t="str">
            <v/>
          </cell>
          <cell r="AE67">
            <v>2.6</v>
          </cell>
          <cell r="AG67">
            <v>0</v>
          </cell>
        </row>
        <row r="68">
          <cell r="AD68" t="str">
            <v/>
          </cell>
          <cell r="AE68">
            <v>2.7</v>
          </cell>
          <cell r="AG68">
            <v>0</v>
          </cell>
        </row>
        <row r="69">
          <cell r="AD69" t="str">
            <v/>
          </cell>
          <cell r="AE69">
            <v>2.8</v>
          </cell>
          <cell r="AG69">
            <v>0</v>
          </cell>
        </row>
        <row r="70">
          <cell r="AD70" t="str">
            <v/>
          </cell>
          <cell r="AE70">
            <v>2.9</v>
          </cell>
          <cell r="AG70">
            <v>0</v>
          </cell>
        </row>
        <row r="71">
          <cell r="AD71" t="str">
            <v/>
          </cell>
          <cell r="AE71">
            <v>3</v>
          </cell>
          <cell r="AG71">
            <v>0</v>
          </cell>
        </row>
      </sheetData>
      <sheetData sheetId="3">
        <row r="2">
          <cell r="AG2" t="str">
            <v>Недозаряженные</v>
          </cell>
          <cell r="AH2" t="str">
            <v>Перезаряженные</v>
          </cell>
          <cell r="AI2" t="str">
            <v>Проектные</v>
          </cell>
        </row>
        <row r="4">
          <cell r="AF4" t="str">
            <v>Total</v>
          </cell>
          <cell r="AG4">
            <v>0</v>
          </cell>
          <cell r="AH4">
            <v>0</v>
          </cell>
          <cell r="AI4">
            <v>13</v>
          </cell>
        </row>
        <row r="5">
          <cell r="AF5" t="str">
            <v>%</v>
          </cell>
          <cell r="AG5">
            <v>0</v>
          </cell>
          <cell r="AH5">
            <v>0</v>
          </cell>
          <cell r="AI5">
            <v>1</v>
          </cell>
        </row>
        <row r="29">
          <cell r="AC29" t="str">
            <v>Below Tolerance</v>
          </cell>
          <cell r="AF29" t="str">
            <v>Above Tolerance</v>
          </cell>
        </row>
        <row r="31">
          <cell r="AD31">
            <v>0</v>
          </cell>
          <cell r="AE31">
            <v>-100</v>
          </cell>
          <cell r="AG31" t="str">
            <v/>
          </cell>
        </row>
        <row r="32">
          <cell r="AD32">
            <v>0</v>
          </cell>
          <cell r="AE32">
            <v>-95</v>
          </cell>
          <cell r="AG32" t="str">
            <v/>
          </cell>
        </row>
        <row r="33">
          <cell r="AD33">
            <v>0</v>
          </cell>
          <cell r="AE33">
            <v>-90</v>
          </cell>
          <cell r="AG33" t="str">
            <v/>
          </cell>
        </row>
        <row r="34">
          <cell r="AD34">
            <v>0</v>
          </cell>
          <cell r="AE34">
            <v>-85</v>
          </cell>
          <cell r="AG34" t="str">
            <v/>
          </cell>
        </row>
        <row r="35">
          <cell r="AD35">
            <v>0</v>
          </cell>
          <cell r="AE35">
            <v>-80</v>
          </cell>
          <cell r="AG35" t="str">
            <v/>
          </cell>
        </row>
        <row r="36">
          <cell r="AD36">
            <v>0</v>
          </cell>
          <cell r="AE36">
            <v>-75</v>
          </cell>
          <cell r="AG36" t="str">
            <v/>
          </cell>
        </row>
        <row r="37">
          <cell r="AD37">
            <v>0</v>
          </cell>
          <cell r="AE37">
            <v>-70</v>
          </cell>
          <cell r="AG37" t="str">
            <v/>
          </cell>
        </row>
        <row r="38">
          <cell r="AD38">
            <v>0</v>
          </cell>
          <cell r="AE38">
            <v>-65</v>
          </cell>
          <cell r="AG38" t="str">
            <v/>
          </cell>
        </row>
        <row r="39">
          <cell r="AD39">
            <v>0</v>
          </cell>
          <cell r="AE39">
            <v>-60</v>
          </cell>
          <cell r="AG39" t="str">
            <v/>
          </cell>
        </row>
        <row r="40">
          <cell r="AD40">
            <v>0</v>
          </cell>
          <cell r="AE40">
            <v>-55</v>
          </cell>
          <cell r="AG40" t="str">
            <v/>
          </cell>
        </row>
        <row r="41">
          <cell r="AD41">
            <v>0</v>
          </cell>
          <cell r="AE41">
            <v>-50</v>
          </cell>
          <cell r="AG41" t="str">
            <v/>
          </cell>
        </row>
        <row r="42">
          <cell r="AD42">
            <v>0</v>
          </cell>
          <cell r="AE42">
            <v>-45</v>
          </cell>
          <cell r="AG42" t="str">
            <v/>
          </cell>
        </row>
        <row r="43">
          <cell r="AD43">
            <v>0</v>
          </cell>
          <cell r="AE43">
            <v>-40</v>
          </cell>
          <cell r="AG43" t="str">
            <v/>
          </cell>
        </row>
        <row r="44">
          <cell r="AD44">
            <v>0</v>
          </cell>
          <cell r="AE44">
            <v>-35</v>
          </cell>
          <cell r="AG44" t="str">
            <v/>
          </cell>
        </row>
        <row r="45">
          <cell r="AD45">
            <v>0</v>
          </cell>
          <cell r="AE45">
            <v>-30</v>
          </cell>
          <cell r="AG45" t="str">
            <v/>
          </cell>
        </row>
        <row r="46">
          <cell r="AD46">
            <v>0</v>
          </cell>
          <cell r="AE46">
            <v>-25</v>
          </cell>
          <cell r="AG46" t="str">
            <v/>
          </cell>
        </row>
        <row r="47">
          <cell r="AD47">
            <v>0</v>
          </cell>
          <cell r="AE47">
            <v>-20</v>
          </cell>
          <cell r="AG47" t="str">
            <v/>
          </cell>
        </row>
        <row r="48">
          <cell r="AD48">
            <v>0</v>
          </cell>
          <cell r="AE48">
            <v>-15</v>
          </cell>
          <cell r="AG48" t="str">
            <v/>
          </cell>
        </row>
        <row r="49">
          <cell r="AD49">
            <v>0</v>
          </cell>
          <cell r="AE49">
            <v>-10</v>
          </cell>
          <cell r="AG49" t="str">
            <v/>
          </cell>
        </row>
        <row r="50">
          <cell r="AD50">
            <v>0</v>
          </cell>
          <cell r="AE50">
            <v>-5</v>
          </cell>
          <cell r="AG50" t="str">
            <v/>
          </cell>
        </row>
        <row r="51">
          <cell r="AD51">
            <v>12</v>
          </cell>
          <cell r="AE51">
            <v>0</v>
          </cell>
          <cell r="AG51" t="str">
            <v/>
          </cell>
        </row>
        <row r="52">
          <cell r="AD52">
            <v>1</v>
          </cell>
          <cell r="AE52">
            <v>5</v>
          </cell>
          <cell r="AG52" t="str">
            <v/>
          </cell>
        </row>
        <row r="53">
          <cell r="AD53">
            <v>0</v>
          </cell>
          <cell r="AE53">
            <v>10</v>
          </cell>
          <cell r="AG53" t="str">
            <v/>
          </cell>
        </row>
        <row r="54">
          <cell r="AD54" t="str">
            <v/>
          </cell>
          <cell r="AE54">
            <v>15</v>
          </cell>
          <cell r="AG54">
            <v>0</v>
          </cell>
        </row>
        <row r="55">
          <cell r="AD55" t="str">
            <v/>
          </cell>
          <cell r="AE55">
            <v>20</v>
          </cell>
          <cell r="AG55">
            <v>0</v>
          </cell>
        </row>
        <row r="56">
          <cell r="AD56" t="str">
            <v/>
          </cell>
          <cell r="AE56">
            <v>25</v>
          </cell>
          <cell r="AG56">
            <v>0</v>
          </cell>
        </row>
        <row r="57">
          <cell r="AD57" t="str">
            <v/>
          </cell>
          <cell r="AE57">
            <v>30</v>
          </cell>
          <cell r="AG57">
            <v>0</v>
          </cell>
        </row>
        <row r="58">
          <cell r="AD58" t="str">
            <v/>
          </cell>
          <cell r="AE58">
            <v>35</v>
          </cell>
          <cell r="AG58">
            <v>0</v>
          </cell>
        </row>
        <row r="59">
          <cell r="AD59" t="str">
            <v/>
          </cell>
          <cell r="AE59">
            <v>40</v>
          </cell>
          <cell r="AG59">
            <v>0</v>
          </cell>
        </row>
        <row r="60">
          <cell r="AD60" t="str">
            <v/>
          </cell>
          <cell r="AE60">
            <v>45</v>
          </cell>
          <cell r="AG60">
            <v>0</v>
          </cell>
        </row>
        <row r="61">
          <cell r="AD61" t="str">
            <v/>
          </cell>
          <cell r="AE61">
            <v>50</v>
          </cell>
          <cell r="AG61">
            <v>0</v>
          </cell>
        </row>
        <row r="62">
          <cell r="AD62" t="str">
            <v/>
          </cell>
          <cell r="AE62">
            <v>55</v>
          </cell>
          <cell r="AG62">
            <v>0</v>
          </cell>
        </row>
        <row r="63">
          <cell r="AD63" t="str">
            <v/>
          </cell>
          <cell r="AE63">
            <v>60</v>
          </cell>
          <cell r="AG63">
            <v>0</v>
          </cell>
        </row>
        <row r="64">
          <cell r="AD64" t="str">
            <v/>
          </cell>
          <cell r="AE64">
            <v>65</v>
          </cell>
          <cell r="AG64">
            <v>0</v>
          </cell>
        </row>
        <row r="65">
          <cell r="AD65" t="str">
            <v/>
          </cell>
          <cell r="AE65">
            <v>70</v>
          </cell>
          <cell r="AG65">
            <v>0</v>
          </cell>
        </row>
        <row r="66">
          <cell r="AD66" t="str">
            <v/>
          </cell>
          <cell r="AE66">
            <v>75</v>
          </cell>
          <cell r="AG66">
            <v>0</v>
          </cell>
        </row>
        <row r="67">
          <cell r="AD67" t="str">
            <v/>
          </cell>
          <cell r="AE67">
            <v>80</v>
          </cell>
          <cell r="AG67">
            <v>0</v>
          </cell>
        </row>
        <row r="68">
          <cell r="AD68" t="str">
            <v/>
          </cell>
          <cell r="AE68">
            <v>85</v>
          </cell>
          <cell r="AG68">
            <v>0</v>
          </cell>
        </row>
        <row r="69">
          <cell r="AD69" t="str">
            <v/>
          </cell>
          <cell r="AE69">
            <v>90</v>
          </cell>
          <cell r="AG69">
            <v>0</v>
          </cell>
        </row>
        <row r="70">
          <cell r="AD70" t="str">
            <v/>
          </cell>
          <cell r="AE70">
            <v>95</v>
          </cell>
          <cell r="AG70">
            <v>0</v>
          </cell>
        </row>
        <row r="71">
          <cell r="AD71" t="str">
            <v/>
          </cell>
          <cell r="AE71">
            <v>100</v>
          </cell>
          <cell r="AG71">
            <v>0</v>
          </cell>
        </row>
      </sheetData>
      <sheetData sheetId="4">
        <row r="2">
          <cell r="AG2" t="str">
            <v>Длина недозаряда &lt; проектного</v>
          </cell>
          <cell r="AH2" t="str">
            <v>Длина недозаряда &gt; проектного</v>
          </cell>
          <cell r="AI2" t="str">
            <v>Проектная</v>
          </cell>
        </row>
        <row r="4">
          <cell r="AF4" t="str">
            <v>Total</v>
          </cell>
          <cell r="AG4">
            <v>1</v>
          </cell>
          <cell r="AH4">
            <v>3</v>
          </cell>
          <cell r="AI4">
            <v>7</v>
          </cell>
        </row>
        <row r="5">
          <cell r="AF5" t="str">
            <v>%</v>
          </cell>
          <cell r="AG5">
            <v>9.0909090909090912E-2</v>
          </cell>
          <cell r="AH5">
            <v>0.27272727272727271</v>
          </cell>
          <cell r="AI5">
            <v>0.63636363636363635</v>
          </cell>
        </row>
        <row r="29">
          <cell r="AC29" t="str">
            <v>Below Tolerance</v>
          </cell>
          <cell r="AF29" t="str">
            <v>Above Tolerance</v>
          </cell>
        </row>
        <row r="31">
          <cell r="AD31">
            <v>0</v>
          </cell>
          <cell r="AE31">
            <v>-3</v>
          </cell>
          <cell r="AG31" t="str">
            <v/>
          </cell>
        </row>
        <row r="32">
          <cell r="AD32">
            <v>0</v>
          </cell>
          <cell r="AE32">
            <v>-2.9</v>
          </cell>
          <cell r="AG32" t="str">
            <v/>
          </cell>
        </row>
        <row r="33">
          <cell r="AD33">
            <v>0</v>
          </cell>
          <cell r="AE33">
            <v>-2.8</v>
          </cell>
          <cell r="AG33" t="str">
            <v/>
          </cell>
        </row>
        <row r="34">
          <cell r="AD34">
            <v>0</v>
          </cell>
          <cell r="AE34">
            <v>-2.7</v>
          </cell>
          <cell r="AG34" t="str">
            <v/>
          </cell>
        </row>
        <row r="35">
          <cell r="AD35">
            <v>0</v>
          </cell>
          <cell r="AE35">
            <v>-2.6</v>
          </cell>
          <cell r="AG35" t="str">
            <v/>
          </cell>
        </row>
        <row r="36">
          <cell r="AD36">
            <v>0</v>
          </cell>
          <cell r="AE36">
            <v>-2.5</v>
          </cell>
          <cell r="AG36" t="str">
            <v/>
          </cell>
        </row>
        <row r="37">
          <cell r="AD37">
            <v>0</v>
          </cell>
          <cell r="AE37">
            <v>-2.4</v>
          </cell>
          <cell r="AG37" t="str">
            <v/>
          </cell>
        </row>
        <row r="38">
          <cell r="AD38">
            <v>0</v>
          </cell>
          <cell r="AE38">
            <v>-2.2999999999999998</v>
          </cell>
          <cell r="AG38" t="str">
            <v/>
          </cell>
        </row>
        <row r="39">
          <cell r="AD39">
            <v>0</v>
          </cell>
          <cell r="AE39">
            <v>-2.2000000000000002</v>
          </cell>
          <cell r="AG39" t="str">
            <v/>
          </cell>
        </row>
        <row r="40">
          <cell r="AD40">
            <v>0</v>
          </cell>
          <cell r="AE40">
            <v>-2.1</v>
          </cell>
          <cell r="AG40" t="str">
            <v/>
          </cell>
        </row>
        <row r="41">
          <cell r="AD41">
            <v>1</v>
          </cell>
          <cell r="AE41">
            <v>-2</v>
          </cell>
          <cell r="AG41" t="str">
            <v/>
          </cell>
        </row>
        <row r="42">
          <cell r="AD42">
            <v>0</v>
          </cell>
          <cell r="AE42">
            <v>-1.9</v>
          </cell>
          <cell r="AG42" t="str">
            <v/>
          </cell>
        </row>
        <row r="43">
          <cell r="AD43">
            <v>0</v>
          </cell>
          <cell r="AE43">
            <v>-1.8</v>
          </cell>
          <cell r="AG43" t="str">
            <v/>
          </cell>
        </row>
        <row r="44">
          <cell r="AD44">
            <v>0</v>
          </cell>
          <cell r="AE44">
            <v>-1.7</v>
          </cell>
          <cell r="AG44" t="str">
            <v/>
          </cell>
        </row>
        <row r="45">
          <cell r="AD45">
            <v>0</v>
          </cell>
          <cell r="AE45">
            <v>-1.6</v>
          </cell>
          <cell r="AG45" t="str">
            <v/>
          </cell>
        </row>
        <row r="46">
          <cell r="AD46">
            <v>0</v>
          </cell>
          <cell r="AE46">
            <v>-1.5</v>
          </cell>
          <cell r="AG46" t="str">
            <v/>
          </cell>
        </row>
        <row r="47">
          <cell r="AD47">
            <v>0</v>
          </cell>
          <cell r="AE47">
            <v>-1.4</v>
          </cell>
          <cell r="AG47" t="str">
            <v/>
          </cell>
        </row>
        <row r="48">
          <cell r="AD48">
            <v>0</v>
          </cell>
          <cell r="AE48">
            <v>-1.3</v>
          </cell>
          <cell r="AG48" t="str">
            <v/>
          </cell>
        </row>
        <row r="49">
          <cell r="AD49">
            <v>0</v>
          </cell>
          <cell r="AE49">
            <v>-1.2</v>
          </cell>
          <cell r="AG49" t="str">
            <v/>
          </cell>
        </row>
        <row r="50">
          <cell r="AD50">
            <v>0</v>
          </cell>
          <cell r="AE50">
            <v>-1.1000000000000001</v>
          </cell>
          <cell r="AG50" t="str">
            <v/>
          </cell>
        </row>
        <row r="51">
          <cell r="AD51">
            <v>0</v>
          </cell>
          <cell r="AE51">
            <v>-1</v>
          </cell>
          <cell r="AG51" t="str">
            <v/>
          </cell>
        </row>
        <row r="52">
          <cell r="AD52">
            <v>0</v>
          </cell>
          <cell r="AE52">
            <v>-0.9</v>
          </cell>
          <cell r="AG52" t="str">
            <v/>
          </cell>
        </row>
        <row r="53">
          <cell r="AD53">
            <v>0</v>
          </cell>
          <cell r="AE53">
            <v>-0.8</v>
          </cell>
          <cell r="AG53" t="str">
            <v/>
          </cell>
        </row>
        <row r="54">
          <cell r="AD54">
            <v>0</v>
          </cell>
          <cell r="AE54">
            <v>-0.7</v>
          </cell>
          <cell r="AG54" t="str">
            <v/>
          </cell>
        </row>
        <row r="55">
          <cell r="AD55">
            <v>0</v>
          </cell>
          <cell r="AE55">
            <v>-0.6</v>
          </cell>
          <cell r="AG55" t="str">
            <v/>
          </cell>
        </row>
        <row r="56">
          <cell r="AD56">
            <v>0</v>
          </cell>
          <cell r="AE56">
            <v>-0.5</v>
          </cell>
          <cell r="AG56" t="str">
            <v/>
          </cell>
        </row>
        <row r="57">
          <cell r="AD57">
            <v>1</v>
          </cell>
          <cell r="AE57">
            <v>-0.4</v>
          </cell>
          <cell r="AG57" t="str">
            <v/>
          </cell>
        </row>
        <row r="58">
          <cell r="AD58">
            <v>1</v>
          </cell>
          <cell r="AE58">
            <v>-0.3</v>
          </cell>
          <cell r="AG58" t="str">
            <v/>
          </cell>
        </row>
        <row r="59">
          <cell r="AD59">
            <v>2</v>
          </cell>
          <cell r="AE59">
            <v>-0.2</v>
          </cell>
          <cell r="AG59" t="str">
            <v/>
          </cell>
        </row>
        <row r="60">
          <cell r="AD60">
            <v>1</v>
          </cell>
          <cell r="AE60">
            <v>-0.1</v>
          </cell>
          <cell r="AG60" t="str">
            <v/>
          </cell>
        </row>
        <row r="61">
          <cell r="AD61">
            <v>1</v>
          </cell>
          <cell r="AE61">
            <v>0</v>
          </cell>
          <cell r="AG61" t="str">
            <v/>
          </cell>
        </row>
        <row r="62">
          <cell r="AD62">
            <v>0</v>
          </cell>
          <cell r="AE62">
            <v>0.1</v>
          </cell>
          <cell r="AG62" t="str">
            <v/>
          </cell>
        </row>
        <row r="63">
          <cell r="AD63">
            <v>0</v>
          </cell>
          <cell r="AE63">
            <v>0.2</v>
          </cell>
          <cell r="AG63" t="str">
            <v/>
          </cell>
        </row>
        <row r="64">
          <cell r="AD64">
            <v>0</v>
          </cell>
          <cell r="AE64">
            <v>0.3</v>
          </cell>
          <cell r="AG64" t="str">
            <v/>
          </cell>
        </row>
        <row r="65">
          <cell r="AD65">
            <v>0</v>
          </cell>
          <cell r="AE65">
            <v>0.4</v>
          </cell>
          <cell r="AG65" t="str">
            <v/>
          </cell>
        </row>
        <row r="66">
          <cell r="AD66">
            <v>1</v>
          </cell>
          <cell r="AE66">
            <v>0.5</v>
          </cell>
          <cell r="AG66" t="str">
            <v/>
          </cell>
        </row>
        <row r="67">
          <cell r="AD67" t="str">
            <v/>
          </cell>
          <cell r="AE67">
            <v>0.6</v>
          </cell>
          <cell r="AG67">
            <v>1</v>
          </cell>
        </row>
        <row r="68">
          <cell r="AD68" t="str">
            <v/>
          </cell>
          <cell r="AE68">
            <v>0.7</v>
          </cell>
          <cell r="AG68">
            <v>0</v>
          </cell>
        </row>
        <row r="69">
          <cell r="AD69" t="str">
            <v/>
          </cell>
          <cell r="AE69">
            <v>0.8</v>
          </cell>
          <cell r="AG69">
            <v>2</v>
          </cell>
        </row>
        <row r="70">
          <cell r="AD70" t="str">
            <v/>
          </cell>
          <cell r="AE70">
            <v>0.9</v>
          </cell>
          <cell r="AG70">
            <v>0</v>
          </cell>
        </row>
        <row r="71">
          <cell r="AD71" t="str">
            <v/>
          </cell>
          <cell r="AE71">
            <v>1</v>
          </cell>
          <cell r="AG71">
            <v>0</v>
          </cell>
        </row>
        <row r="72">
          <cell r="AD72" t="str">
            <v/>
          </cell>
          <cell r="AE72">
            <v>1.1000000000000001</v>
          </cell>
          <cell r="AG72">
            <v>0</v>
          </cell>
        </row>
        <row r="73">
          <cell r="AD73" t="str">
            <v/>
          </cell>
          <cell r="AE73">
            <v>1.2</v>
          </cell>
          <cell r="AG73">
            <v>0</v>
          </cell>
        </row>
        <row r="74">
          <cell r="AD74" t="str">
            <v/>
          </cell>
          <cell r="AE74">
            <v>1.3</v>
          </cell>
          <cell r="AG74">
            <v>0</v>
          </cell>
        </row>
        <row r="75">
          <cell r="AD75" t="str">
            <v/>
          </cell>
          <cell r="AE75">
            <v>1.4</v>
          </cell>
          <cell r="AG75">
            <v>0</v>
          </cell>
        </row>
        <row r="76">
          <cell r="AD76" t="str">
            <v/>
          </cell>
          <cell r="AE76">
            <v>1.5</v>
          </cell>
          <cell r="AG76">
            <v>0</v>
          </cell>
        </row>
        <row r="77">
          <cell r="AD77" t="str">
            <v/>
          </cell>
          <cell r="AE77">
            <v>1.6</v>
          </cell>
          <cell r="AG77">
            <v>0</v>
          </cell>
        </row>
        <row r="78">
          <cell r="AD78" t="str">
            <v/>
          </cell>
          <cell r="AE78">
            <v>1.7</v>
          </cell>
          <cell r="AG78">
            <v>0</v>
          </cell>
        </row>
        <row r="79">
          <cell r="AD79" t="str">
            <v/>
          </cell>
          <cell r="AE79">
            <v>1.8</v>
          </cell>
          <cell r="AG79">
            <v>0</v>
          </cell>
        </row>
        <row r="80">
          <cell r="AD80" t="str">
            <v/>
          </cell>
          <cell r="AE80">
            <v>1.9</v>
          </cell>
          <cell r="AG80">
            <v>0</v>
          </cell>
        </row>
        <row r="81">
          <cell r="AD81" t="str">
            <v/>
          </cell>
          <cell r="AE81">
            <v>2</v>
          </cell>
          <cell r="AG81">
            <v>0</v>
          </cell>
        </row>
        <row r="82">
          <cell r="AD82" t="str">
            <v/>
          </cell>
          <cell r="AE82">
            <v>2.1</v>
          </cell>
          <cell r="AG82">
            <v>0</v>
          </cell>
        </row>
        <row r="83">
          <cell r="AD83" t="str">
            <v/>
          </cell>
          <cell r="AE83">
            <v>2.2000000000000002</v>
          </cell>
          <cell r="AG83">
            <v>0</v>
          </cell>
        </row>
        <row r="84">
          <cell r="AD84" t="str">
            <v/>
          </cell>
          <cell r="AE84">
            <v>2.2999999999999998</v>
          </cell>
          <cell r="AG84">
            <v>0</v>
          </cell>
        </row>
        <row r="85">
          <cell r="AD85" t="str">
            <v/>
          </cell>
          <cell r="AE85">
            <v>2.4</v>
          </cell>
          <cell r="AG8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B9E3-EDE8-43CB-8B1D-58CC6CEC5B5A}">
  <dimension ref="A1:AL607"/>
  <sheetViews>
    <sheetView workbookViewId="0">
      <selection activeCell="D27" sqref="D27"/>
    </sheetView>
  </sheetViews>
  <sheetFormatPr defaultRowHeight="15.75" x14ac:dyDescent="0.25"/>
  <cols>
    <col min="1" max="1" width="9" style="55"/>
    <col min="8" max="8" width="9" style="55"/>
    <col min="15" max="15" width="12.125" customWidth="1"/>
    <col min="21" max="21" width="11.375" customWidth="1"/>
    <col min="24" max="24" width="9.625" bestFit="1" customWidth="1"/>
    <col min="29" max="29" width="12.875" bestFit="1" customWidth="1"/>
    <col min="30" max="30" width="9.875" bestFit="1" customWidth="1"/>
    <col min="37" max="37" width="8.875" customWidth="1"/>
    <col min="38" max="38" width="14" bestFit="1" customWidth="1"/>
  </cols>
  <sheetData>
    <row r="1" spans="1:38" ht="20.25" x14ac:dyDescent="0.3">
      <c r="A1" s="1"/>
      <c r="B1" s="1"/>
      <c r="C1" s="1"/>
      <c r="D1" s="1"/>
      <c r="E1" s="2"/>
      <c r="F1" s="2"/>
      <c r="G1" s="2"/>
      <c r="H1" s="2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38" ht="16.5" thickBot="1" x14ac:dyDescent="0.3">
      <c r="A2" s="4"/>
      <c r="B2" s="4"/>
      <c r="C2" s="4"/>
      <c r="D2" s="4"/>
      <c r="E2" s="1"/>
      <c r="F2" s="1"/>
      <c r="G2" s="1"/>
      <c r="H2" s="4"/>
      <c r="I2" s="4"/>
      <c r="J2" s="4"/>
      <c r="K2" s="4"/>
      <c r="L2" s="3"/>
      <c r="M2" s="5" t="s">
        <v>0</v>
      </c>
      <c r="N2" s="5"/>
      <c r="O2" s="5"/>
      <c r="P2" s="5"/>
      <c r="Q2" s="5"/>
      <c r="R2" s="5"/>
      <c r="S2" s="5"/>
      <c r="T2" s="5"/>
      <c r="U2" s="5"/>
      <c r="V2" s="3"/>
      <c r="X2" s="6" t="s">
        <v>1</v>
      </c>
      <c r="Y2" s="7"/>
      <c r="Z2" s="7"/>
      <c r="AA2" s="8"/>
      <c r="AB2" s="9"/>
      <c r="AC2" s="9"/>
      <c r="AD2" s="9"/>
    </row>
    <row r="3" spans="1:38" x14ac:dyDescent="0.25">
      <c r="A3" s="10" t="s">
        <v>2</v>
      </c>
      <c r="B3" s="11"/>
      <c r="C3" s="11"/>
      <c r="D3" s="12"/>
      <c r="E3" s="1"/>
      <c r="F3" s="1"/>
      <c r="G3" s="1"/>
      <c r="H3" s="13" t="s">
        <v>3</v>
      </c>
      <c r="I3" s="14"/>
      <c r="J3" s="14"/>
      <c r="K3" s="15"/>
      <c r="L3" s="3"/>
      <c r="M3" s="16" t="s">
        <v>4</v>
      </c>
      <c r="N3" s="16"/>
      <c r="O3" s="16"/>
      <c r="P3" s="17">
        <f>AL17</f>
        <v>281</v>
      </c>
      <c r="Q3" s="18"/>
      <c r="R3" s="16" t="s">
        <v>5</v>
      </c>
      <c r="S3" s="16"/>
      <c r="T3" s="16"/>
      <c r="U3" s="19">
        <f>AD5</f>
        <v>0.3</v>
      </c>
      <c r="V3" s="3"/>
      <c r="X3" s="20" t="s">
        <v>6</v>
      </c>
      <c r="Y3" s="21"/>
      <c r="Z3" s="22" t="s">
        <v>7</v>
      </c>
      <c r="AA3" s="23"/>
      <c r="AB3" s="9"/>
      <c r="AC3" s="24"/>
      <c r="AD3" s="9"/>
      <c r="AK3" s="25" t="s">
        <v>8</v>
      </c>
      <c r="AL3" s="25"/>
    </row>
    <row r="4" spans="1:38" ht="16.5" thickBot="1" x14ac:dyDescent="0.3">
      <c r="A4" s="26" t="s">
        <v>9</v>
      </c>
      <c r="B4" s="27" t="s">
        <v>10</v>
      </c>
      <c r="C4" s="27" t="s">
        <v>11</v>
      </c>
      <c r="D4" s="28" t="s">
        <v>12</v>
      </c>
      <c r="E4" s="1"/>
      <c r="F4" s="29" t="s">
        <v>13</v>
      </c>
      <c r="G4" s="1"/>
      <c r="H4" s="26" t="s">
        <v>9</v>
      </c>
      <c r="I4" s="27" t="s">
        <v>10</v>
      </c>
      <c r="J4" s="27" t="s">
        <v>11</v>
      </c>
      <c r="K4" s="28" t="s">
        <v>12</v>
      </c>
      <c r="L4" s="3"/>
      <c r="M4" s="16" t="s">
        <v>14</v>
      </c>
      <c r="N4" s="16"/>
      <c r="O4" s="16"/>
      <c r="P4" s="19">
        <f>AL15</f>
        <v>2.7613402542968153</v>
      </c>
      <c r="Q4" s="18"/>
      <c r="R4" s="16" t="s">
        <v>15</v>
      </c>
      <c r="S4" s="16"/>
      <c r="T4" s="16"/>
      <c r="U4" s="30">
        <f>COUNTIF(AC:AC,"&lt;="&amp;$AD$5)/$P$3</f>
        <v>0.40925266903914592</v>
      </c>
      <c r="V4" s="3"/>
      <c r="X4" s="31" t="s">
        <v>16</v>
      </c>
      <c r="Y4" s="32" t="s">
        <v>17</v>
      </c>
      <c r="Z4" s="33" t="s">
        <v>16</v>
      </c>
      <c r="AA4" s="34" t="s">
        <v>17</v>
      </c>
      <c r="AB4" s="9"/>
      <c r="AC4" s="24" t="s">
        <v>18</v>
      </c>
      <c r="AD4" s="35" t="s">
        <v>19</v>
      </c>
      <c r="AF4" s="36" t="s">
        <v>20</v>
      </c>
      <c r="AG4" s="36"/>
      <c r="AH4" s="36"/>
      <c r="AI4" s="37"/>
    </row>
    <row r="5" spans="1:38" x14ac:dyDescent="0.25">
      <c r="A5">
        <v>1</v>
      </c>
      <c r="B5">
        <v>5316145.88</v>
      </c>
      <c r="C5">
        <v>1227731.83</v>
      </c>
      <c r="E5" s="1"/>
      <c r="F5" s="29"/>
      <c r="G5" s="1"/>
      <c r="H5">
        <v>1</v>
      </c>
      <c r="I5">
        <v>5316146.9800000004</v>
      </c>
      <c r="J5">
        <v>1227731.95</v>
      </c>
      <c r="L5" s="3"/>
      <c r="M5" s="16" t="s">
        <v>21</v>
      </c>
      <c r="N5" s="16"/>
      <c r="O5" s="16"/>
      <c r="P5" s="19">
        <f>AL5</f>
        <v>0.4676464616392077</v>
      </c>
      <c r="Q5" s="18"/>
      <c r="R5" s="16" t="s">
        <v>22</v>
      </c>
      <c r="S5" s="16"/>
      <c r="T5" s="16"/>
      <c r="U5" s="30">
        <f>COUNTIF(AC:AC,"&gt;"&amp;$AD$5)/$P$3</f>
        <v>0.59074733096085408</v>
      </c>
      <c r="V5" s="3"/>
      <c r="X5" s="38">
        <f>IF(AND(B5&lt;&gt;"",$AC5&lt;$AD$5),I5-B5,100)</f>
        <v>100</v>
      </c>
      <c r="Y5" s="38">
        <f>IF(AND(C5&lt;&gt;"",$AC5&lt;$AD$5),J5-C5,100)</f>
        <v>100</v>
      </c>
      <c r="Z5" s="38">
        <f>IF(AND(B5&lt;&gt;"",$AC5&gt;$AD$5),I5-B5,100)</f>
        <v>1.1000000005587935</v>
      </c>
      <c r="AA5" s="38">
        <f>IF(AND(C5&lt;&gt;"",$AC5&gt;$AD$5),J5-C5,100)</f>
        <v>0.11999999987892807</v>
      </c>
      <c r="AB5" s="9"/>
      <c r="AC5" s="39">
        <f>IF(B5="","",(SQRT((I5-B5)^2+(J5-C5)^2)))</f>
        <v>1.1065260960322121</v>
      </c>
      <c r="AD5" s="40">
        <v>0.3</v>
      </c>
      <c r="AF5" s="41">
        <v>0</v>
      </c>
      <c r="AG5" s="41">
        <f>$AD$5</f>
        <v>0.3</v>
      </c>
      <c r="AH5" s="41">
        <f t="shared" ref="AH5:AH25" si="0">AG5*COS(AF5)</f>
        <v>0.3</v>
      </c>
      <c r="AI5" s="41">
        <f t="shared" ref="AI5:AI25" si="1">AG5*SIN(AF5)</f>
        <v>0</v>
      </c>
      <c r="AK5" t="s">
        <v>23</v>
      </c>
      <c r="AL5">
        <v>0.4676464616392077</v>
      </c>
    </row>
    <row r="6" spans="1:38" x14ac:dyDescent="0.25">
      <c r="A6">
        <v>2</v>
      </c>
      <c r="B6">
        <v>5316147.5</v>
      </c>
      <c r="C6">
        <v>1227729.47</v>
      </c>
      <c r="E6" s="1"/>
      <c r="F6" s="29"/>
      <c r="G6" s="1"/>
      <c r="H6">
        <v>2</v>
      </c>
      <c r="I6">
        <v>5316147.9000000004</v>
      </c>
      <c r="J6">
        <v>1227729.23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X6" s="38">
        <f t="shared" ref="X6:Y60" si="2">IF(AND(B6&lt;&gt;"",$AC6&lt;$AD$5),I6-B6,100)</f>
        <v>100</v>
      </c>
      <c r="Y6" s="38">
        <f t="shared" si="2"/>
        <v>100</v>
      </c>
      <c r="Z6" s="38">
        <f t="shared" ref="Z6:AA60" si="3">IF(AND(B6&lt;&gt;"",$AC6&gt;$AD$5),I6-B6,100)</f>
        <v>0.40000000037252903</v>
      </c>
      <c r="AA6" s="38">
        <f t="shared" si="3"/>
        <v>-0.23999999999068677</v>
      </c>
      <c r="AB6" s="9"/>
      <c r="AC6" s="39">
        <f t="shared" ref="AC6:AC69" si="4">IF(B6="","",(SQRT((I6-B6)^2+(J6-C6)^2)))</f>
        <v>0.46647615190227343</v>
      </c>
      <c r="AD6" s="9"/>
      <c r="AF6" s="41">
        <v>0.31415999999999999</v>
      </c>
      <c r="AG6" s="41">
        <f t="shared" ref="AG6:AG25" si="5">$AD$5</f>
        <v>0.3</v>
      </c>
      <c r="AH6" s="41">
        <f t="shared" si="0"/>
        <v>0.28531688678350103</v>
      </c>
      <c r="AI6" s="41">
        <f t="shared" si="1"/>
        <v>9.2705307917998164E-2</v>
      </c>
      <c r="AK6" t="s">
        <v>24</v>
      </c>
      <c r="AL6">
        <v>2.4760368342060579E-2</v>
      </c>
    </row>
    <row r="7" spans="1:38" x14ac:dyDescent="0.25">
      <c r="A7">
        <v>3</v>
      </c>
      <c r="B7">
        <v>5316150.74</v>
      </c>
      <c r="C7">
        <v>1227726.52</v>
      </c>
      <c r="E7" s="1"/>
      <c r="F7" s="29"/>
      <c r="G7" s="1"/>
      <c r="H7">
        <v>3</v>
      </c>
      <c r="I7">
        <v>5316151.6100000003</v>
      </c>
      <c r="J7">
        <v>1227726.46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8">
        <f t="shared" si="2"/>
        <v>100</v>
      </c>
      <c r="Y7" s="38">
        <f t="shared" si="2"/>
        <v>100</v>
      </c>
      <c r="Z7" s="38">
        <f t="shared" si="3"/>
        <v>0.87000000011175871</v>
      </c>
      <c r="AA7" s="38">
        <f t="shared" si="3"/>
        <v>-6.0000000055879354E-2</v>
      </c>
      <c r="AB7" s="9"/>
      <c r="AC7" s="39">
        <f t="shared" si="4"/>
        <v>0.87206651134025648</v>
      </c>
      <c r="AD7" s="9"/>
      <c r="AF7" s="41">
        <v>0.62831999999999999</v>
      </c>
      <c r="AG7" s="41">
        <f t="shared" si="5"/>
        <v>0.3</v>
      </c>
      <c r="AH7" s="41">
        <f t="shared" si="0"/>
        <v>0.24270483922552763</v>
      </c>
      <c r="AI7" s="41">
        <f t="shared" si="1"/>
        <v>0.17633593228979388</v>
      </c>
      <c r="AK7" t="s">
        <v>25</v>
      </c>
      <c r="AL7">
        <v>0.36400549436808066</v>
      </c>
    </row>
    <row r="8" spans="1:38" x14ac:dyDescent="0.25">
      <c r="A8">
        <v>4</v>
      </c>
      <c r="B8">
        <v>5316153.8600000003</v>
      </c>
      <c r="C8">
        <v>1227723.1200000001</v>
      </c>
      <c r="E8" s="1"/>
      <c r="F8" s="29"/>
      <c r="G8" s="1"/>
      <c r="H8">
        <v>4</v>
      </c>
      <c r="I8">
        <v>5316154.16</v>
      </c>
      <c r="J8">
        <v>1227722.6599999999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8">
        <f t="shared" si="2"/>
        <v>100</v>
      </c>
      <c r="Y8" s="38">
        <f t="shared" si="2"/>
        <v>100</v>
      </c>
      <c r="Z8" s="38">
        <f t="shared" si="3"/>
        <v>0.29999999981373549</v>
      </c>
      <c r="AA8" s="38">
        <f t="shared" si="3"/>
        <v>-0.46000000019557774</v>
      </c>
      <c r="AB8" s="9"/>
      <c r="AC8" s="39">
        <f t="shared" si="4"/>
        <v>0.5491812087719069</v>
      </c>
      <c r="AD8" s="9"/>
      <c r="AF8" s="41">
        <v>0.94247999999999998</v>
      </c>
      <c r="AG8" s="41">
        <f t="shared" si="5"/>
        <v>0.3</v>
      </c>
      <c r="AH8" s="41">
        <f t="shared" si="0"/>
        <v>0.17633504078395024</v>
      </c>
      <c r="AI8" s="41">
        <f t="shared" si="1"/>
        <v>0.24270548694193667</v>
      </c>
      <c r="AK8" t="s">
        <v>26</v>
      </c>
      <c r="AL8">
        <v>0</v>
      </c>
    </row>
    <row r="9" spans="1:38" x14ac:dyDescent="0.25">
      <c r="A9">
        <v>5</v>
      </c>
      <c r="B9">
        <v>5316156.21</v>
      </c>
      <c r="C9">
        <v>1227719.1399999999</v>
      </c>
      <c r="E9" s="1"/>
      <c r="F9" s="29"/>
      <c r="G9" s="1"/>
      <c r="H9">
        <v>5</v>
      </c>
      <c r="I9">
        <v>5316157.0999999996</v>
      </c>
      <c r="J9">
        <v>1227719.3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8">
        <f t="shared" si="2"/>
        <v>100</v>
      </c>
      <c r="Y9" s="38">
        <f t="shared" si="2"/>
        <v>100</v>
      </c>
      <c r="Z9" s="38">
        <f t="shared" si="3"/>
        <v>0.88999999966472387</v>
      </c>
      <c r="AA9" s="38">
        <f t="shared" si="3"/>
        <v>0.16000000014901161</v>
      </c>
      <c r="AB9" s="9"/>
      <c r="AC9" s="39">
        <f t="shared" si="4"/>
        <v>0.90426765918664387</v>
      </c>
      <c r="AD9" s="9"/>
      <c r="AF9" s="41">
        <v>1.25664</v>
      </c>
      <c r="AG9" s="41">
        <f t="shared" si="5"/>
        <v>0.3</v>
      </c>
      <c r="AH9" s="41">
        <f t="shared" si="0"/>
        <v>9.2704259889928156E-2</v>
      </c>
      <c r="AI9" s="41">
        <f t="shared" si="1"/>
        <v>0.28531722730718634</v>
      </c>
      <c r="AK9" t="s">
        <v>27</v>
      </c>
      <c r="AL9">
        <v>0.41505940678666586</v>
      </c>
    </row>
    <row r="10" spans="1:38" x14ac:dyDescent="0.25">
      <c r="A10">
        <v>6</v>
      </c>
      <c r="B10">
        <v>5316157.62</v>
      </c>
      <c r="C10">
        <v>1227715.1399999999</v>
      </c>
      <c r="E10" s="1"/>
      <c r="F10" s="29"/>
      <c r="G10" s="1"/>
      <c r="H10">
        <v>6</v>
      </c>
      <c r="I10">
        <v>5316158.03</v>
      </c>
      <c r="J10">
        <v>1227715.01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8">
        <f t="shared" si="2"/>
        <v>100</v>
      </c>
      <c r="Y10" s="38">
        <f t="shared" si="2"/>
        <v>100</v>
      </c>
      <c r="Z10" s="38">
        <f t="shared" si="3"/>
        <v>0.41000000014901161</v>
      </c>
      <c r="AA10" s="38">
        <f t="shared" si="3"/>
        <v>-0.12999999988824129</v>
      </c>
      <c r="AB10" s="9"/>
      <c r="AC10" s="39">
        <f t="shared" si="4"/>
        <v>0.43011626346039539</v>
      </c>
      <c r="AD10" s="9"/>
      <c r="AF10" s="41">
        <v>1.5708</v>
      </c>
      <c r="AG10" s="41">
        <f t="shared" si="5"/>
        <v>0.3</v>
      </c>
      <c r="AH10" s="41">
        <f t="shared" si="0"/>
        <v>-1.1019615310039644E-6</v>
      </c>
      <c r="AI10" s="41">
        <f t="shared" si="1"/>
        <v>0.29999999999797611</v>
      </c>
      <c r="AK10" t="s">
        <v>28</v>
      </c>
      <c r="AL10">
        <v>0.17227431116209899</v>
      </c>
    </row>
    <row r="11" spans="1:38" x14ac:dyDescent="0.25">
      <c r="A11">
        <v>7</v>
      </c>
      <c r="B11">
        <v>5316158.3</v>
      </c>
      <c r="C11">
        <v>1227710.52</v>
      </c>
      <c r="E11" s="1"/>
      <c r="F11" s="29"/>
      <c r="G11" s="1"/>
      <c r="H11">
        <v>7</v>
      </c>
      <c r="I11">
        <v>5316158.2699999996</v>
      </c>
      <c r="J11">
        <v>1227710.69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8">
        <f t="shared" si="2"/>
        <v>-3.0000000260770321E-2</v>
      </c>
      <c r="Y11" s="38">
        <f t="shared" si="2"/>
        <v>0.16999999992549419</v>
      </c>
      <c r="Z11" s="38">
        <f t="shared" si="3"/>
        <v>100</v>
      </c>
      <c r="AA11" s="38">
        <f t="shared" si="3"/>
        <v>100</v>
      </c>
      <c r="AB11" s="9"/>
      <c r="AC11" s="39">
        <f t="shared" si="4"/>
        <v>0.17262676498826665</v>
      </c>
      <c r="AD11" s="9"/>
      <c r="AF11" s="41">
        <v>1.88496</v>
      </c>
      <c r="AG11" s="41">
        <f t="shared" si="5"/>
        <v>0.3</v>
      </c>
      <c r="AH11" s="41">
        <f t="shared" si="0"/>
        <v>-9.2706355944817354E-2</v>
      </c>
      <c r="AI11" s="41">
        <f t="shared" si="1"/>
        <v>0.28531654625596609</v>
      </c>
      <c r="AK11" t="s">
        <v>29</v>
      </c>
      <c r="AL11">
        <v>10.369953931678573</v>
      </c>
    </row>
    <row r="12" spans="1:38" x14ac:dyDescent="0.25">
      <c r="A12">
        <v>8</v>
      </c>
      <c r="B12">
        <v>5316158.6100000003</v>
      </c>
      <c r="C12">
        <v>1227705.8500000001</v>
      </c>
      <c r="E12" s="1"/>
      <c r="F12" s="29"/>
      <c r="G12" s="1"/>
      <c r="H12">
        <v>8</v>
      </c>
      <c r="I12">
        <v>5316158.4800000004</v>
      </c>
      <c r="J12">
        <v>1227705.3999999999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8">
        <f t="shared" si="2"/>
        <v>100</v>
      </c>
      <c r="Y12" s="38">
        <f t="shared" si="2"/>
        <v>100</v>
      </c>
      <c r="Z12" s="38">
        <f t="shared" si="3"/>
        <v>-0.12999999988824129</v>
      </c>
      <c r="AA12" s="38">
        <f t="shared" si="3"/>
        <v>-0.45000000018626451</v>
      </c>
      <c r="AB12" s="9"/>
      <c r="AC12" s="39">
        <f t="shared" si="4"/>
        <v>0.46840153729314427</v>
      </c>
      <c r="AD12" s="9"/>
      <c r="AF12" s="41">
        <v>2.1991200000000002</v>
      </c>
      <c r="AG12" s="41">
        <f t="shared" si="5"/>
        <v>0.3</v>
      </c>
      <c r="AH12" s="41">
        <f t="shared" si="0"/>
        <v>-0.17633682379325841</v>
      </c>
      <c r="AI12" s="41">
        <f t="shared" si="1"/>
        <v>0.24270419150584388</v>
      </c>
      <c r="AK12" t="s">
        <v>30</v>
      </c>
      <c r="AL12">
        <v>2.7395434684226787</v>
      </c>
    </row>
    <row r="13" spans="1:38" x14ac:dyDescent="0.25">
      <c r="A13">
        <v>9</v>
      </c>
      <c r="B13">
        <v>5316158.71</v>
      </c>
      <c r="C13">
        <v>1227701.1200000001</v>
      </c>
      <c r="E13" s="1"/>
      <c r="F13" s="29"/>
      <c r="G13" s="1"/>
      <c r="H13">
        <v>9</v>
      </c>
      <c r="I13">
        <v>5316158.71</v>
      </c>
      <c r="J13">
        <v>1227700.8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8">
        <f t="shared" si="2"/>
        <v>100</v>
      </c>
      <c r="Y13" s="38">
        <f t="shared" si="2"/>
        <v>100</v>
      </c>
      <c r="Z13" s="38">
        <f t="shared" si="3"/>
        <v>0</v>
      </c>
      <c r="AA13" s="38">
        <f t="shared" si="3"/>
        <v>-0.32000000006519258</v>
      </c>
      <c r="AB13" s="9"/>
      <c r="AC13" s="39">
        <f t="shared" si="4"/>
        <v>0.32000000006519258</v>
      </c>
      <c r="AD13" s="9"/>
      <c r="AF13" s="41">
        <v>2.51328</v>
      </c>
      <c r="AG13" s="41">
        <f t="shared" si="5"/>
        <v>0.3</v>
      </c>
      <c r="AH13" s="41">
        <f t="shared" si="0"/>
        <v>-0.24270613465507104</v>
      </c>
      <c r="AI13" s="41">
        <f t="shared" si="1"/>
        <v>0.17633414927572741</v>
      </c>
      <c r="AK13" t="s">
        <v>31</v>
      </c>
      <c r="AL13">
        <v>2.7613402542968153</v>
      </c>
    </row>
    <row r="14" spans="1:38" x14ac:dyDescent="0.25">
      <c r="A14">
        <v>10</v>
      </c>
      <c r="B14">
        <v>5316158.8499999996</v>
      </c>
      <c r="C14">
        <v>1227696.51</v>
      </c>
      <c r="E14" s="1"/>
      <c r="F14" s="29"/>
      <c r="G14" s="1"/>
      <c r="H14">
        <v>10</v>
      </c>
      <c r="I14">
        <v>5316158.92</v>
      </c>
      <c r="J14">
        <v>1227696.3799999999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8">
        <f t="shared" si="2"/>
        <v>7.0000000298023224E-2</v>
      </c>
      <c r="Y14" s="38">
        <f t="shared" si="2"/>
        <v>-0.13000000012107193</v>
      </c>
      <c r="Z14" s="38">
        <f t="shared" si="3"/>
        <v>100</v>
      </c>
      <c r="AA14" s="38">
        <f t="shared" si="3"/>
        <v>100</v>
      </c>
      <c r="AB14" s="9"/>
      <c r="AC14" s="39">
        <f t="shared" si="4"/>
        <v>0.1476482308502271</v>
      </c>
      <c r="AD14" s="9"/>
      <c r="AF14" s="41">
        <v>2.8274400000000002</v>
      </c>
      <c r="AG14" s="41">
        <f t="shared" si="5"/>
        <v>0.3</v>
      </c>
      <c r="AH14" s="41">
        <f t="shared" si="0"/>
        <v>-0.28531756782702211</v>
      </c>
      <c r="AI14" s="41">
        <f t="shared" si="1"/>
        <v>9.270321186060726E-2</v>
      </c>
      <c r="AK14" t="s">
        <v>32</v>
      </c>
      <c r="AL14">
        <v>0</v>
      </c>
    </row>
    <row r="15" spans="1:38" x14ac:dyDescent="0.25">
      <c r="A15">
        <v>11</v>
      </c>
      <c r="B15">
        <v>5316158.91</v>
      </c>
      <c r="C15">
        <v>1227691.97</v>
      </c>
      <c r="E15" s="1"/>
      <c r="F15" s="29"/>
      <c r="G15" s="1"/>
      <c r="H15">
        <v>11</v>
      </c>
      <c r="I15">
        <v>5316158.91</v>
      </c>
      <c r="J15">
        <v>1227691.97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8">
        <f t="shared" si="2"/>
        <v>0</v>
      </c>
      <c r="Y15" s="38">
        <f t="shared" si="2"/>
        <v>0</v>
      </c>
      <c r="Z15" s="38">
        <f t="shared" si="3"/>
        <v>100</v>
      </c>
      <c r="AA15" s="38">
        <f t="shared" si="3"/>
        <v>100</v>
      </c>
      <c r="AB15" s="9"/>
      <c r="AC15" s="39">
        <f t="shared" si="4"/>
        <v>0</v>
      </c>
      <c r="AD15" s="9"/>
      <c r="AF15" s="41">
        <v>3.1415999999999999</v>
      </c>
      <c r="AG15" s="41">
        <f t="shared" si="5"/>
        <v>0.3</v>
      </c>
      <c r="AH15" s="41">
        <f t="shared" si="0"/>
        <v>-0.29999999999190452</v>
      </c>
      <c r="AI15" s="41">
        <f t="shared" si="1"/>
        <v>-2.2039230619930609E-6</v>
      </c>
      <c r="AK15" t="s">
        <v>33</v>
      </c>
      <c r="AL15">
        <v>2.7613402542968153</v>
      </c>
    </row>
    <row r="16" spans="1:38" x14ac:dyDescent="0.25">
      <c r="A16">
        <v>12</v>
      </c>
      <c r="B16">
        <v>5316159.57</v>
      </c>
      <c r="C16">
        <v>1227687.76</v>
      </c>
      <c r="E16" s="1"/>
      <c r="F16" s="29"/>
      <c r="G16" s="1"/>
      <c r="H16">
        <v>12</v>
      </c>
      <c r="I16">
        <v>5316159.66</v>
      </c>
      <c r="J16">
        <v>1227688.24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8">
        <f t="shared" si="2"/>
        <v>100</v>
      </c>
      <c r="Y16" s="38">
        <f t="shared" si="2"/>
        <v>100</v>
      </c>
      <c r="Z16" s="38">
        <f t="shared" si="3"/>
        <v>8.9999999850988388E-2</v>
      </c>
      <c r="AA16" s="38">
        <f t="shared" si="3"/>
        <v>0.47999999998137355</v>
      </c>
      <c r="AB16" s="9"/>
      <c r="AC16" s="39">
        <f t="shared" si="4"/>
        <v>0.48836461783722263</v>
      </c>
      <c r="AD16" s="9"/>
      <c r="AF16" s="41">
        <v>3.4557600000000002</v>
      </c>
      <c r="AG16" s="41">
        <f t="shared" si="5"/>
        <v>0.3</v>
      </c>
      <c r="AH16" s="41">
        <f t="shared" si="0"/>
        <v>-0.28531620572458144</v>
      </c>
      <c r="AI16" s="41">
        <f t="shared" si="1"/>
        <v>-9.2707403970385779E-2</v>
      </c>
      <c r="AK16" t="s">
        <v>34</v>
      </c>
      <c r="AL16">
        <v>131.40865572061736</v>
      </c>
    </row>
    <row r="17" spans="1:38" ht="16.5" thickBot="1" x14ac:dyDescent="0.3">
      <c r="A17">
        <v>13</v>
      </c>
      <c r="B17">
        <v>5316160</v>
      </c>
      <c r="C17">
        <v>1227683.08</v>
      </c>
      <c r="E17" s="1"/>
      <c r="F17" s="29"/>
      <c r="G17" s="1"/>
      <c r="H17">
        <v>13</v>
      </c>
      <c r="I17">
        <v>5316160.5999999996</v>
      </c>
      <c r="J17">
        <v>1227683.03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8">
        <f t="shared" si="2"/>
        <v>100</v>
      </c>
      <c r="Y17" s="38">
        <f t="shared" si="2"/>
        <v>100</v>
      </c>
      <c r="Z17" s="38">
        <f t="shared" si="3"/>
        <v>0.59999999962747097</v>
      </c>
      <c r="AA17" s="38">
        <f t="shared" si="3"/>
        <v>-5.0000000046566129E-2</v>
      </c>
      <c r="AB17" s="9"/>
      <c r="AC17" s="39">
        <f t="shared" si="4"/>
        <v>0.60207972857223968</v>
      </c>
      <c r="AD17" s="9"/>
      <c r="AF17" s="41">
        <v>3.7699199999999999</v>
      </c>
      <c r="AG17" s="41">
        <f t="shared" si="5"/>
        <v>0.3</v>
      </c>
      <c r="AH17" s="41">
        <f t="shared" si="0"/>
        <v>-0.2427035437828855</v>
      </c>
      <c r="AI17" s="41">
        <f t="shared" si="1"/>
        <v>-0.17633771529434356</v>
      </c>
      <c r="AK17" s="42" t="s">
        <v>35</v>
      </c>
      <c r="AL17" s="42">
        <v>281</v>
      </c>
    </row>
    <row r="18" spans="1:38" x14ac:dyDescent="0.25">
      <c r="A18">
        <v>14</v>
      </c>
      <c r="B18">
        <v>5316159.88</v>
      </c>
      <c r="C18">
        <v>1227678.4099999999</v>
      </c>
      <c r="E18" s="1"/>
      <c r="F18" s="29"/>
      <c r="G18" s="1"/>
      <c r="H18">
        <v>14</v>
      </c>
      <c r="I18">
        <v>5316162.28</v>
      </c>
      <c r="J18">
        <v>1227678.42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8">
        <f t="shared" si="2"/>
        <v>100</v>
      </c>
      <c r="Y18" s="38">
        <f t="shared" si="2"/>
        <v>100</v>
      </c>
      <c r="Z18" s="38">
        <f t="shared" si="3"/>
        <v>2.400000000372529</v>
      </c>
      <c r="AA18" s="38">
        <f t="shared" si="3"/>
        <v>1.0000000009313226E-2</v>
      </c>
      <c r="AB18" s="9"/>
      <c r="AC18" s="39">
        <f t="shared" si="4"/>
        <v>2.4000208336154762</v>
      </c>
      <c r="AD18" s="9"/>
      <c r="AF18" s="41">
        <v>4.0840800000000002</v>
      </c>
      <c r="AG18" s="41">
        <f t="shared" si="5"/>
        <v>0.3</v>
      </c>
      <c r="AH18" s="41">
        <f t="shared" si="0"/>
        <v>-0.17633325776512532</v>
      </c>
      <c r="AI18" s="41">
        <f t="shared" si="1"/>
        <v>-0.24270678236493076</v>
      </c>
    </row>
    <row r="19" spans="1:38" x14ac:dyDescent="0.25">
      <c r="A19">
        <v>15</v>
      </c>
      <c r="B19">
        <v>5316159.6500000004</v>
      </c>
      <c r="C19">
        <v>1227674.3700000001</v>
      </c>
      <c r="E19" s="1"/>
      <c r="F19" s="29"/>
      <c r="G19" s="1"/>
      <c r="H19">
        <v>15</v>
      </c>
      <c r="I19">
        <v>5316160.51</v>
      </c>
      <c r="J19">
        <v>1227674.6100000001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8">
        <f t="shared" si="2"/>
        <v>100</v>
      </c>
      <c r="Y19" s="38">
        <f t="shared" si="2"/>
        <v>100</v>
      </c>
      <c r="Z19" s="38">
        <f t="shared" si="3"/>
        <v>0.85999999940395355</v>
      </c>
      <c r="AA19" s="38">
        <f t="shared" si="3"/>
        <v>0.23999999999068677</v>
      </c>
      <c r="AB19" s="9"/>
      <c r="AC19" s="39">
        <f t="shared" si="4"/>
        <v>0.89286057084537551</v>
      </c>
      <c r="AD19" s="9"/>
      <c r="AF19" s="41">
        <v>4.3982400000000004</v>
      </c>
      <c r="AG19" s="41">
        <f t="shared" si="5"/>
        <v>0.3</v>
      </c>
      <c r="AH19" s="41">
        <f t="shared" si="0"/>
        <v>-9.2702163830035586E-2</v>
      </c>
      <c r="AI19" s="41">
        <f t="shared" si="1"/>
        <v>-0.28531790834300819</v>
      </c>
    </row>
    <row r="20" spans="1:38" ht="16.5" x14ac:dyDescent="0.25">
      <c r="A20">
        <v>16</v>
      </c>
      <c r="B20">
        <v>5316159.71</v>
      </c>
      <c r="C20">
        <v>1227669.8</v>
      </c>
      <c r="E20" s="1"/>
      <c r="F20" s="43" t="s">
        <v>36</v>
      </c>
      <c r="G20" s="1"/>
      <c r="H20">
        <v>16</v>
      </c>
      <c r="I20">
        <v>5316159.84</v>
      </c>
      <c r="J20">
        <v>1227669.54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8">
        <f t="shared" si="2"/>
        <v>0.12999999988824129</v>
      </c>
      <c r="Y20" s="38">
        <f t="shared" si="2"/>
        <v>-0.26000000000931323</v>
      </c>
      <c r="Z20" s="38">
        <f t="shared" si="3"/>
        <v>100</v>
      </c>
      <c r="AA20" s="38">
        <f t="shared" si="3"/>
        <v>100</v>
      </c>
      <c r="AB20" s="9"/>
      <c r="AC20" s="39">
        <f t="shared" si="4"/>
        <v>0.29068883703332266</v>
      </c>
      <c r="AD20" s="9"/>
      <c r="AF20" s="41">
        <v>4.7123999999999997</v>
      </c>
      <c r="AG20" s="41">
        <f t="shared" si="5"/>
        <v>0.3</v>
      </c>
      <c r="AH20" s="41">
        <f t="shared" si="0"/>
        <v>3.305884592885808E-6</v>
      </c>
      <c r="AI20" s="41">
        <f t="shared" si="1"/>
        <v>-0.29999999998178517</v>
      </c>
    </row>
    <row r="21" spans="1:38" x14ac:dyDescent="0.25">
      <c r="A21">
        <v>17</v>
      </c>
      <c r="B21">
        <v>5316159.03</v>
      </c>
      <c r="C21">
        <v>1227665.21</v>
      </c>
      <c r="E21" s="1"/>
      <c r="F21" s="44"/>
      <c r="G21" s="1"/>
      <c r="H21">
        <v>17</v>
      </c>
      <c r="I21">
        <v>5316159.4400000004</v>
      </c>
      <c r="J21">
        <v>1227664.8400000001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8">
        <f t="shared" si="2"/>
        <v>100</v>
      </c>
      <c r="Y21" s="38">
        <f t="shared" si="2"/>
        <v>100</v>
      </c>
      <c r="Z21" s="38">
        <f t="shared" si="3"/>
        <v>0.41000000014901161</v>
      </c>
      <c r="AA21" s="38">
        <f t="shared" si="3"/>
        <v>-0.36999999987892807</v>
      </c>
      <c r="AB21" s="9"/>
      <c r="AC21" s="39">
        <f t="shared" si="4"/>
        <v>0.55226805088887432</v>
      </c>
      <c r="AD21" s="9"/>
      <c r="AF21" s="41">
        <v>5.0265599999999999</v>
      </c>
      <c r="AG21" s="41">
        <f t="shared" si="5"/>
        <v>0.3</v>
      </c>
      <c r="AH21" s="41">
        <f t="shared" si="0"/>
        <v>9.2708451994703234E-2</v>
      </c>
      <c r="AI21" s="41">
        <f t="shared" si="1"/>
        <v>-0.28531586518934732</v>
      </c>
    </row>
    <row r="22" spans="1:38" x14ac:dyDescent="0.25">
      <c r="A22">
        <v>19</v>
      </c>
      <c r="B22">
        <v>5316160.88</v>
      </c>
      <c r="C22">
        <v>1227660.0900000001</v>
      </c>
      <c r="E22" s="1"/>
      <c r="F22" s="44"/>
      <c r="G22" s="1"/>
      <c r="H22">
        <v>19</v>
      </c>
      <c r="I22">
        <v>5316161.43</v>
      </c>
      <c r="J22">
        <v>1227660.1000000001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8">
        <f t="shared" si="2"/>
        <v>100</v>
      </c>
      <c r="Y22" s="38">
        <f t="shared" si="2"/>
        <v>100</v>
      </c>
      <c r="Z22" s="38">
        <f t="shared" si="3"/>
        <v>0.54999999981373549</v>
      </c>
      <c r="AA22" s="38">
        <f t="shared" si="3"/>
        <v>1.0000000009313226E-2</v>
      </c>
      <c r="AB22" s="9"/>
      <c r="AC22" s="39">
        <f t="shared" si="4"/>
        <v>0.55009090139293826</v>
      </c>
      <c r="AD22" s="9"/>
      <c r="AF22" s="41">
        <v>5.3407200000000001</v>
      </c>
      <c r="AG22" s="41">
        <f t="shared" si="5"/>
        <v>0.3</v>
      </c>
      <c r="AH22" s="41">
        <f t="shared" si="0"/>
        <v>0.17633860679304966</v>
      </c>
      <c r="AI22" s="41">
        <f t="shared" si="1"/>
        <v>-0.24270289605665241</v>
      </c>
    </row>
    <row r="23" spans="1:38" x14ac:dyDescent="0.25">
      <c r="A23">
        <v>20</v>
      </c>
      <c r="B23">
        <v>5316164.3499999996</v>
      </c>
      <c r="C23">
        <v>1227656.8899999999</v>
      </c>
      <c r="E23" s="1"/>
      <c r="F23" s="1"/>
      <c r="G23" s="1"/>
      <c r="H23">
        <v>20</v>
      </c>
      <c r="I23">
        <v>5316164.3499999996</v>
      </c>
      <c r="J23">
        <v>1227656.8899999999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8">
        <f t="shared" si="2"/>
        <v>0</v>
      </c>
      <c r="Y23" s="38">
        <f t="shared" si="2"/>
        <v>0</v>
      </c>
      <c r="Z23" s="38">
        <f t="shared" si="3"/>
        <v>100</v>
      </c>
      <c r="AA23" s="38">
        <f t="shared" si="3"/>
        <v>100</v>
      </c>
      <c r="AB23" s="9"/>
      <c r="AC23" s="39">
        <f t="shared" si="4"/>
        <v>0</v>
      </c>
      <c r="AD23" s="9"/>
      <c r="AF23" s="41">
        <v>5.6548800000000004</v>
      </c>
      <c r="AG23" s="41">
        <f t="shared" si="5"/>
        <v>0.3</v>
      </c>
      <c r="AH23" s="41">
        <f t="shared" si="0"/>
        <v>0.24270743007151574</v>
      </c>
      <c r="AI23" s="41">
        <f t="shared" si="1"/>
        <v>-0.17633236625214407</v>
      </c>
    </row>
    <row r="24" spans="1:38" x14ac:dyDescent="0.25">
      <c r="A24">
        <v>21</v>
      </c>
      <c r="B24">
        <v>5316167.2300000004</v>
      </c>
      <c r="C24">
        <v>1227653.8700000001</v>
      </c>
      <c r="E24" s="1"/>
      <c r="F24" s="1"/>
      <c r="G24" s="1"/>
      <c r="H24">
        <v>21</v>
      </c>
      <c r="I24">
        <v>5316167.22</v>
      </c>
      <c r="J24">
        <v>1227654.51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8">
        <f t="shared" si="2"/>
        <v>100</v>
      </c>
      <c r="Y24" s="38">
        <f t="shared" si="2"/>
        <v>100</v>
      </c>
      <c r="Z24" s="38">
        <f t="shared" si="3"/>
        <v>-1.0000000707805157E-2</v>
      </c>
      <c r="AA24" s="38">
        <f t="shared" si="3"/>
        <v>0.63999999989755452</v>
      </c>
      <c r="AB24" s="9"/>
      <c r="AC24" s="39">
        <f t="shared" si="4"/>
        <v>0.64007812014083554</v>
      </c>
      <c r="AD24" s="9"/>
      <c r="AF24" s="41">
        <v>5.9690399999999997</v>
      </c>
      <c r="AG24" s="41">
        <f t="shared" si="5"/>
        <v>0.3</v>
      </c>
      <c r="AH24" s="41">
        <f t="shared" si="0"/>
        <v>0.28531824885514462</v>
      </c>
      <c r="AI24" s="41">
        <f t="shared" si="1"/>
        <v>-9.2701115798213385E-2</v>
      </c>
    </row>
    <row r="25" spans="1:38" x14ac:dyDescent="0.25">
      <c r="A25">
        <v>23</v>
      </c>
      <c r="B25">
        <v>5316173.93</v>
      </c>
      <c r="C25">
        <v>1227649.18</v>
      </c>
      <c r="E25" s="1"/>
      <c r="F25" s="1"/>
      <c r="G25" s="1"/>
      <c r="H25">
        <v>23</v>
      </c>
      <c r="I25">
        <v>5316174.26</v>
      </c>
      <c r="J25">
        <v>1227649.1100000001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8">
        <f t="shared" si="2"/>
        <v>100</v>
      </c>
      <c r="Y25" s="38">
        <f t="shared" si="2"/>
        <v>100</v>
      </c>
      <c r="Z25" s="38">
        <f t="shared" si="3"/>
        <v>0.33000000007450581</v>
      </c>
      <c r="AA25" s="38">
        <f t="shared" si="3"/>
        <v>-6.9999999832361937E-2</v>
      </c>
      <c r="AB25" s="9"/>
      <c r="AC25" s="39">
        <f t="shared" si="4"/>
        <v>0.33734255590675855</v>
      </c>
      <c r="AD25" s="9"/>
      <c r="AF25" s="41">
        <v>6.2831999999999999</v>
      </c>
      <c r="AG25" s="41">
        <f t="shared" si="5"/>
        <v>0.3</v>
      </c>
      <c r="AH25" s="41">
        <f t="shared" si="0"/>
        <v>0.29999999996761817</v>
      </c>
      <c r="AI25" s="41">
        <f t="shared" si="1"/>
        <v>4.4078461238671772E-6</v>
      </c>
    </row>
    <row r="26" spans="1:38" x14ac:dyDescent="0.25">
      <c r="A26">
        <v>24</v>
      </c>
      <c r="B26">
        <v>5316177.9800000004</v>
      </c>
      <c r="C26">
        <v>1227647.3500000001</v>
      </c>
      <c r="E26" s="1"/>
      <c r="F26" s="1"/>
      <c r="G26" s="1"/>
      <c r="H26">
        <v>24</v>
      </c>
      <c r="I26">
        <v>5316178.24</v>
      </c>
      <c r="J26">
        <v>1227647.1100000001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8">
        <f t="shared" si="2"/>
        <v>100</v>
      </c>
      <c r="Y26" s="38">
        <f t="shared" si="2"/>
        <v>100</v>
      </c>
      <c r="Z26" s="38">
        <f t="shared" si="3"/>
        <v>0.25999999977648258</v>
      </c>
      <c r="AA26" s="38">
        <f t="shared" si="3"/>
        <v>-0.23999999999068677</v>
      </c>
      <c r="AB26" s="9"/>
      <c r="AC26" s="39">
        <f t="shared" si="4"/>
        <v>0.35383612008852428</v>
      </c>
      <c r="AD26" s="9"/>
      <c r="AL26">
        <f>COUNTIF(AC5:AC151,"&gt;0.51")</f>
        <v>0</v>
      </c>
    </row>
    <row r="27" spans="1:38" x14ac:dyDescent="0.25">
      <c r="A27">
        <v>25</v>
      </c>
      <c r="B27">
        <v>5316181.3899999997</v>
      </c>
      <c r="C27">
        <v>1227647.58</v>
      </c>
      <c r="E27" s="1"/>
      <c r="F27" s="1"/>
      <c r="G27" s="1"/>
      <c r="H27">
        <v>25</v>
      </c>
      <c r="I27">
        <v>5316182.17</v>
      </c>
      <c r="J27">
        <v>1227647.57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8">
        <f t="shared" si="2"/>
        <v>100</v>
      </c>
      <c r="Y27" s="38">
        <f t="shared" si="2"/>
        <v>100</v>
      </c>
      <c r="Z27" s="38">
        <f t="shared" si="3"/>
        <v>0.78000000026077032</v>
      </c>
      <c r="AA27" s="38">
        <f t="shared" si="3"/>
        <v>-1.0000000009313226E-2</v>
      </c>
      <c r="AB27" s="9"/>
      <c r="AC27" s="39">
        <f t="shared" si="4"/>
        <v>0.78006410019112404</v>
      </c>
      <c r="AD27" s="9"/>
      <c r="AG27" s="45">
        <f>SUM(AG31:AG63)</f>
        <v>162</v>
      </c>
      <c r="AJ27" s="45">
        <f>SUM(AJ31:AJ63)</f>
        <v>119</v>
      </c>
    </row>
    <row r="28" spans="1:38" x14ac:dyDescent="0.25">
      <c r="A28">
        <v>26</v>
      </c>
      <c r="B28">
        <v>5316185.54</v>
      </c>
      <c r="C28">
        <v>1227646.99</v>
      </c>
      <c r="E28" s="1"/>
      <c r="F28" s="1"/>
      <c r="G28" s="1"/>
      <c r="H28">
        <v>26</v>
      </c>
      <c r="I28">
        <v>5316185.9400000004</v>
      </c>
      <c r="J28">
        <v>1227646.94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8">
        <f t="shared" si="2"/>
        <v>100</v>
      </c>
      <c r="Y28" s="38">
        <f t="shared" si="2"/>
        <v>100</v>
      </c>
      <c r="Z28" s="38">
        <f t="shared" si="3"/>
        <v>0.40000000037252903</v>
      </c>
      <c r="AA28" s="38">
        <f t="shared" si="3"/>
        <v>-5.0000000046566129E-2</v>
      </c>
      <c r="AB28" s="9"/>
      <c r="AC28" s="39">
        <f t="shared" si="4"/>
        <v>0.40311288779035559</v>
      </c>
      <c r="AD28" s="9"/>
    </row>
    <row r="29" spans="1:38" x14ac:dyDescent="0.25">
      <c r="A29">
        <v>27</v>
      </c>
      <c r="B29">
        <v>5316188.01</v>
      </c>
      <c r="C29">
        <v>1227647.77</v>
      </c>
      <c r="E29" s="1"/>
      <c r="F29" s="1"/>
      <c r="G29" s="1"/>
      <c r="H29">
        <v>27</v>
      </c>
      <c r="I29">
        <v>5316187.9400000004</v>
      </c>
      <c r="J29">
        <v>1227647.78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8">
        <f t="shared" si="2"/>
        <v>-6.9999999366700649E-2</v>
      </c>
      <c r="Y29" s="38">
        <f t="shared" si="2"/>
        <v>1.0000000009313226E-2</v>
      </c>
      <c r="Z29" s="38">
        <f t="shared" si="3"/>
        <v>100</v>
      </c>
      <c r="AA29" s="38">
        <f t="shared" si="3"/>
        <v>100</v>
      </c>
      <c r="AB29" s="9"/>
      <c r="AC29" s="39">
        <f t="shared" si="4"/>
        <v>7.0710677493037472E-2</v>
      </c>
      <c r="AD29" s="9"/>
      <c r="AF29" s="46" t="s">
        <v>37</v>
      </c>
      <c r="AG29" s="47"/>
      <c r="AH29" s="48"/>
      <c r="AI29" s="46" t="s">
        <v>38</v>
      </c>
      <c r="AJ29" s="47"/>
    </row>
    <row r="30" spans="1:38" x14ac:dyDescent="0.25">
      <c r="A30">
        <v>28</v>
      </c>
      <c r="B30">
        <v>5316194.5</v>
      </c>
      <c r="C30">
        <v>1227647.6100000001</v>
      </c>
      <c r="E30" s="1"/>
      <c r="F30" s="1"/>
      <c r="G30" s="1"/>
      <c r="H30">
        <v>28</v>
      </c>
      <c r="I30">
        <v>5316194</v>
      </c>
      <c r="J30">
        <v>1227648.1100000001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8">
        <f t="shared" si="2"/>
        <v>100</v>
      </c>
      <c r="Y30" s="38">
        <f t="shared" si="2"/>
        <v>100</v>
      </c>
      <c r="Z30" s="38">
        <f t="shared" si="3"/>
        <v>-0.5</v>
      </c>
      <c r="AA30" s="38">
        <f t="shared" si="3"/>
        <v>0.5</v>
      </c>
      <c r="AB30" s="9"/>
      <c r="AC30" s="39">
        <f t="shared" si="4"/>
        <v>0.70710678118654757</v>
      </c>
      <c r="AD30" s="9"/>
      <c r="AF30" s="49" t="s">
        <v>39</v>
      </c>
      <c r="AG30" s="50" t="s">
        <v>40</v>
      </c>
      <c r="AH30" s="48"/>
      <c r="AI30" s="49" t="s">
        <v>39</v>
      </c>
      <c r="AJ30" s="50" t="s">
        <v>40</v>
      </c>
    </row>
    <row r="31" spans="1:38" x14ac:dyDescent="0.25">
      <c r="A31">
        <v>29</v>
      </c>
      <c r="B31">
        <v>5316195.53</v>
      </c>
      <c r="C31">
        <v>1227647.06</v>
      </c>
      <c r="E31" s="1"/>
      <c r="F31" s="1"/>
      <c r="G31" s="1"/>
      <c r="H31">
        <v>29</v>
      </c>
      <c r="I31">
        <v>5316195.66</v>
      </c>
      <c r="J31">
        <v>1227647.32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8">
        <f t="shared" si="2"/>
        <v>0.12999999988824129</v>
      </c>
      <c r="Y31" s="38">
        <f t="shared" si="2"/>
        <v>0.26000000000931323</v>
      </c>
      <c r="Z31" s="38">
        <f t="shared" si="3"/>
        <v>100</v>
      </c>
      <c r="AA31" s="38">
        <f t="shared" si="3"/>
        <v>100</v>
      </c>
      <c r="AB31" s="9"/>
      <c r="AC31" s="39">
        <f t="shared" si="4"/>
        <v>0.29068883703332266</v>
      </c>
      <c r="AD31" s="9"/>
      <c r="AF31" s="51">
        <f>IF($AH31&lt;=$AD$5,$AH31,"")</f>
        <v>-0.2</v>
      </c>
      <c r="AG31" s="52">
        <f t="shared" ref="AG31:AG63" si="6">IF(AF31="","",COUNTIF($AC$5:$AC$999,"&gt;="&amp;$AH31)-COUNTIF($AC$5:$AC$999,"&gt;="&amp;$AH32))</f>
        <v>0</v>
      </c>
      <c r="AH31" s="53">
        <v>-0.2</v>
      </c>
      <c r="AI31" s="51" t="str">
        <f>IF($AH31&gt;$AD$5,$AH31,"")</f>
        <v/>
      </c>
      <c r="AJ31" s="52" t="str">
        <f t="shared" ref="AJ31:AJ63" si="7">IF(AI31="","",COUNTIF($AC$5:$AC$999,"&gt;="&amp;$AH31)-COUNTIF($AC$5:$AC$999,"&gt;="&amp;$AH32))</f>
        <v/>
      </c>
    </row>
    <row r="32" spans="1:38" x14ac:dyDescent="0.25">
      <c r="A32">
        <v>30</v>
      </c>
      <c r="B32">
        <v>5316198.67</v>
      </c>
      <c r="C32">
        <v>1227645.45</v>
      </c>
      <c r="E32" s="1"/>
      <c r="F32" s="1"/>
      <c r="G32" s="1"/>
      <c r="H32">
        <v>30</v>
      </c>
      <c r="I32">
        <v>5316198.9800000004</v>
      </c>
      <c r="J32">
        <v>1227645.3999999999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8">
        <f t="shared" si="2"/>
        <v>100</v>
      </c>
      <c r="Y32" s="38">
        <f t="shared" si="2"/>
        <v>100</v>
      </c>
      <c r="Z32" s="38">
        <f t="shared" si="3"/>
        <v>0.31000000052154064</v>
      </c>
      <c r="AA32" s="38">
        <f t="shared" si="3"/>
        <v>-5.0000000046566129E-2</v>
      </c>
      <c r="AB32" s="9"/>
      <c r="AC32" s="39">
        <f t="shared" si="4"/>
        <v>0.31400636988445285</v>
      </c>
      <c r="AD32" s="9"/>
      <c r="AF32" s="51">
        <f>IF($AH32&lt;=$AD$5,$AH32,"")</f>
        <v>-0.1</v>
      </c>
      <c r="AG32" s="52">
        <f t="shared" si="6"/>
        <v>0</v>
      </c>
      <c r="AH32" s="53">
        <f>AH31+0.1</f>
        <v>-0.1</v>
      </c>
      <c r="AI32" s="51" t="str">
        <f t="shared" ref="AI32:AI63" si="8">IF($AH32&gt;$AD$5,$AH32,"")</f>
        <v/>
      </c>
      <c r="AJ32" s="52" t="str">
        <f t="shared" si="7"/>
        <v/>
      </c>
    </row>
    <row r="33" spans="1:36" x14ac:dyDescent="0.25">
      <c r="A33">
        <v>31</v>
      </c>
      <c r="B33">
        <v>5316201.95</v>
      </c>
      <c r="C33">
        <v>1227643.67</v>
      </c>
      <c r="E33" s="1"/>
      <c r="F33" s="1"/>
      <c r="G33" s="1"/>
      <c r="H33">
        <v>31</v>
      </c>
      <c r="I33">
        <v>5316201.8600000003</v>
      </c>
      <c r="J33">
        <v>1227643.67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8">
        <f t="shared" si="2"/>
        <v>-8.9999999850988388E-2</v>
      </c>
      <c r="Y33" s="38">
        <f t="shared" si="2"/>
        <v>0</v>
      </c>
      <c r="Z33" s="38">
        <f t="shared" si="3"/>
        <v>100</v>
      </c>
      <c r="AA33" s="38">
        <f t="shared" si="3"/>
        <v>100</v>
      </c>
      <c r="AB33" s="9"/>
      <c r="AC33" s="39">
        <f t="shared" si="4"/>
        <v>8.9999999850988388E-2</v>
      </c>
      <c r="AD33" s="9"/>
      <c r="AF33" s="51">
        <f>IF($AH33&lt;=$AD$5,$AH33,"")</f>
        <v>0</v>
      </c>
      <c r="AG33" s="52">
        <f t="shared" si="6"/>
        <v>18</v>
      </c>
      <c r="AH33" s="53">
        <f t="shared" ref="AH33:AH63" si="9">AH32+0.1</f>
        <v>0</v>
      </c>
      <c r="AI33" s="51" t="str">
        <f t="shared" si="8"/>
        <v/>
      </c>
      <c r="AJ33" s="52" t="str">
        <f t="shared" si="7"/>
        <v/>
      </c>
    </row>
    <row r="34" spans="1:36" x14ac:dyDescent="0.25">
      <c r="A34">
        <v>32</v>
      </c>
      <c r="B34">
        <v>5316147.5599999996</v>
      </c>
      <c r="C34">
        <v>1227731.26</v>
      </c>
      <c r="E34" s="1"/>
      <c r="F34" s="1"/>
      <c r="G34" s="1"/>
      <c r="H34">
        <v>32</v>
      </c>
      <c r="I34">
        <v>5316147.88</v>
      </c>
      <c r="J34">
        <v>1227731.02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8">
        <f t="shared" si="2"/>
        <v>100</v>
      </c>
      <c r="Y34" s="38">
        <f t="shared" si="2"/>
        <v>100</v>
      </c>
      <c r="Z34" s="38">
        <f t="shared" si="3"/>
        <v>0.32000000029802322</v>
      </c>
      <c r="AA34" s="38">
        <f t="shared" si="3"/>
        <v>-0.23999999999068677</v>
      </c>
      <c r="AB34" s="9"/>
      <c r="AC34" s="39">
        <f t="shared" si="4"/>
        <v>0.40000000023283061</v>
      </c>
      <c r="AD34" s="9"/>
      <c r="AF34" s="51">
        <f>IF($AH34&lt;=$AD$5,$AH34,"")</f>
        <v>0.1</v>
      </c>
      <c r="AG34" s="52">
        <f t="shared" si="6"/>
        <v>43</v>
      </c>
      <c r="AH34" s="53">
        <f t="shared" si="9"/>
        <v>0.1</v>
      </c>
      <c r="AI34" s="51" t="str">
        <f t="shared" si="8"/>
        <v/>
      </c>
      <c r="AJ34" s="52" t="str">
        <f t="shared" si="7"/>
        <v/>
      </c>
    </row>
    <row r="35" spans="1:36" x14ac:dyDescent="0.25">
      <c r="A35">
        <v>33</v>
      </c>
      <c r="B35">
        <v>5316149.2300000004</v>
      </c>
      <c r="C35">
        <v>1227733.8799999999</v>
      </c>
      <c r="E35" s="1"/>
      <c r="F35" s="1"/>
      <c r="G35" s="1"/>
      <c r="H35">
        <v>33</v>
      </c>
      <c r="I35">
        <v>5316150.3499999996</v>
      </c>
      <c r="J35">
        <v>1227733.27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8">
        <f t="shared" si="2"/>
        <v>100</v>
      </c>
      <c r="Y35" s="38">
        <f t="shared" si="2"/>
        <v>100</v>
      </c>
      <c r="Z35" s="38">
        <f t="shared" si="3"/>
        <v>1.1199999991804361</v>
      </c>
      <c r="AA35" s="38">
        <f t="shared" si="3"/>
        <v>-0.60999999986961484</v>
      </c>
      <c r="AB35" s="9"/>
      <c r="AC35" s="39">
        <f t="shared" si="4"/>
        <v>1.2753430903114296</v>
      </c>
      <c r="AD35" s="9"/>
      <c r="AF35" s="51">
        <f>IF($AH35&lt;=$AD$5,$AH35,"")</f>
        <v>0.2</v>
      </c>
      <c r="AG35" s="52">
        <f t="shared" si="6"/>
        <v>54</v>
      </c>
      <c r="AH35" s="53">
        <f t="shared" si="9"/>
        <v>0.2</v>
      </c>
      <c r="AI35" s="51" t="str">
        <f t="shared" si="8"/>
        <v/>
      </c>
      <c r="AJ35" s="52" t="str">
        <f t="shared" si="7"/>
        <v/>
      </c>
    </row>
    <row r="36" spans="1:36" x14ac:dyDescent="0.25">
      <c r="A36">
        <v>34</v>
      </c>
      <c r="B36">
        <v>5316149.8499999996</v>
      </c>
      <c r="C36">
        <v>1227729.2</v>
      </c>
      <c r="E36" s="1"/>
      <c r="F36" s="1"/>
      <c r="G36" s="1"/>
      <c r="H36">
        <v>34</v>
      </c>
      <c r="I36">
        <v>5316149.87</v>
      </c>
      <c r="J36">
        <v>1227729.1399999999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8">
        <f t="shared" si="2"/>
        <v>2.0000000484287739E-2</v>
      </c>
      <c r="Y36" s="38">
        <f t="shared" si="2"/>
        <v>-6.0000000055879354E-2</v>
      </c>
      <c r="Z36" s="38">
        <f t="shared" si="3"/>
        <v>100</v>
      </c>
      <c r="AA36" s="38">
        <f t="shared" si="3"/>
        <v>100</v>
      </c>
      <c r="AB36" s="9"/>
      <c r="AC36" s="39">
        <f t="shared" si="4"/>
        <v>6.3245553409524632E-2</v>
      </c>
      <c r="AD36" s="9"/>
      <c r="AF36" s="51">
        <f t="shared" ref="AF36:AF63" si="10">IF($AH36&lt;=$AD$5,$AH36,"")</f>
        <v>0.30000000000000004</v>
      </c>
      <c r="AG36" s="52">
        <f t="shared" si="6"/>
        <v>47</v>
      </c>
      <c r="AH36" s="53">
        <f t="shared" si="9"/>
        <v>0.30000000000000004</v>
      </c>
      <c r="AI36" s="51" t="str">
        <f t="shared" si="8"/>
        <v/>
      </c>
      <c r="AJ36" s="52" t="str">
        <f t="shared" si="7"/>
        <v/>
      </c>
    </row>
    <row r="37" spans="1:36" x14ac:dyDescent="0.25">
      <c r="A37">
        <v>35</v>
      </c>
      <c r="B37">
        <v>5316155.26</v>
      </c>
      <c r="C37">
        <v>1227722.47</v>
      </c>
      <c r="E37" s="1"/>
      <c r="F37" s="1"/>
      <c r="G37" s="1"/>
      <c r="H37">
        <v>35</v>
      </c>
      <c r="I37">
        <v>5316155.7</v>
      </c>
      <c r="J37">
        <v>1227722.32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8">
        <f t="shared" si="2"/>
        <v>100</v>
      </c>
      <c r="Y37" s="38">
        <f t="shared" si="2"/>
        <v>100</v>
      </c>
      <c r="Z37" s="38">
        <f t="shared" si="3"/>
        <v>0.44000000040978193</v>
      </c>
      <c r="AA37" s="38">
        <f t="shared" si="3"/>
        <v>-0.14999999990686774</v>
      </c>
      <c r="AB37" s="9"/>
      <c r="AC37" s="39">
        <f t="shared" si="4"/>
        <v>0.46486557232458975</v>
      </c>
      <c r="AD37" s="9"/>
      <c r="AF37" s="51" t="str">
        <f t="shared" si="10"/>
        <v/>
      </c>
      <c r="AG37" s="52" t="str">
        <f t="shared" si="6"/>
        <v/>
      </c>
      <c r="AH37" s="53">
        <f t="shared" si="9"/>
        <v>0.4</v>
      </c>
      <c r="AI37" s="51">
        <f t="shared" si="8"/>
        <v>0.4</v>
      </c>
      <c r="AJ37" s="52">
        <f t="shared" si="7"/>
        <v>29</v>
      </c>
    </row>
    <row r="38" spans="1:36" x14ac:dyDescent="0.25">
      <c r="A38">
        <v>37</v>
      </c>
      <c r="B38">
        <v>5316153.33</v>
      </c>
      <c r="C38">
        <v>1227726.83</v>
      </c>
      <c r="E38" s="1"/>
      <c r="F38" s="1"/>
      <c r="G38" s="1"/>
      <c r="H38">
        <v>37</v>
      </c>
      <c r="I38">
        <v>5316153.3600000003</v>
      </c>
      <c r="J38">
        <v>1227727.1100000001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8">
        <f t="shared" si="2"/>
        <v>3.0000000260770321E-2</v>
      </c>
      <c r="Y38" s="38">
        <f t="shared" si="2"/>
        <v>0.28000000002793968</v>
      </c>
      <c r="Z38" s="38">
        <f t="shared" si="3"/>
        <v>100</v>
      </c>
      <c r="AA38" s="38">
        <f t="shared" si="3"/>
        <v>100</v>
      </c>
      <c r="AB38" s="9"/>
      <c r="AC38" s="39">
        <f t="shared" si="4"/>
        <v>0.28160255686213581</v>
      </c>
      <c r="AD38" s="9"/>
      <c r="AF38" s="51" t="str">
        <f t="shared" si="10"/>
        <v/>
      </c>
      <c r="AG38" s="52" t="str">
        <f t="shared" si="6"/>
        <v/>
      </c>
      <c r="AH38" s="53">
        <f t="shared" si="9"/>
        <v>0.5</v>
      </c>
      <c r="AI38" s="51">
        <f t="shared" si="8"/>
        <v>0.5</v>
      </c>
      <c r="AJ38" s="52">
        <f t="shared" si="7"/>
        <v>23</v>
      </c>
    </row>
    <row r="39" spans="1:36" x14ac:dyDescent="0.25">
      <c r="A39">
        <v>38</v>
      </c>
      <c r="B39">
        <v>5316153.33</v>
      </c>
      <c r="C39">
        <v>1227731.53</v>
      </c>
      <c r="E39" s="1"/>
      <c r="F39" s="1"/>
      <c r="G39" s="1"/>
      <c r="H39">
        <v>38</v>
      </c>
      <c r="I39">
        <v>5316152.96</v>
      </c>
      <c r="J39">
        <v>1227731.6100000001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8">
        <f t="shared" si="2"/>
        <v>100</v>
      </c>
      <c r="Y39" s="38">
        <f t="shared" si="2"/>
        <v>100</v>
      </c>
      <c r="Z39" s="38">
        <f t="shared" si="3"/>
        <v>-0.37000000011175871</v>
      </c>
      <c r="AA39" s="38">
        <f t="shared" si="3"/>
        <v>8.0000000074505806E-2</v>
      </c>
      <c r="AB39" s="9"/>
      <c r="AC39" s="39">
        <f t="shared" si="4"/>
        <v>0.37854986473993407</v>
      </c>
      <c r="AD39" s="9"/>
      <c r="AF39" s="51" t="str">
        <f t="shared" si="10"/>
        <v/>
      </c>
      <c r="AG39" s="52" t="str">
        <f t="shared" si="6"/>
        <v/>
      </c>
      <c r="AH39" s="53">
        <f t="shared" si="9"/>
        <v>0.6</v>
      </c>
      <c r="AI39" s="51">
        <f t="shared" si="8"/>
        <v>0.6</v>
      </c>
      <c r="AJ39" s="52">
        <f t="shared" si="7"/>
        <v>16</v>
      </c>
    </row>
    <row r="40" spans="1:36" x14ac:dyDescent="0.25">
      <c r="A40">
        <v>39</v>
      </c>
      <c r="B40">
        <v>5316153.33</v>
      </c>
      <c r="C40">
        <v>1227736.23</v>
      </c>
      <c r="E40" s="1"/>
      <c r="F40" s="1"/>
      <c r="G40" s="1"/>
      <c r="H40">
        <v>39</v>
      </c>
      <c r="I40">
        <v>5316153.32</v>
      </c>
      <c r="J40">
        <v>1227736.05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8">
        <f t="shared" si="2"/>
        <v>-9.9999997764825821E-3</v>
      </c>
      <c r="Y40" s="38">
        <f t="shared" si="2"/>
        <v>-0.17999999993480742</v>
      </c>
      <c r="Z40" s="38">
        <f t="shared" si="3"/>
        <v>100</v>
      </c>
      <c r="AA40" s="38">
        <f t="shared" si="3"/>
        <v>100</v>
      </c>
      <c r="AB40" s="9"/>
      <c r="AC40" s="39">
        <f t="shared" si="4"/>
        <v>0.18027756369570874</v>
      </c>
      <c r="AD40" s="9"/>
      <c r="AF40" s="51" t="str">
        <f t="shared" si="10"/>
        <v/>
      </c>
      <c r="AG40" s="52" t="str">
        <f t="shared" si="6"/>
        <v/>
      </c>
      <c r="AH40" s="53">
        <f t="shared" si="9"/>
        <v>0.7</v>
      </c>
      <c r="AI40" s="51">
        <f t="shared" si="8"/>
        <v>0.7</v>
      </c>
      <c r="AJ40" s="52">
        <f t="shared" si="7"/>
        <v>13</v>
      </c>
    </row>
    <row r="41" spans="1:36" x14ac:dyDescent="0.25">
      <c r="A41">
        <v>40</v>
      </c>
      <c r="B41">
        <v>5316157.43</v>
      </c>
      <c r="C41">
        <v>1227738.45</v>
      </c>
      <c r="E41" s="1"/>
      <c r="F41" s="1"/>
      <c r="G41" s="1"/>
      <c r="H41">
        <v>40</v>
      </c>
      <c r="I41">
        <v>5316157.5</v>
      </c>
      <c r="J41">
        <v>1227738.74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8">
        <f t="shared" si="2"/>
        <v>7.0000000298023224E-2</v>
      </c>
      <c r="Y41" s="38">
        <f t="shared" si="2"/>
        <v>0.2900000000372529</v>
      </c>
      <c r="Z41" s="38">
        <f t="shared" si="3"/>
        <v>100</v>
      </c>
      <c r="AA41" s="38">
        <f t="shared" si="3"/>
        <v>100</v>
      </c>
      <c r="AB41" s="9"/>
      <c r="AC41" s="39">
        <f t="shared" si="4"/>
        <v>0.29832867790966716</v>
      </c>
      <c r="AD41" s="9"/>
      <c r="AF41" s="51" t="str">
        <f t="shared" si="10"/>
        <v/>
      </c>
      <c r="AG41" s="52" t="str">
        <f t="shared" si="6"/>
        <v/>
      </c>
      <c r="AH41" s="53">
        <f t="shared" si="9"/>
        <v>0.79999999999999993</v>
      </c>
      <c r="AI41" s="51">
        <f t="shared" si="8"/>
        <v>0.79999999999999993</v>
      </c>
      <c r="AJ41" s="52">
        <f t="shared" si="7"/>
        <v>10</v>
      </c>
    </row>
    <row r="42" spans="1:36" x14ac:dyDescent="0.25">
      <c r="A42">
        <v>41</v>
      </c>
      <c r="B42">
        <v>5316157.43</v>
      </c>
      <c r="C42">
        <v>1227733.8799999999</v>
      </c>
      <c r="E42" s="1"/>
      <c r="F42" s="1"/>
      <c r="G42" s="1"/>
      <c r="H42">
        <v>41</v>
      </c>
      <c r="I42">
        <v>5316157.22</v>
      </c>
      <c r="J42">
        <v>1227734.2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8">
        <f t="shared" si="2"/>
        <v>100</v>
      </c>
      <c r="Y42" s="38">
        <f t="shared" si="2"/>
        <v>100</v>
      </c>
      <c r="Z42" s="38">
        <f t="shared" si="3"/>
        <v>-0.2099999999627471</v>
      </c>
      <c r="AA42" s="38">
        <f t="shared" si="3"/>
        <v>0.32000000006519258</v>
      </c>
      <c r="AB42" s="9"/>
      <c r="AC42" s="39">
        <f t="shared" si="4"/>
        <v>0.38275318421415783</v>
      </c>
      <c r="AD42" s="9"/>
      <c r="AF42" s="51" t="str">
        <f t="shared" si="10"/>
        <v/>
      </c>
      <c r="AG42" s="52" t="str">
        <f t="shared" si="6"/>
        <v/>
      </c>
      <c r="AH42" s="53">
        <f t="shared" si="9"/>
        <v>0.89999999999999991</v>
      </c>
      <c r="AI42" s="51">
        <f t="shared" si="8"/>
        <v>0.89999999999999991</v>
      </c>
      <c r="AJ42" s="52">
        <f t="shared" si="7"/>
        <v>6</v>
      </c>
    </row>
    <row r="43" spans="1:36" x14ac:dyDescent="0.25">
      <c r="A43">
        <v>42</v>
      </c>
      <c r="B43">
        <v>5316157.43</v>
      </c>
      <c r="C43">
        <v>1227729.18</v>
      </c>
      <c r="E43" s="1"/>
      <c r="F43" s="1"/>
      <c r="G43" s="1"/>
      <c r="H43">
        <v>42</v>
      </c>
      <c r="I43">
        <v>5316157.16</v>
      </c>
      <c r="J43">
        <v>1227729.23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8">
        <f t="shared" si="2"/>
        <v>-0.26999999955296516</v>
      </c>
      <c r="Y43" s="38">
        <f t="shared" si="2"/>
        <v>5.0000000046566129E-2</v>
      </c>
      <c r="Z43" s="38">
        <f t="shared" si="3"/>
        <v>100</v>
      </c>
      <c r="AA43" s="38">
        <f t="shared" si="3"/>
        <v>100</v>
      </c>
      <c r="AB43" s="9"/>
      <c r="AC43" s="39">
        <f t="shared" si="4"/>
        <v>0.2745906039238375</v>
      </c>
      <c r="AD43" s="9"/>
      <c r="AF43" s="51" t="str">
        <f t="shared" si="10"/>
        <v/>
      </c>
      <c r="AG43" s="52" t="str">
        <f t="shared" si="6"/>
        <v/>
      </c>
      <c r="AH43" s="53">
        <f t="shared" si="9"/>
        <v>0.99999999999999989</v>
      </c>
      <c r="AI43" s="51">
        <f t="shared" si="8"/>
        <v>0.99999999999999989</v>
      </c>
      <c r="AJ43" s="52">
        <f t="shared" si="7"/>
        <v>4</v>
      </c>
    </row>
    <row r="44" spans="1:36" x14ac:dyDescent="0.25">
      <c r="A44">
        <v>43</v>
      </c>
      <c r="B44">
        <v>5316157.43</v>
      </c>
      <c r="C44">
        <v>1227724.48</v>
      </c>
      <c r="E44" s="1"/>
      <c r="F44" s="1"/>
      <c r="G44" s="1"/>
      <c r="H44">
        <v>43</v>
      </c>
      <c r="I44">
        <v>5316157.32</v>
      </c>
      <c r="J44">
        <v>1227724.1000000001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8">
        <f t="shared" si="2"/>
        <v>100</v>
      </c>
      <c r="Y44" s="38">
        <f t="shared" si="2"/>
        <v>100</v>
      </c>
      <c r="Z44" s="38">
        <f t="shared" si="3"/>
        <v>-0.10999999940395355</v>
      </c>
      <c r="AA44" s="38">
        <f t="shared" si="3"/>
        <v>-0.37999999988824129</v>
      </c>
      <c r="AB44" s="9"/>
      <c r="AC44" s="39">
        <f t="shared" si="4"/>
        <v>0.39560080862396269</v>
      </c>
      <c r="AD44" s="9"/>
      <c r="AF44" s="51" t="str">
        <f t="shared" si="10"/>
        <v/>
      </c>
      <c r="AG44" s="52" t="str">
        <f t="shared" si="6"/>
        <v/>
      </c>
      <c r="AH44" s="53">
        <f t="shared" si="9"/>
        <v>1.0999999999999999</v>
      </c>
      <c r="AI44" s="51">
        <f t="shared" si="8"/>
        <v>1.0999999999999999</v>
      </c>
      <c r="AJ44" s="52">
        <f t="shared" si="7"/>
        <v>5</v>
      </c>
    </row>
    <row r="45" spans="1:36" x14ac:dyDescent="0.25">
      <c r="A45">
        <v>44</v>
      </c>
      <c r="B45">
        <v>5316157.43</v>
      </c>
      <c r="C45">
        <v>1227719.78</v>
      </c>
      <c r="E45" s="1"/>
      <c r="F45" s="1"/>
      <c r="G45" s="1"/>
      <c r="H45">
        <v>44</v>
      </c>
      <c r="I45">
        <v>5316157.95</v>
      </c>
      <c r="J45">
        <v>1227718.8700000001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8">
        <f t="shared" si="2"/>
        <v>100</v>
      </c>
      <c r="Y45" s="38">
        <f t="shared" si="2"/>
        <v>100</v>
      </c>
      <c r="Z45" s="38">
        <f t="shared" si="3"/>
        <v>0.52000000048428774</v>
      </c>
      <c r="AA45" s="38">
        <f t="shared" si="3"/>
        <v>-0.90999999991618097</v>
      </c>
      <c r="AB45" s="9"/>
      <c r="AC45" s="39">
        <f t="shared" si="4"/>
        <v>1.04809350744631</v>
      </c>
      <c r="AD45" s="9"/>
      <c r="AF45" s="51" t="str">
        <f t="shared" si="10"/>
        <v/>
      </c>
      <c r="AG45" s="52" t="str">
        <f t="shared" si="6"/>
        <v/>
      </c>
      <c r="AH45" s="53">
        <f t="shared" si="9"/>
        <v>1.2</v>
      </c>
      <c r="AI45" s="51">
        <f t="shared" si="8"/>
        <v>1.2</v>
      </c>
      <c r="AJ45" s="52">
        <f t="shared" si="7"/>
        <v>4</v>
      </c>
    </row>
    <row r="46" spans="1:36" x14ac:dyDescent="0.25">
      <c r="A46">
        <v>52</v>
      </c>
      <c r="B46">
        <v>5316160.34</v>
      </c>
      <c r="C46">
        <v>1227680.72</v>
      </c>
      <c r="E46" s="1"/>
      <c r="F46" s="1"/>
      <c r="G46" s="1"/>
      <c r="H46">
        <v>52</v>
      </c>
      <c r="I46">
        <v>5316160.5999999996</v>
      </c>
      <c r="J46">
        <v>1227680.6599999999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8">
        <f t="shared" si="2"/>
        <v>0.25999999977648258</v>
      </c>
      <c r="Y46" s="38">
        <f t="shared" si="2"/>
        <v>-6.0000000055879354E-2</v>
      </c>
      <c r="Z46" s="38">
        <f t="shared" si="3"/>
        <v>100</v>
      </c>
      <c r="AA46" s="38">
        <f t="shared" si="3"/>
        <v>100</v>
      </c>
      <c r="AB46" s="9"/>
      <c r="AC46" s="39">
        <f t="shared" si="4"/>
        <v>0.26683328107729826</v>
      </c>
      <c r="AD46" s="9"/>
      <c r="AF46" s="51" t="str">
        <f t="shared" si="10"/>
        <v/>
      </c>
      <c r="AG46" s="52" t="str">
        <f t="shared" si="6"/>
        <v/>
      </c>
      <c r="AH46" s="53">
        <f t="shared" si="9"/>
        <v>1.3</v>
      </c>
      <c r="AI46" s="51">
        <f t="shared" si="8"/>
        <v>1.3</v>
      </c>
      <c r="AJ46" s="52">
        <f t="shared" si="7"/>
        <v>1</v>
      </c>
    </row>
    <row r="47" spans="1:36" x14ac:dyDescent="0.25">
      <c r="A47">
        <v>53</v>
      </c>
      <c r="B47">
        <v>5316160.16</v>
      </c>
      <c r="C47">
        <v>1227676.52</v>
      </c>
      <c r="E47" s="1"/>
      <c r="F47" s="1"/>
      <c r="G47" s="1"/>
      <c r="H47">
        <v>53</v>
      </c>
      <c r="I47">
        <v>5316161.6500000004</v>
      </c>
      <c r="J47">
        <v>1227676.1000000001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8">
        <f t="shared" si="2"/>
        <v>100</v>
      </c>
      <c r="Y47" s="38">
        <f t="shared" si="2"/>
        <v>100</v>
      </c>
      <c r="Z47" s="38">
        <f t="shared" si="3"/>
        <v>1.4900000002235174</v>
      </c>
      <c r="AA47" s="38">
        <f t="shared" si="3"/>
        <v>-0.41999999992549419</v>
      </c>
      <c r="AB47" s="9"/>
      <c r="AC47" s="39">
        <f t="shared" si="4"/>
        <v>1.5480633063939915</v>
      </c>
      <c r="AD47" s="9"/>
      <c r="AF47" s="51" t="str">
        <f t="shared" si="10"/>
        <v/>
      </c>
      <c r="AG47" s="52" t="str">
        <f t="shared" si="6"/>
        <v/>
      </c>
      <c r="AH47" s="53">
        <f t="shared" si="9"/>
        <v>1.4000000000000001</v>
      </c>
      <c r="AI47" s="51">
        <f t="shared" si="8"/>
        <v>1.4000000000000001</v>
      </c>
      <c r="AJ47" s="52">
        <f t="shared" si="7"/>
        <v>0</v>
      </c>
    </row>
    <row r="48" spans="1:36" x14ac:dyDescent="0.25">
      <c r="A48">
        <v>54</v>
      </c>
      <c r="B48">
        <v>5316160.74</v>
      </c>
      <c r="C48">
        <v>1227672.42</v>
      </c>
      <c r="E48" s="1"/>
      <c r="F48" s="1"/>
      <c r="G48" s="1"/>
      <c r="H48">
        <v>54</v>
      </c>
      <c r="I48">
        <v>5316160.7300000004</v>
      </c>
      <c r="J48">
        <v>1227672.3700000001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8">
        <f t="shared" si="2"/>
        <v>-9.9999997764825821E-3</v>
      </c>
      <c r="Y48" s="38">
        <f t="shared" si="2"/>
        <v>-4.9999999813735485E-2</v>
      </c>
      <c r="Z48" s="38">
        <f t="shared" si="3"/>
        <v>100</v>
      </c>
      <c r="AA48" s="38">
        <f t="shared" si="3"/>
        <v>100</v>
      </c>
      <c r="AB48" s="9"/>
      <c r="AC48" s="39">
        <f t="shared" si="4"/>
        <v>5.0990194909445091E-2</v>
      </c>
      <c r="AD48" s="9"/>
      <c r="AF48" s="51" t="str">
        <f t="shared" si="10"/>
        <v/>
      </c>
      <c r="AG48" s="52" t="str">
        <f t="shared" si="6"/>
        <v/>
      </c>
      <c r="AH48" s="53">
        <f t="shared" si="9"/>
        <v>1.5000000000000002</v>
      </c>
      <c r="AI48" s="51">
        <f t="shared" si="8"/>
        <v>1.5000000000000002</v>
      </c>
      <c r="AJ48" s="52">
        <f t="shared" si="7"/>
        <v>2</v>
      </c>
    </row>
    <row r="49" spans="1:36" x14ac:dyDescent="0.25">
      <c r="A49">
        <v>55</v>
      </c>
      <c r="B49">
        <v>5316170.91</v>
      </c>
      <c r="C49">
        <v>1227652.6399999999</v>
      </c>
      <c r="E49" s="1"/>
      <c r="F49" s="1"/>
      <c r="G49" s="1"/>
      <c r="H49">
        <v>55</v>
      </c>
      <c r="I49">
        <v>5316170.1399999997</v>
      </c>
      <c r="J49">
        <v>1227651.6200000001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8">
        <f t="shared" si="2"/>
        <v>100</v>
      </c>
      <c r="Y49" s="38">
        <f t="shared" si="2"/>
        <v>100</v>
      </c>
      <c r="Z49" s="38">
        <f t="shared" si="3"/>
        <v>-0.77000000048428774</v>
      </c>
      <c r="AA49" s="38">
        <f t="shared" si="3"/>
        <v>-1.0199999997857958</v>
      </c>
      <c r="AB49" s="9"/>
      <c r="AC49" s="39">
        <f t="shared" si="4"/>
        <v>1.2780062598864008</v>
      </c>
      <c r="AD49" s="9"/>
      <c r="AF49" s="51" t="str">
        <f t="shared" si="10"/>
        <v/>
      </c>
      <c r="AG49" s="52" t="str">
        <f t="shared" si="6"/>
        <v/>
      </c>
      <c r="AH49" s="53">
        <f t="shared" si="9"/>
        <v>1.6000000000000003</v>
      </c>
      <c r="AI49" s="51">
        <f t="shared" si="8"/>
        <v>1.6000000000000003</v>
      </c>
      <c r="AJ49" s="52">
        <f t="shared" si="7"/>
        <v>0</v>
      </c>
    </row>
    <row r="50" spans="1:36" x14ac:dyDescent="0.25">
      <c r="A50">
        <v>58</v>
      </c>
      <c r="B50">
        <v>5316162.0599999996</v>
      </c>
      <c r="C50">
        <v>1227661.58</v>
      </c>
      <c r="E50" s="1"/>
      <c r="F50" s="1"/>
      <c r="G50" s="1"/>
      <c r="H50">
        <v>58</v>
      </c>
      <c r="I50">
        <v>5316162.09</v>
      </c>
      <c r="J50">
        <v>1227661.57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8">
        <f t="shared" si="2"/>
        <v>3.0000000260770321E-2</v>
      </c>
      <c r="Y50" s="38">
        <f t="shared" si="2"/>
        <v>-1.0000000009313226E-2</v>
      </c>
      <c r="Z50" s="38">
        <f t="shared" si="3"/>
        <v>100</v>
      </c>
      <c r="AA50" s="38">
        <f t="shared" si="3"/>
        <v>100</v>
      </c>
      <c r="AB50" s="9"/>
      <c r="AC50" s="39">
        <f t="shared" si="4"/>
        <v>3.1622776852017344E-2</v>
      </c>
      <c r="AD50" s="9"/>
      <c r="AF50" s="51" t="str">
        <f t="shared" si="10"/>
        <v/>
      </c>
      <c r="AG50" s="52" t="str">
        <f t="shared" si="6"/>
        <v/>
      </c>
      <c r="AH50" s="53">
        <f t="shared" si="9"/>
        <v>1.7000000000000004</v>
      </c>
      <c r="AI50" s="51">
        <f t="shared" si="8"/>
        <v>1.7000000000000004</v>
      </c>
      <c r="AJ50" s="52">
        <f t="shared" si="7"/>
        <v>0</v>
      </c>
    </row>
    <row r="51" spans="1:36" x14ac:dyDescent="0.25">
      <c r="A51">
        <v>59</v>
      </c>
      <c r="B51">
        <v>5316162.55</v>
      </c>
      <c r="C51">
        <v>1227666.1499999999</v>
      </c>
      <c r="E51" s="1"/>
      <c r="F51" s="1"/>
      <c r="G51" s="1"/>
      <c r="H51">
        <v>59</v>
      </c>
      <c r="I51">
        <v>5316162.45</v>
      </c>
      <c r="J51">
        <v>1227666.48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8">
        <f t="shared" si="2"/>
        <v>100</v>
      </c>
      <c r="Y51" s="38">
        <f t="shared" si="2"/>
        <v>100</v>
      </c>
      <c r="Z51" s="38">
        <f t="shared" si="3"/>
        <v>-9.999999962747097E-2</v>
      </c>
      <c r="AA51" s="38">
        <f t="shared" si="3"/>
        <v>0.33000000007450581</v>
      </c>
      <c r="AB51" s="9"/>
      <c r="AC51" s="39">
        <f t="shared" si="4"/>
        <v>0.34481879295460105</v>
      </c>
      <c r="AD51" s="9"/>
      <c r="AF51" s="51" t="str">
        <f t="shared" si="10"/>
        <v/>
      </c>
      <c r="AG51" s="52" t="str">
        <f t="shared" si="6"/>
        <v/>
      </c>
      <c r="AH51" s="53">
        <f t="shared" si="9"/>
        <v>1.8000000000000005</v>
      </c>
      <c r="AI51" s="51">
        <f t="shared" si="8"/>
        <v>1.8000000000000005</v>
      </c>
      <c r="AJ51" s="52">
        <f t="shared" si="7"/>
        <v>0</v>
      </c>
    </row>
    <row r="52" spans="1:36" x14ac:dyDescent="0.25">
      <c r="A52">
        <v>60</v>
      </c>
      <c r="B52">
        <v>5316162.88</v>
      </c>
      <c r="C52">
        <v>1227670.81</v>
      </c>
      <c r="E52" s="1"/>
      <c r="F52" s="1"/>
      <c r="G52" s="1"/>
      <c r="H52">
        <v>60</v>
      </c>
      <c r="I52">
        <v>5316162.91</v>
      </c>
      <c r="J52">
        <v>1227671.3899999999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8">
        <f t="shared" si="2"/>
        <v>100</v>
      </c>
      <c r="Y52" s="38">
        <f t="shared" si="2"/>
        <v>100</v>
      </c>
      <c r="Z52" s="38">
        <f t="shared" si="3"/>
        <v>3.0000000260770321E-2</v>
      </c>
      <c r="AA52" s="38">
        <f t="shared" si="3"/>
        <v>0.57999999984167516</v>
      </c>
      <c r="AB52" s="9"/>
      <c r="AC52" s="39">
        <f t="shared" si="4"/>
        <v>0.5807753436846208</v>
      </c>
      <c r="AD52" s="9"/>
      <c r="AF52" s="51" t="str">
        <f t="shared" si="10"/>
        <v/>
      </c>
      <c r="AG52" s="52" t="str">
        <f t="shared" si="6"/>
        <v/>
      </c>
      <c r="AH52" s="53">
        <f t="shared" si="9"/>
        <v>1.9000000000000006</v>
      </c>
      <c r="AI52" s="51">
        <f t="shared" si="8"/>
        <v>1.9000000000000006</v>
      </c>
      <c r="AJ52" s="52">
        <f t="shared" si="7"/>
        <v>0</v>
      </c>
    </row>
    <row r="53" spans="1:36" x14ac:dyDescent="0.25">
      <c r="A53">
        <v>61</v>
      </c>
      <c r="B53">
        <v>5316162.88</v>
      </c>
      <c r="C53">
        <v>1227675.51</v>
      </c>
      <c r="E53" s="1"/>
      <c r="F53" s="1"/>
      <c r="G53" s="1"/>
      <c r="H53">
        <v>61</v>
      </c>
      <c r="I53">
        <v>5316162.74</v>
      </c>
      <c r="J53">
        <v>1227675.33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8">
        <f t="shared" si="2"/>
        <v>-0.13999999966472387</v>
      </c>
      <c r="Y53" s="38">
        <f t="shared" si="2"/>
        <v>-0.17999999993480742</v>
      </c>
      <c r="Z53" s="38">
        <f t="shared" si="3"/>
        <v>100</v>
      </c>
      <c r="AA53" s="38">
        <f t="shared" si="3"/>
        <v>100</v>
      </c>
      <c r="AB53" s="9"/>
      <c r="AC53" s="39">
        <f t="shared" si="4"/>
        <v>0.22803508476252807</v>
      </c>
      <c r="AD53" s="9"/>
      <c r="AF53" s="51" t="str">
        <f t="shared" si="10"/>
        <v/>
      </c>
      <c r="AG53" s="52" t="str">
        <f t="shared" si="6"/>
        <v/>
      </c>
      <c r="AH53" s="53">
        <f t="shared" si="9"/>
        <v>2.0000000000000004</v>
      </c>
      <c r="AI53" s="51">
        <f t="shared" si="8"/>
        <v>2.0000000000000004</v>
      </c>
      <c r="AJ53" s="52">
        <f t="shared" si="7"/>
        <v>1</v>
      </c>
    </row>
    <row r="54" spans="1:36" x14ac:dyDescent="0.25">
      <c r="A54">
        <v>62</v>
      </c>
      <c r="B54">
        <v>5316162.88</v>
      </c>
      <c r="C54">
        <v>1227680.21</v>
      </c>
      <c r="E54" s="1"/>
      <c r="F54" s="1"/>
      <c r="G54" s="1"/>
      <c r="H54">
        <v>62</v>
      </c>
      <c r="I54">
        <v>5316162.88</v>
      </c>
      <c r="J54">
        <v>1227680.5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8">
        <f t="shared" si="2"/>
        <v>0</v>
      </c>
      <c r="Y54" s="38">
        <f t="shared" si="2"/>
        <v>0.2900000000372529</v>
      </c>
      <c r="Z54" s="38">
        <f t="shared" si="3"/>
        <v>100</v>
      </c>
      <c r="AA54" s="38">
        <f t="shared" si="3"/>
        <v>100</v>
      </c>
      <c r="AB54" s="9"/>
      <c r="AC54" s="39">
        <f t="shared" si="4"/>
        <v>0.2900000000372529</v>
      </c>
      <c r="AD54" s="9"/>
      <c r="AF54" s="51" t="str">
        <f t="shared" si="10"/>
        <v/>
      </c>
      <c r="AG54" s="52" t="str">
        <f t="shared" si="6"/>
        <v/>
      </c>
      <c r="AH54" s="53">
        <f t="shared" si="9"/>
        <v>2.1000000000000005</v>
      </c>
      <c r="AI54" s="51">
        <f t="shared" si="8"/>
        <v>2.1000000000000005</v>
      </c>
      <c r="AJ54" s="52">
        <f t="shared" si="7"/>
        <v>0</v>
      </c>
    </row>
    <row r="55" spans="1:36" x14ac:dyDescent="0.25">
      <c r="A55">
        <v>63</v>
      </c>
      <c r="B55">
        <v>5316161.53</v>
      </c>
      <c r="C55">
        <v>1227684.53</v>
      </c>
      <c r="E55" s="1"/>
      <c r="F55" s="1"/>
      <c r="G55" s="1"/>
      <c r="H55">
        <v>63</v>
      </c>
      <c r="I55">
        <v>5316161.51</v>
      </c>
      <c r="J55">
        <v>1227684.8700000001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8">
        <f t="shared" si="2"/>
        <v>100</v>
      </c>
      <c r="Y55" s="38">
        <f t="shared" si="2"/>
        <v>100</v>
      </c>
      <c r="Z55" s="38">
        <f t="shared" si="3"/>
        <v>-2.0000000484287739E-2</v>
      </c>
      <c r="AA55" s="38">
        <f t="shared" si="3"/>
        <v>0.34000000008381903</v>
      </c>
      <c r="AB55" s="9"/>
      <c r="AC55" s="39">
        <f t="shared" si="4"/>
        <v>0.34058772743064081</v>
      </c>
      <c r="AD55" s="9"/>
      <c r="AF55" s="51" t="str">
        <f t="shared" si="10"/>
        <v/>
      </c>
      <c r="AG55" s="52" t="str">
        <f t="shared" si="6"/>
        <v/>
      </c>
      <c r="AH55" s="53">
        <f t="shared" si="9"/>
        <v>2.2000000000000006</v>
      </c>
      <c r="AI55" s="51">
        <f t="shared" si="8"/>
        <v>2.2000000000000006</v>
      </c>
      <c r="AJ55" s="52">
        <f t="shared" si="7"/>
        <v>0</v>
      </c>
    </row>
    <row r="56" spans="1:36" x14ac:dyDescent="0.25">
      <c r="A56">
        <v>64</v>
      </c>
      <c r="B56">
        <v>5316161.53</v>
      </c>
      <c r="C56">
        <v>1227689.23</v>
      </c>
      <c r="E56" s="1"/>
      <c r="F56" s="1"/>
      <c r="G56" s="1"/>
      <c r="H56">
        <v>64</v>
      </c>
      <c r="I56">
        <v>5316161.2699999996</v>
      </c>
      <c r="J56">
        <v>1227689.47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8">
        <f t="shared" si="2"/>
        <v>100</v>
      </c>
      <c r="Y56" s="38">
        <f t="shared" si="2"/>
        <v>100</v>
      </c>
      <c r="Z56" s="38">
        <f t="shared" si="3"/>
        <v>-0.26000000070780516</v>
      </c>
      <c r="AA56" s="38">
        <f t="shared" si="3"/>
        <v>0.23999999999068677</v>
      </c>
      <c r="AB56" s="9"/>
      <c r="AC56" s="39">
        <f t="shared" si="4"/>
        <v>0.35383612077286336</v>
      </c>
      <c r="AD56" s="9"/>
      <c r="AF56" s="51" t="str">
        <f t="shared" si="10"/>
        <v/>
      </c>
      <c r="AG56" s="52" t="str">
        <f t="shared" si="6"/>
        <v/>
      </c>
      <c r="AH56" s="53">
        <f t="shared" si="9"/>
        <v>2.3000000000000007</v>
      </c>
      <c r="AI56" s="51">
        <f t="shared" si="8"/>
        <v>2.3000000000000007</v>
      </c>
      <c r="AJ56" s="52">
        <f t="shared" si="7"/>
        <v>1</v>
      </c>
    </row>
    <row r="57" spans="1:36" x14ac:dyDescent="0.25">
      <c r="A57">
        <v>65</v>
      </c>
      <c r="B57">
        <v>5316161.53</v>
      </c>
      <c r="C57">
        <v>1227693.93</v>
      </c>
      <c r="E57" s="1"/>
      <c r="F57" s="1"/>
      <c r="G57" s="1"/>
      <c r="H57">
        <v>65</v>
      </c>
      <c r="I57">
        <v>5316161.4400000004</v>
      </c>
      <c r="J57">
        <v>1227694.18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8">
        <f t="shared" si="2"/>
        <v>-8.9999999850988388E-2</v>
      </c>
      <c r="Y57" s="38">
        <f t="shared" si="2"/>
        <v>0.25</v>
      </c>
      <c r="Z57" s="38">
        <f t="shared" si="3"/>
        <v>100</v>
      </c>
      <c r="AA57" s="38">
        <f t="shared" si="3"/>
        <v>100</v>
      </c>
      <c r="AB57" s="9"/>
      <c r="AC57" s="39">
        <f t="shared" si="4"/>
        <v>0.26570660506125532</v>
      </c>
      <c r="AD57" s="9"/>
      <c r="AF57" s="51" t="str">
        <f t="shared" si="10"/>
        <v/>
      </c>
      <c r="AG57" s="52" t="str">
        <f t="shared" si="6"/>
        <v/>
      </c>
      <c r="AH57" s="53">
        <f t="shared" si="9"/>
        <v>2.4000000000000008</v>
      </c>
      <c r="AI57" s="51">
        <f t="shared" si="8"/>
        <v>2.4000000000000008</v>
      </c>
      <c r="AJ57" s="52">
        <f t="shared" si="7"/>
        <v>1</v>
      </c>
    </row>
    <row r="58" spans="1:36" x14ac:dyDescent="0.25">
      <c r="A58">
        <v>66</v>
      </c>
      <c r="B58">
        <v>5316161.53</v>
      </c>
      <c r="C58">
        <v>1227698.6299999999</v>
      </c>
      <c r="E58" s="1"/>
      <c r="F58" s="1"/>
      <c r="G58" s="1"/>
      <c r="H58">
        <v>66</v>
      </c>
      <c r="I58">
        <v>5316161.53</v>
      </c>
      <c r="J58">
        <v>1227698.82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8">
        <f t="shared" si="2"/>
        <v>0</v>
      </c>
      <c r="Y58" s="38">
        <f t="shared" si="2"/>
        <v>0.19000000017695129</v>
      </c>
      <c r="Z58" s="38">
        <f t="shared" si="3"/>
        <v>100</v>
      </c>
      <c r="AA58" s="38">
        <f t="shared" si="3"/>
        <v>100</v>
      </c>
      <c r="AB58" s="9"/>
      <c r="AC58" s="39">
        <f t="shared" si="4"/>
        <v>0.19000000017695129</v>
      </c>
      <c r="AD58" s="9"/>
      <c r="AF58" s="51" t="str">
        <f t="shared" si="10"/>
        <v/>
      </c>
      <c r="AG58" s="52" t="str">
        <f t="shared" si="6"/>
        <v/>
      </c>
      <c r="AH58" s="53">
        <f t="shared" si="9"/>
        <v>2.5000000000000009</v>
      </c>
      <c r="AI58" s="51">
        <f t="shared" si="8"/>
        <v>2.5000000000000009</v>
      </c>
      <c r="AJ58" s="52">
        <f t="shared" si="7"/>
        <v>1</v>
      </c>
    </row>
    <row r="59" spans="1:36" x14ac:dyDescent="0.25">
      <c r="A59">
        <v>67</v>
      </c>
      <c r="B59">
        <v>5316161.53</v>
      </c>
      <c r="C59">
        <v>1227703.33</v>
      </c>
      <c r="E59" s="1"/>
      <c r="F59" s="1"/>
      <c r="G59" s="1"/>
      <c r="H59">
        <v>67</v>
      </c>
      <c r="I59">
        <v>5316161.47</v>
      </c>
      <c r="J59">
        <v>1227703.57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8">
        <f t="shared" si="2"/>
        <v>-6.0000000521540642E-2</v>
      </c>
      <c r="Y59" s="38">
        <f t="shared" si="2"/>
        <v>0.23999999999068677</v>
      </c>
      <c r="Z59" s="38">
        <f t="shared" si="3"/>
        <v>100</v>
      </c>
      <c r="AA59" s="38">
        <f t="shared" si="3"/>
        <v>100</v>
      </c>
      <c r="AB59" s="9"/>
      <c r="AC59" s="39">
        <f t="shared" si="4"/>
        <v>0.24738633765451667</v>
      </c>
      <c r="AD59" s="9"/>
      <c r="AF59" s="51" t="str">
        <f t="shared" si="10"/>
        <v/>
      </c>
      <c r="AG59" s="52" t="str">
        <f t="shared" si="6"/>
        <v/>
      </c>
      <c r="AH59" s="53">
        <f t="shared" si="9"/>
        <v>2.600000000000001</v>
      </c>
      <c r="AI59" s="51">
        <f t="shared" si="8"/>
        <v>2.600000000000001</v>
      </c>
      <c r="AJ59" s="52">
        <f t="shared" si="7"/>
        <v>1</v>
      </c>
    </row>
    <row r="60" spans="1:36" x14ac:dyDescent="0.25">
      <c r="A60">
        <v>68</v>
      </c>
      <c r="B60">
        <v>5316161.53</v>
      </c>
      <c r="C60">
        <v>1227708.03</v>
      </c>
      <c r="E60" s="1"/>
      <c r="F60" s="1"/>
      <c r="G60" s="1"/>
      <c r="H60">
        <v>68</v>
      </c>
      <c r="I60">
        <v>5316161.67</v>
      </c>
      <c r="J60">
        <v>1227708.23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8">
        <f t="shared" si="2"/>
        <v>0.13999999966472387</v>
      </c>
      <c r="Y60" s="38">
        <f t="shared" si="2"/>
        <v>0.19999999995343387</v>
      </c>
      <c r="Z60" s="38">
        <f t="shared" si="3"/>
        <v>100</v>
      </c>
      <c r="AA60" s="38">
        <f t="shared" si="3"/>
        <v>100</v>
      </c>
      <c r="AB60" s="9"/>
      <c r="AC60" s="39">
        <f t="shared" si="4"/>
        <v>0.24413111208425736</v>
      </c>
      <c r="AD60" s="9"/>
      <c r="AF60" s="51" t="str">
        <f t="shared" si="10"/>
        <v/>
      </c>
      <c r="AG60" s="52" t="str">
        <f t="shared" si="6"/>
        <v/>
      </c>
      <c r="AH60" s="53">
        <f t="shared" si="9"/>
        <v>2.7000000000000011</v>
      </c>
      <c r="AI60" s="51">
        <f t="shared" si="8"/>
        <v>2.7000000000000011</v>
      </c>
      <c r="AJ60" s="52">
        <f t="shared" si="7"/>
        <v>1</v>
      </c>
    </row>
    <row r="61" spans="1:36" x14ac:dyDescent="0.25">
      <c r="A61">
        <v>70</v>
      </c>
      <c r="B61">
        <v>5316161.53</v>
      </c>
      <c r="C61">
        <v>1227717.43</v>
      </c>
      <c r="E61" s="1"/>
      <c r="F61" s="1"/>
      <c r="G61" s="1"/>
      <c r="H61">
        <v>70</v>
      </c>
      <c r="I61">
        <v>5316161.66</v>
      </c>
      <c r="J61">
        <v>1227717.51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8">
        <f t="shared" ref="X61:Y124" si="11">IF(AND(B61&lt;&gt;"",$AC61&lt;$AD$5),I61-B61,100)</f>
        <v>0.12999999988824129</v>
      </c>
      <c r="Y61" s="38">
        <f t="shared" si="11"/>
        <v>8.0000000074505806E-2</v>
      </c>
      <c r="Z61" s="38">
        <f t="shared" ref="Z61:AA124" si="12">IF(AND(B61&lt;&gt;"",$AC61&gt;$AD$5),I61-B61,100)</f>
        <v>100</v>
      </c>
      <c r="AA61" s="38">
        <f t="shared" si="12"/>
        <v>100</v>
      </c>
      <c r="AB61" s="9"/>
      <c r="AC61" s="39">
        <f t="shared" si="4"/>
        <v>0.15264337516860554</v>
      </c>
      <c r="AD61" s="9"/>
      <c r="AF61" s="51" t="str">
        <f t="shared" si="10"/>
        <v/>
      </c>
      <c r="AG61" s="52" t="str">
        <f t="shared" si="6"/>
        <v/>
      </c>
      <c r="AH61" s="53">
        <f t="shared" si="9"/>
        <v>2.8000000000000012</v>
      </c>
      <c r="AI61" s="51">
        <f t="shared" si="8"/>
        <v>2.8000000000000012</v>
      </c>
      <c r="AJ61" s="52">
        <f t="shared" si="7"/>
        <v>0</v>
      </c>
    </row>
    <row r="62" spans="1:36" x14ac:dyDescent="0.25">
      <c r="A62">
        <v>71</v>
      </c>
      <c r="B62">
        <v>5316161.53</v>
      </c>
      <c r="C62">
        <v>1227722.1299999999</v>
      </c>
      <c r="E62" s="1"/>
      <c r="F62" s="1"/>
      <c r="G62" s="1"/>
      <c r="H62">
        <v>71</v>
      </c>
      <c r="I62">
        <v>5316161.67</v>
      </c>
      <c r="J62">
        <v>1227722.1000000001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8">
        <f t="shared" si="11"/>
        <v>0.13999999966472387</v>
      </c>
      <c r="Y62" s="38">
        <f t="shared" si="11"/>
        <v>-2.9999999795109034E-2</v>
      </c>
      <c r="Z62" s="38">
        <f t="shared" si="12"/>
        <v>100</v>
      </c>
      <c r="AA62" s="38">
        <f t="shared" si="12"/>
        <v>100</v>
      </c>
      <c r="AB62" s="9"/>
      <c r="AC62" s="39">
        <f t="shared" si="4"/>
        <v>0.14317821026199912</v>
      </c>
      <c r="AD62" s="9"/>
      <c r="AF62" s="51" t="str">
        <f t="shared" si="10"/>
        <v/>
      </c>
      <c r="AG62" s="52" t="str">
        <f t="shared" si="6"/>
        <v/>
      </c>
      <c r="AH62" s="53">
        <f t="shared" si="9"/>
        <v>2.9000000000000012</v>
      </c>
      <c r="AI62" s="51">
        <f t="shared" si="8"/>
        <v>2.9000000000000012</v>
      </c>
      <c r="AJ62" s="52">
        <f t="shared" si="7"/>
        <v>0</v>
      </c>
    </row>
    <row r="63" spans="1:36" x14ac:dyDescent="0.25">
      <c r="A63">
        <v>72</v>
      </c>
      <c r="B63">
        <v>5316161.53</v>
      </c>
      <c r="C63">
        <v>1227726.83</v>
      </c>
      <c r="E63" s="1"/>
      <c r="F63" s="1"/>
      <c r="G63" s="1"/>
      <c r="H63">
        <v>72</v>
      </c>
      <c r="I63">
        <v>5316161.3099999996</v>
      </c>
      <c r="J63">
        <v>1227726.76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8">
        <f t="shared" si="11"/>
        <v>-0.22000000067055225</v>
      </c>
      <c r="Y63" s="38">
        <f t="shared" si="11"/>
        <v>-7.000000006519258E-2</v>
      </c>
      <c r="Z63" s="38">
        <f t="shared" si="12"/>
        <v>100</v>
      </c>
      <c r="AA63" s="38">
        <f t="shared" si="12"/>
        <v>100</v>
      </c>
      <c r="AB63" s="9"/>
      <c r="AC63" s="39">
        <f t="shared" si="4"/>
        <v>0.23086792827105707</v>
      </c>
      <c r="AD63" s="9"/>
      <c r="AF63" s="51" t="str">
        <f t="shared" si="10"/>
        <v/>
      </c>
      <c r="AG63" s="52" t="str">
        <f t="shared" si="6"/>
        <v/>
      </c>
      <c r="AH63" s="53">
        <f t="shared" si="9"/>
        <v>3.0000000000000013</v>
      </c>
      <c r="AI63" s="51">
        <f t="shared" si="8"/>
        <v>3.0000000000000013</v>
      </c>
      <c r="AJ63" s="52">
        <f t="shared" si="7"/>
        <v>0</v>
      </c>
    </row>
    <row r="64" spans="1:36" x14ac:dyDescent="0.25">
      <c r="A64">
        <v>73</v>
      </c>
      <c r="B64">
        <v>5316161.53</v>
      </c>
      <c r="C64">
        <v>1227731.53</v>
      </c>
      <c r="E64" s="1"/>
      <c r="F64" s="1"/>
      <c r="G64" s="1"/>
      <c r="H64">
        <v>73</v>
      </c>
      <c r="I64">
        <v>5316161.54</v>
      </c>
      <c r="J64">
        <v>1227731.44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8">
        <f t="shared" si="11"/>
        <v>9.9999997764825821E-3</v>
      </c>
      <c r="Y64" s="38">
        <f t="shared" si="11"/>
        <v>-9.0000000083819032E-2</v>
      </c>
      <c r="Z64" s="38">
        <f t="shared" si="12"/>
        <v>100</v>
      </c>
      <c r="AA64" s="38">
        <f t="shared" si="12"/>
        <v>100</v>
      </c>
      <c r="AB64" s="9"/>
      <c r="AC64" s="39">
        <f t="shared" si="4"/>
        <v>9.0553851439997168E-2</v>
      </c>
      <c r="AD64" s="9"/>
    </row>
    <row r="65" spans="1:36" x14ac:dyDescent="0.25">
      <c r="A65">
        <v>74</v>
      </c>
      <c r="B65">
        <v>5316161.53</v>
      </c>
      <c r="C65">
        <v>1227736.23</v>
      </c>
      <c r="E65" s="1"/>
      <c r="F65" s="1"/>
      <c r="G65" s="1"/>
      <c r="H65">
        <v>74</v>
      </c>
      <c r="I65">
        <v>5316161.41</v>
      </c>
      <c r="J65">
        <v>1227735.73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8">
        <f t="shared" si="11"/>
        <v>100</v>
      </c>
      <c r="Y65" s="38">
        <f t="shared" si="11"/>
        <v>100</v>
      </c>
      <c r="Z65" s="38">
        <f t="shared" si="12"/>
        <v>-0.12000000011175871</v>
      </c>
      <c r="AA65" s="38">
        <f t="shared" si="12"/>
        <v>-0.5</v>
      </c>
      <c r="AB65" s="9"/>
      <c r="AC65" s="39">
        <f t="shared" si="4"/>
        <v>0.51419840531337913</v>
      </c>
      <c r="AD65" s="9"/>
    </row>
    <row r="66" spans="1:36" x14ac:dyDescent="0.25">
      <c r="A66">
        <v>75</v>
      </c>
      <c r="B66">
        <v>5316161.55</v>
      </c>
      <c r="C66">
        <v>1227739.07</v>
      </c>
      <c r="E66" s="1"/>
      <c r="F66" s="1"/>
      <c r="G66" s="1"/>
      <c r="H66">
        <v>75</v>
      </c>
      <c r="I66">
        <v>5316161.54</v>
      </c>
      <c r="J66">
        <v>1227739.1100000001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8">
        <f t="shared" si="11"/>
        <v>-9.9999997764825821E-3</v>
      </c>
      <c r="Y66" s="38">
        <f t="shared" si="11"/>
        <v>4.0000000037252903E-2</v>
      </c>
      <c r="Z66" s="38">
        <f t="shared" si="12"/>
        <v>100</v>
      </c>
      <c r="AA66" s="38">
        <f t="shared" si="12"/>
        <v>100</v>
      </c>
      <c r="AB66" s="9"/>
      <c r="AC66" s="39">
        <f t="shared" si="4"/>
        <v>4.1231056238106294E-2</v>
      </c>
      <c r="AD66" s="9"/>
    </row>
    <row r="67" spans="1:36" x14ac:dyDescent="0.25">
      <c r="A67">
        <v>76</v>
      </c>
      <c r="B67">
        <v>5316165.63</v>
      </c>
      <c r="C67">
        <v>1227738.58</v>
      </c>
      <c r="E67" s="1"/>
      <c r="F67" s="1"/>
      <c r="G67" s="1"/>
      <c r="H67">
        <v>76</v>
      </c>
      <c r="I67">
        <v>5316165.6900000004</v>
      </c>
      <c r="J67">
        <v>1227738.67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8">
        <f t="shared" si="11"/>
        <v>6.0000000521540642E-2</v>
      </c>
      <c r="Y67" s="38">
        <f t="shared" si="11"/>
        <v>8.9999999850988388E-2</v>
      </c>
      <c r="Z67" s="38">
        <f t="shared" si="12"/>
        <v>100</v>
      </c>
      <c r="AA67" s="38">
        <f t="shared" si="12"/>
        <v>100</v>
      </c>
      <c r="AB67" s="9"/>
      <c r="AC67" s="39">
        <f t="shared" si="4"/>
        <v>0.10816653842923322</v>
      </c>
      <c r="AD67" s="9"/>
    </row>
    <row r="68" spans="1:36" x14ac:dyDescent="0.25">
      <c r="A68">
        <v>77</v>
      </c>
      <c r="B68">
        <v>5316165.63</v>
      </c>
      <c r="C68">
        <v>1227733.8799999999</v>
      </c>
      <c r="E68" s="1"/>
      <c r="F68" s="1"/>
      <c r="G68" s="1"/>
      <c r="H68">
        <v>77</v>
      </c>
      <c r="I68">
        <v>5316165.92</v>
      </c>
      <c r="J68">
        <v>1227733.6200000001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8">
        <f t="shared" si="11"/>
        <v>100</v>
      </c>
      <c r="Y68" s="38">
        <f t="shared" si="11"/>
        <v>100</v>
      </c>
      <c r="Z68" s="38">
        <f t="shared" si="12"/>
        <v>0.2900000000372529</v>
      </c>
      <c r="AA68" s="38">
        <f t="shared" si="12"/>
        <v>-0.25999999977648258</v>
      </c>
      <c r="AB68" s="9"/>
      <c r="AC68" s="39">
        <f t="shared" si="4"/>
        <v>0.38948684176153836</v>
      </c>
      <c r="AD68" s="9"/>
    </row>
    <row r="69" spans="1:36" x14ac:dyDescent="0.25">
      <c r="A69">
        <v>78</v>
      </c>
      <c r="B69">
        <v>5316165.63</v>
      </c>
      <c r="C69">
        <v>1227729.18</v>
      </c>
      <c r="E69" s="1"/>
      <c r="F69" s="1"/>
      <c r="G69" s="1"/>
      <c r="H69">
        <v>78</v>
      </c>
      <c r="I69">
        <v>5316165.6100000003</v>
      </c>
      <c r="J69">
        <v>1227729.05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8">
        <f t="shared" si="11"/>
        <v>-1.9999999552965164E-2</v>
      </c>
      <c r="Y69" s="38">
        <f t="shared" si="11"/>
        <v>-0.12999999988824129</v>
      </c>
      <c r="Z69" s="38">
        <f t="shared" si="12"/>
        <v>100</v>
      </c>
      <c r="AA69" s="38">
        <f t="shared" si="12"/>
        <v>100</v>
      </c>
      <c r="AB69" s="9"/>
      <c r="AC69" s="39">
        <f t="shared" si="4"/>
        <v>0.13152946420122505</v>
      </c>
      <c r="AD69" s="9"/>
    </row>
    <row r="70" spans="1:36" x14ac:dyDescent="0.25">
      <c r="A70">
        <v>79</v>
      </c>
      <c r="B70">
        <v>5316165.63</v>
      </c>
      <c r="C70">
        <v>1227724.48</v>
      </c>
      <c r="E70" s="1"/>
      <c r="F70" s="1"/>
      <c r="G70" s="1"/>
      <c r="H70">
        <v>79</v>
      </c>
      <c r="I70">
        <v>5316165.53</v>
      </c>
      <c r="J70">
        <v>1227724.29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8">
        <f t="shared" si="11"/>
        <v>-9.999999962747097E-2</v>
      </c>
      <c r="Y70" s="38">
        <f t="shared" si="11"/>
        <v>-0.18999999994412065</v>
      </c>
      <c r="Z70" s="38">
        <f t="shared" si="12"/>
        <v>100</v>
      </c>
      <c r="AA70" s="38">
        <f t="shared" si="12"/>
        <v>100</v>
      </c>
      <c r="AB70" s="9"/>
      <c r="AC70" s="39">
        <f t="shared" ref="AC70:AC133" si="13">IF(B70="","",(SQRT((I70-B70)^2+(J70-C70)^2)))</f>
        <v>0.21470910531288617</v>
      </c>
      <c r="AD70" s="9"/>
    </row>
    <row r="71" spans="1:36" x14ac:dyDescent="0.25">
      <c r="A71">
        <v>80</v>
      </c>
      <c r="B71">
        <v>5316165.63</v>
      </c>
      <c r="C71">
        <v>1227719.78</v>
      </c>
      <c r="E71" s="1"/>
      <c r="F71" s="1"/>
      <c r="G71" s="1"/>
      <c r="H71">
        <v>80</v>
      </c>
      <c r="I71">
        <v>5316165.5199999996</v>
      </c>
      <c r="J71">
        <v>1227719.49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8">
        <f t="shared" si="11"/>
        <v>100</v>
      </c>
      <c r="Y71" s="38">
        <f t="shared" si="11"/>
        <v>100</v>
      </c>
      <c r="Z71" s="38">
        <f t="shared" si="12"/>
        <v>-0.11000000033527613</v>
      </c>
      <c r="AA71" s="38">
        <f t="shared" si="12"/>
        <v>-0.2900000000372529</v>
      </c>
      <c r="AB71" s="9"/>
      <c r="AC71" s="39">
        <f t="shared" si="13"/>
        <v>0.31016124853915494</v>
      </c>
      <c r="AD71" s="9"/>
    </row>
    <row r="72" spans="1:36" x14ac:dyDescent="0.25">
      <c r="A72">
        <v>81</v>
      </c>
      <c r="B72">
        <v>5316165.63</v>
      </c>
      <c r="C72">
        <v>1227715.08</v>
      </c>
      <c r="E72" s="1"/>
      <c r="F72" s="1"/>
      <c r="G72" s="1"/>
      <c r="H72">
        <v>81</v>
      </c>
      <c r="I72">
        <v>5316165.34</v>
      </c>
      <c r="J72">
        <v>1227715.08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8">
        <f t="shared" si="11"/>
        <v>-0.2900000000372529</v>
      </c>
      <c r="Y72" s="38">
        <f t="shared" si="11"/>
        <v>0</v>
      </c>
      <c r="Z72" s="38">
        <f t="shared" si="12"/>
        <v>100</v>
      </c>
      <c r="AA72" s="38">
        <f t="shared" si="12"/>
        <v>100</v>
      </c>
      <c r="AB72" s="9"/>
      <c r="AC72" s="39">
        <f t="shared" si="13"/>
        <v>0.2900000000372529</v>
      </c>
      <c r="AD72" s="9"/>
    </row>
    <row r="73" spans="1:36" x14ac:dyDescent="0.25">
      <c r="A73">
        <v>82</v>
      </c>
      <c r="B73">
        <v>5316165.63</v>
      </c>
      <c r="C73">
        <v>1227710.3799999999</v>
      </c>
      <c r="E73" s="1"/>
      <c r="F73" s="1"/>
      <c r="G73" s="1"/>
      <c r="H73">
        <v>82</v>
      </c>
      <c r="I73">
        <v>5316165.22</v>
      </c>
      <c r="J73">
        <v>1227710.0900000001</v>
      </c>
      <c r="X73" s="38">
        <f t="shared" si="11"/>
        <v>100</v>
      </c>
      <c r="Y73" s="38">
        <f t="shared" si="11"/>
        <v>100</v>
      </c>
      <c r="Z73" s="38">
        <f t="shared" si="12"/>
        <v>-0.41000000014901161</v>
      </c>
      <c r="AA73" s="38">
        <f t="shared" si="12"/>
        <v>-0.28999999980442226</v>
      </c>
      <c r="AB73" s="9"/>
      <c r="AC73" s="39">
        <f t="shared" si="13"/>
        <v>0.50219518118830497</v>
      </c>
      <c r="AD73" s="9"/>
      <c r="AG73" s="54"/>
      <c r="AJ73" s="54"/>
    </row>
    <row r="74" spans="1:36" x14ac:dyDescent="0.25">
      <c r="A74">
        <v>83</v>
      </c>
      <c r="B74">
        <v>5316165.63</v>
      </c>
      <c r="C74">
        <v>1227705.68</v>
      </c>
      <c r="E74" s="1"/>
      <c r="F74" s="1"/>
      <c r="G74" s="1"/>
      <c r="H74">
        <v>83</v>
      </c>
      <c r="I74">
        <v>5316165.7300000004</v>
      </c>
      <c r="J74">
        <v>1227705.56</v>
      </c>
      <c r="X74" s="38">
        <f t="shared" si="11"/>
        <v>0.10000000055879354</v>
      </c>
      <c r="Y74" s="38">
        <f t="shared" si="11"/>
        <v>-0.11999999987892807</v>
      </c>
      <c r="Z74" s="38">
        <f t="shared" si="12"/>
        <v>100</v>
      </c>
      <c r="AA74" s="38">
        <f t="shared" si="12"/>
        <v>100</v>
      </c>
      <c r="AB74" s="9"/>
      <c r="AC74" s="39">
        <f t="shared" si="13"/>
        <v>0.15620499378285396</v>
      </c>
      <c r="AD74" s="9"/>
    </row>
    <row r="75" spans="1:36" x14ac:dyDescent="0.25">
      <c r="A75">
        <v>84</v>
      </c>
      <c r="B75">
        <v>5316165.63</v>
      </c>
      <c r="C75">
        <v>1227700.98</v>
      </c>
      <c r="E75" s="1"/>
      <c r="F75" s="1"/>
      <c r="G75" s="1"/>
      <c r="H75">
        <v>84</v>
      </c>
      <c r="I75">
        <v>5316165.3</v>
      </c>
      <c r="J75">
        <v>1227700.3899999999</v>
      </c>
      <c r="X75" s="38">
        <f t="shared" si="11"/>
        <v>100</v>
      </c>
      <c r="Y75" s="38">
        <f t="shared" si="11"/>
        <v>100</v>
      </c>
      <c r="Z75" s="38">
        <f t="shared" si="12"/>
        <v>-0.33000000007450581</v>
      </c>
      <c r="AA75" s="38">
        <f t="shared" si="12"/>
        <v>-0.59000000008381903</v>
      </c>
      <c r="AB75" s="9"/>
      <c r="AC75" s="39">
        <f t="shared" si="13"/>
        <v>0.67601775135574682</v>
      </c>
      <c r="AD75" s="9"/>
    </row>
    <row r="76" spans="1:36" x14ac:dyDescent="0.25">
      <c r="A76">
        <v>85</v>
      </c>
      <c r="B76">
        <v>5316165.63</v>
      </c>
      <c r="C76">
        <v>1227696.28</v>
      </c>
      <c r="E76" s="1"/>
      <c r="F76" s="1"/>
      <c r="G76" s="1"/>
      <c r="H76">
        <v>85</v>
      </c>
      <c r="I76">
        <v>5316165.2300000004</v>
      </c>
      <c r="J76">
        <v>1227695.97</v>
      </c>
      <c r="X76" s="38">
        <f t="shared" si="11"/>
        <v>100</v>
      </c>
      <c r="Y76" s="38">
        <f t="shared" si="11"/>
        <v>100</v>
      </c>
      <c r="Z76" s="38">
        <f t="shared" si="12"/>
        <v>-0.39999999944120646</v>
      </c>
      <c r="AA76" s="38">
        <f t="shared" si="12"/>
        <v>-0.31000000005587935</v>
      </c>
      <c r="AB76" s="9"/>
      <c r="AC76" s="39">
        <f t="shared" si="13"/>
        <v>0.50606323674775111</v>
      </c>
      <c r="AD76" s="9"/>
    </row>
    <row r="77" spans="1:36" x14ac:dyDescent="0.25">
      <c r="A77">
        <v>86</v>
      </c>
      <c r="B77">
        <v>5316165.63</v>
      </c>
      <c r="C77">
        <v>1227691.58</v>
      </c>
      <c r="E77" s="1"/>
      <c r="F77" s="1"/>
      <c r="G77" s="1"/>
      <c r="H77">
        <v>86</v>
      </c>
      <c r="I77">
        <v>5316165.55</v>
      </c>
      <c r="J77">
        <v>1227691.26</v>
      </c>
      <c r="X77" s="38">
        <f t="shared" si="11"/>
        <v>100</v>
      </c>
      <c r="Y77" s="38">
        <f t="shared" si="11"/>
        <v>100</v>
      </c>
      <c r="Z77" s="38">
        <f t="shared" si="12"/>
        <v>-8.0000000074505806E-2</v>
      </c>
      <c r="AA77" s="38">
        <f t="shared" si="12"/>
        <v>-0.32000000006519258</v>
      </c>
      <c r="AB77" s="9"/>
      <c r="AC77" s="39">
        <f t="shared" si="13"/>
        <v>0.32984845013072928</v>
      </c>
      <c r="AD77" s="9"/>
    </row>
    <row r="78" spans="1:36" x14ac:dyDescent="0.25">
      <c r="A78">
        <v>87</v>
      </c>
      <c r="B78">
        <v>5316165.63</v>
      </c>
      <c r="C78">
        <v>1227686.8799999999</v>
      </c>
      <c r="E78" s="1"/>
      <c r="F78" s="1"/>
      <c r="G78" s="1"/>
      <c r="H78">
        <v>87</v>
      </c>
      <c r="I78">
        <v>5316165.43</v>
      </c>
      <c r="J78">
        <v>1227686.18</v>
      </c>
      <c r="X78" s="38">
        <f t="shared" si="11"/>
        <v>100</v>
      </c>
      <c r="Y78" s="38">
        <f t="shared" si="11"/>
        <v>100</v>
      </c>
      <c r="Z78" s="38">
        <f t="shared" si="12"/>
        <v>-0.20000000018626451</v>
      </c>
      <c r="AA78" s="38">
        <f t="shared" si="12"/>
        <v>-0.69999999995343387</v>
      </c>
      <c r="AB78" s="9"/>
      <c r="AC78" s="39">
        <f t="shared" si="13"/>
        <v>0.72801098893444816</v>
      </c>
      <c r="AD78" s="9"/>
    </row>
    <row r="79" spans="1:36" x14ac:dyDescent="0.25">
      <c r="A79">
        <v>88</v>
      </c>
      <c r="B79">
        <v>5316165.63</v>
      </c>
      <c r="C79">
        <v>1227682.18</v>
      </c>
      <c r="E79" s="1"/>
      <c r="F79" s="1"/>
      <c r="G79" s="1"/>
      <c r="H79">
        <v>88</v>
      </c>
      <c r="I79">
        <v>5316165.8499999996</v>
      </c>
      <c r="J79">
        <v>1227681.8999999999</v>
      </c>
      <c r="X79" s="38">
        <f t="shared" si="11"/>
        <v>100</v>
      </c>
      <c r="Y79" s="38">
        <f t="shared" si="11"/>
        <v>100</v>
      </c>
      <c r="Z79" s="38">
        <f t="shared" si="12"/>
        <v>0.21999999973922968</v>
      </c>
      <c r="AA79" s="38">
        <f t="shared" si="12"/>
        <v>-0.28000000002793968</v>
      </c>
      <c r="AB79" s="9"/>
      <c r="AC79" s="39">
        <f t="shared" si="13"/>
        <v>0.35608987615615706</v>
      </c>
      <c r="AD79" s="9"/>
    </row>
    <row r="80" spans="1:36" x14ac:dyDescent="0.25">
      <c r="A80">
        <v>89</v>
      </c>
      <c r="B80">
        <v>5316165.63</v>
      </c>
      <c r="C80">
        <v>1227677.48</v>
      </c>
      <c r="E80" s="1"/>
      <c r="F80" s="1"/>
      <c r="G80" s="1"/>
      <c r="H80">
        <v>89</v>
      </c>
      <c r="I80">
        <v>5316165.5199999996</v>
      </c>
      <c r="J80">
        <v>1227677.33</v>
      </c>
      <c r="X80" s="38">
        <f t="shared" si="11"/>
        <v>-0.11000000033527613</v>
      </c>
      <c r="Y80" s="38">
        <f t="shared" si="11"/>
        <v>-0.14999999990686774</v>
      </c>
      <c r="Z80" s="38">
        <f t="shared" si="12"/>
        <v>100</v>
      </c>
      <c r="AA80" s="38">
        <f t="shared" si="12"/>
        <v>100</v>
      </c>
      <c r="AB80" s="9"/>
      <c r="AC80" s="39">
        <f t="shared" si="13"/>
        <v>0.18601075250055055</v>
      </c>
      <c r="AD80" s="9"/>
    </row>
    <row r="81" spans="1:30" x14ac:dyDescent="0.25">
      <c r="A81">
        <v>90</v>
      </c>
      <c r="B81">
        <v>5316165.63</v>
      </c>
      <c r="C81">
        <v>1227672.78</v>
      </c>
      <c r="E81" s="1"/>
      <c r="F81" s="1"/>
      <c r="G81" s="1"/>
      <c r="H81">
        <v>90</v>
      </c>
      <c r="I81">
        <v>5316165.7699999996</v>
      </c>
      <c r="J81">
        <v>1227672.54</v>
      </c>
      <c r="X81" s="38">
        <f t="shared" si="11"/>
        <v>0.13999999966472387</v>
      </c>
      <c r="Y81" s="38">
        <f t="shared" si="11"/>
        <v>-0.23999999999068677</v>
      </c>
      <c r="Z81" s="38">
        <f t="shared" si="12"/>
        <v>100</v>
      </c>
      <c r="AA81" s="38">
        <f t="shared" si="12"/>
        <v>100</v>
      </c>
      <c r="AB81" s="9"/>
      <c r="AC81" s="39">
        <f t="shared" si="13"/>
        <v>0.2778488796120156</v>
      </c>
      <c r="AD81" s="9"/>
    </row>
    <row r="82" spans="1:30" x14ac:dyDescent="0.25">
      <c r="A82">
        <v>91</v>
      </c>
      <c r="B82">
        <v>5316165.63</v>
      </c>
      <c r="C82">
        <v>1227668.08</v>
      </c>
      <c r="E82" s="1"/>
      <c r="F82" s="1"/>
      <c r="G82" s="1"/>
      <c r="H82">
        <v>91</v>
      </c>
      <c r="I82">
        <v>5316165.66</v>
      </c>
      <c r="J82">
        <v>1227667.8799999999</v>
      </c>
      <c r="X82" s="38">
        <f t="shared" si="11"/>
        <v>3.0000000260770321E-2</v>
      </c>
      <c r="Y82" s="38">
        <f t="shared" si="11"/>
        <v>-0.20000000018626451</v>
      </c>
      <c r="Z82" s="38">
        <f t="shared" si="12"/>
        <v>100</v>
      </c>
      <c r="AA82" s="38">
        <f t="shared" si="12"/>
        <v>100</v>
      </c>
      <c r="AB82" s="9"/>
      <c r="AC82" s="39">
        <f t="shared" si="13"/>
        <v>0.20223748438445338</v>
      </c>
      <c r="AD82" s="9"/>
    </row>
    <row r="83" spans="1:30" x14ac:dyDescent="0.25">
      <c r="A83">
        <v>92</v>
      </c>
      <c r="B83">
        <v>5316165.63</v>
      </c>
      <c r="C83">
        <v>1227663.3799999999</v>
      </c>
      <c r="E83" s="1"/>
      <c r="F83" s="1"/>
      <c r="G83" s="1"/>
      <c r="H83">
        <v>92</v>
      </c>
      <c r="I83">
        <v>5316165.79</v>
      </c>
      <c r="J83">
        <v>1227663.24</v>
      </c>
      <c r="X83" s="38">
        <f t="shared" si="11"/>
        <v>0.16000000014901161</v>
      </c>
      <c r="Y83" s="38">
        <f t="shared" si="11"/>
        <v>-0.13999999989755452</v>
      </c>
      <c r="Z83" s="38">
        <f t="shared" si="12"/>
        <v>100</v>
      </c>
      <c r="AA83" s="38">
        <f t="shared" si="12"/>
        <v>100</v>
      </c>
      <c r="AB83" s="9"/>
      <c r="AC83" s="39">
        <f t="shared" si="13"/>
        <v>0.21260291629937483</v>
      </c>
      <c r="AD83" s="9"/>
    </row>
    <row r="84" spans="1:30" x14ac:dyDescent="0.25">
      <c r="A84">
        <v>93</v>
      </c>
      <c r="B84">
        <v>5316165.63</v>
      </c>
      <c r="C84">
        <v>1227658.68</v>
      </c>
      <c r="E84" s="1"/>
      <c r="F84" s="1"/>
      <c r="G84" s="1"/>
      <c r="H84">
        <v>93</v>
      </c>
      <c r="I84">
        <v>5316165.43</v>
      </c>
      <c r="J84">
        <v>1227659.3700000001</v>
      </c>
      <c r="X84" s="38">
        <f t="shared" si="11"/>
        <v>100</v>
      </c>
      <c r="Y84" s="38">
        <f t="shared" si="11"/>
        <v>100</v>
      </c>
      <c r="Z84" s="38">
        <f t="shared" si="12"/>
        <v>-0.20000000018626451</v>
      </c>
      <c r="AA84" s="38">
        <f t="shared" si="12"/>
        <v>0.69000000017695129</v>
      </c>
      <c r="AB84" s="9"/>
      <c r="AC84" s="39">
        <f t="shared" si="13"/>
        <v>0.71840100244828353</v>
      </c>
      <c r="AD84" s="9"/>
    </row>
    <row r="85" spans="1:30" x14ac:dyDescent="0.25">
      <c r="A85">
        <v>94</v>
      </c>
      <c r="B85">
        <v>5316168.28</v>
      </c>
      <c r="C85">
        <v>1227654.83</v>
      </c>
      <c r="E85" s="1"/>
      <c r="F85" s="1"/>
      <c r="G85" s="1"/>
      <c r="H85">
        <v>94</v>
      </c>
      <c r="I85">
        <v>5316169.92</v>
      </c>
      <c r="J85">
        <v>1227652.8</v>
      </c>
      <c r="X85" s="38">
        <f t="shared" si="11"/>
        <v>100</v>
      </c>
      <c r="Y85" s="38">
        <f t="shared" si="11"/>
        <v>100</v>
      </c>
      <c r="Z85" s="38">
        <f t="shared" si="12"/>
        <v>1.6399999996647239</v>
      </c>
      <c r="AA85" s="38">
        <f t="shared" si="12"/>
        <v>-2.0300000000279397</v>
      </c>
      <c r="AB85" s="9"/>
      <c r="AC85" s="39">
        <f t="shared" si="13"/>
        <v>2.6096934684007871</v>
      </c>
      <c r="AD85" s="9"/>
    </row>
    <row r="86" spans="1:30" x14ac:dyDescent="0.25">
      <c r="A86">
        <v>95</v>
      </c>
      <c r="B86">
        <v>5316171.57</v>
      </c>
      <c r="C86">
        <v>1227653.6000000001</v>
      </c>
      <c r="E86" s="1"/>
      <c r="F86" s="1"/>
      <c r="G86" s="1"/>
      <c r="H86">
        <v>95</v>
      </c>
      <c r="I86">
        <v>5316171.84</v>
      </c>
      <c r="J86">
        <v>1227653.69</v>
      </c>
      <c r="X86" s="38">
        <f t="shared" si="11"/>
        <v>0.26999999955296516</v>
      </c>
      <c r="Y86" s="38">
        <f t="shared" si="11"/>
        <v>8.9999999850988388E-2</v>
      </c>
      <c r="Z86" s="38">
        <f t="shared" si="12"/>
        <v>100</v>
      </c>
      <c r="AA86" s="38">
        <f t="shared" si="12"/>
        <v>100</v>
      </c>
      <c r="AB86" s="9"/>
      <c r="AC86" s="39">
        <f t="shared" si="13"/>
        <v>0.28460498894393804</v>
      </c>
      <c r="AD86" s="9"/>
    </row>
    <row r="87" spans="1:30" x14ac:dyDescent="0.25">
      <c r="A87">
        <v>96</v>
      </c>
      <c r="B87">
        <v>5316170</v>
      </c>
      <c r="C87">
        <v>1227657.02</v>
      </c>
      <c r="E87" s="1"/>
      <c r="F87" s="1"/>
      <c r="G87" s="1"/>
      <c r="H87">
        <v>96</v>
      </c>
      <c r="I87">
        <v>5316169.41</v>
      </c>
      <c r="J87">
        <v>1227656.96</v>
      </c>
      <c r="X87" s="38">
        <f t="shared" si="11"/>
        <v>100</v>
      </c>
      <c r="Y87" s="38">
        <f t="shared" si="11"/>
        <v>100</v>
      </c>
      <c r="Z87" s="38">
        <f t="shared" si="12"/>
        <v>-0.58999999985098839</v>
      </c>
      <c r="AA87" s="38">
        <f t="shared" si="12"/>
        <v>-6.0000000055879354E-2</v>
      </c>
      <c r="AB87" s="9"/>
      <c r="AC87" s="39">
        <f t="shared" si="13"/>
        <v>0.59304299998471599</v>
      </c>
      <c r="AD87" s="9"/>
    </row>
    <row r="88" spans="1:30" x14ac:dyDescent="0.25">
      <c r="A88">
        <v>97</v>
      </c>
      <c r="B88">
        <v>5316169.7300000004</v>
      </c>
      <c r="C88">
        <v>1227661.03</v>
      </c>
      <c r="E88" s="1"/>
      <c r="F88" s="1"/>
      <c r="G88" s="1"/>
      <c r="H88">
        <v>97</v>
      </c>
      <c r="I88">
        <v>5316169.57</v>
      </c>
      <c r="J88">
        <v>1227660.77</v>
      </c>
      <c r="X88" s="38">
        <f t="shared" si="11"/>
        <v>100</v>
      </c>
      <c r="Y88" s="38">
        <f t="shared" si="11"/>
        <v>100</v>
      </c>
      <c r="Z88" s="38">
        <f t="shared" si="12"/>
        <v>-0.16000000014901161</v>
      </c>
      <c r="AA88" s="38">
        <f t="shared" si="12"/>
        <v>-0.26000000000931323</v>
      </c>
      <c r="AB88" s="9"/>
      <c r="AC88" s="39">
        <f t="shared" si="13"/>
        <v>0.30528675053550325</v>
      </c>
      <c r="AD88" s="9"/>
    </row>
    <row r="89" spans="1:30" x14ac:dyDescent="0.25">
      <c r="A89">
        <v>98</v>
      </c>
      <c r="B89">
        <v>5316169.7300000004</v>
      </c>
      <c r="C89">
        <v>1227665.73</v>
      </c>
      <c r="E89" s="1"/>
      <c r="F89" s="1"/>
      <c r="G89" s="1"/>
      <c r="H89">
        <v>98</v>
      </c>
      <c r="I89">
        <v>5316169.67</v>
      </c>
      <c r="J89">
        <v>1227665.47</v>
      </c>
      <c r="X89" s="38">
        <f t="shared" si="11"/>
        <v>-6.0000000521540642E-2</v>
      </c>
      <c r="Y89" s="38">
        <f t="shared" si="11"/>
        <v>-0.26000000000931323</v>
      </c>
      <c r="Z89" s="38">
        <f t="shared" si="12"/>
        <v>100</v>
      </c>
      <c r="AA89" s="38">
        <f t="shared" si="12"/>
        <v>100</v>
      </c>
      <c r="AB89" s="9"/>
      <c r="AC89" s="39">
        <f t="shared" si="13"/>
        <v>0.2668332814088748</v>
      </c>
      <c r="AD89" s="9"/>
    </row>
    <row r="90" spans="1:30" x14ac:dyDescent="0.25">
      <c r="A90">
        <v>99</v>
      </c>
      <c r="B90">
        <v>5316169.7300000004</v>
      </c>
      <c r="C90">
        <v>1227670.43</v>
      </c>
      <c r="E90" s="1"/>
      <c r="F90" s="1"/>
      <c r="G90" s="1"/>
      <c r="H90">
        <v>99</v>
      </c>
      <c r="I90">
        <v>5316169.8600000003</v>
      </c>
      <c r="J90">
        <v>1227670.1399999999</v>
      </c>
      <c r="X90" s="38">
        <f t="shared" si="11"/>
        <v>100</v>
      </c>
      <c r="Y90" s="38">
        <f t="shared" si="11"/>
        <v>100</v>
      </c>
      <c r="Z90" s="38">
        <f t="shared" si="12"/>
        <v>0.12999999988824129</v>
      </c>
      <c r="AA90" s="38">
        <f t="shared" si="12"/>
        <v>-0.2900000000372529</v>
      </c>
      <c r="AB90" s="9"/>
      <c r="AC90" s="39">
        <f t="shared" si="13"/>
        <v>0.31780497162969212</v>
      </c>
      <c r="AD90" s="9"/>
    </row>
    <row r="91" spans="1:30" x14ac:dyDescent="0.25">
      <c r="A91">
        <v>100</v>
      </c>
      <c r="B91">
        <v>5316169.7300000004</v>
      </c>
      <c r="C91">
        <v>1227675.1299999999</v>
      </c>
      <c r="E91" s="1"/>
      <c r="F91" s="1"/>
      <c r="G91" s="1"/>
      <c r="H91">
        <v>100</v>
      </c>
      <c r="I91">
        <v>5316169.55</v>
      </c>
      <c r="J91">
        <v>1227675.57</v>
      </c>
      <c r="X91" s="38">
        <f t="shared" si="11"/>
        <v>100</v>
      </c>
      <c r="Y91" s="38">
        <f t="shared" si="11"/>
        <v>100</v>
      </c>
      <c r="Z91" s="38">
        <f t="shared" si="12"/>
        <v>-0.18000000063329935</v>
      </c>
      <c r="AA91" s="38">
        <f t="shared" si="12"/>
        <v>0.44000000017695129</v>
      </c>
      <c r="AB91" s="9"/>
      <c r="AC91" s="39">
        <f t="shared" si="13"/>
        <v>0.47539457336375318</v>
      </c>
      <c r="AD91" s="9"/>
    </row>
    <row r="92" spans="1:30" x14ac:dyDescent="0.25">
      <c r="A92">
        <v>101</v>
      </c>
      <c r="B92">
        <v>5316169.7300000004</v>
      </c>
      <c r="C92">
        <v>1227679.83</v>
      </c>
      <c r="E92" s="1"/>
      <c r="F92" s="1"/>
      <c r="G92" s="1"/>
      <c r="H92">
        <v>101</v>
      </c>
      <c r="I92">
        <v>5316169.76</v>
      </c>
      <c r="J92">
        <v>1227680.01</v>
      </c>
      <c r="X92" s="38">
        <f t="shared" si="11"/>
        <v>2.9999999329447746E-2</v>
      </c>
      <c r="Y92" s="38">
        <f t="shared" si="11"/>
        <v>0.17999999993480742</v>
      </c>
      <c r="Z92" s="38">
        <f t="shared" si="12"/>
        <v>100</v>
      </c>
      <c r="AA92" s="38">
        <f t="shared" si="12"/>
        <v>100</v>
      </c>
      <c r="AB92" s="9"/>
      <c r="AC92" s="39">
        <f t="shared" si="13"/>
        <v>0.18248287573440292</v>
      </c>
      <c r="AD92" s="9"/>
    </row>
    <row r="93" spans="1:30" x14ac:dyDescent="0.25">
      <c r="A93">
        <v>102</v>
      </c>
      <c r="B93">
        <v>5316169.7300000004</v>
      </c>
      <c r="C93">
        <v>1227684.53</v>
      </c>
      <c r="E93" s="1"/>
      <c r="F93" s="1"/>
      <c r="G93" s="1"/>
      <c r="H93">
        <v>102</v>
      </c>
      <c r="I93">
        <v>5316169.12</v>
      </c>
      <c r="J93">
        <v>1227684.1299999999</v>
      </c>
      <c r="X93" s="38">
        <f t="shared" si="11"/>
        <v>100</v>
      </c>
      <c r="Y93" s="38">
        <f t="shared" si="11"/>
        <v>100</v>
      </c>
      <c r="Z93" s="38">
        <f t="shared" si="12"/>
        <v>-0.61000000033527613</v>
      </c>
      <c r="AA93" s="38">
        <f t="shared" si="12"/>
        <v>-0.40000000013969839</v>
      </c>
      <c r="AB93" s="9"/>
      <c r="AC93" s="39">
        <f t="shared" si="13"/>
        <v>0.72945184935045282</v>
      </c>
      <c r="AD93" s="9"/>
    </row>
    <row r="94" spans="1:30" x14ac:dyDescent="0.25">
      <c r="A94">
        <v>103</v>
      </c>
      <c r="B94">
        <v>5316169.7300000004</v>
      </c>
      <c r="C94">
        <v>1227689.23</v>
      </c>
      <c r="E94" s="1"/>
      <c r="F94" s="1"/>
      <c r="G94" s="1"/>
      <c r="H94">
        <v>103</v>
      </c>
      <c r="I94">
        <v>5316169.6500000004</v>
      </c>
      <c r="J94">
        <v>1227689.3500000001</v>
      </c>
      <c r="X94" s="38">
        <f t="shared" si="11"/>
        <v>-8.0000000074505806E-2</v>
      </c>
      <c r="Y94" s="38">
        <f t="shared" si="11"/>
        <v>0.12000000011175871</v>
      </c>
      <c r="Z94" s="38">
        <f t="shared" si="12"/>
        <v>100</v>
      </c>
      <c r="AA94" s="38">
        <f t="shared" si="12"/>
        <v>100</v>
      </c>
      <c r="AB94" s="9"/>
      <c r="AC94" s="39">
        <f t="shared" si="13"/>
        <v>0.14422205115287681</v>
      </c>
      <c r="AD94" s="9"/>
    </row>
    <row r="95" spans="1:30" x14ac:dyDescent="0.25">
      <c r="A95">
        <v>104</v>
      </c>
      <c r="B95">
        <v>5316169.7300000004</v>
      </c>
      <c r="C95">
        <v>1227693.93</v>
      </c>
      <c r="E95" s="1"/>
      <c r="F95" s="1"/>
      <c r="G95" s="1"/>
      <c r="H95">
        <v>104</v>
      </c>
      <c r="I95">
        <v>5316169.67</v>
      </c>
      <c r="J95">
        <v>1227694.31</v>
      </c>
      <c r="X95" s="38">
        <f t="shared" si="11"/>
        <v>100</v>
      </c>
      <c r="Y95" s="38">
        <f t="shared" si="11"/>
        <v>100</v>
      </c>
      <c r="Z95" s="38">
        <f t="shared" si="12"/>
        <v>-6.0000000521540642E-2</v>
      </c>
      <c r="AA95" s="38">
        <f t="shared" si="12"/>
        <v>0.38000000012107193</v>
      </c>
      <c r="AB95" s="9"/>
      <c r="AC95" s="39">
        <f t="shared" si="13"/>
        <v>0.38470768143435807</v>
      </c>
      <c r="AD95" s="9"/>
    </row>
    <row r="96" spans="1:30" x14ac:dyDescent="0.25">
      <c r="A96">
        <v>105</v>
      </c>
      <c r="B96">
        <v>5316169.7300000004</v>
      </c>
      <c r="C96">
        <v>1227698.6299999999</v>
      </c>
      <c r="E96" s="1"/>
      <c r="F96" s="1"/>
      <c r="G96" s="1"/>
      <c r="H96">
        <v>105</v>
      </c>
      <c r="I96">
        <v>5316170.49</v>
      </c>
      <c r="J96">
        <v>1227699.07</v>
      </c>
      <c r="X96" s="38">
        <f t="shared" si="11"/>
        <v>100</v>
      </c>
      <c r="Y96" s="38">
        <f t="shared" si="11"/>
        <v>100</v>
      </c>
      <c r="Z96" s="38">
        <f t="shared" si="12"/>
        <v>0.75999999977648258</v>
      </c>
      <c r="AA96" s="38">
        <f t="shared" si="12"/>
        <v>0.44000000017695129</v>
      </c>
      <c r="AB96" s="9"/>
      <c r="AC96" s="39">
        <f t="shared" si="13"/>
        <v>0.87817993589922716</v>
      </c>
      <c r="AD96" s="9"/>
    </row>
    <row r="97" spans="1:30" x14ac:dyDescent="0.25">
      <c r="A97">
        <v>106</v>
      </c>
      <c r="B97">
        <v>5316169.7300000004</v>
      </c>
      <c r="C97">
        <v>1227703.33</v>
      </c>
      <c r="E97" s="1"/>
      <c r="F97" s="1"/>
      <c r="G97" s="1"/>
      <c r="H97">
        <v>106</v>
      </c>
      <c r="I97">
        <v>5316169.71</v>
      </c>
      <c r="J97">
        <v>1227703.45</v>
      </c>
      <c r="X97" s="38">
        <f t="shared" si="11"/>
        <v>-2.0000000484287739E-2</v>
      </c>
      <c r="Y97" s="38">
        <f t="shared" si="11"/>
        <v>0.11999999987892807</v>
      </c>
      <c r="Z97" s="38">
        <f t="shared" si="12"/>
        <v>100</v>
      </c>
      <c r="AA97" s="38">
        <f t="shared" si="12"/>
        <v>100</v>
      </c>
      <c r="AB97" s="9"/>
      <c r="AC97" s="39">
        <f t="shared" si="13"/>
        <v>0.12165525056615618</v>
      </c>
      <c r="AD97" s="9"/>
    </row>
    <row r="98" spans="1:30" x14ac:dyDescent="0.25">
      <c r="A98">
        <v>107</v>
      </c>
      <c r="B98">
        <v>5316169.7300000004</v>
      </c>
      <c r="C98">
        <v>1227708.03</v>
      </c>
      <c r="E98" s="1"/>
      <c r="F98" s="1"/>
      <c r="G98" s="1"/>
      <c r="H98">
        <v>107</v>
      </c>
      <c r="I98">
        <v>5316169.84</v>
      </c>
      <c r="J98">
        <v>1227707.79</v>
      </c>
      <c r="X98" s="38">
        <f t="shared" si="11"/>
        <v>0.10999999940395355</v>
      </c>
      <c r="Y98" s="38">
        <f t="shared" si="11"/>
        <v>-0.23999999999068677</v>
      </c>
      <c r="Z98" s="38">
        <f t="shared" si="12"/>
        <v>100</v>
      </c>
      <c r="AA98" s="38">
        <f t="shared" si="12"/>
        <v>100</v>
      </c>
      <c r="AB98" s="9"/>
      <c r="AC98" s="39">
        <f t="shared" si="13"/>
        <v>0.26400757539206982</v>
      </c>
      <c r="AD98" s="9"/>
    </row>
    <row r="99" spans="1:30" x14ac:dyDescent="0.25">
      <c r="A99">
        <v>108</v>
      </c>
      <c r="B99">
        <v>5316169.7300000004</v>
      </c>
      <c r="C99">
        <v>1227712.73</v>
      </c>
      <c r="E99" s="1"/>
      <c r="F99" s="1"/>
      <c r="G99" s="1"/>
      <c r="H99">
        <v>108</v>
      </c>
      <c r="I99">
        <v>5316169.8099999996</v>
      </c>
      <c r="J99">
        <v>1227712.51</v>
      </c>
      <c r="X99" s="38">
        <f t="shared" si="11"/>
        <v>7.9999999143183231E-2</v>
      </c>
      <c r="Y99" s="38">
        <f t="shared" si="11"/>
        <v>-0.21999999997206032</v>
      </c>
      <c r="Z99" s="38">
        <f t="shared" si="12"/>
        <v>100</v>
      </c>
      <c r="AA99" s="38">
        <f t="shared" si="12"/>
        <v>100</v>
      </c>
      <c r="AB99" s="9"/>
      <c r="AC99" s="39">
        <f t="shared" si="13"/>
        <v>0.23409399789532379</v>
      </c>
      <c r="AD99" s="9"/>
    </row>
    <row r="100" spans="1:30" x14ac:dyDescent="0.25">
      <c r="A100">
        <v>109</v>
      </c>
      <c r="B100">
        <v>5316169.7300000004</v>
      </c>
      <c r="C100">
        <v>1227717.43</v>
      </c>
      <c r="E100" s="1"/>
      <c r="F100" s="1"/>
      <c r="G100" s="1"/>
      <c r="H100">
        <v>109</v>
      </c>
      <c r="I100">
        <v>5316170.16</v>
      </c>
      <c r="J100">
        <v>1227717.43</v>
      </c>
      <c r="X100" s="38">
        <f t="shared" si="11"/>
        <v>100</v>
      </c>
      <c r="Y100" s="38">
        <f t="shared" si="11"/>
        <v>100</v>
      </c>
      <c r="Z100" s="38">
        <f t="shared" si="12"/>
        <v>0.42999999970197678</v>
      </c>
      <c r="AA100" s="38">
        <f t="shared" si="12"/>
        <v>0</v>
      </c>
      <c r="AB100" s="9"/>
      <c r="AC100" s="39">
        <f t="shared" si="13"/>
        <v>0.42999999970197678</v>
      </c>
      <c r="AD100" s="9"/>
    </row>
    <row r="101" spans="1:30" x14ac:dyDescent="0.25">
      <c r="A101">
        <v>110</v>
      </c>
      <c r="B101">
        <v>5316169.7300000004</v>
      </c>
      <c r="C101">
        <v>1227722.1299999999</v>
      </c>
      <c r="E101" s="1"/>
      <c r="F101" s="1"/>
      <c r="G101" s="1"/>
      <c r="H101">
        <v>110</v>
      </c>
      <c r="I101">
        <v>5316169.72</v>
      </c>
      <c r="J101">
        <v>1227722.25</v>
      </c>
      <c r="X101" s="38">
        <f t="shared" si="11"/>
        <v>-1.0000000707805157E-2</v>
      </c>
      <c r="Y101" s="38">
        <f t="shared" si="11"/>
        <v>0.12000000011175871</v>
      </c>
      <c r="Z101" s="38">
        <f t="shared" si="12"/>
        <v>100</v>
      </c>
      <c r="AA101" s="38">
        <f t="shared" si="12"/>
        <v>100</v>
      </c>
      <c r="AB101" s="9"/>
      <c r="AC101" s="39">
        <f t="shared" si="13"/>
        <v>0.12041594595807563</v>
      </c>
      <c r="AD101" s="9"/>
    </row>
    <row r="102" spans="1:30" x14ac:dyDescent="0.25">
      <c r="A102">
        <v>111</v>
      </c>
      <c r="B102">
        <v>5316169.7300000004</v>
      </c>
      <c r="C102">
        <v>1227726.83</v>
      </c>
      <c r="E102" s="1"/>
      <c r="F102" s="1"/>
      <c r="G102" s="1"/>
      <c r="H102">
        <v>111</v>
      </c>
      <c r="I102">
        <v>5316170.1500000004</v>
      </c>
      <c r="J102">
        <v>1227727.1000000001</v>
      </c>
      <c r="X102" s="38">
        <f t="shared" si="11"/>
        <v>100</v>
      </c>
      <c r="Y102" s="38">
        <f t="shared" si="11"/>
        <v>100</v>
      </c>
      <c r="Z102" s="38">
        <f t="shared" si="12"/>
        <v>0.41999999992549419</v>
      </c>
      <c r="AA102" s="38">
        <f t="shared" si="12"/>
        <v>0.27000000001862645</v>
      </c>
      <c r="AB102" s="9"/>
      <c r="AC102" s="39">
        <f t="shared" si="13"/>
        <v>0.49929950926019684</v>
      </c>
      <c r="AD102" s="9"/>
    </row>
    <row r="103" spans="1:30" x14ac:dyDescent="0.25">
      <c r="A103">
        <v>112</v>
      </c>
      <c r="B103">
        <v>5316169.7300000004</v>
      </c>
      <c r="C103">
        <v>1227731.53</v>
      </c>
      <c r="E103" s="1"/>
      <c r="F103" s="1"/>
      <c r="G103" s="1"/>
      <c r="H103">
        <v>112</v>
      </c>
      <c r="I103">
        <v>5316169.8099999996</v>
      </c>
      <c r="J103">
        <v>1227731.44</v>
      </c>
      <c r="X103" s="38">
        <f t="shared" si="11"/>
        <v>7.9999999143183231E-2</v>
      </c>
      <c r="Y103" s="38">
        <f t="shared" si="11"/>
        <v>-9.0000000083819032E-2</v>
      </c>
      <c r="Z103" s="38">
        <f t="shared" si="12"/>
        <v>100</v>
      </c>
      <c r="AA103" s="38">
        <f t="shared" si="12"/>
        <v>100</v>
      </c>
      <c r="AB103" s="9"/>
      <c r="AC103" s="39">
        <f t="shared" si="13"/>
        <v>0.12041594528133201</v>
      </c>
      <c r="AD103" s="9"/>
    </row>
    <row r="104" spans="1:30" x14ac:dyDescent="0.25">
      <c r="A104">
        <v>113</v>
      </c>
      <c r="B104">
        <v>5316169.7300000004</v>
      </c>
      <c r="C104">
        <v>1227736.23</v>
      </c>
      <c r="E104" s="1"/>
      <c r="F104" s="1"/>
      <c r="G104" s="1"/>
      <c r="H104">
        <v>113</v>
      </c>
      <c r="I104">
        <v>5316169.7300000004</v>
      </c>
      <c r="J104">
        <v>1227735.6200000001</v>
      </c>
      <c r="X104" s="38">
        <f t="shared" si="11"/>
        <v>100</v>
      </c>
      <c r="Y104" s="38">
        <f t="shared" si="11"/>
        <v>100</v>
      </c>
      <c r="Z104" s="38">
        <f t="shared" si="12"/>
        <v>0</v>
      </c>
      <c r="AA104" s="38">
        <f t="shared" si="12"/>
        <v>-0.60999999986961484</v>
      </c>
      <c r="AB104" s="9"/>
      <c r="AC104" s="39">
        <f t="shared" si="13"/>
        <v>0.60999999986961484</v>
      </c>
      <c r="AD104" s="9"/>
    </row>
    <row r="105" spans="1:30" x14ac:dyDescent="0.25">
      <c r="A105">
        <v>114</v>
      </c>
      <c r="B105">
        <v>5316169.71</v>
      </c>
      <c r="C105">
        <v>1227739.9099999999</v>
      </c>
      <c r="E105" s="1"/>
      <c r="F105" s="1"/>
      <c r="G105" s="1"/>
      <c r="H105">
        <v>114</v>
      </c>
      <c r="I105">
        <v>5316169.6399999997</v>
      </c>
      <c r="J105">
        <v>1227739</v>
      </c>
      <c r="X105" s="38">
        <f t="shared" si="11"/>
        <v>100</v>
      </c>
      <c r="Y105" s="38">
        <f t="shared" si="11"/>
        <v>100</v>
      </c>
      <c r="Z105" s="38">
        <f t="shared" si="12"/>
        <v>-7.0000000298023224E-2</v>
      </c>
      <c r="AA105" s="38">
        <f t="shared" si="12"/>
        <v>-0.90999999991618097</v>
      </c>
      <c r="AB105" s="9"/>
      <c r="AC105" s="39">
        <f t="shared" si="13"/>
        <v>0.91268833666765603</v>
      </c>
      <c r="AD105" s="9"/>
    </row>
    <row r="106" spans="1:30" x14ac:dyDescent="0.25">
      <c r="A106">
        <v>115</v>
      </c>
      <c r="B106">
        <v>5316173.83</v>
      </c>
      <c r="C106">
        <v>1227738.58</v>
      </c>
      <c r="E106" s="1"/>
      <c r="F106" s="1"/>
      <c r="G106" s="1"/>
      <c r="H106">
        <v>115</v>
      </c>
      <c r="I106">
        <v>5316173.63</v>
      </c>
      <c r="J106">
        <v>1227738.7</v>
      </c>
      <c r="X106" s="38">
        <f t="shared" si="11"/>
        <v>-0.20000000018626451</v>
      </c>
      <c r="Y106" s="38">
        <f t="shared" si="11"/>
        <v>0.11999999987892807</v>
      </c>
      <c r="Z106" s="38">
        <f t="shared" si="12"/>
        <v>100</v>
      </c>
      <c r="AA106" s="38">
        <f t="shared" si="12"/>
        <v>100</v>
      </c>
      <c r="AB106" s="9"/>
      <c r="AC106" s="39">
        <f t="shared" si="13"/>
        <v>0.23323807589124151</v>
      </c>
      <c r="AD106" s="9"/>
    </row>
    <row r="107" spans="1:30" x14ac:dyDescent="0.25">
      <c r="A107">
        <v>116</v>
      </c>
      <c r="B107">
        <v>5316173.83</v>
      </c>
      <c r="C107">
        <v>1227733.8799999999</v>
      </c>
      <c r="E107" s="1"/>
      <c r="F107" s="1"/>
      <c r="G107" s="1"/>
      <c r="H107">
        <v>116</v>
      </c>
      <c r="I107">
        <v>5316174.1399999997</v>
      </c>
      <c r="J107">
        <v>1227734.56</v>
      </c>
      <c r="X107" s="38">
        <f t="shared" si="11"/>
        <v>100</v>
      </c>
      <c r="Y107" s="38">
        <f t="shared" si="11"/>
        <v>100</v>
      </c>
      <c r="Z107" s="38">
        <f t="shared" si="12"/>
        <v>0.30999999959021807</v>
      </c>
      <c r="AA107" s="38">
        <f t="shared" si="12"/>
        <v>0.68000000016763806</v>
      </c>
      <c r="AB107" s="9"/>
      <c r="AC107" s="39">
        <f t="shared" si="13"/>
        <v>0.74732857564388833</v>
      </c>
      <c r="AD107" s="9"/>
    </row>
    <row r="108" spans="1:30" x14ac:dyDescent="0.25">
      <c r="A108">
        <v>117</v>
      </c>
      <c r="B108">
        <v>5316173.83</v>
      </c>
      <c r="C108">
        <v>1227729.18</v>
      </c>
      <c r="E108" s="1"/>
      <c r="F108" s="1"/>
      <c r="G108" s="1"/>
      <c r="H108">
        <v>117</v>
      </c>
      <c r="I108">
        <v>5316173.7699999996</v>
      </c>
      <c r="J108">
        <v>1227728.94</v>
      </c>
      <c r="X108" s="38">
        <f t="shared" si="11"/>
        <v>-6.0000000521540642E-2</v>
      </c>
      <c r="Y108" s="38">
        <f t="shared" si="11"/>
        <v>-0.23999999999068677</v>
      </c>
      <c r="Z108" s="38">
        <f t="shared" si="12"/>
        <v>100</v>
      </c>
      <c r="AA108" s="38">
        <f t="shared" si="12"/>
        <v>100</v>
      </c>
      <c r="AB108" s="9"/>
      <c r="AC108" s="39">
        <f t="shared" si="13"/>
        <v>0.24738633765451667</v>
      </c>
      <c r="AD108" s="9"/>
    </row>
    <row r="109" spans="1:30" x14ac:dyDescent="0.25">
      <c r="A109">
        <v>118</v>
      </c>
      <c r="B109">
        <v>5316173.83</v>
      </c>
      <c r="C109">
        <v>1227724.48</v>
      </c>
      <c r="E109" s="1"/>
      <c r="F109" s="1"/>
      <c r="G109" s="1"/>
      <c r="H109">
        <v>118</v>
      </c>
      <c r="I109">
        <v>5316173.74</v>
      </c>
      <c r="J109">
        <v>1227723.8600000001</v>
      </c>
      <c r="X109" s="38">
        <f t="shared" si="11"/>
        <v>100</v>
      </c>
      <c r="Y109" s="38">
        <f t="shared" si="11"/>
        <v>100</v>
      </c>
      <c r="Z109" s="38">
        <f t="shared" si="12"/>
        <v>-8.9999999850988388E-2</v>
      </c>
      <c r="AA109" s="38">
        <f t="shared" si="12"/>
        <v>-0.61999999987892807</v>
      </c>
      <c r="AB109" s="9"/>
      <c r="AC109" s="39">
        <f t="shared" si="13"/>
        <v>0.62649820416586088</v>
      </c>
      <c r="AD109" s="9"/>
    </row>
    <row r="110" spans="1:30" x14ac:dyDescent="0.25">
      <c r="A110">
        <v>119</v>
      </c>
      <c r="B110">
        <v>5316173.83</v>
      </c>
      <c r="C110">
        <v>1227719.78</v>
      </c>
      <c r="E110" s="1"/>
      <c r="F110" s="1"/>
      <c r="G110" s="1"/>
      <c r="H110">
        <v>119</v>
      </c>
      <c r="I110">
        <v>5316173.83</v>
      </c>
      <c r="J110">
        <v>1227719.77</v>
      </c>
      <c r="X110" s="38">
        <f t="shared" si="11"/>
        <v>0</v>
      </c>
      <c r="Y110" s="38">
        <f t="shared" si="11"/>
        <v>-1.0000000009313226E-2</v>
      </c>
      <c r="Z110" s="38">
        <f t="shared" si="12"/>
        <v>100</v>
      </c>
      <c r="AA110" s="38">
        <f t="shared" si="12"/>
        <v>100</v>
      </c>
      <c r="AB110" s="9"/>
      <c r="AC110" s="39">
        <f t="shared" si="13"/>
        <v>1.0000000009313226E-2</v>
      </c>
      <c r="AD110" s="9"/>
    </row>
    <row r="111" spans="1:30" x14ac:dyDescent="0.25">
      <c r="A111">
        <v>120</v>
      </c>
      <c r="B111">
        <v>5316173.83</v>
      </c>
      <c r="C111">
        <v>1227715.08</v>
      </c>
      <c r="E111" s="1"/>
      <c r="F111" s="1"/>
      <c r="G111" s="1"/>
      <c r="H111">
        <v>120</v>
      </c>
      <c r="I111">
        <v>5316173.67</v>
      </c>
      <c r="J111">
        <v>1227714.95</v>
      </c>
      <c r="X111" s="38">
        <f t="shared" si="11"/>
        <v>-0.16000000014901161</v>
      </c>
      <c r="Y111" s="38">
        <f t="shared" si="11"/>
        <v>-0.13000000012107193</v>
      </c>
      <c r="Z111" s="38">
        <f t="shared" si="12"/>
        <v>100</v>
      </c>
      <c r="AA111" s="38">
        <f t="shared" si="12"/>
        <v>100</v>
      </c>
      <c r="AB111" s="9"/>
      <c r="AC111" s="39">
        <f t="shared" si="13"/>
        <v>0.20615528147288009</v>
      </c>
      <c r="AD111" s="9"/>
    </row>
    <row r="112" spans="1:30" x14ac:dyDescent="0.25">
      <c r="A112">
        <v>121</v>
      </c>
      <c r="B112">
        <v>5316173.83</v>
      </c>
      <c r="C112">
        <v>1227710.3799999999</v>
      </c>
      <c r="E112" s="1"/>
      <c r="F112" s="1"/>
      <c r="G112" s="1"/>
      <c r="H112">
        <v>121</v>
      </c>
      <c r="I112">
        <v>5316173.8899999997</v>
      </c>
      <c r="J112">
        <v>1227710</v>
      </c>
      <c r="X112" s="38">
        <f t="shared" si="11"/>
        <v>100</v>
      </c>
      <c r="Y112" s="38">
        <f t="shared" si="11"/>
        <v>100</v>
      </c>
      <c r="Z112" s="38">
        <f t="shared" si="12"/>
        <v>5.9999999590218067E-2</v>
      </c>
      <c r="AA112" s="38">
        <f t="shared" si="12"/>
        <v>-0.37999999988824129</v>
      </c>
      <c r="AB112" s="9"/>
      <c r="AC112" s="39">
        <f t="shared" si="13"/>
        <v>0.38470768105912512</v>
      </c>
      <c r="AD112" s="9"/>
    </row>
    <row r="113" spans="1:30" x14ac:dyDescent="0.25">
      <c r="A113">
        <v>122</v>
      </c>
      <c r="B113">
        <v>5316173.83</v>
      </c>
      <c r="C113">
        <v>1227705.68</v>
      </c>
      <c r="E113" s="1"/>
      <c r="F113" s="1"/>
      <c r="G113" s="1"/>
      <c r="H113">
        <v>122</v>
      </c>
      <c r="I113">
        <v>5316173.08</v>
      </c>
      <c r="J113">
        <v>1227706.76</v>
      </c>
      <c r="X113" s="38">
        <f t="shared" si="11"/>
        <v>100</v>
      </c>
      <c r="Y113" s="38">
        <f t="shared" si="11"/>
        <v>100</v>
      </c>
      <c r="Z113" s="38">
        <f t="shared" si="12"/>
        <v>-0.75</v>
      </c>
      <c r="AA113" s="38">
        <f t="shared" si="12"/>
        <v>1.0800000000745058</v>
      </c>
      <c r="AB113" s="9"/>
      <c r="AC113" s="39">
        <f t="shared" si="13"/>
        <v>1.3148764201098644</v>
      </c>
      <c r="AD113" s="9"/>
    </row>
    <row r="114" spans="1:30" x14ac:dyDescent="0.25">
      <c r="A114">
        <v>123</v>
      </c>
      <c r="B114">
        <v>5316173.83</v>
      </c>
      <c r="C114">
        <v>1227700.98</v>
      </c>
      <c r="E114" s="1"/>
      <c r="F114" s="1"/>
      <c r="G114" s="1"/>
      <c r="H114">
        <v>123</v>
      </c>
      <c r="I114">
        <v>5316173.03</v>
      </c>
      <c r="J114">
        <v>1227700.76</v>
      </c>
      <c r="X114" s="38">
        <f t="shared" si="11"/>
        <v>100</v>
      </c>
      <c r="Y114" s="38">
        <f t="shared" si="11"/>
        <v>100</v>
      </c>
      <c r="Z114" s="38">
        <f t="shared" si="12"/>
        <v>-0.79999999981373549</v>
      </c>
      <c r="AA114" s="38">
        <f t="shared" si="12"/>
        <v>-0.21999999997206032</v>
      </c>
      <c r="AB114" s="9"/>
      <c r="AC114" s="39">
        <f t="shared" si="13"/>
        <v>0.82969874032065594</v>
      </c>
      <c r="AD114" s="9"/>
    </row>
    <row r="115" spans="1:30" x14ac:dyDescent="0.25">
      <c r="A115">
        <v>124</v>
      </c>
      <c r="B115">
        <v>5316173.83</v>
      </c>
      <c r="C115">
        <v>1227696.28</v>
      </c>
      <c r="E115" s="1"/>
      <c r="F115" s="1"/>
      <c r="G115" s="1"/>
      <c r="H115">
        <v>124</v>
      </c>
      <c r="I115">
        <v>5316174.07</v>
      </c>
      <c r="J115">
        <v>1227696.25</v>
      </c>
      <c r="X115" s="38">
        <f t="shared" si="11"/>
        <v>0.24000000022351742</v>
      </c>
      <c r="Y115" s="38">
        <f t="shared" si="11"/>
        <v>-3.0000000027939677E-2</v>
      </c>
      <c r="Z115" s="38">
        <f t="shared" si="12"/>
        <v>100</v>
      </c>
      <c r="AA115" s="38">
        <f t="shared" si="12"/>
        <v>100</v>
      </c>
      <c r="AB115" s="9"/>
      <c r="AC115" s="39">
        <f t="shared" si="13"/>
        <v>0.24186773267421335</v>
      </c>
      <c r="AD115" s="9"/>
    </row>
    <row r="116" spans="1:30" x14ac:dyDescent="0.25">
      <c r="A116">
        <v>125</v>
      </c>
      <c r="B116">
        <v>5316173.83</v>
      </c>
      <c r="C116">
        <v>1227691.58</v>
      </c>
      <c r="E116" s="1"/>
      <c r="F116" s="1"/>
      <c r="G116" s="1"/>
      <c r="H116">
        <v>125</v>
      </c>
      <c r="I116">
        <v>5316173.7300000004</v>
      </c>
      <c r="J116">
        <v>1227691.47</v>
      </c>
      <c r="X116" s="38">
        <f t="shared" si="11"/>
        <v>-9.999999962747097E-2</v>
      </c>
      <c r="Y116" s="38">
        <f t="shared" si="11"/>
        <v>-0.11000000010244548</v>
      </c>
      <c r="Z116" s="38">
        <f t="shared" si="12"/>
        <v>100</v>
      </c>
      <c r="AA116" s="38">
        <f t="shared" si="12"/>
        <v>100</v>
      </c>
      <c r="AB116" s="9"/>
      <c r="AC116" s="39">
        <f t="shared" si="13"/>
        <v>0.14866068729839843</v>
      </c>
      <c r="AD116" s="9"/>
    </row>
    <row r="117" spans="1:30" x14ac:dyDescent="0.25">
      <c r="A117">
        <v>126</v>
      </c>
      <c r="B117">
        <v>5316173.83</v>
      </c>
      <c r="C117">
        <v>1227686.8799999999</v>
      </c>
      <c r="E117" s="1"/>
      <c r="F117" s="1"/>
      <c r="G117" s="1"/>
      <c r="H117">
        <v>126</v>
      </c>
      <c r="I117">
        <v>5316173.53</v>
      </c>
      <c r="J117">
        <v>1227686.8799999999</v>
      </c>
      <c r="X117" s="38">
        <f t="shared" si="11"/>
        <v>-0.29999999981373549</v>
      </c>
      <c r="Y117" s="38">
        <f t="shared" si="11"/>
        <v>0</v>
      </c>
      <c r="Z117" s="38">
        <f t="shared" si="12"/>
        <v>100</v>
      </c>
      <c r="AA117" s="38">
        <f t="shared" si="12"/>
        <v>100</v>
      </c>
      <c r="AB117" s="9"/>
      <c r="AC117" s="39">
        <f t="shared" si="13"/>
        <v>0.29999999981373549</v>
      </c>
      <c r="AD117" s="9"/>
    </row>
    <row r="118" spans="1:30" x14ac:dyDescent="0.25">
      <c r="A118">
        <v>127</v>
      </c>
      <c r="B118">
        <v>5316173.83</v>
      </c>
      <c r="C118">
        <v>1227682.18</v>
      </c>
      <c r="E118" s="1"/>
      <c r="F118" s="1"/>
      <c r="G118" s="1"/>
      <c r="H118">
        <v>127</v>
      </c>
      <c r="I118">
        <v>5316173.9400000004</v>
      </c>
      <c r="J118">
        <v>1227681.97</v>
      </c>
      <c r="X118" s="38">
        <f t="shared" si="11"/>
        <v>0.11000000033527613</v>
      </c>
      <c r="Y118" s="38">
        <f t="shared" si="11"/>
        <v>-0.2099999999627471</v>
      </c>
      <c r="Z118" s="38">
        <f t="shared" si="12"/>
        <v>100</v>
      </c>
      <c r="AA118" s="38">
        <f t="shared" si="12"/>
        <v>100</v>
      </c>
      <c r="AB118" s="9"/>
      <c r="AC118" s="39">
        <f t="shared" si="13"/>
        <v>0.23706539194516463</v>
      </c>
      <c r="AD118" s="9"/>
    </row>
    <row r="119" spans="1:30" x14ac:dyDescent="0.25">
      <c r="A119">
        <v>128</v>
      </c>
      <c r="B119">
        <v>5316173.83</v>
      </c>
      <c r="C119">
        <v>1227677.48</v>
      </c>
      <c r="E119" s="1"/>
      <c r="F119" s="1"/>
      <c r="G119" s="1"/>
      <c r="H119">
        <v>128</v>
      </c>
      <c r="I119">
        <v>5316173.28</v>
      </c>
      <c r="J119">
        <v>1227677.58</v>
      </c>
      <c r="X119" s="38">
        <f t="shared" si="11"/>
        <v>100</v>
      </c>
      <c r="Y119" s="38">
        <f t="shared" si="11"/>
        <v>100</v>
      </c>
      <c r="Z119" s="38">
        <f t="shared" si="12"/>
        <v>-0.54999999981373549</v>
      </c>
      <c r="AA119" s="38">
        <f t="shared" si="12"/>
        <v>0.10000000009313226</v>
      </c>
      <c r="AB119" s="9"/>
      <c r="AC119" s="39">
        <f t="shared" si="13"/>
        <v>0.55901699420834738</v>
      </c>
      <c r="AD119" s="9"/>
    </row>
    <row r="120" spans="1:30" x14ac:dyDescent="0.25">
      <c r="A120">
        <v>129</v>
      </c>
      <c r="B120">
        <v>5316173.83</v>
      </c>
      <c r="C120">
        <v>1227672.78</v>
      </c>
      <c r="E120" s="1"/>
      <c r="F120" s="1"/>
      <c r="G120" s="1"/>
      <c r="H120">
        <v>129</v>
      </c>
      <c r="I120">
        <v>5316173.91</v>
      </c>
      <c r="J120">
        <v>1227672.72</v>
      </c>
      <c r="X120" s="38">
        <f t="shared" si="11"/>
        <v>8.0000000074505806E-2</v>
      </c>
      <c r="Y120" s="38">
        <f t="shared" si="11"/>
        <v>-6.0000000055879354E-2</v>
      </c>
      <c r="Z120" s="38">
        <f t="shared" si="12"/>
        <v>100</v>
      </c>
      <c r="AA120" s="38">
        <f t="shared" si="12"/>
        <v>100</v>
      </c>
      <c r="AB120" s="9"/>
      <c r="AC120" s="39">
        <f t="shared" si="13"/>
        <v>0.10000000009313226</v>
      </c>
      <c r="AD120" s="9"/>
    </row>
    <row r="121" spans="1:30" x14ac:dyDescent="0.25">
      <c r="A121">
        <v>130</v>
      </c>
      <c r="B121">
        <v>5316173.83</v>
      </c>
      <c r="C121">
        <v>1227668.08</v>
      </c>
      <c r="E121" s="1"/>
      <c r="F121" s="1"/>
      <c r="G121" s="1"/>
      <c r="H121">
        <v>130</v>
      </c>
      <c r="I121">
        <v>5316174.21</v>
      </c>
      <c r="J121">
        <v>1227669.02</v>
      </c>
      <c r="X121" s="38">
        <f t="shared" si="11"/>
        <v>100</v>
      </c>
      <c r="Y121" s="38">
        <f t="shared" si="11"/>
        <v>100</v>
      </c>
      <c r="Z121" s="38">
        <f t="shared" si="12"/>
        <v>0.37999999988824129</v>
      </c>
      <c r="AA121" s="38">
        <f t="shared" si="12"/>
        <v>0.93999999994412065</v>
      </c>
      <c r="AB121" s="9"/>
      <c r="AC121" s="39">
        <f t="shared" si="13"/>
        <v>1.0139033483572337</v>
      </c>
      <c r="AD121" s="9"/>
    </row>
    <row r="122" spans="1:30" x14ac:dyDescent="0.25">
      <c r="A122">
        <v>131</v>
      </c>
      <c r="B122">
        <v>5316173.83</v>
      </c>
      <c r="C122">
        <v>1227663.3799999999</v>
      </c>
      <c r="E122" s="1"/>
      <c r="F122" s="1"/>
      <c r="G122" s="1"/>
      <c r="H122">
        <v>131</v>
      </c>
      <c r="I122">
        <v>5316174.6399999997</v>
      </c>
      <c r="J122">
        <v>1227662.0900000001</v>
      </c>
      <c r="X122" s="38">
        <f t="shared" si="11"/>
        <v>100</v>
      </c>
      <c r="Y122" s="38">
        <f t="shared" si="11"/>
        <v>100</v>
      </c>
      <c r="Z122" s="38">
        <f t="shared" si="12"/>
        <v>0.80999999959021807</v>
      </c>
      <c r="AA122" s="38">
        <f t="shared" si="12"/>
        <v>-1.2899999998044223</v>
      </c>
      <c r="AB122" s="9"/>
      <c r="AC122" s="39">
        <f t="shared" si="13"/>
        <v>1.5232202725907906</v>
      </c>
      <c r="AD122" s="9"/>
    </row>
    <row r="123" spans="1:30" x14ac:dyDescent="0.25">
      <c r="A123">
        <v>132</v>
      </c>
      <c r="B123">
        <v>5316173.83</v>
      </c>
      <c r="C123">
        <v>1227658.68</v>
      </c>
      <c r="E123" s="1"/>
      <c r="F123" s="1"/>
      <c r="G123" s="1"/>
      <c r="H123">
        <v>132</v>
      </c>
      <c r="I123">
        <v>5316173.8499999996</v>
      </c>
      <c r="J123">
        <v>1227658.3400000001</v>
      </c>
      <c r="X123" s="38">
        <f t="shared" si="11"/>
        <v>100</v>
      </c>
      <c r="Y123" s="38">
        <f t="shared" si="11"/>
        <v>100</v>
      </c>
      <c r="Z123" s="38">
        <f t="shared" si="12"/>
        <v>1.9999999552965164E-2</v>
      </c>
      <c r="AA123" s="38">
        <f t="shared" si="12"/>
        <v>-0.33999999985098839</v>
      </c>
      <c r="AB123" s="9"/>
      <c r="AC123" s="39">
        <f t="shared" si="13"/>
        <v>0.34058772714352276</v>
      </c>
      <c r="AD123" s="9"/>
    </row>
    <row r="124" spans="1:30" x14ac:dyDescent="0.25">
      <c r="A124">
        <v>133</v>
      </c>
      <c r="B124">
        <v>5316174.1399999997</v>
      </c>
      <c r="C124">
        <v>1227654.6299999999</v>
      </c>
      <c r="E124" s="1"/>
      <c r="F124" s="1"/>
      <c r="G124" s="1"/>
      <c r="H124">
        <v>133</v>
      </c>
      <c r="I124">
        <v>5316173.88</v>
      </c>
      <c r="J124">
        <v>1227653.8700000001</v>
      </c>
      <c r="X124" s="38">
        <f t="shared" si="11"/>
        <v>100</v>
      </c>
      <c r="Y124" s="38">
        <f t="shared" si="11"/>
        <v>100</v>
      </c>
      <c r="Z124" s="38">
        <f t="shared" si="12"/>
        <v>-0.25999999977648258</v>
      </c>
      <c r="AA124" s="38">
        <f t="shared" si="12"/>
        <v>-0.75999999977648258</v>
      </c>
      <c r="AB124" s="9"/>
      <c r="AC124" s="39">
        <f t="shared" si="13"/>
        <v>0.8032434248370941</v>
      </c>
      <c r="AD124" s="9"/>
    </row>
    <row r="125" spans="1:30" ht="17.45" customHeight="1" x14ac:dyDescent="0.25">
      <c r="A125">
        <v>134</v>
      </c>
      <c r="B125">
        <v>5316174.4000000004</v>
      </c>
      <c r="C125">
        <v>1227650.6299999999</v>
      </c>
      <c r="H125">
        <v>134</v>
      </c>
      <c r="I125">
        <v>5316173.8099999996</v>
      </c>
      <c r="J125">
        <v>1227650.26</v>
      </c>
      <c r="X125" s="38">
        <f t="shared" ref="X125:Y158" si="14">IF(AND(B125&lt;&gt;"",$AC125&lt;$AD$5),I125-B125,100)</f>
        <v>100</v>
      </c>
      <c r="Y125" s="38">
        <f t="shared" si="14"/>
        <v>100</v>
      </c>
      <c r="Z125" s="38">
        <f t="shared" ref="Z125:AA158" si="15">IF(AND(B125&lt;&gt;"",$AC125&gt;$AD$5),I125-B125,100)</f>
        <v>-0.59000000078231096</v>
      </c>
      <c r="AA125" s="38">
        <f t="shared" si="15"/>
        <v>-0.36999999987892807</v>
      </c>
      <c r="AB125" s="9"/>
      <c r="AC125" s="39">
        <f t="shared" si="13"/>
        <v>0.69641941445764832</v>
      </c>
      <c r="AD125" s="9"/>
    </row>
    <row r="126" spans="1:30" x14ac:dyDescent="0.25">
      <c r="A126">
        <v>135</v>
      </c>
      <c r="B126">
        <v>5316177.6900000004</v>
      </c>
      <c r="C126">
        <v>1227648.5</v>
      </c>
      <c r="H126">
        <v>135</v>
      </c>
      <c r="I126">
        <v>5316178.24</v>
      </c>
      <c r="J126">
        <v>1227648.51</v>
      </c>
      <c r="X126" s="38">
        <f t="shared" si="14"/>
        <v>100</v>
      </c>
      <c r="Y126" s="38">
        <f t="shared" si="14"/>
        <v>100</v>
      </c>
      <c r="Z126" s="38">
        <f t="shared" si="15"/>
        <v>0.54999999981373549</v>
      </c>
      <c r="AA126" s="38">
        <f t="shared" si="15"/>
        <v>1.0000000009313226E-2</v>
      </c>
      <c r="AB126" s="9"/>
      <c r="AC126" s="39">
        <f t="shared" si="13"/>
        <v>0.55009090139293826</v>
      </c>
      <c r="AD126" s="9"/>
    </row>
    <row r="127" spans="1:30" x14ac:dyDescent="0.25">
      <c r="A127">
        <v>136</v>
      </c>
      <c r="B127">
        <v>5316177.93</v>
      </c>
      <c r="C127">
        <v>1227651.6299999999</v>
      </c>
      <c r="H127">
        <v>136</v>
      </c>
      <c r="I127">
        <v>5316178.57</v>
      </c>
      <c r="J127">
        <v>1227652.33</v>
      </c>
      <c r="X127" s="38">
        <f t="shared" si="14"/>
        <v>100</v>
      </c>
      <c r="Y127" s="38">
        <f t="shared" si="14"/>
        <v>100</v>
      </c>
      <c r="Z127" s="38">
        <f t="shared" si="15"/>
        <v>0.64000000059604645</v>
      </c>
      <c r="AA127" s="38">
        <f t="shared" si="15"/>
        <v>0.70000000018626451</v>
      </c>
      <c r="AB127" s="9"/>
      <c r="AC127" s="39">
        <f t="shared" si="13"/>
        <v>0.94847245665001245</v>
      </c>
      <c r="AD127" s="9"/>
    </row>
    <row r="128" spans="1:30" x14ac:dyDescent="0.25">
      <c r="A128">
        <v>137</v>
      </c>
      <c r="B128">
        <v>5316177.93</v>
      </c>
      <c r="C128">
        <v>1227656.33</v>
      </c>
      <c r="H128">
        <v>137</v>
      </c>
      <c r="I128">
        <v>5316178.38</v>
      </c>
      <c r="J128">
        <v>1227656.95</v>
      </c>
      <c r="X128" s="38">
        <f t="shared" si="14"/>
        <v>100</v>
      </c>
      <c r="Y128" s="38">
        <f t="shared" si="14"/>
        <v>100</v>
      </c>
      <c r="Z128" s="38">
        <f t="shared" si="15"/>
        <v>0.45000000018626451</v>
      </c>
      <c r="AA128" s="38">
        <f t="shared" si="15"/>
        <v>0.61999999987892807</v>
      </c>
      <c r="AB128" s="9"/>
      <c r="AC128" s="39">
        <f t="shared" si="13"/>
        <v>0.76609398902321957</v>
      </c>
      <c r="AD128" s="9"/>
    </row>
    <row r="129" spans="1:30" x14ac:dyDescent="0.25">
      <c r="A129">
        <v>138</v>
      </c>
      <c r="B129">
        <v>5316177.93</v>
      </c>
      <c r="C129">
        <v>1227661.03</v>
      </c>
      <c r="H129">
        <v>138</v>
      </c>
      <c r="I129">
        <v>5316178.43</v>
      </c>
      <c r="J129">
        <v>1227661.23</v>
      </c>
      <c r="X129" s="38">
        <f t="shared" si="14"/>
        <v>100</v>
      </c>
      <c r="Y129" s="38">
        <f t="shared" si="14"/>
        <v>100</v>
      </c>
      <c r="Z129" s="38">
        <f t="shared" si="15"/>
        <v>0.5</v>
      </c>
      <c r="AA129" s="38">
        <f t="shared" si="15"/>
        <v>0.19999999995343387</v>
      </c>
      <c r="AB129" s="9"/>
      <c r="AC129" s="39">
        <f t="shared" si="13"/>
        <v>0.53851648069615621</v>
      </c>
      <c r="AD129" s="9"/>
    </row>
    <row r="130" spans="1:30" x14ac:dyDescent="0.25">
      <c r="A130">
        <v>139</v>
      </c>
      <c r="B130">
        <v>5316177.93</v>
      </c>
      <c r="C130">
        <v>1227665.73</v>
      </c>
      <c r="H130">
        <v>139</v>
      </c>
      <c r="I130">
        <v>5316177.43</v>
      </c>
      <c r="J130">
        <v>1227665.3999999999</v>
      </c>
      <c r="X130" s="38">
        <f t="shared" si="14"/>
        <v>100</v>
      </c>
      <c r="Y130" s="38">
        <f t="shared" si="14"/>
        <v>100</v>
      </c>
      <c r="Z130" s="38">
        <f t="shared" si="15"/>
        <v>-0.5</v>
      </c>
      <c r="AA130" s="38">
        <f t="shared" si="15"/>
        <v>-0.33000000007450581</v>
      </c>
      <c r="AB130" s="9"/>
      <c r="AC130" s="39">
        <f t="shared" si="13"/>
        <v>0.59908263207104728</v>
      </c>
      <c r="AD130" s="9"/>
    </row>
    <row r="131" spans="1:30" x14ac:dyDescent="0.25">
      <c r="A131">
        <v>140</v>
      </c>
      <c r="B131">
        <v>5316177.93</v>
      </c>
      <c r="C131">
        <v>1227670.43</v>
      </c>
      <c r="H131">
        <v>140</v>
      </c>
      <c r="I131">
        <v>5316178.3499999996</v>
      </c>
      <c r="J131">
        <v>1227670.2</v>
      </c>
      <c r="X131" s="38">
        <f t="shared" si="14"/>
        <v>100</v>
      </c>
      <c r="Y131" s="38">
        <f t="shared" si="14"/>
        <v>100</v>
      </c>
      <c r="Z131" s="38">
        <f t="shared" si="15"/>
        <v>0.41999999992549419</v>
      </c>
      <c r="AA131" s="38">
        <f t="shared" si="15"/>
        <v>-0.22999999998137355</v>
      </c>
      <c r="AB131" s="9"/>
      <c r="AC131" s="39">
        <f t="shared" si="13"/>
        <v>0.47885279567821981</v>
      </c>
      <c r="AD131" s="9"/>
    </row>
    <row r="132" spans="1:30" x14ac:dyDescent="0.25">
      <c r="A132">
        <v>141</v>
      </c>
      <c r="B132">
        <v>5316177.93</v>
      </c>
      <c r="C132">
        <v>1227675.1299999999</v>
      </c>
      <c r="H132">
        <v>141</v>
      </c>
      <c r="I132">
        <v>5316178.07</v>
      </c>
      <c r="J132">
        <v>1227674.78</v>
      </c>
      <c r="X132" s="38">
        <f t="shared" si="14"/>
        <v>100</v>
      </c>
      <c r="Y132" s="38">
        <f t="shared" si="14"/>
        <v>100</v>
      </c>
      <c r="Z132" s="38">
        <f t="shared" si="15"/>
        <v>0.14000000059604645</v>
      </c>
      <c r="AA132" s="38">
        <f t="shared" si="15"/>
        <v>-0.34999999986030161</v>
      </c>
      <c r="AB132" s="9"/>
      <c r="AC132" s="39">
        <f t="shared" si="13"/>
        <v>0.37696153659107468</v>
      </c>
      <c r="AD132" s="9"/>
    </row>
    <row r="133" spans="1:30" x14ac:dyDescent="0.25">
      <c r="A133">
        <v>142</v>
      </c>
      <c r="B133">
        <v>5316177.93</v>
      </c>
      <c r="C133">
        <v>1227679.83</v>
      </c>
      <c r="H133">
        <v>142</v>
      </c>
      <c r="I133">
        <v>5316176.82</v>
      </c>
      <c r="J133">
        <v>1227679.95</v>
      </c>
      <c r="X133" s="38">
        <f t="shared" si="14"/>
        <v>100</v>
      </c>
      <c r="Y133" s="38">
        <f t="shared" si="14"/>
        <v>100</v>
      </c>
      <c r="Z133" s="38">
        <f t="shared" si="15"/>
        <v>-1.1099999994039536</v>
      </c>
      <c r="AA133" s="38">
        <f t="shared" si="15"/>
        <v>0.11999999987892807</v>
      </c>
      <c r="AB133" s="9"/>
      <c r="AC133" s="39">
        <f t="shared" si="13"/>
        <v>1.1164676433500971</v>
      </c>
      <c r="AD133" s="9"/>
    </row>
    <row r="134" spans="1:30" x14ac:dyDescent="0.25">
      <c r="A134">
        <v>143</v>
      </c>
      <c r="B134">
        <v>5316177.93</v>
      </c>
      <c r="C134">
        <v>1227684.53</v>
      </c>
      <c r="H134">
        <v>143</v>
      </c>
      <c r="I134">
        <v>5316178.3</v>
      </c>
      <c r="J134">
        <v>1227684.6499999999</v>
      </c>
      <c r="X134" s="38">
        <f t="shared" si="14"/>
        <v>100</v>
      </c>
      <c r="Y134" s="38">
        <f t="shared" si="14"/>
        <v>100</v>
      </c>
      <c r="Z134" s="38">
        <f t="shared" si="15"/>
        <v>0.37000000011175871</v>
      </c>
      <c r="AA134" s="38">
        <f t="shared" si="15"/>
        <v>0.11999999987892807</v>
      </c>
      <c r="AB134" s="9"/>
      <c r="AC134" s="39">
        <f t="shared" ref="AC134:AC197" si="16">IF(B134="","",(SQRT((I134-B134)^2+(J134-C134)^2)))</f>
        <v>0.38897300684449065</v>
      </c>
      <c r="AD134" s="9"/>
    </row>
    <row r="135" spans="1:30" x14ac:dyDescent="0.25">
      <c r="A135">
        <v>144</v>
      </c>
      <c r="B135">
        <v>5316177.93</v>
      </c>
      <c r="C135">
        <v>1227689.23</v>
      </c>
      <c r="H135">
        <v>144</v>
      </c>
      <c r="I135">
        <v>5316178.0599999996</v>
      </c>
      <c r="J135">
        <v>1227689.18</v>
      </c>
      <c r="X135" s="38">
        <f t="shared" si="14"/>
        <v>0.12999999988824129</v>
      </c>
      <c r="Y135" s="38">
        <f t="shared" si="14"/>
        <v>-5.0000000046566129E-2</v>
      </c>
      <c r="Z135" s="38">
        <f t="shared" si="15"/>
        <v>100</v>
      </c>
      <c r="AA135" s="38">
        <f t="shared" si="15"/>
        <v>100</v>
      </c>
      <c r="AB135" s="9"/>
      <c r="AC135" s="39">
        <f t="shared" si="16"/>
        <v>0.13928388268424796</v>
      </c>
      <c r="AD135" s="9"/>
    </row>
    <row r="136" spans="1:30" x14ac:dyDescent="0.25">
      <c r="A136">
        <v>145</v>
      </c>
      <c r="B136">
        <v>5316177.93</v>
      </c>
      <c r="C136">
        <v>1227693.93</v>
      </c>
      <c r="H136">
        <v>145</v>
      </c>
      <c r="I136">
        <v>5316178.22</v>
      </c>
      <c r="J136">
        <v>1227693.8999999999</v>
      </c>
      <c r="X136" s="38">
        <f t="shared" si="14"/>
        <v>0.2900000000372529</v>
      </c>
      <c r="Y136" s="38">
        <f t="shared" si="14"/>
        <v>-3.0000000027939677E-2</v>
      </c>
      <c r="Z136" s="38">
        <f t="shared" si="15"/>
        <v>100</v>
      </c>
      <c r="AA136" s="38">
        <f t="shared" si="15"/>
        <v>100</v>
      </c>
      <c r="AB136" s="9"/>
      <c r="AC136" s="39">
        <f t="shared" si="16"/>
        <v>0.29154759478219516</v>
      </c>
      <c r="AD136" s="9"/>
    </row>
    <row r="137" spans="1:30" x14ac:dyDescent="0.25">
      <c r="A137">
        <v>146</v>
      </c>
      <c r="B137">
        <v>5316177.93</v>
      </c>
      <c r="C137">
        <v>1227698.6299999999</v>
      </c>
      <c r="H137">
        <v>146</v>
      </c>
      <c r="I137">
        <v>5316178.25</v>
      </c>
      <c r="J137">
        <v>1227698.8700000001</v>
      </c>
      <c r="X137" s="38">
        <f t="shared" si="14"/>
        <v>100</v>
      </c>
      <c r="Y137" s="38">
        <f t="shared" si="14"/>
        <v>100</v>
      </c>
      <c r="Z137" s="38">
        <f t="shared" si="15"/>
        <v>0.32000000029802322</v>
      </c>
      <c r="AA137" s="38">
        <f t="shared" si="15"/>
        <v>0.24000000022351742</v>
      </c>
      <c r="AB137" s="9"/>
      <c r="AC137" s="39">
        <f t="shared" si="16"/>
        <v>0.40000000037252903</v>
      </c>
      <c r="AD137" s="9"/>
    </row>
    <row r="138" spans="1:30" x14ac:dyDescent="0.25">
      <c r="A138">
        <v>147</v>
      </c>
      <c r="B138">
        <v>5316177.93</v>
      </c>
      <c r="C138">
        <v>1227703.33</v>
      </c>
      <c r="H138">
        <v>147</v>
      </c>
      <c r="I138">
        <v>5316177.93</v>
      </c>
      <c r="J138">
        <v>1227704.3</v>
      </c>
      <c r="X138" s="38">
        <f t="shared" si="14"/>
        <v>100</v>
      </c>
      <c r="Y138" s="38">
        <f t="shared" si="14"/>
        <v>100</v>
      </c>
      <c r="Z138" s="38">
        <f t="shared" si="15"/>
        <v>0</v>
      </c>
      <c r="AA138" s="38">
        <f t="shared" si="15"/>
        <v>0.96999999997206032</v>
      </c>
      <c r="AB138" s="9"/>
      <c r="AC138" s="39">
        <f t="shared" si="16"/>
        <v>0.96999999997206032</v>
      </c>
      <c r="AD138" s="9"/>
    </row>
    <row r="139" spans="1:30" x14ac:dyDescent="0.25">
      <c r="A139">
        <v>148</v>
      </c>
      <c r="B139">
        <v>5316177.93</v>
      </c>
      <c r="C139">
        <v>1227708.03</v>
      </c>
      <c r="H139">
        <v>148</v>
      </c>
      <c r="I139">
        <v>5316178.04</v>
      </c>
      <c r="J139">
        <v>1227708.7</v>
      </c>
      <c r="X139" s="38">
        <f t="shared" si="14"/>
        <v>100</v>
      </c>
      <c r="Y139" s="38">
        <f t="shared" si="14"/>
        <v>100</v>
      </c>
      <c r="Z139" s="38">
        <f t="shared" si="15"/>
        <v>0.11000000033527613</v>
      </c>
      <c r="AA139" s="38">
        <f t="shared" si="15"/>
        <v>0.66999999992549419</v>
      </c>
      <c r="AB139" s="9"/>
      <c r="AC139" s="39">
        <f t="shared" si="16"/>
        <v>0.67896980785151484</v>
      </c>
      <c r="AD139" s="9"/>
    </row>
    <row r="140" spans="1:30" x14ac:dyDescent="0.25">
      <c r="A140">
        <v>149</v>
      </c>
      <c r="B140">
        <v>5316177.93</v>
      </c>
      <c r="C140">
        <v>1227712.73</v>
      </c>
      <c r="H140">
        <v>149</v>
      </c>
      <c r="I140">
        <v>5316178.12</v>
      </c>
      <c r="J140">
        <v>1227713.21</v>
      </c>
      <c r="X140" s="38">
        <f t="shared" si="14"/>
        <v>100</v>
      </c>
      <c r="Y140" s="38">
        <f t="shared" si="14"/>
        <v>100</v>
      </c>
      <c r="Z140" s="38">
        <f t="shared" si="15"/>
        <v>0.19000000040978193</v>
      </c>
      <c r="AA140" s="38">
        <f t="shared" si="15"/>
        <v>0.47999999998137355</v>
      </c>
      <c r="AB140" s="9"/>
      <c r="AC140" s="39">
        <f t="shared" si="16"/>
        <v>0.51623638009911288</v>
      </c>
      <c r="AD140" s="9"/>
    </row>
    <row r="141" spans="1:30" x14ac:dyDescent="0.25">
      <c r="A141">
        <v>150</v>
      </c>
      <c r="B141">
        <v>5316177.93</v>
      </c>
      <c r="C141">
        <v>1227717.43</v>
      </c>
      <c r="H141">
        <v>150</v>
      </c>
      <c r="I141">
        <v>5316178.08</v>
      </c>
      <c r="J141">
        <v>1227717.8999999999</v>
      </c>
      <c r="X141" s="38">
        <f t="shared" si="14"/>
        <v>100</v>
      </c>
      <c r="Y141" s="38">
        <f t="shared" si="14"/>
        <v>100</v>
      </c>
      <c r="Z141" s="38">
        <f t="shared" si="15"/>
        <v>0.15000000037252903</v>
      </c>
      <c r="AA141" s="38">
        <f t="shared" si="15"/>
        <v>0.46999999997206032</v>
      </c>
      <c r="AB141" s="9"/>
      <c r="AC141" s="39">
        <f t="shared" si="16"/>
        <v>0.49335585542840721</v>
      </c>
      <c r="AD141" s="9"/>
    </row>
    <row r="142" spans="1:30" x14ac:dyDescent="0.25">
      <c r="A142">
        <v>151</v>
      </c>
      <c r="B142">
        <v>5316177.93</v>
      </c>
      <c r="C142">
        <v>1227722.1299999999</v>
      </c>
      <c r="H142">
        <v>151</v>
      </c>
      <c r="I142">
        <v>5316178.0599999996</v>
      </c>
      <c r="J142">
        <v>1227722.67</v>
      </c>
      <c r="X142" s="38">
        <f t="shared" si="14"/>
        <v>100</v>
      </c>
      <c r="Y142" s="38">
        <f t="shared" si="14"/>
        <v>100</v>
      </c>
      <c r="Z142" s="38">
        <f t="shared" si="15"/>
        <v>0.12999999988824129</v>
      </c>
      <c r="AA142" s="38">
        <f t="shared" si="15"/>
        <v>0.5400000000372529</v>
      </c>
      <c r="AB142" s="9"/>
      <c r="AC142" s="39">
        <f t="shared" si="16"/>
        <v>0.55542776309001318</v>
      </c>
      <c r="AD142" s="9"/>
    </row>
    <row r="143" spans="1:30" x14ac:dyDescent="0.25">
      <c r="A143">
        <v>152</v>
      </c>
      <c r="B143">
        <v>5316177.93</v>
      </c>
      <c r="C143">
        <v>1227726.83</v>
      </c>
      <c r="H143">
        <v>152</v>
      </c>
      <c r="I143">
        <v>5316177.83</v>
      </c>
      <c r="J143">
        <v>1227727.22</v>
      </c>
      <c r="X143" s="38">
        <f t="shared" si="14"/>
        <v>100</v>
      </c>
      <c r="Y143" s="38">
        <f t="shared" si="14"/>
        <v>100</v>
      </c>
      <c r="Z143" s="38">
        <f t="shared" si="15"/>
        <v>-9.999999962747097E-2</v>
      </c>
      <c r="AA143" s="38">
        <f t="shared" si="15"/>
        <v>0.38999999989755452</v>
      </c>
      <c r="AB143" s="9"/>
      <c r="AC143" s="39">
        <f t="shared" si="16"/>
        <v>0.40261644259218565</v>
      </c>
      <c r="AD143" s="9"/>
    </row>
    <row r="144" spans="1:30" x14ac:dyDescent="0.25">
      <c r="A144">
        <v>153</v>
      </c>
      <c r="B144">
        <v>5316177.93</v>
      </c>
      <c r="C144">
        <v>1227731.53</v>
      </c>
      <c r="H144">
        <v>153</v>
      </c>
      <c r="I144">
        <v>5316177.74</v>
      </c>
      <c r="J144">
        <v>1227732.2</v>
      </c>
      <c r="X144" s="38">
        <f t="shared" si="14"/>
        <v>100</v>
      </c>
      <c r="Y144" s="38">
        <f t="shared" si="14"/>
        <v>100</v>
      </c>
      <c r="Z144" s="38">
        <f t="shared" si="15"/>
        <v>-0.18999999947845936</v>
      </c>
      <c r="AA144" s="38">
        <f t="shared" si="15"/>
        <v>0.66999999992549419</v>
      </c>
      <c r="AB144" s="9"/>
      <c r="AC144" s="39">
        <f t="shared" si="16"/>
        <v>0.69641941364523774</v>
      </c>
      <c r="AD144" s="9"/>
    </row>
    <row r="145" spans="1:30" x14ac:dyDescent="0.25">
      <c r="A145">
        <v>154</v>
      </c>
      <c r="B145">
        <v>5316177.93</v>
      </c>
      <c r="C145">
        <v>1227736.23</v>
      </c>
      <c r="H145">
        <v>154</v>
      </c>
      <c r="I145">
        <v>5316178.17</v>
      </c>
      <c r="J145">
        <v>1227737.42</v>
      </c>
      <c r="X145" s="38">
        <f t="shared" si="14"/>
        <v>100</v>
      </c>
      <c r="Y145" s="38">
        <f t="shared" si="14"/>
        <v>100</v>
      </c>
      <c r="Z145" s="38">
        <f t="shared" si="15"/>
        <v>0.24000000022351742</v>
      </c>
      <c r="AA145" s="38">
        <f t="shared" si="15"/>
        <v>1.1899999999441206</v>
      </c>
      <c r="AB145" s="9"/>
      <c r="AC145" s="39">
        <f t="shared" si="16"/>
        <v>1.2139604606305328</v>
      </c>
      <c r="AD145" s="9"/>
    </row>
    <row r="146" spans="1:30" x14ac:dyDescent="0.25">
      <c r="A146">
        <v>155</v>
      </c>
      <c r="B146">
        <v>5316177.93</v>
      </c>
      <c r="C146">
        <v>1227740.25</v>
      </c>
      <c r="H146">
        <v>155</v>
      </c>
      <c r="I146">
        <v>5316178.03</v>
      </c>
      <c r="J146">
        <v>1227740.0900000001</v>
      </c>
      <c r="X146" s="38">
        <f t="shared" si="14"/>
        <v>0.10000000055879354</v>
      </c>
      <c r="Y146" s="38">
        <f t="shared" si="14"/>
        <v>-0.15999999991618097</v>
      </c>
      <c r="Z146" s="38">
        <f t="shared" si="15"/>
        <v>100</v>
      </c>
      <c r="AA146" s="38">
        <f t="shared" si="15"/>
        <v>100</v>
      </c>
      <c r="AB146" s="9"/>
      <c r="AC146" s="39">
        <f t="shared" si="16"/>
        <v>0.18867962286621368</v>
      </c>
      <c r="AD146" s="9"/>
    </row>
    <row r="147" spans="1:30" x14ac:dyDescent="0.25">
      <c r="A147">
        <v>156</v>
      </c>
      <c r="B147">
        <v>5316182.03</v>
      </c>
      <c r="C147">
        <v>1227738.58</v>
      </c>
      <c r="H147">
        <v>156</v>
      </c>
      <c r="I147">
        <v>5316181.93</v>
      </c>
      <c r="J147">
        <v>1227738.46</v>
      </c>
      <c r="X147" s="38">
        <f t="shared" si="14"/>
        <v>-0.10000000055879354</v>
      </c>
      <c r="Y147" s="38">
        <f t="shared" si="14"/>
        <v>-0.12000000011175871</v>
      </c>
      <c r="Z147" s="38">
        <f t="shared" si="15"/>
        <v>100</v>
      </c>
      <c r="AA147" s="38">
        <f t="shared" si="15"/>
        <v>100</v>
      </c>
      <c r="AB147" s="9"/>
      <c r="AC147" s="39">
        <f t="shared" si="16"/>
        <v>0.15620499396171941</v>
      </c>
      <c r="AD147" s="9"/>
    </row>
    <row r="148" spans="1:30" x14ac:dyDescent="0.25">
      <c r="A148">
        <v>157</v>
      </c>
      <c r="B148">
        <v>5316182.03</v>
      </c>
      <c r="C148">
        <v>1227733.8799999999</v>
      </c>
      <c r="H148">
        <v>157</v>
      </c>
      <c r="I148">
        <v>5316181.79</v>
      </c>
      <c r="J148">
        <v>1227733.22</v>
      </c>
      <c r="X148" s="38">
        <f t="shared" si="14"/>
        <v>100</v>
      </c>
      <c r="Y148" s="38">
        <f t="shared" si="14"/>
        <v>100</v>
      </c>
      <c r="Z148" s="38">
        <f t="shared" si="15"/>
        <v>-0.24000000022351742</v>
      </c>
      <c r="AA148" s="38">
        <f t="shared" si="15"/>
        <v>-0.65999999991618097</v>
      </c>
      <c r="AB148" s="9"/>
      <c r="AC148" s="39">
        <f t="shared" si="16"/>
        <v>0.70228199464079044</v>
      </c>
      <c r="AD148" s="9"/>
    </row>
    <row r="149" spans="1:30" x14ac:dyDescent="0.25">
      <c r="A149">
        <v>158</v>
      </c>
      <c r="B149">
        <v>5316182.03</v>
      </c>
      <c r="C149">
        <v>1227729.18</v>
      </c>
      <c r="H149">
        <v>158</v>
      </c>
      <c r="I149">
        <v>5316181.91</v>
      </c>
      <c r="J149">
        <v>1227728.8600000001</v>
      </c>
      <c r="X149" s="38">
        <f t="shared" si="14"/>
        <v>100</v>
      </c>
      <c r="Y149" s="38">
        <f t="shared" si="14"/>
        <v>100</v>
      </c>
      <c r="Z149" s="38">
        <f t="shared" si="15"/>
        <v>-0.12000000011175871</v>
      </c>
      <c r="AA149" s="38">
        <f t="shared" si="15"/>
        <v>-0.31999999983236194</v>
      </c>
      <c r="AB149" s="9"/>
      <c r="AC149" s="39">
        <f t="shared" si="16"/>
        <v>0.34176014969497798</v>
      </c>
      <c r="AD149" s="9"/>
    </row>
    <row r="150" spans="1:30" x14ac:dyDescent="0.25">
      <c r="A150">
        <v>159</v>
      </c>
      <c r="B150">
        <v>5316182.03</v>
      </c>
      <c r="C150">
        <v>1227724.48</v>
      </c>
      <c r="H150">
        <v>159</v>
      </c>
      <c r="I150">
        <v>5316181.72</v>
      </c>
      <c r="J150">
        <v>1227724.74</v>
      </c>
      <c r="X150" s="38">
        <f t="shared" si="14"/>
        <v>100</v>
      </c>
      <c r="Y150" s="38">
        <f t="shared" si="14"/>
        <v>100</v>
      </c>
      <c r="Z150" s="38">
        <f t="shared" si="15"/>
        <v>-0.31000000052154064</v>
      </c>
      <c r="AA150" s="38">
        <f t="shared" si="15"/>
        <v>0.26000000000931323</v>
      </c>
      <c r="AB150" s="9"/>
      <c r="AC150" s="39">
        <f t="shared" si="16"/>
        <v>0.40459856688846302</v>
      </c>
      <c r="AD150" s="9"/>
    </row>
    <row r="151" spans="1:30" x14ac:dyDescent="0.25">
      <c r="A151">
        <v>160</v>
      </c>
      <c r="B151">
        <v>5316182.03</v>
      </c>
      <c r="C151">
        <v>1227719.78</v>
      </c>
      <c r="H151">
        <v>160</v>
      </c>
      <c r="I151">
        <v>5316181.22</v>
      </c>
      <c r="J151">
        <v>1227719.6499999999</v>
      </c>
      <c r="X151" s="38">
        <f t="shared" si="14"/>
        <v>100</v>
      </c>
      <c r="Y151" s="38">
        <f t="shared" si="14"/>
        <v>100</v>
      </c>
      <c r="Z151" s="38">
        <f t="shared" si="15"/>
        <v>-0.81000000052154064</v>
      </c>
      <c r="AA151" s="38">
        <f t="shared" si="15"/>
        <v>-0.13000000012107193</v>
      </c>
      <c r="AB151" s="9"/>
      <c r="AC151" s="39">
        <f t="shared" si="16"/>
        <v>0.82036577261388388</v>
      </c>
      <c r="AD151" s="9"/>
    </row>
    <row r="152" spans="1:30" x14ac:dyDescent="0.25">
      <c r="A152">
        <v>161</v>
      </c>
      <c r="B152">
        <v>5316182.03</v>
      </c>
      <c r="C152">
        <v>1227715.08</v>
      </c>
      <c r="H152">
        <v>161</v>
      </c>
      <c r="I152">
        <v>5316182.04</v>
      </c>
      <c r="J152">
        <v>1227715.6499999999</v>
      </c>
      <c r="X152" s="38">
        <f t="shared" si="14"/>
        <v>100</v>
      </c>
      <c r="Y152" s="38">
        <f t="shared" si="14"/>
        <v>100</v>
      </c>
      <c r="Z152" s="38">
        <f t="shared" si="15"/>
        <v>9.9999997764825821E-3</v>
      </c>
      <c r="AA152" s="38">
        <f t="shared" si="15"/>
        <v>0.56999999983236194</v>
      </c>
      <c r="AB152" s="9"/>
      <c r="AC152" s="39">
        <f t="shared" si="16"/>
        <v>0.57008771237803602</v>
      </c>
      <c r="AD152" s="9"/>
    </row>
    <row r="153" spans="1:30" x14ac:dyDescent="0.25">
      <c r="A153">
        <v>162</v>
      </c>
      <c r="B153">
        <v>5316182.03</v>
      </c>
      <c r="C153">
        <v>1227710.3799999999</v>
      </c>
      <c r="H153">
        <v>162</v>
      </c>
      <c r="I153">
        <v>5316182.45</v>
      </c>
      <c r="J153">
        <v>1227710.22</v>
      </c>
      <c r="X153" s="38">
        <f t="shared" si="14"/>
        <v>100</v>
      </c>
      <c r="Y153" s="38">
        <f t="shared" si="14"/>
        <v>100</v>
      </c>
      <c r="Z153" s="38">
        <f t="shared" si="15"/>
        <v>0.41999999992549419</v>
      </c>
      <c r="AA153" s="38">
        <f t="shared" si="15"/>
        <v>-0.15999999991618097</v>
      </c>
      <c r="AB153" s="9"/>
      <c r="AC153" s="39">
        <f t="shared" si="16"/>
        <v>0.4494441009854207</v>
      </c>
    </row>
    <row r="154" spans="1:30" x14ac:dyDescent="0.25">
      <c r="A154">
        <v>163</v>
      </c>
      <c r="B154">
        <v>5316182.03</v>
      </c>
      <c r="C154">
        <v>1227705.68</v>
      </c>
      <c r="H154">
        <v>163</v>
      </c>
      <c r="I154">
        <v>5316182.46</v>
      </c>
      <c r="J154">
        <v>1227705.8700000001</v>
      </c>
      <c r="X154" s="38">
        <f t="shared" si="14"/>
        <v>100</v>
      </c>
      <c r="Y154" s="38">
        <f t="shared" si="14"/>
        <v>100</v>
      </c>
      <c r="Z154" s="38">
        <f t="shared" si="15"/>
        <v>0.42999999970197678</v>
      </c>
      <c r="AA154" s="38">
        <f t="shared" si="15"/>
        <v>0.19000000017695129</v>
      </c>
      <c r="AB154" s="9"/>
      <c r="AC154" s="39">
        <f t="shared" si="16"/>
        <v>0.47010637074064582</v>
      </c>
    </row>
    <row r="155" spans="1:30" x14ac:dyDescent="0.25">
      <c r="A155">
        <v>164</v>
      </c>
      <c r="B155">
        <v>5316182.03</v>
      </c>
      <c r="C155">
        <v>1227700.98</v>
      </c>
      <c r="H155">
        <v>164</v>
      </c>
      <c r="I155">
        <v>5316181.71</v>
      </c>
      <c r="J155">
        <v>1227701.21</v>
      </c>
      <c r="X155" s="38">
        <f t="shared" si="14"/>
        <v>100</v>
      </c>
      <c r="Y155" s="38">
        <f t="shared" si="14"/>
        <v>100</v>
      </c>
      <c r="Z155" s="38">
        <f t="shared" si="15"/>
        <v>-0.32000000029802322</v>
      </c>
      <c r="AA155" s="38">
        <f t="shared" si="15"/>
        <v>0.22999999998137355</v>
      </c>
      <c r="AB155" s="9"/>
      <c r="AC155" s="39">
        <f t="shared" si="16"/>
        <v>0.39408121013588898</v>
      </c>
    </row>
    <row r="156" spans="1:30" x14ac:dyDescent="0.25">
      <c r="A156">
        <v>165</v>
      </c>
      <c r="B156">
        <v>5316182.03</v>
      </c>
      <c r="C156">
        <v>1227696.28</v>
      </c>
      <c r="H156">
        <v>165</v>
      </c>
      <c r="I156">
        <v>5316182.1500000004</v>
      </c>
      <c r="J156">
        <v>1227696.51</v>
      </c>
      <c r="X156" s="38">
        <f t="shared" si="14"/>
        <v>0.12000000011175871</v>
      </c>
      <c r="Y156" s="38">
        <f t="shared" si="14"/>
        <v>0.22999999998137355</v>
      </c>
      <c r="Z156" s="38">
        <f t="shared" si="15"/>
        <v>100</v>
      </c>
      <c r="AA156" s="38">
        <f t="shared" si="15"/>
        <v>100</v>
      </c>
      <c r="AB156" s="9"/>
      <c r="AC156" s="39">
        <f t="shared" si="16"/>
        <v>0.25942243545663879</v>
      </c>
    </row>
    <row r="157" spans="1:30" x14ac:dyDescent="0.25">
      <c r="A157">
        <v>166</v>
      </c>
      <c r="B157">
        <v>5316182.03</v>
      </c>
      <c r="C157">
        <v>1227691.58</v>
      </c>
      <c r="H157">
        <v>166</v>
      </c>
      <c r="I157">
        <v>5316182.2300000004</v>
      </c>
      <c r="J157">
        <v>1227691.6399999999</v>
      </c>
      <c r="X157" s="38">
        <f t="shared" si="14"/>
        <v>0.20000000018626451</v>
      </c>
      <c r="Y157" s="38">
        <f t="shared" si="14"/>
        <v>5.9999999823048711E-2</v>
      </c>
      <c r="Z157" s="38">
        <f t="shared" si="15"/>
        <v>100</v>
      </c>
      <c r="AA157" s="38">
        <f t="shared" si="15"/>
        <v>100</v>
      </c>
      <c r="AB157" s="9"/>
      <c r="AC157" s="39">
        <f t="shared" si="16"/>
        <v>0.20880613030577347</v>
      </c>
    </row>
    <row r="158" spans="1:30" x14ac:dyDescent="0.25">
      <c r="A158">
        <v>167</v>
      </c>
      <c r="B158">
        <v>5316182.03</v>
      </c>
      <c r="C158">
        <v>1227686.8799999999</v>
      </c>
      <c r="H158">
        <v>167</v>
      </c>
      <c r="I158">
        <v>5316182.03</v>
      </c>
      <c r="J158">
        <v>1227686.8500000001</v>
      </c>
      <c r="X158" s="38">
        <f t="shared" si="14"/>
        <v>0</v>
      </c>
      <c r="Y158" s="38">
        <f t="shared" si="14"/>
        <v>-2.9999999795109034E-2</v>
      </c>
      <c r="Z158" s="38">
        <f t="shared" si="15"/>
        <v>100</v>
      </c>
      <c r="AA158" s="38">
        <f t="shared" si="15"/>
        <v>100</v>
      </c>
      <c r="AB158" s="9"/>
      <c r="AC158" s="39">
        <f t="shared" si="16"/>
        <v>2.9999999795109034E-2</v>
      </c>
    </row>
    <row r="159" spans="1:30" x14ac:dyDescent="0.25">
      <c r="A159">
        <v>168</v>
      </c>
      <c r="B159">
        <v>5316182.03</v>
      </c>
      <c r="C159">
        <v>1227682.18</v>
      </c>
      <c r="H159">
        <v>168</v>
      </c>
      <c r="I159">
        <v>5316181.93</v>
      </c>
      <c r="J159">
        <v>1227682.26</v>
      </c>
      <c r="X159" s="38">
        <f t="shared" ref="X159:Y177" si="17">IF(AND(B159&lt;&gt;"",$AC159&lt;$AD$5),I159-B159,100)</f>
        <v>-0.10000000055879354</v>
      </c>
      <c r="Y159" s="38">
        <f t="shared" si="17"/>
        <v>8.0000000074505806E-2</v>
      </c>
      <c r="Z159" s="38">
        <f t="shared" ref="Z159:AA177" si="18">IF(AND(B159&lt;&gt;"",$AC159&gt;$AD$5),I159-B159,100)</f>
        <v>100</v>
      </c>
      <c r="AA159" s="38">
        <f t="shared" si="18"/>
        <v>100</v>
      </c>
      <c r="AB159" s="9"/>
      <c r="AC159" s="39">
        <f t="shared" si="16"/>
        <v>0.12806248523154484</v>
      </c>
    </row>
    <row r="160" spans="1:30" x14ac:dyDescent="0.25">
      <c r="A160">
        <v>169</v>
      </c>
      <c r="B160">
        <v>5316182.03</v>
      </c>
      <c r="C160">
        <v>1227677.48</v>
      </c>
      <c r="H160">
        <v>169</v>
      </c>
      <c r="I160">
        <v>5316181.8499999996</v>
      </c>
      <c r="J160">
        <v>1227677.71</v>
      </c>
      <c r="X160" s="38">
        <f t="shared" si="17"/>
        <v>-0.18000000063329935</v>
      </c>
      <c r="Y160" s="38">
        <f t="shared" si="17"/>
        <v>0.22999999998137355</v>
      </c>
      <c r="Z160" s="38">
        <f t="shared" si="18"/>
        <v>100</v>
      </c>
      <c r="AA160" s="38">
        <f t="shared" si="18"/>
        <v>100</v>
      </c>
      <c r="AB160" s="9"/>
      <c r="AC160" s="39">
        <f t="shared" si="16"/>
        <v>0.29206163770584387</v>
      </c>
    </row>
    <row r="161" spans="1:29" x14ac:dyDescent="0.25">
      <c r="A161">
        <v>170</v>
      </c>
      <c r="B161">
        <v>5316182.03</v>
      </c>
      <c r="C161">
        <v>1227672.78</v>
      </c>
      <c r="H161">
        <v>170</v>
      </c>
      <c r="I161">
        <v>5316182.1500000004</v>
      </c>
      <c r="J161">
        <v>1227672.8600000001</v>
      </c>
      <c r="X161" s="38">
        <f t="shared" si="17"/>
        <v>0.12000000011175871</v>
      </c>
      <c r="Y161" s="38">
        <f t="shared" si="17"/>
        <v>8.0000000074505806E-2</v>
      </c>
      <c r="Z161" s="38">
        <f t="shared" si="18"/>
        <v>100</v>
      </c>
      <c r="AA161" s="38">
        <f t="shared" si="18"/>
        <v>100</v>
      </c>
      <c r="AB161" s="9"/>
      <c r="AC161" s="39">
        <f t="shared" si="16"/>
        <v>0.14422205115287681</v>
      </c>
    </row>
    <row r="162" spans="1:29" x14ac:dyDescent="0.25">
      <c r="A162">
        <v>171</v>
      </c>
      <c r="B162">
        <v>5316182.03</v>
      </c>
      <c r="C162">
        <v>1227668.08</v>
      </c>
      <c r="H162">
        <v>171</v>
      </c>
      <c r="I162">
        <v>5316181.8</v>
      </c>
      <c r="J162">
        <v>1227667.8500000001</v>
      </c>
      <c r="X162" s="38">
        <f t="shared" si="17"/>
        <v>100</v>
      </c>
      <c r="Y162" s="38">
        <f t="shared" si="17"/>
        <v>100</v>
      </c>
      <c r="Z162" s="38">
        <f t="shared" si="18"/>
        <v>-0.23000000044703484</v>
      </c>
      <c r="AA162" s="38">
        <f t="shared" si="18"/>
        <v>-0.22999999998137355</v>
      </c>
      <c r="AB162" s="9"/>
      <c r="AC162" s="39">
        <f t="shared" si="16"/>
        <v>0.32526911964874233</v>
      </c>
    </row>
    <row r="163" spans="1:29" x14ac:dyDescent="0.25">
      <c r="A163">
        <v>172</v>
      </c>
      <c r="B163">
        <v>5316182.03</v>
      </c>
      <c r="C163">
        <v>1227663.3799999999</v>
      </c>
      <c r="H163">
        <v>172</v>
      </c>
      <c r="I163">
        <v>5316181.9000000004</v>
      </c>
      <c r="J163">
        <v>1227663.3999999999</v>
      </c>
      <c r="X163" s="38">
        <f t="shared" si="17"/>
        <v>-0.12999999988824129</v>
      </c>
      <c r="Y163" s="38">
        <f t="shared" si="17"/>
        <v>2.0000000018626451E-2</v>
      </c>
      <c r="Z163" s="38">
        <f t="shared" si="18"/>
        <v>100</v>
      </c>
      <c r="AA163" s="38">
        <f t="shared" si="18"/>
        <v>100</v>
      </c>
      <c r="AB163" s="9"/>
      <c r="AC163" s="39">
        <f t="shared" si="16"/>
        <v>0.13152946427203219</v>
      </c>
    </row>
    <row r="164" spans="1:29" x14ac:dyDescent="0.25">
      <c r="A164">
        <v>173</v>
      </c>
      <c r="B164">
        <v>5316182.03</v>
      </c>
      <c r="C164">
        <v>1227658.68</v>
      </c>
      <c r="H164">
        <v>173</v>
      </c>
      <c r="I164">
        <v>5316181.8600000003</v>
      </c>
      <c r="J164">
        <v>1227658.3500000001</v>
      </c>
      <c r="X164" s="38">
        <f t="shared" si="17"/>
        <v>100</v>
      </c>
      <c r="Y164" s="38">
        <f t="shared" si="17"/>
        <v>100</v>
      </c>
      <c r="Z164" s="38">
        <f t="shared" si="18"/>
        <v>-0.16999999992549419</v>
      </c>
      <c r="AA164" s="38">
        <f t="shared" si="18"/>
        <v>-0.32999999984167516</v>
      </c>
      <c r="AB164" s="9"/>
      <c r="AC164" s="39">
        <f t="shared" si="16"/>
        <v>0.37121422369054452</v>
      </c>
    </row>
    <row r="165" spans="1:29" x14ac:dyDescent="0.25">
      <c r="A165">
        <v>174</v>
      </c>
      <c r="B165">
        <v>5316182.03</v>
      </c>
      <c r="C165">
        <v>1227653.98</v>
      </c>
      <c r="H165">
        <v>174</v>
      </c>
      <c r="I165">
        <v>5316182.09</v>
      </c>
      <c r="J165">
        <v>1227653.44</v>
      </c>
      <c r="X165" s="38">
        <f t="shared" si="17"/>
        <v>100</v>
      </c>
      <c r="Y165" s="38">
        <f t="shared" si="17"/>
        <v>100</v>
      </c>
      <c r="Z165" s="38">
        <f t="shared" si="18"/>
        <v>5.9999999590218067E-2</v>
      </c>
      <c r="AA165" s="38">
        <f t="shared" si="18"/>
        <v>-0.5400000000372529</v>
      </c>
      <c r="AB165" s="9"/>
      <c r="AC165" s="39">
        <f t="shared" si="16"/>
        <v>0.54332310828001718</v>
      </c>
    </row>
    <row r="166" spans="1:29" x14ac:dyDescent="0.25">
      <c r="A166">
        <v>175</v>
      </c>
      <c r="B166">
        <v>5316182.0199999996</v>
      </c>
      <c r="C166">
        <v>1227650.3</v>
      </c>
      <c r="H166">
        <v>175</v>
      </c>
      <c r="I166">
        <v>5316181.91</v>
      </c>
      <c r="J166">
        <v>1227649.8799999999</v>
      </c>
      <c r="X166" s="38">
        <f t="shared" si="17"/>
        <v>100</v>
      </c>
      <c r="Y166" s="38">
        <f t="shared" si="17"/>
        <v>100</v>
      </c>
      <c r="Z166" s="38">
        <f t="shared" si="18"/>
        <v>-0.10999999940395355</v>
      </c>
      <c r="AA166" s="38">
        <f t="shared" si="18"/>
        <v>-0.42000000015832484</v>
      </c>
      <c r="AB166" s="9"/>
      <c r="AC166" s="39">
        <f t="shared" si="16"/>
        <v>0.43416586692399328</v>
      </c>
    </row>
    <row r="167" spans="1:29" x14ac:dyDescent="0.25">
      <c r="A167">
        <v>176</v>
      </c>
      <c r="B167">
        <v>5316182.33</v>
      </c>
      <c r="C167">
        <v>1227647.9099999999</v>
      </c>
      <c r="H167">
        <v>176</v>
      </c>
      <c r="I167">
        <v>5316183.47</v>
      </c>
      <c r="J167">
        <v>1227647.6299999999</v>
      </c>
      <c r="X167" s="38">
        <f t="shared" si="17"/>
        <v>100</v>
      </c>
      <c r="Y167" s="38">
        <f t="shared" si="17"/>
        <v>100</v>
      </c>
      <c r="Z167" s="38">
        <f t="shared" si="18"/>
        <v>1.1399999996647239</v>
      </c>
      <c r="AA167" s="38">
        <f t="shared" si="18"/>
        <v>-0.28000000002793968</v>
      </c>
      <c r="AB167" s="9"/>
      <c r="AC167" s="39">
        <f t="shared" si="16"/>
        <v>1.1738824469474005</v>
      </c>
    </row>
    <row r="168" spans="1:29" x14ac:dyDescent="0.25">
      <c r="A168">
        <v>177</v>
      </c>
      <c r="B168">
        <v>5316186.1100000003</v>
      </c>
      <c r="C168">
        <v>1227648.02</v>
      </c>
      <c r="H168">
        <v>177</v>
      </c>
      <c r="I168">
        <v>5316186.32</v>
      </c>
      <c r="J168">
        <v>1227647.81</v>
      </c>
      <c r="X168" s="38">
        <f t="shared" si="17"/>
        <v>0.2099999999627471</v>
      </c>
      <c r="Y168" s="38">
        <f t="shared" si="17"/>
        <v>-0.2099999999627471</v>
      </c>
      <c r="Z168" s="38">
        <f t="shared" si="18"/>
        <v>100</v>
      </c>
      <c r="AA168" s="38">
        <f t="shared" si="18"/>
        <v>100</v>
      </c>
      <c r="AB168" s="9"/>
      <c r="AC168" s="39">
        <f t="shared" si="16"/>
        <v>0.29698484804566638</v>
      </c>
    </row>
    <row r="169" spans="1:29" x14ac:dyDescent="0.25">
      <c r="A169">
        <v>178</v>
      </c>
      <c r="B169">
        <v>5316186.13</v>
      </c>
      <c r="C169">
        <v>1227651.6299999999</v>
      </c>
      <c r="H169">
        <v>178</v>
      </c>
      <c r="I169">
        <v>5316186.1900000004</v>
      </c>
      <c r="J169">
        <v>1227651.55</v>
      </c>
      <c r="X169" s="38">
        <f t="shared" si="17"/>
        <v>6.0000000521540642E-2</v>
      </c>
      <c r="Y169" s="38">
        <f t="shared" si="17"/>
        <v>-7.9999999841675162E-2</v>
      </c>
      <c r="Z169" s="38">
        <f t="shared" si="18"/>
        <v>100</v>
      </c>
      <c r="AA169" s="38">
        <f t="shared" si="18"/>
        <v>100</v>
      </c>
      <c r="AB169" s="9"/>
      <c r="AC169" s="39">
        <f t="shared" si="16"/>
        <v>0.10000000018626452</v>
      </c>
    </row>
    <row r="170" spans="1:29" x14ac:dyDescent="0.25">
      <c r="A170">
        <v>179</v>
      </c>
      <c r="B170">
        <v>5316186.13</v>
      </c>
      <c r="C170">
        <v>1227656.33</v>
      </c>
      <c r="H170">
        <v>179</v>
      </c>
      <c r="I170">
        <v>5316186.12</v>
      </c>
      <c r="J170">
        <v>1227656.29</v>
      </c>
      <c r="X170" s="38">
        <f t="shared" si="17"/>
        <v>-9.9999997764825821E-3</v>
      </c>
      <c r="Y170" s="38">
        <f t="shared" si="17"/>
        <v>-4.0000000037252903E-2</v>
      </c>
      <c r="Z170" s="38">
        <f t="shared" si="18"/>
        <v>100</v>
      </c>
      <c r="AA170" s="38">
        <f t="shared" si="18"/>
        <v>100</v>
      </c>
      <c r="AB170" s="9"/>
      <c r="AC170" s="39">
        <f t="shared" si="16"/>
        <v>4.1231056238106294E-2</v>
      </c>
    </row>
    <row r="171" spans="1:29" x14ac:dyDescent="0.25">
      <c r="A171">
        <v>180</v>
      </c>
      <c r="B171">
        <v>5316186.13</v>
      </c>
      <c r="C171">
        <v>1227661.03</v>
      </c>
      <c r="H171">
        <v>180</v>
      </c>
      <c r="I171">
        <v>5316186.18</v>
      </c>
      <c r="J171">
        <v>1227661.27</v>
      </c>
      <c r="X171" s="38">
        <f t="shared" si="17"/>
        <v>4.9999999813735485E-2</v>
      </c>
      <c r="Y171" s="38">
        <f t="shared" si="17"/>
        <v>0.23999999999068677</v>
      </c>
      <c r="Z171" s="38">
        <f t="shared" si="18"/>
        <v>100</v>
      </c>
      <c r="AA171" s="38">
        <f t="shared" si="18"/>
        <v>100</v>
      </c>
      <c r="AB171" s="9"/>
      <c r="AC171" s="39">
        <f t="shared" si="16"/>
        <v>0.24515301339551834</v>
      </c>
    </row>
    <row r="172" spans="1:29" x14ac:dyDescent="0.25">
      <c r="A172">
        <v>181</v>
      </c>
      <c r="B172">
        <v>5316186.13</v>
      </c>
      <c r="C172">
        <v>1227665.73</v>
      </c>
      <c r="H172">
        <v>181</v>
      </c>
      <c r="I172">
        <v>5316186.1100000003</v>
      </c>
      <c r="J172">
        <v>1227665.48</v>
      </c>
      <c r="X172" s="38">
        <f t="shared" si="17"/>
        <v>-1.9999999552965164E-2</v>
      </c>
      <c r="Y172" s="38">
        <f t="shared" si="17"/>
        <v>-0.25</v>
      </c>
      <c r="Z172" s="38">
        <f t="shared" si="18"/>
        <v>100</v>
      </c>
      <c r="AA172" s="38">
        <f t="shared" si="18"/>
        <v>100</v>
      </c>
      <c r="AB172" s="9"/>
      <c r="AC172" s="39">
        <f t="shared" si="16"/>
        <v>0.25079872404404013</v>
      </c>
    </row>
    <row r="173" spans="1:29" x14ac:dyDescent="0.25">
      <c r="A173">
        <v>182</v>
      </c>
      <c r="B173">
        <v>5316186.13</v>
      </c>
      <c r="C173">
        <v>1227670.43</v>
      </c>
      <c r="H173">
        <v>182</v>
      </c>
      <c r="I173">
        <v>5316185.95</v>
      </c>
      <c r="J173">
        <v>1227670.22</v>
      </c>
      <c r="X173" s="38">
        <f t="shared" si="17"/>
        <v>-0.17999999970197678</v>
      </c>
      <c r="Y173" s="38">
        <f t="shared" si="17"/>
        <v>-0.2099999999627471</v>
      </c>
      <c r="Z173" s="38">
        <f t="shared" si="18"/>
        <v>100</v>
      </c>
      <c r="AA173" s="38">
        <f t="shared" si="18"/>
        <v>100</v>
      </c>
      <c r="AB173" s="9"/>
      <c r="AC173" s="39">
        <f t="shared" si="16"/>
        <v>0.27658633349655115</v>
      </c>
    </row>
    <row r="174" spans="1:29" x14ac:dyDescent="0.25">
      <c r="A174">
        <v>183</v>
      </c>
      <c r="B174">
        <v>5316186.13</v>
      </c>
      <c r="C174">
        <v>1227675.1299999999</v>
      </c>
      <c r="H174">
        <v>183</v>
      </c>
      <c r="I174">
        <v>5316185.71</v>
      </c>
      <c r="J174">
        <v>1227674.95</v>
      </c>
      <c r="X174" s="38">
        <f t="shared" si="17"/>
        <v>100</v>
      </c>
      <c r="Y174" s="38">
        <f t="shared" si="17"/>
        <v>100</v>
      </c>
      <c r="Z174" s="38">
        <f t="shared" si="18"/>
        <v>-0.41999999992549419</v>
      </c>
      <c r="AA174" s="38">
        <f t="shared" si="18"/>
        <v>-0.17999999993480742</v>
      </c>
      <c r="AB174" s="9"/>
      <c r="AC174" s="39">
        <f t="shared" si="16"/>
        <v>0.45694638625767225</v>
      </c>
    </row>
    <row r="175" spans="1:29" x14ac:dyDescent="0.25">
      <c r="A175">
        <v>184</v>
      </c>
      <c r="B175">
        <v>5316186.13</v>
      </c>
      <c r="C175">
        <v>1227679.83</v>
      </c>
      <c r="H175">
        <v>184</v>
      </c>
      <c r="I175">
        <v>5316186.1100000003</v>
      </c>
      <c r="J175">
        <v>1227678.96</v>
      </c>
      <c r="X175" s="38">
        <f t="shared" si="17"/>
        <v>100</v>
      </c>
      <c r="Y175" s="38">
        <f t="shared" si="17"/>
        <v>100</v>
      </c>
      <c r="Z175" s="38">
        <f t="shared" si="18"/>
        <v>-1.9999999552965164E-2</v>
      </c>
      <c r="AA175" s="38">
        <f t="shared" si="18"/>
        <v>-0.87000000011175871</v>
      </c>
      <c r="AB175" s="9"/>
      <c r="AC175" s="39">
        <f t="shared" si="16"/>
        <v>0.87022985479502979</v>
      </c>
    </row>
    <row r="176" spans="1:29" x14ac:dyDescent="0.25">
      <c r="A176">
        <v>185</v>
      </c>
      <c r="B176">
        <v>5316186.13</v>
      </c>
      <c r="C176">
        <v>1227684.53</v>
      </c>
      <c r="H176">
        <v>185</v>
      </c>
      <c r="I176">
        <v>5316186.38</v>
      </c>
      <c r="J176">
        <v>1227685.27</v>
      </c>
      <c r="X176" s="38">
        <f t="shared" si="17"/>
        <v>100</v>
      </c>
      <c r="Y176" s="38">
        <f t="shared" si="17"/>
        <v>100</v>
      </c>
      <c r="Z176" s="38">
        <f t="shared" si="18"/>
        <v>0.25</v>
      </c>
      <c r="AA176" s="38">
        <f t="shared" si="18"/>
        <v>0.73999999999068677</v>
      </c>
      <c r="AB176" s="9"/>
      <c r="AC176" s="39">
        <f t="shared" si="16"/>
        <v>0.78108898339831712</v>
      </c>
    </row>
    <row r="177" spans="1:29" x14ac:dyDescent="0.25">
      <c r="A177">
        <v>186</v>
      </c>
      <c r="B177">
        <v>5316186.13</v>
      </c>
      <c r="C177">
        <v>1227689.23</v>
      </c>
      <c r="H177">
        <v>186</v>
      </c>
      <c r="I177">
        <v>5316186.12</v>
      </c>
      <c r="J177">
        <v>1227689.32</v>
      </c>
      <c r="X177" s="38">
        <f t="shared" si="17"/>
        <v>-9.9999997764825821E-3</v>
      </c>
      <c r="Y177" s="38">
        <f t="shared" si="17"/>
        <v>9.0000000083819032E-2</v>
      </c>
      <c r="Z177" s="38">
        <f t="shared" si="18"/>
        <v>100</v>
      </c>
      <c r="AA177" s="38">
        <f t="shared" si="18"/>
        <v>100</v>
      </c>
      <c r="AB177" s="9"/>
      <c r="AC177" s="39">
        <f t="shared" si="16"/>
        <v>9.0553851439997168E-2</v>
      </c>
    </row>
    <row r="178" spans="1:29" x14ac:dyDescent="0.25">
      <c r="A178">
        <v>187</v>
      </c>
      <c r="B178">
        <v>5316186.13</v>
      </c>
      <c r="C178">
        <v>1227693.93</v>
      </c>
      <c r="H178">
        <v>187</v>
      </c>
      <c r="I178">
        <v>5316186.0599999996</v>
      </c>
      <c r="J178">
        <v>1227693.96</v>
      </c>
      <c r="X178" s="38">
        <f t="shared" ref="X178:Y240" si="19">IF(AND(B178&lt;&gt;"",$AC178&lt;$AD$5),I178-B178,100)</f>
        <v>-7.0000000298023224E-2</v>
      </c>
      <c r="Y178" s="38">
        <f t="shared" si="19"/>
        <v>3.0000000027939677E-2</v>
      </c>
      <c r="Z178" s="38">
        <f t="shared" ref="Z178:AA240" si="20">IF(AND(B178&lt;&gt;"",$AC178&gt;$AD$5),I178-B178,100)</f>
        <v>100</v>
      </c>
      <c r="AA178" s="38">
        <f t="shared" si="20"/>
        <v>100</v>
      </c>
      <c r="AB178" s="9"/>
      <c r="AC178" s="39">
        <f t="shared" si="16"/>
        <v>7.6157731343571622E-2</v>
      </c>
    </row>
    <row r="179" spans="1:29" x14ac:dyDescent="0.25">
      <c r="A179">
        <v>188</v>
      </c>
      <c r="B179">
        <v>5316186.13</v>
      </c>
      <c r="C179">
        <v>1227698.6299999999</v>
      </c>
      <c r="H179">
        <v>188</v>
      </c>
      <c r="I179">
        <v>5316186.04</v>
      </c>
      <c r="J179">
        <v>1227698.46</v>
      </c>
      <c r="X179" s="38">
        <f t="shared" si="19"/>
        <v>-8.9999999850988388E-2</v>
      </c>
      <c r="Y179" s="38">
        <f t="shared" si="19"/>
        <v>-0.16999999992549419</v>
      </c>
      <c r="Z179" s="38">
        <f t="shared" si="20"/>
        <v>100</v>
      </c>
      <c r="AA179" s="38">
        <f t="shared" si="20"/>
        <v>100</v>
      </c>
      <c r="AB179" s="9"/>
      <c r="AC179" s="39">
        <f t="shared" si="16"/>
        <v>0.1923538404811454</v>
      </c>
    </row>
    <row r="180" spans="1:29" x14ac:dyDescent="0.25">
      <c r="A180">
        <v>189</v>
      </c>
      <c r="B180">
        <v>5316186.13</v>
      </c>
      <c r="C180">
        <v>1227703.33</v>
      </c>
      <c r="H180">
        <v>189</v>
      </c>
      <c r="I180">
        <v>5316186.13</v>
      </c>
      <c r="J180">
        <v>1227702.29</v>
      </c>
      <c r="X180" s="38">
        <f t="shared" si="19"/>
        <v>100</v>
      </c>
      <c r="Y180" s="38">
        <f t="shared" si="19"/>
        <v>100</v>
      </c>
      <c r="Z180" s="38">
        <f t="shared" si="20"/>
        <v>0</v>
      </c>
      <c r="AA180" s="38">
        <f t="shared" si="20"/>
        <v>-1.0400000000372529</v>
      </c>
      <c r="AB180" s="9"/>
      <c r="AC180" s="39">
        <f t="shared" si="16"/>
        <v>1.0400000000372529</v>
      </c>
    </row>
    <row r="181" spans="1:29" x14ac:dyDescent="0.25">
      <c r="A181">
        <v>190</v>
      </c>
      <c r="B181">
        <v>5316186.13</v>
      </c>
      <c r="C181">
        <v>1227708.03</v>
      </c>
      <c r="H181">
        <v>190</v>
      </c>
      <c r="I181">
        <v>5316188.88</v>
      </c>
      <c r="J181">
        <v>1227707.78</v>
      </c>
      <c r="X181" s="38">
        <f t="shared" si="19"/>
        <v>100</v>
      </c>
      <c r="Y181" s="38">
        <f t="shared" si="19"/>
        <v>100</v>
      </c>
      <c r="Z181" s="38">
        <f t="shared" si="20"/>
        <v>2.75</v>
      </c>
      <c r="AA181" s="38">
        <f t="shared" si="20"/>
        <v>-0.25</v>
      </c>
      <c r="AB181" s="9"/>
      <c r="AC181" s="39">
        <f t="shared" si="16"/>
        <v>2.7613402542968153</v>
      </c>
    </row>
    <row r="182" spans="1:29" x14ac:dyDescent="0.25">
      <c r="A182">
        <v>192</v>
      </c>
      <c r="B182">
        <v>5316186.13</v>
      </c>
      <c r="C182">
        <v>1227717.43</v>
      </c>
      <c r="H182">
        <v>192</v>
      </c>
      <c r="I182">
        <v>5316186.16</v>
      </c>
      <c r="J182">
        <v>1227717.8600000001</v>
      </c>
      <c r="X182" s="38">
        <f t="shared" si="19"/>
        <v>100</v>
      </c>
      <c r="Y182" s="38">
        <f t="shared" si="19"/>
        <v>100</v>
      </c>
      <c r="Z182" s="38">
        <f t="shared" si="20"/>
        <v>3.0000000260770321E-2</v>
      </c>
      <c r="AA182" s="38">
        <f t="shared" si="20"/>
        <v>0.43000000016763806</v>
      </c>
      <c r="AB182" s="9"/>
      <c r="AC182" s="39">
        <f t="shared" si="16"/>
        <v>0.43104524143042683</v>
      </c>
    </row>
    <row r="183" spans="1:29" x14ac:dyDescent="0.25">
      <c r="A183">
        <v>193</v>
      </c>
      <c r="B183">
        <v>5316186.13</v>
      </c>
      <c r="C183">
        <v>1227722.1299999999</v>
      </c>
      <c r="H183">
        <v>193</v>
      </c>
      <c r="I183">
        <v>5316186.32</v>
      </c>
      <c r="J183">
        <v>1227722</v>
      </c>
      <c r="X183" s="38">
        <f t="shared" si="19"/>
        <v>0.19000000040978193</v>
      </c>
      <c r="Y183" s="38">
        <f t="shared" si="19"/>
        <v>-0.12999999988824129</v>
      </c>
      <c r="Z183" s="38">
        <f t="shared" si="20"/>
        <v>100</v>
      </c>
      <c r="AA183" s="38">
        <f t="shared" si="20"/>
        <v>100</v>
      </c>
      <c r="AB183" s="9"/>
      <c r="AC183" s="39">
        <f t="shared" si="16"/>
        <v>0.23021728893951443</v>
      </c>
    </row>
    <row r="184" spans="1:29" x14ac:dyDescent="0.25">
      <c r="A184">
        <v>194</v>
      </c>
      <c r="B184">
        <v>5316186.13</v>
      </c>
      <c r="C184">
        <v>1227726.83</v>
      </c>
      <c r="H184">
        <v>194</v>
      </c>
      <c r="I184">
        <v>5316186.18</v>
      </c>
      <c r="J184">
        <v>1227726.96</v>
      </c>
      <c r="X184" s="38">
        <f t="shared" si="19"/>
        <v>4.9999999813735485E-2</v>
      </c>
      <c r="Y184" s="38">
        <f t="shared" si="19"/>
        <v>0.12999999988824129</v>
      </c>
      <c r="Z184" s="38">
        <f t="shared" si="20"/>
        <v>100</v>
      </c>
      <c r="AA184" s="38">
        <f t="shared" si="20"/>
        <v>100</v>
      </c>
      <c r="AB184" s="9"/>
      <c r="AC184" s="39">
        <f t="shared" si="16"/>
        <v>0.13928388260066663</v>
      </c>
    </row>
    <row r="185" spans="1:29" x14ac:dyDescent="0.25">
      <c r="A185">
        <v>195</v>
      </c>
      <c r="B185">
        <v>5316186.13</v>
      </c>
      <c r="C185">
        <v>1227731.53</v>
      </c>
      <c r="H185">
        <v>195</v>
      </c>
      <c r="I185">
        <v>5316186.3</v>
      </c>
      <c r="J185">
        <v>1227731.6399999999</v>
      </c>
      <c r="X185" s="38">
        <f t="shared" si="19"/>
        <v>0.16999999992549419</v>
      </c>
      <c r="Y185" s="38">
        <f t="shared" si="19"/>
        <v>0.10999999986961484</v>
      </c>
      <c r="Z185" s="38">
        <f t="shared" si="20"/>
        <v>100</v>
      </c>
      <c r="AA185" s="38">
        <f t="shared" si="20"/>
        <v>100</v>
      </c>
      <c r="AB185" s="9"/>
      <c r="AC185" s="39">
        <f t="shared" si="16"/>
        <v>0.20248456717978111</v>
      </c>
    </row>
    <row r="186" spans="1:29" x14ac:dyDescent="0.25">
      <c r="A186">
        <v>196</v>
      </c>
      <c r="B186">
        <v>5316186.13</v>
      </c>
      <c r="C186">
        <v>1227736.23</v>
      </c>
      <c r="H186">
        <v>196</v>
      </c>
      <c r="I186">
        <v>5316186.12</v>
      </c>
      <c r="J186">
        <v>1227736.6299999999</v>
      </c>
      <c r="X186" s="38">
        <f t="shared" si="19"/>
        <v>100</v>
      </c>
      <c r="Y186" s="38">
        <f t="shared" si="19"/>
        <v>100</v>
      </c>
      <c r="Z186" s="38">
        <f t="shared" si="20"/>
        <v>-9.9999997764825821E-3</v>
      </c>
      <c r="AA186" s="38">
        <f t="shared" si="20"/>
        <v>0.39999999990686774</v>
      </c>
      <c r="AB186" s="9"/>
      <c r="AC186" s="39">
        <f t="shared" si="16"/>
        <v>0.40012498037616179</v>
      </c>
    </row>
    <row r="187" spans="1:29" x14ac:dyDescent="0.25">
      <c r="A187">
        <v>197</v>
      </c>
      <c r="B187">
        <v>5316186.1399999997</v>
      </c>
      <c r="C187">
        <v>1227739.53</v>
      </c>
      <c r="H187">
        <v>197</v>
      </c>
      <c r="I187">
        <v>5316186.21</v>
      </c>
      <c r="J187">
        <v>1227739.44</v>
      </c>
      <c r="X187" s="38">
        <f t="shared" si="19"/>
        <v>7.0000000298023224E-2</v>
      </c>
      <c r="Y187" s="38">
        <f t="shared" si="19"/>
        <v>-9.0000000083819032E-2</v>
      </c>
      <c r="Z187" s="38">
        <f t="shared" si="20"/>
        <v>100</v>
      </c>
      <c r="AA187" s="38">
        <f t="shared" si="20"/>
        <v>100</v>
      </c>
      <c r="AB187" s="9"/>
      <c r="AC187" s="39">
        <f t="shared" si="16"/>
        <v>0.1140175427590451</v>
      </c>
    </row>
    <row r="188" spans="1:29" x14ac:dyDescent="0.25">
      <c r="A188">
        <v>198</v>
      </c>
      <c r="B188">
        <v>5316190.2300000004</v>
      </c>
      <c r="C188">
        <v>1227738.58</v>
      </c>
      <c r="H188">
        <v>198</v>
      </c>
      <c r="I188">
        <v>5316190.0999999996</v>
      </c>
      <c r="J188">
        <v>1227738.43</v>
      </c>
      <c r="X188" s="38">
        <f t="shared" si="19"/>
        <v>-0.13000000081956387</v>
      </c>
      <c r="Y188" s="38">
        <f t="shared" si="19"/>
        <v>-0.15000000013969839</v>
      </c>
      <c r="Z188" s="38">
        <f t="shared" si="20"/>
        <v>100</v>
      </c>
      <c r="AA188" s="38">
        <f t="shared" si="20"/>
        <v>100</v>
      </c>
      <c r="AB188" s="9"/>
      <c r="AC188" s="39">
        <f t="shared" si="16"/>
        <v>0.19849433305511804</v>
      </c>
    </row>
    <row r="189" spans="1:29" x14ac:dyDescent="0.25">
      <c r="A189">
        <v>199</v>
      </c>
      <c r="B189">
        <v>5316190.2300000004</v>
      </c>
      <c r="C189">
        <v>1227733.8799999999</v>
      </c>
      <c r="H189">
        <v>199</v>
      </c>
      <c r="I189">
        <v>5316190.1500000004</v>
      </c>
      <c r="J189">
        <v>1227733.52</v>
      </c>
      <c r="X189" s="38">
        <f t="shared" si="19"/>
        <v>100</v>
      </c>
      <c r="Y189" s="38">
        <f t="shared" si="19"/>
        <v>100</v>
      </c>
      <c r="Z189" s="38">
        <f t="shared" si="20"/>
        <v>-8.0000000074505806E-2</v>
      </c>
      <c r="AA189" s="38">
        <f t="shared" si="20"/>
        <v>-0.35999999986961484</v>
      </c>
      <c r="AB189" s="9"/>
      <c r="AC189" s="39">
        <f t="shared" si="16"/>
        <v>0.36878177818059776</v>
      </c>
    </row>
    <row r="190" spans="1:29" x14ac:dyDescent="0.25">
      <c r="A190">
        <v>200</v>
      </c>
      <c r="B190">
        <v>5316190.2300000004</v>
      </c>
      <c r="C190">
        <v>1227729.18</v>
      </c>
      <c r="H190">
        <v>200</v>
      </c>
      <c r="I190">
        <v>5316190.25</v>
      </c>
      <c r="J190">
        <v>1227729.32</v>
      </c>
      <c r="X190" s="38">
        <f t="shared" si="19"/>
        <v>1.9999999552965164E-2</v>
      </c>
      <c r="Y190" s="38">
        <f t="shared" si="19"/>
        <v>0.14000000013038516</v>
      </c>
      <c r="Z190" s="38">
        <f t="shared" si="20"/>
        <v>100</v>
      </c>
      <c r="AA190" s="38">
        <f t="shared" si="20"/>
        <v>100</v>
      </c>
      <c r="AB190" s="9"/>
      <c r="AC190" s="39">
        <f t="shared" si="16"/>
        <v>0.14142135630316396</v>
      </c>
    </row>
    <row r="191" spans="1:29" x14ac:dyDescent="0.25">
      <c r="A191">
        <v>201</v>
      </c>
      <c r="B191">
        <v>5316190.2300000004</v>
      </c>
      <c r="C191">
        <v>1227724.48</v>
      </c>
      <c r="H191">
        <v>201</v>
      </c>
      <c r="I191">
        <v>5316190.18</v>
      </c>
      <c r="J191">
        <v>1227723.68</v>
      </c>
      <c r="X191" s="38">
        <f t="shared" si="19"/>
        <v>100</v>
      </c>
      <c r="Y191" s="38">
        <f t="shared" si="19"/>
        <v>100</v>
      </c>
      <c r="Z191" s="38">
        <f t="shared" si="20"/>
        <v>-5.000000074505806E-2</v>
      </c>
      <c r="AA191" s="38">
        <f t="shared" si="20"/>
        <v>-0.80000000004656613</v>
      </c>
      <c r="AB191" s="9"/>
      <c r="AC191" s="39">
        <f t="shared" si="16"/>
        <v>0.8015609771870208</v>
      </c>
    </row>
    <row r="192" spans="1:29" x14ac:dyDescent="0.25">
      <c r="A192">
        <v>202</v>
      </c>
      <c r="B192">
        <v>5316190.2300000004</v>
      </c>
      <c r="C192">
        <v>1227719.78</v>
      </c>
      <c r="H192">
        <v>202</v>
      </c>
      <c r="I192">
        <v>5316189.96</v>
      </c>
      <c r="J192">
        <v>1227719.54</v>
      </c>
      <c r="X192" s="38">
        <f t="shared" si="19"/>
        <v>100</v>
      </c>
      <c r="Y192" s="38">
        <f t="shared" si="19"/>
        <v>100</v>
      </c>
      <c r="Z192" s="38">
        <f t="shared" si="20"/>
        <v>-0.27000000048428774</v>
      </c>
      <c r="AA192" s="38">
        <f t="shared" si="20"/>
        <v>-0.23999999999068677</v>
      </c>
      <c r="AB192" s="9"/>
      <c r="AC192" s="39">
        <f t="shared" si="16"/>
        <v>0.36124783771954266</v>
      </c>
    </row>
    <row r="193" spans="1:29" x14ac:dyDescent="0.25">
      <c r="A193">
        <v>203</v>
      </c>
      <c r="B193">
        <v>5316190.2300000004</v>
      </c>
      <c r="C193">
        <v>1227715.08</v>
      </c>
      <c r="H193">
        <v>203</v>
      </c>
      <c r="I193">
        <v>5316190.26</v>
      </c>
      <c r="J193">
        <v>1227714.44</v>
      </c>
      <c r="X193" s="38">
        <f t="shared" si="19"/>
        <v>100</v>
      </c>
      <c r="Y193" s="38">
        <f t="shared" si="19"/>
        <v>100</v>
      </c>
      <c r="Z193" s="38">
        <f t="shared" si="20"/>
        <v>2.9999999329447746E-2</v>
      </c>
      <c r="AA193" s="38">
        <f t="shared" si="20"/>
        <v>-0.64000000013038516</v>
      </c>
      <c r="AB193" s="9"/>
      <c r="AC193" s="39">
        <f t="shared" si="16"/>
        <v>0.64070273928449839</v>
      </c>
    </row>
    <row r="194" spans="1:29" x14ac:dyDescent="0.25">
      <c r="A194">
        <v>204</v>
      </c>
      <c r="B194">
        <v>5316190.2300000004</v>
      </c>
      <c r="C194">
        <v>1227710.3799999999</v>
      </c>
      <c r="H194">
        <v>204</v>
      </c>
      <c r="I194">
        <v>5316190.34</v>
      </c>
      <c r="J194">
        <v>1227710.6000000001</v>
      </c>
      <c r="X194" s="38">
        <f t="shared" si="19"/>
        <v>0.10999999940395355</v>
      </c>
      <c r="Y194" s="38">
        <f t="shared" si="19"/>
        <v>0.22000000020489097</v>
      </c>
      <c r="Z194" s="38">
        <f t="shared" si="20"/>
        <v>100</v>
      </c>
      <c r="AA194" s="38">
        <f t="shared" si="20"/>
        <v>100</v>
      </c>
      <c r="AB194" s="9"/>
      <c r="AC194" s="39">
        <f t="shared" si="16"/>
        <v>0.24596747744167685</v>
      </c>
    </row>
    <row r="195" spans="1:29" x14ac:dyDescent="0.25">
      <c r="A195">
        <v>205</v>
      </c>
      <c r="B195">
        <v>5316190.2300000004</v>
      </c>
      <c r="C195">
        <v>1227705.68</v>
      </c>
      <c r="H195">
        <v>205</v>
      </c>
      <c r="I195">
        <v>5316190.54</v>
      </c>
      <c r="J195">
        <v>1227705.55</v>
      </c>
      <c r="X195" s="38">
        <f t="shared" si="19"/>
        <v>100</v>
      </c>
      <c r="Y195" s="38">
        <f t="shared" si="19"/>
        <v>100</v>
      </c>
      <c r="Z195" s="38">
        <f t="shared" si="20"/>
        <v>0.30999999959021807</v>
      </c>
      <c r="AA195" s="38">
        <f t="shared" si="20"/>
        <v>-0.12999999988824129</v>
      </c>
      <c r="AB195" s="9"/>
      <c r="AC195" s="39">
        <f t="shared" si="16"/>
        <v>0.33615472585831357</v>
      </c>
    </row>
    <row r="196" spans="1:29" x14ac:dyDescent="0.25">
      <c r="A196">
        <v>206</v>
      </c>
      <c r="B196">
        <v>5316190.2300000004</v>
      </c>
      <c r="C196">
        <v>1227700.98</v>
      </c>
      <c r="H196">
        <v>206</v>
      </c>
      <c r="I196">
        <v>5316189.97</v>
      </c>
      <c r="J196">
        <v>1227700.8600000001</v>
      </c>
      <c r="X196" s="38">
        <f t="shared" si="19"/>
        <v>-0.26000000070780516</v>
      </c>
      <c r="Y196" s="38">
        <f t="shared" si="19"/>
        <v>-0.11999999987892807</v>
      </c>
      <c r="Z196" s="38">
        <f t="shared" si="20"/>
        <v>100</v>
      </c>
      <c r="AA196" s="38">
        <f t="shared" si="20"/>
        <v>100</v>
      </c>
      <c r="AB196" s="9"/>
      <c r="AC196" s="39">
        <f t="shared" si="16"/>
        <v>0.28635642185744925</v>
      </c>
    </row>
    <row r="197" spans="1:29" x14ac:dyDescent="0.25">
      <c r="A197">
        <v>207</v>
      </c>
      <c r="B197">
        <v>5316190.2300000004</v>
      </c>
      <c r="C197">
        <v>1227696.28</v>
      </c>
      <c r="H197">
        <v>207</v>
      </c>
      <c r="I197">
        <v>5316189.12</v>
      </c>
      <c r="J197">
        <v>1227698.6200000001</v>
      </c>
      <c r="X197" s="38">
        <f t="shared" si="19"/>
        <v>100</v>
      </c>
      <c r="Y197" s="38">
        <f t="shared" si="19"/>
        <v>100</v>
      </c>
      <c r="Z197" s="38">
        <f t="shared" si="20"/>
        <v>-1.1100000003352761</v>
      </c>
      <c r="AA197" s="38">
        <f t="shared" si="20"/>
        <v>2.340000000083819</v>
      </c>
      <c r="AB197" s="9"/>
      <c r="AC197" s="39">
        <f t="shared" si="16"/>
        <v>2.5899227789910233</v>
      </c>
    </row>
    <row r="198" spans="1:29" x14ac:dyDescent="0.25">
      <c r="A198">
        <v>208</v>
      </c>
      <c r="B198">
        <v>5316190.2300000004</v>
      </c>
      <c r="C198">
        <v>1227691.58</v>
      </c>
      <c r="H198">
        <v>208</v>
      </c>
      <c r="I198">
        <v>5316190.2300000004</v>
      </c>
      <c r="J198">
        <v>1227691.7</v>
      </c>
      <c r="X198" s="38">
        <f t="shared" si="19"/>
        <v>0</v>
      </c>
      <c r="Y198" s="38">
        <f t="shared" si="19"/>
        <v>0.11999999987892807</v>
      </c>
      <c r="Z198" s="38">
        <f t="shared" si="20"/>
        <v>100</v>
      </c>
      <c r="AA198" s="38">
        <f t="shared" si="20"/>
        <v>100</v>
      </c>
      <c r="AB198" s="9"/>
      <c r="AC198" s="39">
        <f t="shared" ref="AC198:AC261" si="21">IF(B198="","",(SQRT((I198-B198)^2+(J198-C198)^2)))</f>
        <v>0.11999999987892807</v>
      </c>
    </row>
    <row r="199" spans="1:29" x14ac:dyDescent="0.25">
      <c r="A199">
        <v>209</v>
      </c>
      <c r="B199">
        <v>5316190.2300000004</v>
      </c>
      <c r="C199">
        <v>1227686.8799999999</v>
      </c>
      <c r="H199">
        <v>209</v>
      </c>
      <c r="I199">
        <v>5316190</v>
      </c>
      <c r="J199">
        <v>1227686.27</v>
      </c>
      <c r="X199" s="38">
        <f t="shared" si="19"/>
        <v>100</v>
      </c>
      <c r="Y199" s="38">
        <f t="shared" si="19"/>
        <v>100</v>
      </c>
      <c r="Z199" s="38">
        <f t="shared" si="20"/>
        <v>-0.23000000044703484</v>
      </c>
      <c r="AA199" s="38">
        <f t="shared" si="20"/>
        <v>-0.60999999986961484</v>
      </c>
      <c r="AB199" s="9"/>
      <c r="AC199" s="39">
        <f t="shared" si="21"/>
        <v>0.65192024055597941</v>
      </c>
    </row>
    <row r="200" spans="1:29" x14ac:dyDescent="0.25">
      <c r="A200">
        <v>210</v>
      </c>
      <c r="B200">
        <v>5316190.2300000004</v>
      </c>
      <c r="C200">
        <v>1227682.18</v>
      </c>
      <c r="H200">
        <v>210</v>
      </c>
      <c r="I200">
        <v>5316191.8600000003</v>
      </c>
      <c r="J200">
        <v>1227683.4099999999</v>
      </c>
      <c r="X200" s="38">
        <f t="shared" si="19"/>
        <v>100</v>
      </c>
      <c r="Y200" s="38">
        <f t="shared" si="19"/>
        <v>100</v>
      </c>
      <c r="Z200" s="38">
        <f t="shared" si="20"/>
        <v>1.6299999998882413</v>
      </c>
      <c r="AA200" s="38">
        <f t="shared" si="20"/>
        <v>1.2299999999813735</v>
      </c>
      <c r="AB200" s="9"/>
      <c r="AC200" s="39">
        <f t="shared" si="21"/>
        <v>2.0420088147679105</v>
      </c>
    </row>
    <row r="201" spans="1:29" x14ac:dyDescent="0.25">
      <c r="A201">
        <v>211</v>
      </c>
      <c r="B201">
        <v>5316190.2300000004</v>
      </c>
      <c r="C201">
        <v>1227677.48</v>
      </c>
      <c r="H201">
        <v>211</v>
      </c>
      <c r="I201">
        <v>5316190.17</v>
      </c>
      <c r="J201">
        <v>1227677.5</v>
      </c>
      <c r="X201" s="38">
        <f t="shared" si="19"/>
        <v>-6.0000000521540642E-2</v>
      </c>
      <c r="Y201" s="38">
        <f t="shared" si="19"/>
        <v>2.0000000018626451E-2</v>
      </c>
      <c r="Z201" s="38">
        <f t="shared" si="20"/>
        <v>100</v>
      </c>
      <c r="AA201" s="38">
        <f t="shared" si="20"/>
        <v>100</v>
      </c>
      <c r="AB201" s="9"/>
      <c r="AC201" s="39">
        <f t="shared" si="21"/>
        <v>6.3245553704034688E-2</v>
      </c>
    </row>
    <row r="202" spans="1:29" x14ac:dyDescent="0.25">
      <c r="A202">
        <v>212</v>
      </c>
      <c r="B202">
        <v>5316190.2300000004</v>
      </c>
      <c r="C202">
        <v>1227672.78</v>
      </c>
      <c r="H202">
        <v>212</v>
      </c>
      <c r="I202">
        <v>5316190.29</v>
      </c>
      <c r="J202">
        <v>1227672.69</v>
      </c>
      <c r="X202" s="38">
        <f t="shared" si="19"/>
        <v>5.9999999590218067E-2</v>
      </c>
      <c r="Y202" s="38">
        <f t="shared" si="19"/>
        <v>-9.0000000083819032E-2</v>
      </c>
      <c r="Z202" s="38">
        <f t="shared" si="20"/>
        <v>100</v>
      </c>
      <c r="AA202" s="38">
        <f t="shared" si="20"/>
        <v>100</v>
      </c>
      <c r="AB202" s="9"/>
      <c r="AC202" s="39">
        <f t="shared" si="21"/>
        <v>0.10816653810635521</v>
      </c>
    </row>
    <row r="203" spans="1:29" x14ac:dyDescent="0.25">
      <c r="A203">
        <v>213</v>
      </c>
      <c r="B203">
        <v>5316190.2300000004</v>
      </c>
      <c r="C203">
        <v>1227668.08</v>
      </c>
      <c r="H203">
        <v>213</v>
      </c>
      <c r="I203">
        <v>5316189.6100000003</v>
      </c>
      <c r="J203">
        <v>1227667.99</v>
      </c>
      <c r="X203" s="38">
        <f t="shared" si="19"/>
        <v>100</v>
      </c>
      <c r="Y203" s="38">
        <f t="shared" si="19"/>
        <v>100</v>
      </c>
      <c r="Z203" s="38">
        <f t="shared" si="20"/>
        <v>-0.62000000011175871</v>
      </c>
      <c r="AA203" s="38">
        <f t="shared" si="20"/>
        <v>-9.0000000083819032E-2</v>
      </c>
      <c r="AB203" s="9"/>
      <c r="AC203" s="39">
        <f t="shared" si="21"/>
        <v>0.62649820442972393</v>
      </c>
    </row>
    <row r="204" spans="1:29" x14ac:dyDescent="0.25">
      <c r="A204">
        <v>214</v>
      </c>
      <c r="B204">
        <v>5316190.2300000004</v>
      </c>
      <c r="C204">
        <v>1227663.3799999999</v>
      </c>
      <c r="H204">
        <v>214</v>
      </c>
      <c r="I204">
        <v>5316189.92</v>
      </c>
      <c r="J204">
        <v>1227663.76</v>
      </c>
      <c r="X204" s="38">
        <f t="shared" si="19"/>
        <v>100</v>
      </c>
      <c r="Y204" s="38">
        <f t="shared" si="19"/>
        <v>100</v>
      </c>
      <c r="Z204" s="38">
        <f t="shared" si="20"/>
        <v>-0.31000000052154064</v>
      </c>
      <c r="AA204" s="38">
        <f t="shared" si="20"/>
        <v>0.38000000012107193</v>
      </c>
      <c r="AB204" s="9"/>
      <c r="AC204" s="39">
        <f t="shared" si="21"/>
        <v>0.49040799383306333</v>
      </c>
    </row>
    <row r="205" spans="1:29" x14ac:dyDescent="0.25">
      <c r="A205">
        <v>215</v>
      </c>
      <c r="B205">
        <v>5316190.2300000004</v>
      </c>
      <c r="C205">
        <v>1227658.68</v>
      </c>
      <c r="H205">
        <v>215</v>
      </c>
      <c r="I205">
        <v>5316190.1100000003</v>
      </c>
      <c r="J205">
        <v>1227658.8</v>
      </c>
      <c r="X205" s="38">
        <f t="shared" si="19"/>
        <v>-0.12000000011175871</v>
      </c>
      <c r="Y205" s="38">
        <f t="shared" si="19"/>
        <v>0.12000000011175871</v>
      </c>
      <c r="Z205" s="38">
        <f t="shared" si="20"/>
        <v>100</v>
      </c>
      <c r="AA205" s="38">
        <f t="shared" si="20"/>
        <v>100</v>
      </c>
      <c r="AB205" s="9"/>
      <c r="AC205" s="39">
        <f t="shared" si="21"/>
        <v>0.16970562764282207</v>
      </c>
    </row>
    <row r="206" spans="1:29" x14ac:dyDescent="0.25">
      <c r="A206">
        <v>216</v>
      </c>
      <c r="B206">
        <v>5316189.58</v>
      </c>
      <c r="C206">
        <v>1227654.4099999999</v>
      </c>
      <c r="H206">
        <v>216</v>
      </c>
      <c r="I206">
        <v>5316189.47</v>
      </c>
      <c r="J206">
        <v>1227654.72</v>
      </c>
      <c r="X206" s="38">
        <f t="shared" si="19"/>
        <v>100</v>
      </c>
      <c r="Y206" s="38">
        <f t="shared" si="19"/>
        <v>100</v>
      </c>
      <c r="Z206" s="38">
        <f t="shared" si="20"/>
        <v>-0.11000000033527613</v>
      </c>
      <c r="AA206" s="38">
        <f t="shared" si="20"/>
        <v>0.31000000005587935</v>
      </c>
      <c r="AB206" s="9"/>
      <c r="AC206" s="39">
        <f t="shared" si="21"/>
        <v>0.32893768423275244</v>
      </c>
    </row>
    <row r="207" spans="1:29" x14ac:dyDescent="0.25">
      <c r="A207">
        <v>217</v>
      </c>
      <c r="B207">
        <v>5316188.8</v>
      </c>
      <c r="C207">
        <v>1227650.45</v>
      </c>
      <c r="H207">
        <v>217</v>
      </c>
      <c r="I207">
        <v>5316189.12</v>
      </c>
      <c r="J207">
        <v>1227650.6599999999</v>
      </c>
      <c r="X207" s="38">
        <f t="shared" si="19"/>
        <v>100</v>
      </c>
      <c r="Y207" s="38">
        <f t="shared" si="19"/>
        <v>100</v>
      </c>
      <c r="Z207" s="38">
        <f t="shared" si="20"/>
        <v>0.32000000029802322</v>
      </c>
      <c r="AA207" s="38">
        <f t="shared" si="20"/>
        <v>0.2099999999627471</v>
      </c>
      <c r="AB207" s="9"/>
      <c r="AC207" s="39">
        <f t="shared" si="21"/>
        <v>0.38275318440881539</v>
      </c>
    </row>
    <row r="208" spans="1:29" x14ac:dyDescent="0.25">
      <c r="A208">
        <v>218</v>
      </c>
      <c r="B208">
        <v>5316194.33</v>
      </c>
      <c r="C208">
        <v>1227651.6299999999</v>
      </c>
      <c r="H208">
        <v>218</v>
      </c>
      <c r="I208">
        <v>5316194.6100000003</v>
      </c>
      <c r="J208">
        <v>1227651.79</v>
      </c>
      <c r="X208" s="38">
        <f t="shared" si="19"/>
        <v>100</v>
      </c>
      <c r="Y208" s="38">
        <f t="shared" si="19"/>
        <v>100</v>
      </c>
      <c r="Z208" s="38">
        <f t="shared" si="20"/>
        <v>0.28000000026077032</v>
      </c>
      <c r="AA208" s="38">
        <f t="shared" si="20"/>
        <v>0.16000000014901161</v>
      </c>
      <c r="AB208" s="9"/>
      <c r="AC208" s="39">
        <f t="shared" si="21"/>
        <v>0.32249031023228447</v>
      </c>
    </row>
    <row r="209" spans="1:29" x14ac:dyDescent="0.25">
      <c r="A209">
        <v>219</v>
      </c>
      <c r="B209">
        <v>5316194.33</v>
      </c>
      <c r="C209">
        <v>1227656.33</v>
      </c>
      <c r="H209">
        <v>219</v>
      </c>
      <c r="I209">
        <v>5316194.46</v>
      </c>
      <c r="J209">
        <v>1227656.28</v>
      </c>
      <c r="X209" s="38">
        <f t="shared" si="19"/>
        <v>0.12999999988824129</v>
      </c>
      <c r="Y209" s="38">
        <f t="shared" si="19"/>
        <v>-5.0000000046566129E-2</v>
      </c>
      <c r="Z209" s="38">
        <f t="shared" si="20"/>
        <v>100</v>
      </c>
      <c r="AA209" s="38">
        <f t="shared" si="20"/>
        <v>100</v>
      </c>
      <c r="AB209" s="9"/>
      <c r="AC209" s="39">
        <f t="shared" si="21"/>
        <v>0.13928388268424796</v>
      </c>
    </row>
    <row r="210" spans="1:29" x14ac:dyDescent="0.25">
      <c r="A210">
        <v>220</v>
      </c>
      <c r="B210">
        <v>5316194.33</v>
      </c>
      <c r="C210">
        <v>1227661.03</v>
      </c>
      <c r="H210">
        <v>220</v>
      </c>
      <c r="I210">
        <v>5316194.12</v>
      </c>
      <c r="J210">
        <v>1227660.73</v>
      </c>
      <c r="X210" s="38">
        <f t="shared" si="19"/>
        <v>100</v>
      </c>
      <c r="Y210" s="38">
        <f t="shared" si="19"/>
        <v>100</v>
      </c>
      <c r="Z210" s="38">
        <f t="shared" si="20"/>
        <v>-0.2099999999627471</v>
      </c>
      <c r="AA210" s="38">
        <f t="shared" si="20"/>
        <v>-0.30000000004656613</v>
      </c>
      <c r="AB210" s="9"/>
      <c r="AC210" s="39">
        <f t="shared" si="21"/>
        <v>0.3661966684887964</v>
      </c>
    </row>
    <row r="211" spans="1:29" x14ac:dyDescent="0.25">
      <c r="A211">
        <v>221</v>
      </c>
      <c r="B211">
        <v>5316194.33</v>
      </c>
      <c r="C211">
        <v>1227665.73</v>
      </c>
      <c r="H211">
        <v>221</v>
      </c>
      <c r="I211">
        <v>5316194.71</v>
      </c>
      <c r="J211">
        <v>1227666.1000000001</v>
      </c>
      <c r="X211" s="38">
        <f t="shared" si="19"/>
        <v>100</v>
      </c>
      <c r="Y211" s="38">
        <f t="shared" si="19"/>
        <v>100</v>
      </c>
      <c r="Z211" s="38">
        <f t="shared" si="20"/>
        <v>0.37999999988824129</v>
      </c>
      <c r="AA211" s="38">
        <f t="shared" si="20"/>
        <v>0.37000000011175871</v>
      </c>
      <c r="AB211" s="9"/>
      <c r="AC211" s="39">
        <f t="shared" si="21"/>
        <v>0.53037722424493761</v>
      </c>
    </row>
    <row r="212" spans="1:29" x14ac:dyDescent="0.25">
      <c r="A212">
        <v>222</v>
      </c>
      <c r="B212">
        <v>5316194.33</v>
      </c>
      <c r="C212">
        <v>1227670.43</v>
      </c>
      <c r="H212">
        <v>222</v>
      </c>
      <c r="I212">
        <v>5316194.71</v>
      </c>
      <c r="J212">
        <v>1227670.68</v>
      </c>
      <c r="X212" s="38">
        <f t="shared" si="19"/>
        <v>100</v>
      </c>
      <c r="Y212" s="38">
        <f t="shared" si="19"/>
        <v>100</v>
      </c>
      <c r="Z212" s="38">
        <f t="shared" si="20"/>
        <v>0.37999999988824129</v>
      </c>
      <c r="AA212" s="38">
        <f t="shared" si="20"/>
        <v>0.25</v>
      </c>
      <c r="AB212" s="9"/>
      <c r="AC212" s="39">
        <f t="shared" si="21"/>
        <v>0.45486261652840121</v>
      </c>
    </row>
    <row r="213" spans="1:29" x14ac:dyDescent="0.25">
      <c r="A213">
        <v>223</v>
      </c>
      <c r="B213">
        <v>5316194.33</v>
      </c>
      <c r="C213">
        <v>1227675.1299999999</v>
      </c>
      <c r="H213">
        <v>223</v>
      </c>
      <c r="I213">
        <v>5316194.22</v>
      </c>
      <c r="J213">
        <v>1227675.03</v>
      </c>
      <c r="X213" s="38">
        <f t="shared" si="19"/>
        <v>-0.11000000033527613</v>
      </c>
      <c r="Y213" s="38">
        <f t="shared" si="19"/>
        <v>-9.9999999860301614E-2</v>
      </c>
      <c r="Z213" s="38">
        <f t="shared" si="20"/>
        <v>100</v>
      </c>
      <c r="AA213" s="38">
        <f t="shared" si="20"/>
        <v>100</v>
      </c>
      <c r="AB213" s="9"/>
      <c r="AC213" s="39">
        <f t="shared" si="21"/>
        <v>0.148660687627298</v>
      </c>
    </row>
    <row r="214" spans="1:29" x14ac:dyDescent="0.25">
      <c r="A214">
        <v>224</v>
      </c>
      <c r="B214">
        <v>5316194.33</v>
      </c>
      <c r="C214">
        <v>1227679.83</v>
      </c>
      <c r="H214">
        <v>224</v>
      </c>
      <c r="I214">
        <v>5316194.3</v>
      </c>
      <c r="J214">
        <v>1227679.29</v>
      </c>
      <c r="X214" s="38">
        <f t="shared" si="19"/>
        <v>100</v>
      </c>
      <c r="Y214" s="38">
        <f t="shared" si="19"/>
        <v>100</v>
      </c>
      <c r="Z214" s="38">
        <f t="shared" si="20"/>
        <v>-3.0000000260770321E-2</v>
      </c>
      <c r="AA214" s="38">
        <f t="shared" si="20"/>
        <v>-0.5400000000372529</v>
      </c>
      <c r="AB214" s="9"/>
      <c r="AC214" s="39">
        <f t="shared" si="21"/>
        <v>0.54083269137125889</v>
      </c>
    </row>
    <row r="215" spans="1:29" x14ac:dyDescent="0.25">
      <c r="A215">
        <v>225</v>
      </c>
      <c r="B215">
        <v>5316194.33</v>
      </c>
      <c r="C215">
        <v>1227684.53</v>
      </c>
      <c r="H215">
        <v>225</v>
      </c>
      <c r="I215">
        <v>5316194.1399999997</v>
      </c>
      <c r="J215">
        <v>1227683.8999999999</v>
      </c>
      <c r="X215" s="38">
        <f t="shared" si="19"/>
        <v>100</v>
      </c>
      <c r="Y215" s="38">
        <f t="shared" si="19"/>
        <v>100</v>
      </c>
      <c r="Z215" s="38">
        <f t="shared" si="20"/>
        <v>-0.19000000040978193</v>
      </c>
      <c r="AA215" s="38">
        <f t="shared" si="20"/>
        <v>-0.63000000012107193</v>
      </c>
      <c r="AB215" s="9"/>
      <c r="AC215" s="39">
        <f t="shared" si="21"/>
        <v>0.65802735528872025</v>
      </c>
    </row>
    <row r="216" spans="1:29" x14ac:dyDescent="0.25">
      <c r="A216">
        <v>226</v>
      </c>
      <c r="B216">
        <v>5316194.33</v>
      </c>
      <c r="C216">
        <v>1227689.23</v>
      </c>
      <c r="H216">
        <v>226</v>
      </c>
      <c r="I216">
        <v>5316194.34</v>
      </c>
      <c r="J216">
        <v>1227689.2</v>
      </c>
      <c r="X216" s="38">
        <f t="shared" si="19"/>
        <v>9.9999997764825821E-3</v>
      </c>
      <c r="Y216" s="38">
        <f t="shared" si="19"/>
        <v>-3.0000000027939677E-2</v>
      </c>
      <c r="Z216" s="38">
        <f t="shared" si="20"/>
        <v>100</v>
      </c>
      <c r="AA216" s="38">
        <f t="shared" si="20"/>
        <v>100</v>
      </c>
      <c r="AB216" s="9"/>
      <c r="AC216" s="39">
        <f t="shared" si="21"/>
        <v>3.1622776557507282E-2</v>
      </c>
    </row>
    <row r="217" spans="1:29" x14ac:dyDescent="0.25">
      <c r="A217">
        <v>227</v>
      </c>
      <c r="B217">
        <v>5316194.33</v>
      </c>
      <c r="C217">
        <v>1227693.93</v>
      </c>
      <c r="H217">
        <v>227</v>
      </c>
      <c r="I217">
        <v>5316194.33</v>
      </c>
      <c r="J217">
        <v>1227693.71</v>
      </c>
      <c r="X217" s="38">
        <f t="shared" si="19"/>
        <v>0</v>
      </c>
      <c r="Y217" s="38">
        <f t="shared" si="19"/>
        <v>-0.21999999997206032</v>
      </c>
      <c r="Z217" s="38">
        <f t="shared" si="20"/>
        <v>100</v>
      </c>
      <c r="AA217" s="38">
        <f t="shared" si="20"/>
        <v>100</v>
      </c>
      <c r="AB217" s="9"/>
      <c r="AC217" s="39">
        <f t="shared" si="21"/>
        <v>0.21999999997206032</v>
      </c>
    </row>
    <row r="218" spans="1:29" x14ac:dyDescent="0.25">
      <c r="A218">
        <v>228</v>
      </c>
      <c r="B218">
        <v>5316194.33</v>
      </c>
      <c r="C218">
        <v>1227698.6299999999</v>
      </c>
      <c r="H218">
        <v>228</v>
      </c>
      <c r="I218">
        <v>5316194.62</v>
      </c>
      <c r="J218">
        <v>1227698.03</v>
      </c>
      <c r="X218" s="38">
        <f t="shared" si="19"/>
        <v>100</v>
      </c>
      <c r="Y218" s="38">
        <f t="shared" si="19"/>
        <v>100</v>
      </c>
      <c r="Z218" s="38">
        <f t="shared" si="20"/>
        <v>0.2900000000372529</v>
      </c>
      <c r="AA218" s="38">
        <f t="shared" si="20"/>
        <v>-0.59999999986030161</v>
      </c>
      <c r="AB218" s="9"/>
      <c r="AC218" s="39">
        <f t="shared" si="21"/>
        <v>0.6664082831522794</v>
      </c>
    </row>
    <row r="219" spans="1:29" x14ac:dyDescent="0.25">
      <c r="A219">
        <v>229</v>
      </c>
      <c r="B219">
        <v>5316194.33</v>
      </c>
      <c r="C219">
        <v>1227703.33</v>
      </c>
      <c r="H219">
        <v>229</v>
      </c>
      <c r="I219">
        <v>5316194.46</v>
      </c>
      <c r="J219">
        <v>1227703.27</v>
      </c>
      <c r="X219" s="38">
        <f t="shared" si="19"/>
        <v>0.12999999988824129</v>
      </c>
      <c r="Y219" s="38">
        <f t="shared" si="19"/>
        <v>-6.0000000055879354E-2</v>
      </c>
      <c r="Z219" s="38">
        <f t="shared" si="20"/>
        <v>100</v>
      </c>
      <c r="AA219" s="38">
        <f t="shared" si="20"/>
        <v>100</v>
      </c>
      <c r="AB219" s="9"/>
      <c r="AC219" s="39">
        <f t="shared" si="21"/>
        <v>0.14317821055470786</v>
      </c>
    </row>
    <row r="220" spans="1:29" x14ac:dyDescent="0.25">
      <c r="A220">
        <v>230</v>
      </c>
      <c r="B220">
        <v>5316194.33</v>
      </c>
      <c r="C220">
        <v>1227708.03</v>
      </c>
      <c r="H220">
        <v>230</v>
      </c>
      <c r="I220">
        <v>5316194.37</v>
      </c>
      <c r="J220">
        <v>1227708.44</v>
      </c>
      <c r="X220" s="38">
        <f t="shared" si="19"/>
        <v>100</v>
      </c>
      <c r="Y220" s="38">
        <f t="shared" si="19"/>
        <v>100</v>
      </c>
      <c r="Z220" s="38">
        <f t="shared" si="20"/>
        <v>4.0000000037252903E-2</v>
      </c>
      <c r="AA220" s="38">
        <f t="shared" si="20"/>
        <v>0.40999999991618097</v>
      </c>
      <c r="AB220" s="9"/>
      <c r="AC220" s="39">
        <f t="shared" si="21"/>
        <v>0.41194659840111392</v>
      </c>
    </row>
    <row r="221" spans="1:29" x14ac:dyDescent="0.25">
      <c r="A221">
        <v>231</v>
      </c>
      <c r="B221">
        <v>5316194.33</v>
      </c>
      <c r="C221">
        <v>1227712.73</v>
      </c>
      <c r="H221">
        <v>231</v>
      </c>
      <c r="I221">
        <v>5316194.41</v>
      </c>
      <c r="J221">
        <v>1227712.99</v>
      </c>
      <c r="X221" s="38">
        <f t="shared" si="19"/>
        <v>8.0000000074505806E-2</v>
      </c>
      <c r="Y221" s="38">
        <f t="shared" si="19"/>
        <v>0.26000000000931323</v>
      </c>
      <c r="Z221" s="38">
        <f t="shared" si="20"/>
        <v>100</v>
      </c>
      <c r="AA221" s="38">
        <f t="shared" si="20"/>
        <v>100</v>
      </c>
      <c r="AB221" s="9"/>
      <c r="AC221" s="39">
        <f t="shared" si="21"/>
        <v>0.27202941020552135</v>
      </c>
    </row>
    <row r="222" spans="1:29" x14ac:dyDescent="0.25">
      <c r="A222">
        <v>232</v>
      </c>
      <c r="B222">
        <v>5316194.33</v>
      </c>
      <c r="C222">
        <v>1227717.43</v>
      </c>
      <c r="H222">
        <v>232</v>
      </c>
      <c r="I222">
        <v>5316194.46</v>
      </c>
      <c r="J222">
        <v>1227717.6000000001</v>
      </c>
      <c r="X222" s="38">
        <f t="shared" si="19"/>
        <v>0.12999999988824129</v>
      </c>
      <c r="Y222" s="38">
        <f t="shared" si="19"/>
        <v>0.17000000015832484</v>
      </c>
      <c r="Z222" s="38">
        <f t="shared" si="20"/>
        <v>100</v>
      </c>
      <c r="AA222" s="38">
        <f t="shared" si="20"/>
        <v>100</v>
      </c>
      <c r="AB222" s="9"/>
      <c r="AC222" s="39">
        <f t="shared" si="21"/>
        <v>0.2140093456482057</v>
      </c>
    </row>
    <row r="223" spans="1:29" x14ac:dyDescent="0.25">
      <c r="A223">
        <v>233</v>
      </c>
      <c r="B223">
        <v>5316194.33</v>
      </c>
      <c r="C223">
        <v>1227722.1299999999</v>
      </c>
      <c r="H223">
        <v>233</v>
      </c>
      <c r="I223">
        <v>5316194.53</v>
      </c>
      <c r="J223">
        <v>1227722.3999999999</v>
      </c>
      <c r="X223" s="38">
        <f t="shared" si="19"/>
        <v>100</v>
      </c>
      <c r="Y223" s="38">
        <f t="shared" si="19"/>
        <v>100</v>
      </c>
      <c r="Z223" s="38">
        <f t="shared" si="20"/>
        <v>0.20000000018626451</v>
      </c>
      <c r="AA223" s="38">
        <f t="shared" si="20"/>
        <v>0.27000000001862645</v>
      </c>
      <c r="AB223" s="9"/>
      <c r="AC223" s="39">
        <f t="shared" si="21"/>
        <v>0.336005952454066</v>
      </c>
    </row>
    <row r="224" spans="1:29" x14ac:dyDescent="0.25">
      <c r="A224">
        <v>234</v>
      </c>
      <c r="B224">
        <v>5316194.33</v>
      </c>
      <c r="C224">
        <v>1227726.83</v>
      </c>
      <c r="H224">
        <v>234</v>
      </c>
      <c r="I224">
        <v>5316194.22</v>
      </c>
      <c r="J224">
        <v>1227727</v>
      </c>
      <c r="X224" s="38">
        <f t="shared" si="19"/>
        <v>-0.11000000033527613</v>
      </c>
      <c r="Y224" s="38">
        <f t="shared" si="19"/>
        <v>0.16999999992549419</v>
      </c>
      <c r="Z224" s="38">
        <f t="shared" si="20"/>
        <v>100</v>
      </c>
      <c r="AA224" s="38">
        <f t="shared" si="20"/>
        <v>100</v>
      </c>
      <c r="AB224" s="9"/>
      <c r="AC224" s="39">
        <f t="shared" si="21"/>
        <v>0.2024845674327522</v>
      </c>
    </row>
    <row r="225" spans="1:29" x14ac:dyDescent="0.25">
      <c r="A225">
        <v>235</v>
      </c>
      <c r="B225">
        <v>5316194.33</v>
      </c>
      <c r="C225">
        <v>1227731.53</v>
      </c>
      <c r="H225">
        <v>235</v>
      </c>
      <c r="I225">
        <v>5316194.32</v>
      </c>
      <c r="J225">
        <v>1227731.7</v>
      </c>
      <c r="X225" s="38">
        <f t="shared" si="19"/>
        <v>-9.9999997764825821E-3</v>
      </c>
      <c r="Y225" s="38">
        <f t="shared" si="19"/>
        <v>0.16999999992549419</v>
      </c>
      <c r="Z225" s="38">
        <f t="shared" si="20"/>
        <v>100</v>
      </c>
      <c r="AA225" s="38">
        <f t="shared" si="20"/>
        <v>100</v>
      </c>
      <c r="AB225" s="9"/>
      <c r="AC225" s="39">
        <f t="shared" si="21"/>
        <v>0.17029386357176138</v>
      </c>
    </row>
    <row r="226" spans="1:29" x14ac:dyDescent="0.25">
      <c r="A226">
        <v>236</v>
      </c>
      <c r="B226">
        <v>5316194.33</v>
      </c>
      <c r="C226">
        <v>1227736.23</v>
      </c>
      <c r="H226">
        <v>236</v>
      </c>
      <c r="I226">
        <v>5316194.43</v>
      </c>
      <c r="J226">
        <v>1227736.6000000001</v>
      </c>
      <c r="X226" s="38">
        <f t="shared" si="19"/>
        <v>100</v>
      </c>
      <c r="Y226" s="38">
        <f t="shared" si="19"/>
        <v>100</v>
      </c>
      <c r="Z226" s="38">
        <f t="shared" si="20"/>
        <v>9.999999962747097E-2</v>
      </c>
      <c r="AA226" s="38">
        <f t="shared" si="20"/>
        <v>0.37000000011175871</v>
      </c>
      <c r="AB226" s="9"/>
      <c r="AC226" s="39">
        <f t="shared" si="21"/>
        <v>0.38327535794542761</v>
      </c>
    </row>
    <row r="227" spans="1:29" x14ac:dyDescent="0.25">
      <c r="A227">
        <v>237</v>
      </c>
      <c r="B227">
        <v>5316194.33</v>
      </c>
      <c r="C227">
        <v>1227739.1000000001</v>
      </c>
      <c r="H227">
        <v>237</v>
      </c>
      <c r="I227">
        <v>5316194.6100000003</v>
      </c>
      <c r="J227">
        <v>1227738.45</v>
      </c>
      <c r="X227" s="38">
        <f t="shared" si="19"/>
        <v>100</v>
      </c>
      <c r="Y227" s="38">
        <f t="shared" si="19"/>
        <v>100</v>
      </c>
      <c r="Z227" s="38">
        <f t="shared" si="20"/>
        <v>0.28000000026077032</v>
      </c>
      <c r="AA227" s="38">
        <f t="shared" si="20"/>
        <v>-0.65000000013969839</v>
      </c>
      <c r="AB227" s="9"/>
      <c r="AC227" s="39">
        <f t="shared" si="21"/>
        <v>0.70774289140028757</v>
      </c>
    </row>
    <row r="228" spans="1:29" x14ac:dyDescent="0.25">
      <c r="A228">
        <v>238</v>
      </c>
      <c r="B228">
        <v>5316198.4400000004</v>
      </c>
      <c r="C228">
        <v>1227737.71</v>
      </c>
      <c r="H228">
        <v>238</v>
      </c>
      <c r="I228">
        <v>5316198.58</v>
      </c>
      <c r="J228">
        <v>1227737.8899999999</v>
      </c>
      <c r="X228" s="38">
        <f t="shared" si="19"/>
        <v>0.13999999966472387</v>
      </c>
      <c r="Y228" s="38">
        <f t="shared" si="19"/>
        <v>0.17999999993480742</v>
      </c>
      <c r="Z228" s="38">
        <f t="shared" si="20"/>
        <v>100</v>
      </c>
      <c r="AA228" s="38">
        <f t="shared" si="20"/>
        <v>100</v>
      </c>
      <c r="AB228" s="9"/>
      <c r="AC228" s="39">
        <f t="shared" si="21"/>
        <v>0.22803508476252807</v>
      </c>
    </row>
    <row r="229" spans="1:29" x14ac:dyDescent="0.25">
      <c r="A229">
        <v>239</v>
      </c>
      <c r="B229">
        <v>5316198.43</v>
      </c>
      <c r="C229">
        <v>1227733.8799999999</v>
      </c>
      <c r="H229">
        <v>239</v>
      </c>
      <c r="I229">
        <v>5316198.96</v>
      </c>
      <c r="J229">
        <v>1227733.96</v>
      </c>
      <c r="X229" s="38">
        <f t="shared" si="19"/>
        <v>100</v>
      </c>
      <c r="Y229" s="38">
        <f t="shared" si="19"/>
        <v>100</v>
      </c>
      <c r="Z229" s="38">
        <f t="shared" si="20"/>
        <v>0.53000000026077032</v>
      </c>
      <c r="AA229" s="38">
        <f t="shared" si="20"/>
        <v>8.0000000074505806E-2</v>
      </c>
      <c r="AB229" s="9"/>
      <c r="AC229" s="39">
        <f t="shared" si="21"/>
        <v>0.53600373159926551</v>
      </c>
    </row>
    <row r="230" spans="1:29" x14ac:dyDescent="0.25">
      <c r="A230">
        <v>240</v>
      </c>
      <c r="B230">
        <v>5316198.43</v>
      </c>
      <c r="C230">
        <v>1227729.18</v>
      </c>
      <c r="H230">
        <v>240</v>
      </c>
      <c r="I230">
        <v>5316198.34</v>
      </c>
      <c r="J230">
        <v>1227728.5900000001</v>
      </c>
      <c r="X230" s="38">
        <f t="shared" si="19"/>
        <v>100</v>
      </c>
      <c r="Y230" s="38">
        <f t="shared" si="19"/>
        <v>100</v>
      </c>
      <c r="Z230" s="38">
        <f t="shared" si="20"/>
        <v>-8.9999999850988388E-2</v>
      </c>
      <c r="AA230" s="38">
        <f t="shared" si="20"/>
        <v>-0.58999999985098839</v>
      </c>
      <c r="AB230" s="9"/>
      <c r="AC230" s="39">
        <f t="shared" si="21"/>
        <v>0.59682493228529265</v>
      </c>
    </row>
    <row r="231" spans="1:29" x14ac:dyDescent="0.25">
      <c r="A231">
        <v>241</v>
      </c>
      <c r="B231">
        <v>5316198.43</v>
      </c>
      <c r="C231">
        <v>1227724.48</v>
      </c>
      <c r="H231">
        <v>241</v>
      </c>
      <c r="I231">
        <v>5316197.62</v>
      </c>
      <c r="J231">
        <v>1227724.56</v>
      </c>
      <c r="X231" s="38">
        <f t="shared" si="19"/>
        <v>100</v>
      </c>
      <c r="Y231" s="38">
        <f t="shared" si="19"/>
        <v>100</v>
      </c>
      <c r="Z231" s="38">
        <f t="shared" si="20"/>
        <v>-0.80999999959021807</v>
      </c>
      <c r="AA231" s="38">
        <f t="shared" si="20"/>
        <v>8.0000000074505806E-2</v>
      </c>
      <c r="AB231" s="9"/>
      <c r="AC231" s="39">
        <f t="shared" si="21"/>
        <v>0.81394102940451052</v>
      </c>
    </row>
    <row r="232" spans="1:29" x14ac:dyDescent="0.25">
      <c r="A232">
        <v>242</v>
      </c>
      <c r="B232">
        <v>5316198.43</v>
      </c>
      <c r="C232">
        <v>1227719.78</v>
      </c>
      <c r="H232">
        <v>242</v>
      </c>
      <c r="I232">
        <v>5316198.42</v>
      </c>
      <c r="J232">
        <v>1227719.5</v>
      </c>
      <c r="X232" s="38">
        <f t="shared" si="19"/>
        <v>-9.9999997764825821E-3</v>
      </c>
      <c r="Y232" s="38">
        <f t="shared" si="19"/>
        <v>-0.28000000002793968</v>
      </c>
      <c r="Z232" s="38">
        <f t="shared" si="20"/>
        <v>100</v>
      </c>
      <c r="AA232" s="38">
        <f t="shared" si="20"/>
        <v>100</v>
      </c>
      <c r="AB232" s="9"/>
      <c r="AC232" s="39">
        <f t="shared" si="21"/>
        <v>0.28017851454238218</v>
      </c>
    </row>
    <row r="233" spans="1:29" x14ac:dyDescent="0.25">
      <c r="A233">
        <v>243</v>
      </c>
      <c r="B233">
        <v>5316198.43</v>
      </c>
      <c r="C233">
        <v>1227715.08</v>
      </c>
      <c r="H233">
        <v>243</v>
      </c>
      <c r="I233">
        <v>5316198.54</v>
      </c>
      <c r="J233">
        <v>1227715.42</v>
      </c>
      <c r="X233" s="38">
        <f t="shared" si="19"/>
        <v>100</v>
      </c>
      <c r="Y233" s="38">
        <f t="shared" si="19"/>
        <v>100</v>
      </c>
      <c r="Z233" s="38">
        <f t="shared" si="20"/>
        <v>0.11000000033527613</v>
      </c>
      <c r="AA233" s="38">
        <f t="shared" si="20"/>
        <v>0.33999999985098839</v>
      </c>
      <c r="AB233" s="9"/>
      <c r="AC233" s="39">
        <f t="shared" si="21"/>
        <v>0.35735136766554126</v>
      </c>
    </row>
    <row r="234" spans="1:29" x14ac:dyDescent="0.25">
      <c r="A234">
        <v>244</v>
      </c>
      <c r="B234">
        <v>5316198.43</v>
      </c>
      <c r="C234">
        <v>1227710.3799999999</v>
      </c>
      <c r="H234">
        <v>244</v>
      </c>
      <c r="I234">
        <v>5316198.4800000004</v>
      </c>
      <c r="J234">
        <v>1227710.18</v>
      </c>
      <c r="X234" s="38">
        <f t="shared" si="19"/>
        <v>5.000000074505806E-2</v>
      </c>
      <c r="Y234" s="38">
        <f t="shared" si="19"/>
        <v>-0.19999999995343387</v>
      </c>
      <c r="Z234" s="38">
        <f t="shared" si="20"/>
        <v>100</v>
      </c>
      <c r="AA234" s="38">
        <f t="shared" si="20"/>
        <v>100</v>
      </c>
      <c r="AB234" s="9"/>
      <c r="AC234" s="39">
        <f t="shared" si="21"/>
        <v>0.20615528141641037</v>
      </c>
    </row>
    <row r="235" spans="1:29" x14ac:dyDescent="0.25">
      <c r="A235">
        <v>245</v>
      </c>
      <c r="B235">
        <v>5316198.43</v>
      </c>
      <c r="C235">
        <v>1227705.68</v>
      </c>
      <c r="H235">
        <v>245</v>
      </c>
      <c r="I235">
        <v>5316198.46</v>
      </c>
      <c r="J235">
        <v>1227705.6200000001</v>
      </c>
      <c r="X235" s="38">
        <f t="shared" si="19"/>
        <v>3.0000000260770321E-2</v>
      </c>
      <c r="Y235" s="38">
        <f t="shared" si="19"/>
        <v>-5.9999999823048711E-2</v>
      </c>
      <c r="Z235" s="38">
        <f t="shared" si="20"/>
        <v>100</v>
      </c>
      <c r="AA235" s="38">
        <f t="shared" si="20"/>
        <v>100</v>
      </c>
      <c r="AB235" s="9"/>
      <c r="AC235" s="39">
        <f t="shared" si="21"/>
        <v>6.7082039283343678E-2</v>
      </c>
    </row>
    <row r="236" spans="1:29" x14ac:dyDescent="0.25">
      <c r="A236">
        <v>246</v>
      </c>
      <c r="B236">
        <v>5316198.43</v>
      </c>
      <c r="C236">
        <v>1227700.98</v>
      </c>
      <c r="H236">
        <v>246</v>
      </c>
      <c r="I236">
        <v>5316198.5199999996</v>
      </c>
      <c r="J236">
        <v>1227701.82</v>
      </c>
      <c r="X236" s="38">
        <f t="shared" si="19"/>
        <v>100</v>
      </c>
      <c r="Y236" s="38">
        <f t="shared" si="19"/>
        <v>100</v>
      </c>
      <c r="Z236" s="38">
        <f t="shared" si="20"/>
        <v>8.9999999850988388E-2</v>
      </c>
      <c r="AA236" s="38">
        <f t="shared" si="20"/>
        <v>0.84000000008381903</v>
      </c>
      <c r="AB236" s="9"/>
      <c r="AC236" s="39">
        <f t="shared" si="21"/>
        <v>0.84480767048719074</v>
      </c>
    </row>
    <row r="237" spans="1:29" x14ac:dyDescent="0.25">
      <c r="A237">
        <v>247</v>
      </c>
      <c r="B237">
        <v>5316198.43</v>
      </c>
      <c r="C237">
        <v>1227696.28</v>
      </c>
      <c r="H237">
        <v>247</v>
      </c>
      <c r="I237">
        <v>5316198.3899999997</v>
      </c>
      <c r="J237">
        <v>1227696.1200000001</v>
      </c>
      <c r="X237" s="38">
        <f t="shared" si="19"/>
        <v>-4.0000000037252903E-2</v>
      </c>
      <c r="Y237" s="38">
        <f t="shared" si="19"/>
        <v>-0.15999999991618097</v>
      </c>
      <c r="Z237" s="38">
        <f t="shared" si="20"/>
        <v>100</v>
      </c>
      <c r="AA237" s="38">
        <f t="shared" si="20"/>
        <v>100</v>
      </c>
      <c r="AB237" s="9"/>
      <c r="AC237" s="39">
        <f t="shared" si="21"/>
        <v>0.16492422495242517</v>
      </c>
    </row>
    <row r="238" spans="1:29" x14ac:dyDescent="0.25">
      <c r="A238">
        <v>248</v>
      </c>
      <c r="B238">
        <v>5316198.43</v>
      </c>
      <c r="C238">
        <v>1227691.58</v>
      </c>
      <c r="H238">
        <v>248</v>
      </c>
      <c r="I238">
        <v>5316198.4000000004</v>
      </c>
      <c r="J238">
        <v>1227691.52</v>
      </c>
      <c r="X238" s="38">
        <f t="shared" si="19"/>
        <v>-2.9999999329447746E-2</v>
      </c>
      <c r="Y238" s="38">
        <f t="shared" si="19"/>
        <v>-6.0000000055879354E-2</v>
      </c>
      <c r="Z238" s="38">
        <f t="shared" si="20"/>
        <v>100</v>
      </c>
      <c r="AA238" s="38">
        <f t="shared" si="20"/>
        <v>100</v>
      </c>
      <c r="AB238" s="9"/>
      <c r="AC238" s="39">
        <f t="shared" si="21"/>
        <v>6.7082039075093622E-2</v>
      </c>
    </row>
    <row r="239" spans="1:29" x14ac:dyDescent="0.25">
      <c r="A239">
        <v>249</v>
      </c>
      <c r="B239">
        <v>5316198.43</v>
      </c>
      <c r="C239">
        <v>1227686.8799999999</v>
      </c>
      <c r="H239">
        <v>249</v>
      </c>
      <c r="I239">
        <v>5316198.46</v>
      </c>
      <c r="J239">
        <v>1227686.55</v>
      </c>
      <c r="X239" s="38">
        <f t="shared" si="19"/>
        <v>100</v>
      </c>
      <c r="Y239" s="38">
        <f t="shared" si="19"/>
        <v>100</v>
      </c>
      <c r="Z239" s="38">
        <f t="shared" si="20"/>
        <v>3.0000000260770321E-2</v>
      </c>
      <c r="AA239" s="38">
        <f t="shared" si="20"/>
        <v>-0.32999999984167516</v>
      </c>
      <c r="AB239" s="9"/>
      <c r="AC239" s="39">
        <f t="shared" si="21"/>
        <v>0.33136083038155223</v>
      </c>
    </row>
    <row r="240" spans="1:29" x14ac:dyDescent="0.25">
      <c r="A240">
        <v>250</v>
      </c>
      <c r="B240">
        <v>5316198.43</v>
      </c>
      <c r="C240">
        <v>1227682.18</v>
      </c>
      <c r="H240">
        <v>250</v>
      </c>
      <c r="I240">
        <v>5316198.43</v>
      </c>
      <c r="J240">
        <v>1227681.6499999999</v>
      </c>
      <c r="X240" s="38">
        <f t="shared" si="19"/>
        <v>100</v>
      </c>
      <c r="Y240" s="38">
        <f t="shared" si="19"/>
        <v>100</v>
      </c>
      <c r="Z240" s="38">
        <f t="shared" si="20"/>
        <v>0</v>
      </c>
      <c r="AA240" s="38">
        <f t="shared" si="20"/>
        <v>-0.53000000002793968</v>
      </c>
      <c r="AB240" s="9"/>
      <c r="AC240" s="39">
        <f t="shared" si="21"/>
        <v>0.53000000002793968</v>
      </c>
    </row>
    <row r="241" spans="1:29" x14ac:dyDescent="0.25">
      <c r="A241">
        <v>251</v>
      </c>
      <c r="B241">
        <v>5316198.43</v>
      </c>
      <c r="C241">
        <v>1227677.48</v>
      </c>
      <c r="H241">
        <v>251</v>
      </c>
      <c r="I241">
        <v>5316197.7</v>
      </c>
      <c r="J241">
        <v>1227678.42</v>
      </c>
      <c r="X241" s="38">
        <f t="shared" ref="X241:Y284" si="22">IF(AND(B241&lt;&gt;"",$AC241&lt;$AD$5),I241-B241,100)</f>
        <v>100</v>
      </c>
      <c r="Y241" s="38">
        <f t="shared" si="22"/>
        <v>100</v>
      </c>
      <c r="Z241" s="38">
        <f t="shared" ref="Z241:AA284" si="23">IF(AND(B241&lt;&gt;"",$AC241&gt;$AD$5),I241-B241,100)</f>
        <v>-0.72999999951571226</v>
      </c>
      <c r="AA241" s="38">
        <f t="shared" si="23"/>
        <v>0.93999999994412065</v>
      </c>
      <c r="AB241" s="9"/>
      <c r="AC241" s="39">
        <f t="shared" si="21"/>
        <v>1.1901680550190745</v>
      </c>
    </row>
    <row r="242" spans="1:29" x14ac:dyDescent="0.25">
      <c r="A242">
        <v>252</v>
      </c>
      <c r="B242">
        <v>5316198.43</v>
      </c>
      <c r="C242">
        <v>1227672.78</v>
      </c>
      <c r="H242">
        <v>252</v>
      </c>
      <c r="I242">
        <v>5316198.3600000003</v>
      </c>
      <c r="J242">
        <v>1227672.9099999999</v>
      </c>
      <c r="X242" s="38">
        <f t="shared" si="22"/>
        <v>-6.9999999366700649E-2</v>
      </c>
      <c r="Y242" s="38">
        <f t="shared" si="22"/>
        <v>0.12999999988824129</v>
      </c>
      <c r="Z242" s="38">
        <f t="shared" si="23"/>
        <v>100</v>
      </c>
      <c r="AA242" s="38">
        <f t="shared" si="23"/>
        <v>100</v>
      </c>
      <c r="AB242" s="9"/>
      <c r="AC242" s="39">
        <f t="shared" si="21"/>
        <v>0.14764823020368659</v>
      </c>
    </row>
    <row r="243" spans="1:29" x14ac:dyDescent="0.25">
      <c r="A243">
        <v>253</v>
      </c>
      <c r="B243">
        <v>5316198.43</v>
      </c>
      <c r="C243">
        <v>1227668.08</v>
      </c>
      <c r="H243">
        <v>253</v>
      </c>
      <c r="I243">
        <v>5316198.3</v>
      </c>
      <c r="J243">
        <v>1227667.75</v>
      </c>
      <c r="X243" s="38">
        <f t="shared" si="22"/>
        <v>100</v>
      </c>
      <c r="Y243" s="38">
        <f t="shared" si="22"/>
        <v>100</v>
      </c>
      <c r="Z243" s="38">
        <f t="shared" si="23"/>
        <v>-0.12999999988824129</v>
      </c>
      <c r="AA243" s="38">
        <f t="shared" si="23"/>
        <v>-0.33000000007450581</v>
      </c>
      <c r="AB243" s="9"/>
      <c r="AC243" s="39">
        <f t="shared" si="21"/>
        <v>0.35468295704772251</v>
      </c>
    </row>
    <row r="244" spans="1:29" x14ac:dyDescent="0.25">
      <c r="A244">
        <v>254</v>
      </c>
      <c r="B244">
        <v>5316198.43</v>
      </c>
      <c r="C244">
        <v>1227663.3799999999</v>
      </c>
      <c r="H244">
        <v>254</v>
      </c>
      <c r="I244">
        <v>5316198.37</v>
      </c>
      <c r="J244">
        <v>1227663.77</v>
      </c>
      <c r="X244" s="38">
        <f t="shared" si="22"/>
        <v>100</v>
      </c>
      <c r="Y244" s="38">
        <f t="shared" si="22"/>
        <v>100</v>
      </c>
      <c r="Z244" s="38">
        <f t="shared" si="23"/>
        <v>-5.9999999590218067E-2</v>
      </c>
      <c r="AA244" s="38">
        <f t="shared" si="23"/>
        <v>0.39000000013038516</v>
      </c>
      <c r="AB244" s="9"/>
      <c r="AC244" s="39">
        <f t="shared" si="21"/>
        <v>0.3945883932055359</v>
      </c>
    </row>
    <row r="245" spans="1:29" x14ac:dyDescent="0.25">
      <c r="A245">
        <v>255</v>
      </c>
      <c r="B245">
        <v>5316198.43</v>
      </c>
      <c r="C245">
        <v>1227658.68</v>
      </c>
      <c r="H245">
        <v>255</v>
      </c>
      <c r="I245">
        <v>5316198.6900000004</v>
      </c>
      <c r="J245">
        <v>1227658.53</v>
      </c>
      <c r="X245" s="38">
        <f t="shared" si="22"/>
        <v>100</v>
      </c>
      <c r="Y245" s="38">
        <f t="shared" si="22"/>
        <v>100</v>
      </c>
      <c r="Z245" s="38">
        <f t="shared" si="23"/>
        <v>0.26000000070780516</v>
      </c>
      <c r="AA245" s="38">
        <f t="shared" si="23"/>
        <v>-0.14999999990686774</v>
      </c>
      <c r="AB245" s="9"/>
      <c r="AC245" s="39">
        <f t="shared" si="21"/>
        <v>0.30016662096262303</v>
      </c>
    </row>
    <row r="246" spans="1:29" x14ac:dyDescent="0.25">
      <c r="A246">
        <v>256</v>
      </c>
      <c r="B246">
        <v>5316198.43</v>
      </c>
      <c r="C246">
        <v>1227653.98</v>
      </c>
      <c r="H246">
        <v>256</v>
      </c>
      <c r="I246">
        <v>5316198.1500000004</v>
      </c>
      <c r="J246">
        <v>1227653.93</v>
      </c>
      <c r="X246" s="38">
        <f t="shared" si="22"/>
        <v>-0.27999999932944775</v>
      </c>
      <c r="Y246" s="38">
        <f t="shared" si="22"/>
        <v>-5.0000000046566129E-2</v>
      </c>
      <c r="Z246" s="38">
        <f t="shared" si="23"/>
        <v>100</v>
      </c>
      <c r="AA246" s="38">
        <f t="shared" si="23"/>
        <v>100</v>
      </c>
      <c r="AB246" s="9"/>
      <c r="AC246" s="39">
        <f t="shared" si="21"/>
        <v>0.28442925241463357</v>
      </c>
    </row>
    <row r="247" spans="1:29" x14ac:dyDescent="0.25">
      <c r="A247">
        <v>257</v>
      </c>
      <c r="B247">
        <v>5316198.43</v>
      </c>
      <c r="C247">
        <v>1227649.28</v>
      </c>
      <c r="H247">
        <v>257</v>
      </c>
      <c r="I247">
        <v>5316198.5599999996</v>
      </c>
      <c r="J247">
        <v>1227649.3999999999</v>
      </c>
      <c r="X247" s="38">
        <f t="shared" si="22"/>
        <v>0.12999999988824129</v>
      </c>
      <c r="Y247" s="38">
        <f t="shared" si="22"/>
        <v>0.11999999987892807</v>
      </c>
      <c r="Z247" s="38">
        <f t="shared" si="23"/>
        <v>100</v>
      </c>
      <c r="AA247" s="38">
        <f t="shared" si="23"/>
        <v>100</v>
      </c>
      <c r="AB247" s="9"/>
      <c r="AC247" s="39">
        <f t="shared" si="21"/>
        <v>0.17691805996529994</v>
      </c>
    </row>
    <row r="248" spans="1:29" x14ac:dyDescent="0.25">
      <c r="A248">
        <v>258</v>
      </c>
      <c r="B248">
        <v>5316202.53</v>
      </c>
      <c r="C248">
        <v>1227646.93</v>
      </c>
      <c r="H248">
        <v>258</v>
      </c>
      <c r="I248">
        <v>5316202.24</v>
      </c>
      <c r="J248">
        <v>1227646.7</v>
      </c>
      <c r="X248" s="38">
        <f t="shared" si="22"/>
        <v>100</v>
      </c>
      <c r="Y248" s="38">
        <f t="shared" si="22"/>
        <v>100</v>
      </c>
      <c r="Z248" s="38">
        <f t="shared" si="23"/>
        <v>-0.2900000000372529</v>
      </c>
      <c r="AA248" s="38">
        <f t="shared" si="23"/>
        <v>-0.22999999998137355</v>
      </c>
      <c r="AB248" s="9"/>
      <c r="AC248" s="39">
        <f t="shared" si="21"/>
        <v>0.37013511048404812</v>
      </c>
    </row>
    <row r="249" spans="1:29" x14ac:dyDescent="0.25">
      <c r="A249">
        <v>259</v>
      </c>
      <c r="B249">
        <v>5316202.53</v>
      </c>
      <c r="C249">
        <v>1227651.6299999999</v>
      </c>
      <c r="H249">
        <v>259</v>
      </c>
      <c r="I249">
        <v>5316202.6900000004</v>
      </c>
      <c r="J249">
        <v>1227651.29</v>
      </c>
      <c r="X249" s="38">
        <f t="shared" si="22"/>
        <v>100</v>
      </c>
      <c r="Y249" s="38">
        <f t="shared" si="22"/>
        <v>100</v>
      </c>
      <c r="Z249" s="38">
        <f t="shared" si="23"/>
        <v>0.16000000014901161</v>
      </c>
      <c r="AA249" s="38">
        <f t="shared" si="23"/>
        <v>-0.33999999985098839</v>
      </c>
      <c r="AB249" s="9"/>
      <c r="AC249" s="39">
        <f t="shared" si="21"/>
        <v>0.37576588448973891</v>
      </c>
    </row>
    <row r="250" spans="1:29" x14ac:dyDescent="0.25">
      <c r="A250">
        <v>260</v>
      </c>
      <c r="B250">
        <v>5316202.53</v>
      </c>
      <c r="C250">
        <v>1227656.33</v>
      </c>
      <c r="H250">
        <v>260</v>
      </c>
      <c r="I250">
        <v>5316201.57</v>
      </c>
      <c r="J250">
        <v>1227656.94</v>
      </c>
      <c r="X250" s="38">
        <f t="shared" si="22"/>
        <v>100</v>
      </c>
      <c r="Y250" s="38">
        <f t="shared" si="22"/>
        <v>100</v>
      </c>
      <c r="Z250" s="38">
        <f t="shared" si="23"/>
        <v>-0.9599999999627471</v>
      </c>
      <c r="AA250" s="38">
        <f t="shared" si="23"/>
        <v>0.60999999986961484</v>
      </c>
      <c r="AB250" s="9"/>
      <c r="AC250" s="39">
        <f t="shared" si="21"/>
        <v>1.1374093369448857</v>
      </c>
    </row>
    <row r="251" spans="1:29" x14ac:dyDescent="0.25">
      <c r="A251">
        <v>261</v>
      </c>
      <c r="B251">
        <v>5316202.53</v>
      </c>
      <c r="C251">
        <v>1227661.03</v>
      </c>
      <c r="H251">
        <v>261</v>
      </c>
      <c r="I251">
        <v>5316202.17</v>
      </c>
      <c r="J251">
        <v>1227661.1499999999</v>
      </c>
      <c r="X251" s="38">
        <f t="shared" si="22"/>
        <v>100</v>
      </c>
      <c r="Y251" s="38">
        <f t="shared" si="22"/>
        <v>100</v>
      </c>
      <c r="Z251" s="38">
        <f t="shared" si="23"/>
        <v>-0.36000000033527613</v>
      </c>
      <c r="AA251" s="38">
        <f t="shared" si="23"/>
        <v>0.11999999987892807</v>
      </c>
      <c r="AB251" s="9"/>
      <c r="AC251" s="39">
        <f t="shared" si="21"/>
        <v>0.37947331949999008</v>
      </c>
    </row>
    <row r="252" spans="1:29" x14ac:dyDescent="0.25">
      <c r="A252">
        <v>262</v>
      </c>
      <c r="B252">
        <v>5316202.53</v>
      </c>
      <c r="C252">
        <v>1227665.73</v>
      </c>
      <c r="H252">
        <v>262</v>
      </c>
      <c r="I252">
        <v>5316202.45</v>
      </c>
      <c r="J252">
        <v>1227665.6200000001</v>
      </c>
      <c r="X252" s="38">
        <f t="shared" si="22"/>
        <v>-8.0000000074505806E-2</v>
      </c>
      <c r="Y252" s="38">
        <f t="shared" si="22"/>
        <v>-0.10999999986961484</v>
      </c>
      <c r="Z252" s="38">
        <f t="shared" si="23"/>
        <v>100</v>
      </c>
      <c r="AA252" s="38">
        <f t="shared" si="23"/>
        <v>100</v>
      </c>
      <c r="AB252" s="9"/>
      <c r="AC252" s="39">
        <f t="shared" si="21"/>
        <v>0.13601470502572946</v>
      </c>
    </row>
    <row r="253" spans="1:29" x14ac:dyDescent="0.25">
      <c r="A253">
        <v>263</v>
      </c>
      <c r="B253">
        <v>5316202.53</v>
      </c>
      <c r="C253">
        <v>1227670.43</v>
      </c>
      <c r="H253">
        <v>263</v>
      </c>
      <c r="I253">
        <v>5316202.0199999996</v>
      </c>
      <c r="J253">
        <v>1227669.5900000001</v>
      </c>
      <c r="X253" s="38">
        <f t="shared" si="22"/>
        <v>100</v>
      </c>
      <c r="Y253" s="38">
        <f t="shared" si="22"/>
        <v>100</v>
      </c>
      <c r="Z253" s="38">
        <f t="shared" si="23"/>
        <v>-0.51000000070780516</v>
      </c>
      <c r="AA253" s="38">
        <f t="shared" si="23"/>
        <v>-0.83999999985098839</v>
      </c>
      <c r="AB253" s="9"/>
      <c r="AC253" s="39">
        <f t="shared" si="21"/>
        <v>0.98270036148951412</v>
      </c>
    </row>
    <row r="254" spans="1:29" x14ac:dyDescent="0.25">
      <c r="A254">
        <v>264</v>
      </c>
      <c r="B254">
        <v>5316202.53</v>
      </c>
      <c r="C254">
        <v>1227675.1299999999</v>
      </c>
      <c r="H254">
        <v>264</v>
      </c>
      <c r="I254">
        <v>5316202.7699999996</v>
      </c>
      <c r="J254">
        <v>1227675.8400000001</v>
      </c>
      <c r="X254" s="38">
        <f t="shared" si="22"/>
        <v>100</v>
      </c>
      <c r="Y254" s="38">
        <f t="shared" si="22"/>
        <v>100</v>
      </c>
      <c r="Z254" s="38">
        <f t="shared" si="23"/>
        <v>0.23999999929219484</v>
      </c>
      <c r="AA254" s="38">
        <f t="shared" si="23"/>
        <v>0.71000000019557774</v>
      </c>
      <c r="AB254" s="9"/>
      <c r="AC254" s="39">
        <f t="shared" si="21"/>
        <v>0.74946647686068912</v>
      </c>
    </row>
    <row r="255" spans="1:29" x14ac:dyDescent="0.25">
      <c r="A255">
        <v>265</v>
      </c>
      <c r="B255">
        <v>5316202.53</v>
      </c>
      <c r="C255">
        <v>1227679.83</v>
      </c>
      <c r="H255">
        <v>265</v>
      </c>
      <c r="I255">
        <v>5316202.3600000003</v>
      </c>
      <c r="J255">
        <v>1227679.78</v>
      </c>
      <c r="X255" s="38">
        <f t="shared" si="22"/>
        <v>-0.16999999992549419</v>
      </c>
      <c r="Y255" s="38">
        <f t="shared" si="22"/>
        <v>-5.0000000046566129E-2</v>
      </c>
      <c r="Z255" s="38">
        <f t="shared" si="23"/>
        <v>100</v>
      </c>
      <c r="AA255" s="38">
        <f t="shared" si="23"/>
        <v>100</v>
      </c>
      <c r="AB255" s="9"/>
      <c r="AC255" s="39">
        <f t="shared" si="21"/>
        <v>0.17720045140835461</v>
      </c>
    </row>
    <row r="256" spans="1:29" x14ac:dyDescent="0.25">
      <c r="A256">
        <v>266</v>
      </c>
      <c r="B256">
        <v>5316202.53</v>
      </c>
      <c r="C256">
        <v>1227684.53</v>
      </c>
      <c r="H256">
        <v>266</v>
      </c>
      <c r="I256">
        <v>5316202.59</v>
      </c>
      <c r="J256">
        <v>1227684.76</v>
      </c>
      <c r="X256" s="38">
        <f t="shared" si="22"/>
        <v>5.9999999590218067E-2</v>
      </c>
      <c r="Y256" s="38">
        <f t="shared" si="22"/>
        <v>0.22999999998137355</v>
      </c>
      <c r="Z256" s="38">
        <f t="shared" si="23"/>
        <v>100</v>
      </c>
      <c r="AA256" s="38">
        <f t="shared" si="23"/>
        <v>100</v>
      </c>
      <c r="AB256" s="9"/>
      <c r="AC256" s="39">
        <f t="shared" si="21"/>
        <v>0.23769728635863305</v>
      </c>
    </row>
    <row r="257" spans="1:29" x14ac:dyDescent="0.25">
      <c r="A257">
        <v>267</v>
      </c>
      <c r="B257">
        <v>5316202.53</v>
      </c>
      <c r="C257">
        <v>1227689.23</v>
      </c>
      <c r="H257">
        <v>267</v>
      </c>
      <c r="I257">
        <v>5316201.4000000004</v>
      </c>
      <c r="J257">
        <v>1227689.6399999999</v>
      </c>
      <c r="X257" s="38">
        <f t="shared" si="22"/>
        <v>100</v>
      </c>
      <c r="Y257" s="38">
        <f t="shared" si="22"/>
        <v>100</v>
      </c>
      <c r="Z257" s="38">
        <f t="shared" si="23"/>
        <v>-1.1299999998882413</v>
      </c>
      <c r="AA257" s="38">
        <f t="shared" si="23"/>
        <v>0.40999999991618097</v>
      </c>
      <c r="AB257" s="9"/>
      <c r="AC257" s="39">
        <f t="shared" si="21"/>
        <v>1.2020815278834851</v>
      </c>
    </row>
    <row r="258" spans="1:29" x14ac:dyDescent="0.25">
      <c r="A258">
        <v>268</v>
      </c>
      <c r="B258">
        <v>5316202.53</v>
      </c>
      <c r="C258">
        <v>1227693.93</v>
      </c>
      <c r="H258">
        <v>268</v>
      </c>
      <c r="I258">
        <v>5316202.4800000004</v>
      </c>
      <c r="J258">
        <v>1227694.1599999999</v>
      </c>
      <c r="X258" s="38">
        <f t="shared" si="22"/>
        <v>-4.9999999813735485E-2</v>
      </c>
      <c r="Y258" s="38">
        <f t="shared" si="22"/>
        <v>0.22999999998137355</v>
      </c>
      <c r="Z258" s="38">
        <f t="shared" si="23"/>
        <v>100</v>
      </c>
      <c r="AA258" s="38">
        <f t="shared" si="23"/>
        <v>100</v>
      </c>
      <c r="AB258" s="9"/>
      <c r="AC258" s="39">
        <f t="shared" si="21"/>
        <v>0.23537204586102697</v>
      </c>
    </row>
    <row r="259" spans="1:29" x14ac:dyDescent="0.25">
      <c r="A259">
        <v>269</v>
      </c>
      <c r="B259">
        <v>5316202.53</v>
      </c>
      <c r="C259">
        <v>1227698.6299999999</v>
      </c>
      <c r="H259">
        <v>269</v>
      </c>
      <c r="I259">
        <v>5316202.13</v>
      </c>
      <c r="J259">
        <v>1227699.1499999999</v>
      </c>
      <c r="X259" s="38">
        <f t="shared" si="22"/>
        <v>100</v>
      </c>
      <c r="Y259" s="38">
        <f t="shared" si="22"/>
        <v>100</v>
      </c>
      <c r="Z259" s="38">
        <f t="shared" si="23"/>
        <v>-0.40000000037252903</v>
      </c>
      <c r="AA259" s="38">
        <f t="shared" si="23"/>
        <v>0.52000000001862645</v>
      </c>
      <c r="AB259" s="9"/>
      <c r="AC259" s="39">
        <f t="shared" si="21"/>
        <v>0.65604877891616775</v>
      </c>
    </row>
    <row r="260" spans="1:29" x14ac:dyDescent="0.25">
      <c r="A260">
        <v>270</v>
      </c>
      <c r="B260">
        <v>5316202.53</v>
      </c>
      <c r="C260">
        <v>1227703.33</v>
      </c>
      <c r="H260">
        <v>270</v>
      </c>
      <c r="I260">
        <v>5316201.7699999996</v>
      </c>
      <c r="J260">
        <v>1227703.8999999999</v>
      </c>
      <c r="X260" s="38">
        <f t="shared" si="22"/>
        <v>100</v>
      </c>
      <c r="Y260" s="38">
        <f t="shared" si="22"/>
        <v>100</v>
      </c>
      <c r="Z260" s="38">
        <f t="shared" si="23"/>
        <v>-0.76000000070780516</v>
      </c>
      <c r="AA260" s="38">
        <f t="shared" si="23"/>
        <v>0.56999999983236194</v>
      </c>
      <c r="AB260" s="9"/>
      <c r="AC260" s="39">
        <f t="shared" si="21"/>
        <v>0.95000000046566124</v>
      </c>
    </row>
    <row r="261" spans="1:29" x14ac:dyDescent="0.25">
      <c r="A261">
        <v>272</v>
      </c>
      <c r="B261">
        <v>5316202.53</v>
      </c>
      <c r="C261">
        <v>1227712.73</v>
      </c>
      <c r="H261">
        <v>272</v>
      </c>
      <c r="I261">
        <v>5316202.78</v>
      </c>
      <c r="J261">
        <v>1227713.1000000001</v>
      </c>
      <c r="X261" s="38">
        <f t="shared" si="22"/>
        <v>100</v>
      </c>
      <c r="Y261" s="38">
        <f t="shared" si="22"/>
        <v>100</v>
      </c>
      <c r="Z261" s="38">
        <f t="shared" si="23"/>
        <v>0.25</v>
      </c>
      <c r="AA261" s="38">
        <f t="shared" si="23"/>
        <v>0.37000000011175871</v>
      </c>
      <c r="AB261" s="9"/>
      <c r="AC261" s="39">
        <f t="shared" si="21"/>
        <v>0.44654227132792418</v>
      </c>
    </row>
    <row r="262" spans="1:29" x14ac:dyDescent="0.25">
      <c r="A262">
        <v>273</v>
      </c>
      <c r="B262">
        <v>5316202.53</v>
      </c>
      <c r="C262">
        <v>1227717.43</v>
      </c>
      <c r="H262">
        <v>273</v>
      </c>
      <c r="I262">
        <v>5316202.41</v>
      </c>
      <c r="J262">
        <v>1227717.76</v>
      </c>
      <c r="X262" s="38">
        <f t="shared" si="22"/>
        <v>100</v>
      </c>
      <c r="Y262" s="38">
        <f t="shared" si="22"/>
        <v>100</v>
      </c>
      <c r="Z262" s="38">
        <f t="shared" si="23"/>
        <v>-0.12000000011175871</v>
      </c>
      <c r="AA262" s="38">
        <f t="shared" si="23"/>
        <v>0.33000000007450581</v>
      </c>
      <c r="AB262" s="9"/>
      <c r="AC262" s="39">
        <f t="shared" ref="AC262:AC305" si="24">IF(B262="","",(SQRT((I262-B262)^2+(J262-C262)^2)))</f>
        <v>0.35114099742980159</v>
      </c>
    </row>
    <row r="263" spans="1:29" x14ac:dyDescent="0.25">
      <c r="A263">
        <v>274</v>
      </c>
      <c r="B263">
        <v>5316202.53</v>
      </c>
      <c r="C263">
        <v>1227722.1299999999</v>
      </c>
      <c r="H263">
        <v>274</v>
      </c>
      <c r="I263">
        <v>5316202.4400000004</v>
      </c>
      <c r="J263">
        <v>1227722.3700000001</v>
      </c>
      <c r="X263" s="38">
        <f t="shared" si="22"/>
        <v>-8.9999999850988388E-2</v>
      </c>
      <c r="Y263" s="38">
        <f t="shared" si="22"/>
        <v>0.24000000022351742</v>
      </c>
      <c r="Z263" s="38">
        <f t="shared" si="23"/>
        <v>100</v>
      </c>
      <c r="AA263" s="38">
        <f t="shared" si="23"/>
        <v>100</v>
      </c>
      <c r="AB263" s="9"/>
      <c r="AC263" s="39">
        <f t="shared" si="24"/>
        <v>0.25632011251649034</v>
      </c>
    </row>
    <row r="264" spans="1:29" x14ac:dyDescent="0.25">
      <c r="A264">
        <v>275</v>
      </c>
      <c r="B264">
        <v>5316201.87</v>
      </c>
      <c r="C264">
        <v>1227726.8</v>
      </c>
      <c r="H264">
        <v>275</v>
      </c>
      <c r="I264">
        <v>5316201.67</v>
      </c>
      <c r="J264">
        <v>1227727.52</v>
      </c>
      <c r="X264" s="38">
        <f t="shared" si="22"/>
        <v>100</v>
      </c>
      <c r="Y264" s="38">
        <f t="shared" si="22"/>
        <v>100</v>
      </c>
      <c r="Z264" s="38">
        <f t="shared" si="23"/>
        <v>-0.20000000018626451</v>
      </c>
      <c r="AA264" s="38">
        <f t="shared" si="23"/>
        <v>0.71999999997206032</v>
      </c>
      <c r="AB264" s="9"/>
      <c r="AC264" s="39">
        <f t="shared" si="24"/>
        <v>0.74726166771370828</v>
      </c>
    </row>
    <row r="265" spans="1:29" x14ac:dyDescent="0.25">
      <c r="A265">
        <v>276</v>
      </c>
      <c r="B265">
        <v>5316202.0999999996</v>
      </c>
      <c r="C265">
        <v>1227731.49</v>
      </c>
      <c r="H265">
        <v>276</v>
      </c>
      <c r="I265">
        <v>5316201.21</v>
      </c>
      <c r="J265">
        <v>1227730.96</v>
      </c>
      <c r="X265" s="38">
        <f t="shared" si="22"/>
        <v>100</v>
      </c>
      <c r="Y265" s="38">
        <f t="shared" si="22"/>
        <v>100</v>
      </c>
      <c r="Z265" s="38">
        <f t="shared" si="23"/>
        <v>-0.88999999966472387</v>
      </c>
      <c r="AA265" s="38">
        <f t="shared" si="23"/>
        <v>-0.53000000002793968</v>
      </c>
      <c r="AB265" s="9"/>
      <c r="AC265" s="39">
        <f t="shared" si="24"/>
        <v>1.0358571327325137</v>
      </c>
    </row>
    <row r="266" spans="1:29" x14ac:dyDescent="0.25">
      <c r="A266">
        <v>277</v>
      </c>
      <c r="B266">
        <v>5316202.53</v>
      </c>
      <c r="C266">
        <v>1227736.23</v>
      </c>
      <c r="H266">
        <v>277</v>
      </c>
      <c r="I266">
        <v>5316202.68</v>
      </c>
      <c r="J266">
        <v>1227735.99</v>
      </c>
      <c r="X266" s="38">
        <f t="shared" si="22"/>
        <v>0.14999999944120646</v>
      </c>
      <c r="Y266" s="38">
        <f t="shared" si="22"/>
        <v>-0.23999999999068677</v>
      </c>
      <c r="Z266" s="38">
        <f t="shared" si="23"/>
        <v>100</v>
      </c>
      <c r="AA266" s="38">
        <f t="shared" si="23"/>
        <v>100</v>
      </c>
      <c r="AB266" s="9"/>
      <c r="AC266" s="39">
        <f t="shared" si="24"/>
        <v>0.28301943365764054</v>
      </c>
    </row>
    <row r="267" spans="1:29" x14ac:dyDescent="0.25">
      <c r="A267">
        <v>278</v>
      </c>
      <c r="B267">
        <v>5316206.28</v>
      </c>
      <c r="C267">
        <v>1227737.23</v>
      </c>
      <c r="H267">
        <v>278</v>
      </c>
      <c r="I267">
        <v>5316206.13</v>
      </c>
      <c r="J267">
        <v>1227737.3500000001</v>
      </c>
      <c r="X267" s="38">
        <f t="shared" si="22"/>
        <v>-0.15000000037252903</v>
      </c>
      <c r="Y267" s="38">
        <f t="shared" si="22"/>
        <v>0.12000000011175871</v>
      </c>
      <c r="Z267" s="38">
        <f t="shared" si="23"/>
        <v>100</v>
      </c>
      <c r="AA267" s="38">
        <f t="shared" si="23"/>
        <v>100</v>
      </c>
      <c r="AB267" s="9"/>
      <c r="AC267" s="39">
        <f t="shared" si="24"/>
        <v>0.19209372748369688</v>
      </c>
    </row>
    <row r="268" spans="1:29" x14ac:dyDescent="0.25">
      <c r="A268">
        <v>279</v>
      </c>
      <c r="B268">
        <v>5316206.1900000004</v>
      </c>
      <c r="C268">
        <v>1227733.74</v>
      </c>
      <c r="H268">
        <v>279</v>
      </c>
      <c r="I268">
        <v>5316206.53</v>
      </c>
      <c r="J268">
        <v>1227733.8700000001</v>
      </c>
      <c r="X268" s="38">
        <f t="shared" si="22"/>
        <v>100</v>
      </c>
      <c r="Y268" s="38">
        <f t="shared" si="22"/>
        <v>100</v>
      </c>
      <c r="Z268" s="38">
        <f t="shared" si="23"/>
        <v>0.33999999985098839</v>
      </c>
      <c r="AA268" s="38">
        <f t="shared" si="23"/>
        <v>0.13000000012107193</v>
      </c>
      <c r="AB268" s="9"/>
      <c r="AC268" s="39">
        <f t="shared" si="24"/>
        <v>0.36400549436808066</v>
      </c>
    </row>
    <row r="269" spans="1:29" x14ac:dyDescent="0.25">
      <c r="A269">
        <v>280</v>
      </c>
      <c r="B269">
        <v>5316204.6900000004</v>
      </c>
      <c r="C269">
        <v>1227729.67</v>
      </c>
      <c r="H269">
        <v>280</v>
      </c>
      <c r="I269">
        <v>5316204.28</v>
      </c>
      <c r="J269">
        <v>1227729.55</v>
      </c>
      <c r="X269" s="38">
        <f t="shared" si="22"/>
        <v>100</v>
      </c>
      <c r="Y269" s="38">
        <f t="shared" si="22"/>
        <v>100</v>
      </c>
      <c r="Z269" s="38">
        <f t="shared" si="23"/>
        <v>-0.41000000014901161</v>
      </c>
      <c r="AA269" s="38">
        <f t="shared" si="23"/>
        <v>-0.11999999987892807</v>
      </c>
      <c r="AB269" s="9"/>
      <c r="AC269" s="39">
        <f t="shared" si="24"/>
        <v>0.42720018737487964</v>
      </c>
    </row>
    <row r="270" spans="1:29" x14ac:dyDescent="0.25">
      <c r="A270">
        <v>281</v>
      </c>
      <c r="B270">
        <v>5316204.47</v>
      </c>
      <c r="C270">
        <v>1227724.98</v>
      </c>
      <c r="H270">
        <v>281</v>
      </c>
      <c r="I270">
        <v>5316204.54</v>
      </c>
      <c r="J270">
        <v>1227724.51</v>
      </c>
      <c r="X270" s="38">
        <f t="shared" si="22"/>
        <v>100</v>
      </c>
      <c r="Y270" s="38">
        <f t="shared" si="22"/>
        <v>100</v>
      </c>
      <c r="Z270" s="38">
        <f t="shared" si="23"/>
        <v>7.0000000298023224E-2</v>
      </c>
      <c r="AA270" s="38">
        <f t="shared" si="23"/>
        <v>-0.46999999997206032</v>
      </c>
      <c r="AB270" s="9"/>
      <c r="AC270" s="39">
        <f t="shared" si="24"/>
        <v>0.4751841748369362</v>
      </c>
    </row>
    <row r="271" spans="1:29" x14ac:dyDescent="0.25">
      <c r="A271">
        <v>282</v>
      </c>
      <c r="B271">
        <v>5316205.8</v>
      </c>
      <c r="C271">
        <v>1227719.72</v>
      </c>
      <c r="H271">
        <v>282</v>
      </c>
      <c r="I271">
        <v>5316205.6399999997</v>
      </c>
      <c r="J271">
        <v>1227719.1100000001</v>
      </c>
      <c r="X271" s="38">
        <f t="shared" si="22"/>
        <v>100</v>
      </c>
      <c r="Y271" s="38">
        <f t="shared" si="22"/>
        <v>100</v>
      </c>
      <c r="Z271" s="38">
        <f t="shared" si="23"/>
        <v>-0.16000000014901161</v>
      </c>
      <c r="AA271" s="38">
        <f t="shared" si="23"/>
        <v>-0.60999999986961484</v>
      </c>
      <c r="AB271" s="9"/>
      <c r="AC271" s="39">
        <f t="shared" si="24"/>
        <v>0.63063460092878965</v>
      </c>
    </row>
    <row r="272" spans="1:29" x14ac:dyDescent="0.25">
      <c r="A272">
        <v>283</v>
      </c>
      <c r="B272">
        <v>5316206.63</v>
      </c>
      <c r="C272">
        <v>1227715.08</v>
      </c>
      <c r="H272">
        <v>283</v>
      </c>
      <c r="I272">
        <v>5316206.3899999997</v>
      </c>
      <c r="J272">
        <v>1227714.9099999999</v>
      </c>
      <c r="X272" s="38">
        <f t="shared" si="22"/>
        <v>-0.24000000022351742</v>
      </c>
      <c r="Y272" s="38">
        <f t="shared" si="22"/>
        <v>-0.17000000015832484</v>
      </c>
      <c r="Z272" s="38">
        <f t="shared" si="23"/>
        <v>100</v>
      </c>
      <c r="AA272" s="38">
        <f t="shared" si="23"/>
        <v>100</v>
      </c>
      <c r="AB272" s="9"/>
      <c r="AC272" s="39">
        <f t="shared" si="24"/>
        <v>0.29410882367096502</v>
      </c>
    </row>
    <row r="273" spans="1:29" x14ac:dyDescent="0.25">
      <c r="A273">
        <v>284</v>
      </c>
      <c r="B273">
        <v>5316206.63</v>
      </c>
      <c r="C273">
        <v>1227710.3799999999</v>
      </c>
      <c r="H273">
        <v>284</v>
      </c>
      <c r="I273">
        <v>5316206.3099999996</v>
      </c>
      <c r="J273">
        <v>1227710.02</v>
      </c>
      <c r="X273" s="38">
        <f t="shared" si="22"/>
        <v>100</v>
      </c>
      <c r="Y273" s="38">
        <f t="shared" si="22"/>
        <v>100</v>
      </c>
      <c r="Z273" s="38">
        <f t="shared" si="23"/>
        <v>-0.32000000029802322</v>
      </c>
      <c r="AA273" s="38">
        <f t="shared" si="23"/>
        <v>-0.35999999986961484</v>
      </c>
      <c r="AB273" s="9"/>
      <c r="AC273" s="39">
        <f t="shared" si="24"/>
        <v>0.48166378325223658</v>
      </c>
    </row>
    <row r="274" spans="1:29" x14ac:dyDescent="0.25">
      <c r="A274">
        <v>285</v>
      </c>
      <c r="B274">
        <v>5316206.3099999996</v>
      </c>
      <c r="C274">
        <v>1227705.68</v>
      </c>
      <c r="H274">
        <v>285</v>
      </c>
      <c r="I274">
        <v>5316206.08</v>
      </c>
      <c r="J274">
        <v>1227705.24</v>
      </c>
      <c r="X274" s="38">
        <f t="shared" si="22"/>
        <v>100</v>
      </c>
      <c r="Y274" s="38">
        <f t="shared" si="22"/>
        <v>100</v>
      </c>
      <c r="Z274" s="38">
        <f t="shared" si="23"/>
        <v>-0.22999999951571226</v>
      </c>
      <c r="AA274" s="38">
        <f t="shared" si="23"/>
        <v>-0.43999999994412065</v>
      </c>
      <c r="AB274" s="9"/>
      <c r="AC274" s="39">
        <f t="shared" si="24"/>
        <v>0.49648766321838633</v>
      </c>
    </row>
    <row r="275" spans="1:29" x14ac:dyDescent="0.25">
      <c r="A275">
        <v>286</v>
      </c>
      <c r="B275">
        <v>5316206.3099999996</v>
      </c>
      <c r="C275">
        <v>1227700.98</v>
      </c>
      <c r="H275">
        <v>286</v>
      </c>
      <c r="I275">
        <v>5316205.75</v>
      </c>
      <c r="J275">
        <v>1227700.44</v>
      </c>
      <c r="X275" s="38">
        <f t="shared" si="22"/>
        <v>100</v>
      </c>
      <c r="Y275" s="38">
        <f t="shared" si="22"/>
        <v>100</v>
      </c>
      <c r="Z275" s="38">
        <f t="shared" si="23"/>
        <v>-0.55999999959021807</v>
      </c>
      <c r="AA275" s="38">
        <f t="shared" si="23"/>
        <v>-0.5400000000372529</v>
      </c>
      <c r="AB275" s="9"/>
      <c r="AC275" s="39">
        <f t="shared" si="24"/>
        <v>0.77794601328194835</v>
      </c>
    </row>
    <row r="276" spans="1:29" x14ac:dyDescent="0.25">
      <c r="A276">
        <v>287</v>
      </c>
      <c r="B276">
        <v>5316206.3099999996</v>
      </c>
      <c r="C276">
        <v>1227696.28</v>
      </c>
      <c r="H276">
        <v>287</v>
      </c>
      <c r="I276">
        <v>5316205.95</v>
      </c>
      <c r="J276">
        <v>1227696.1599999999</v>
      </c>
      <c r="X276" s="38">
        <f t="shared" si="22"/>
        <v>100</v>
      </c>
      <c r="Y276" s="38">
        <f t="shared" si="22"/>
        <v>100</v>
      </c>
      <c r="Z276" s="38">
        <f t="shared" si="23"/>
        <v>-0.35999999940395355</v>
      </c>
      <c r="AA276" s="38">
        <f t="shared" si="23"/>
        <v>-0.12000000011175871</v>
      </c>
      <c r="AB276" s="9"/>
      <c r="AC276" s="39">
        <f t="shared" si="24"/>
        <v>0.37947331869008744</v>
      </c>
    </row>
    <row r="277" spans="1:29" x14ac:dyDescent="0.25">
      <c r="A277">
        <v>288</v>
      </c>
      <c r="B277">
        <v>5316206.25</v>
      </c>
      <c r="C277">
        <v>1227691.58</v>
      </c>
      <c r="H277">
        <v>288</v>
      </c>
      <c r="I277">
        <v>5316206.0199999996</v>
      </c>
      <c r="J277">
        <v>1227689.26</v>
      </c>
      <c r="X277" s="38">
        <f t="shared" si="22"/>
        <v>100</v>
      </c>
      <c r="Y277" s="38">
        <f t="shared" si="22"/>
        <v>100</v>
      </c>
      <c r="Z277" s="38">
        <f t="shared" si="23"/>
        <v>-0.23000000044703484</v>
      </c>
      <c r="AA277" s="38">
        <f t="shared" si="23"/>
        <v>-2.3200000000651926</v>
      </c>
      <c r="AB277" s="9"/>
      <c r="AC277" s="39">
        <f t="shared" si="24"/>
        <v>2.3313729861410271</v>
      </c>
    </row>
    <row r="278" spans="1:29" x14ac:dyDescent="0.25">
      <c r="A278">
        <v>289</v>
      </c>
      <c r="B278">
        <v>5316206.2</v>
      </c>
      <c r="C278">
        <v>1227686.8600000001</v>
      </c>
      <c r="H278">
        <v>289</v>
      </c>
      <c r="I278">
        <v>5316205.93</v>
      </c>
      <c r="J278">
        <v>1227686.4099999999</v>
      </c>
      <c r="X278" s="38">
        <f t="shared" si="22"/>
        <v>100</v>
      </c>
      <c r="Y278" s="38">
        <f t="shared" si="22"/>
        <v>100</v>
      </c>
      <c r="Z278" s="38">
        <f t="shared" si="23"/>
        <v>-0.27000000048428774</v>
      </c>
      <c r="AA278" s="38">
        <f t="shared" si="23"/>
        <v>-0.45000000018626451</v>
      </c>
      <c r="AB278" s="9"/>
      <c r="AC278" s="39">
        <f t="shared" si="24"/>
        <v>0.52478567094496154</v>
      </c>
    </row>
    <row r="279" spans="1:29" x14ac:dyDescent="0.25">
      <c r="A279">
        <v>290</v>
      </c>
      <c r="B279">
        <v>5316206.25</v>
      </c>
      <c r="C279">
        <v>1227682.22</v>
      </c>
      <c r="H279">
        <v>290</v>
      </c>
      <c r="I279">
        <v>5316205.99</v>
      </c>
      <c r="J279">
        <v>1227681.6299999999</v>
      </c>
      <c r="X279" s="38">
        <f t="shared" si="22"/>
        <v>100</v>
      </c>
      <c r="Y279" s="38">
        <f t="shared" si="22"/>
        <v>100</v>
      </c>
      <c r="Z279" s="38">
        <f t="shared" si="23"/>
        <v>-0.25999999977648258</v>
      </c>
      <c r="AA279" s="38">
        <f t="shared" si="23"/>
        <v>-0.59000000008381903</v>
      </c>
      <c r="AB279" s="9"/>
      <c r="AC279" s="39">
        <f t="shared" si="24"/>
        <v>0.64474801277916116</v>
      </c>
    </row>
    <row r="280" spans="1:29" x14ac:dyDescent="0.25">
      <c r="A280">
        <v>291</v>
      </c>
      <c r="B280">
        <v>5316206.25</v>
      </c>
      <c r="C280">
        <v>1227677.52</v>
      </c>
      <c r="H280">
        <v>291</v>
      </c>
      <c r="I280">
        <v>5316206.55</v>
      </c>
      <c r="J280">
        <v>1227677.77</v>
      </c>
      <c r="X280" s="38">
        <f t="shared" si="22"/>
        <v>100</v>
      </c>
      <c r="Y280" s="38">
        <f t="shared" si="22"/>
        <v>100</v>
      </c>
      <c r="Z280" s="38">
        <f t="shared" si="23"/>
        <v>0.29999999981373549</v>
      </c>
      <c r="AA280" s="38">
        <f t="shared" si="23"/>
        <v>0.25</v>
      </c>
      <c r="AB280" s="9"/>
      <c r="AC280" s="39">
        <f t="shared" si="24"/>
        <v>0.39051248365224039</v>
      </c>
    </row>
    <row r="281" spans="1:29" x14ac:dyDescent="0.25">
      <c r="A281">
        <v>292</v>
      </c>
      <c r="B281">
        <v>5316206.25</v>
      </c>
      <c r="C281">
        <v>1227672.82</v>
      </c>
      <c r="H281">
        <v>292</v>
      </c>
      <c r="I281">
        <v>5316205.88</v>
      </c>
      <c r="J281">
        <v>1227673.17</v>
      </c>
      <c r="X281" s="38">
        <f t="shared" si="22"/>
        <v>100</v>
      </c>
      <c r="Y281" s="38">
        <f t="shared" si="22"/>
        <v>100</v>
      </c>
      <c r="Z281" s="38">
        <f t="shared" si="23"/>
        <v>-0.37000000011175871</v>
      </c>
      <c r="AA281" s="38">
        <f t="shared" si="23"/>
        <v>0.34999999986030161</v>
      </c>
      <c r="AB281" s="9"/>
      <c r="AC281" s="39">
        <f t="shared" si="24"/>
        <v>0.5093132631150622</v>
      </c>
    </row>
    <row r="282" spans="1:29" x14ac:dyDescent="0.25">
      <c r="A282">
        <v>293</v>
      </c>
      <c r="B282">
        <v>5316206.25</v>
      </c>
      <c r="C282">
        <v>1227668.1200000001</v>
      </c>
      <c r="H282">
        <v>293</v>
      </c>
      <c r="I282">
        <v>5316206.3499999996</v>
      </c>
      <c r="J282">
        <v>1227668.18</v>
      </c>
      <c r="X282" s="38">
        <f t="shared" si="22"/>
        <v>9.999999962747097E-2</v>
      </c>
      <c r="Y282" s="38">
        <f t="shared" si="22"/>
        <v>5.9999999823048711E-2</v>
      </c>
      <c r="Z282" s="38">
        <f t="shared" si="23"/>
        <v>100</v>
      </c>
      <c r="AA282" s="38">
        <f t="shared" si="23"/>
        <v>100</v>
      </c>
      <c r="AB282" s="9"/>
      <c r="AC282" s="39">
        <f t="shared" si="24"/>
        <v>0.11661903748642431</v>
      </c>
    </row>
    <row r="283" spans="1:29" x14ac:dyDescent="0.25">
      <c r="A283">
        <v>294</v>
      </c>
      <c r="B283">
        <v>5316205.99</v>
      </c>
      <c r="C283">
        <v>1227663.47</v>
      </c>
      <c r="H283">
        <v>294</v>
      </c>
      <c r="I283">
        <v>5316205.74</v>
      </c>
      <c r="J283">
        <v>1227663.74</v>
      </c>
      <c r="X283" s="38">
        <f t="shared" si="22"/>
        <v>100</v>
      </c>
      <c r="Y283" s="38">
        <f t="shared" si="22"/>
        <v>100</v>
      </c>
      <c r="Z283" s="38">
        <f t="shared" si="23"/>
        <v>-0.25</v>
      </c>
      <c r="AA283" s="38">
        <f t="shared" si="23"/>
        <v>0.27000000001862645</v>
      </c>
      <c r="AB283" s="9"/>
      <c r="AC283" s="39">
        <f t="shared" si="24"/>
        <v>0.36796738987314931</v>
      </c>
    </row>
    <row r="284" spans="1:29" x14ac:dyDescent="0.25">
      <c r="A284">
        <v>295</v>
      </c>
      <c r="B284">
        <v>5316205.3</v>
      </c>
      <c r="C284">
        <v>1227658.79</v>
      </c>
      <c r="H284">
        <v>295</v>
      </c>
      <c r="I284">
        <v>5316205.1399999997</v>
      </c>
      <c r="J284">
        <v>1227658.6399999999</v>
      </c>
      <c r="X284" s="38">
        <f t="shared" si="22"/>
        <v>-0.16000000014901161</v>
      </c>
      <c r="Y284" s="38">
        <f t="shared" si="22"/>
        <v>-0.15000000013969839</v>
      </c>
      <c r="Z284" s="38">
        <f t="shared" si="23"/>
        <v>100</v>
      </c>
      <c r="AA284" s="38">
        <f t="shared" si="23"/>
        <v>100</v>
      </c>
      <c r="AB284" s="9"/>
      <c r="AC284" s="39">
        <f t="shared" si="24"/>
        <v>0.21931712219886806</v>
      </c>
    </row>
    <row r="285" spans="1:29" x14ac:dyDescent="0.25">
      <c r="A285">
        <v>296</v>
      </c>
      <c r="B285">
        <v>5316204.32</v>
      </c>
      <c r="C285">
        <v>1227654.2</v>
      </c>
      <c r="H285">
        <v>296</v>
      </c>
      <c r="I285">
        <v>5316204.07</v>
      </c>
      <c r="J285">
        <v>1227654.18</v>
      </c>
      <c r="X285" s="38">
        <f t="shared" ref="X285:Y285" si="25">IF(AND(B285&lt;&gt;"",$AC285&lt;$AD$5),I285-B285,100)</f>
        <v>-0.25</v>
      </c>
      <c r="Y285" s="38">
        <f t="shared" si="25"/>
        <v>-2.0000000018626451E-2</v>
      </c>
      <c r="Z285" s="38">
        <f t="shared" ref="Z285:AA285" si="26">IF(AND(B285&lt;&gt;"",$AC285&gt;$AD$5),I285-B285,100)</f>
        <v>100</v>
      </c>
      <c r="AA285" s="38">
        <f t="shared" si="26"/>
        <v>100</v>
      </c>
      <c r="AB285" s="9"/>
      <c r="AC285" s="39">
        <f t="shared" si="24"/>
        <v>0.25079872408117443</v>
      </c>
    </row>
    <row r="286" spans="1:29" x14ac:dyDescent="0.25">
      <c r="A286"/>
      <c r="H286"/>
      <c r="X286" s="38"/>
      <c r="Y286" s="38"/>
      <c r="Z286" s="38"/>
      <c r="AA286" s="38"/>
      <c r="AB286" s="9"/>
      <c r="AC286" s="39"/>
    </row>
    <row r="287" spans="1:29" x14ac:dyDescent="0.25">
      <c r="A287"/>
      <c r="H287"/>
      <c r="X287" s="38"/>
      <c r="Y287" s="38"/>
      <c r="Z287" s="38"/>
      <c r="AA287" s="38"/>
      <c r="AB287" s="9"/>
      <c r="AC287" s="39"/>
    </row>
    <row r="288" spans="1:29" x14ac:dyDescent="0.25">
      <c r="A288"/>
      <c r="H288"/>
      <c r="X288" s="38"/>
      <c r="Y288" s="38"/>
      <c r="Z288" s="38"/>
      <c r="AA288" s="38"/>
      <c r="AB288" s="9"/>
      <c r="AC288" s="39"/>
    </row>
    <row r="289" spans="1:29" x14ac:dyDescent="0.25">
      <c r="A289"/>
      <c r="H289"/>
      <c r="X289" s="38"/>
      <c r="Y289" s="38"/>
      <c r="Z289" s="38"/>
      <c r="AA289" s="38"/>
      <c r="AB289" s="9"/>
      <c r="AC289" s="39"/>
    </row>
    <row r="290" spans="1:29" x14ac:dyDescent="0.25">
      <c r="A290"/>
      <c r="H290"/>
      <c r="X290" s="38"/>
      <c r="Y290" s="38"/>
      <c r="Z290" s="38"/>
      <c r="AA290" s="38"/>
      <c r="AB290" s="9"/>
      <c r="AC290" s="39"/>
    </row>
    <row r="291" spans="1:29" x14ac:dyDescent="0.25">
      <c r="A291"/>
      <c r="H291"/>
      <c r="X291" s="38"/>
      <c r="Y291" s="38"/>
      <c r="Z291" s="38"/>
      <c r="AA291" s="38"/>
      <c r="AB291" s="9"/>
      <c r="AC291" s="39"/>
    </row>
    <row r="292" spans="1:29" x14ac:dyDescent="0.25">
      <c r="A292"/>
      <c r="H292"/>
      <c r="X292" s="38"/>
      <c r="Y292" s="38"/>
      <c r="Z292" s="38"/>
      <c r="AA292" s="38"/>
      <c r="AB292" s="9"/>
      <c r="AC292" s="39"/>
    </row>
    <row r="293" spans="1:29" x14ac:dyDescent="0.25">
      <c r="A293"/>
      <c r="H293"/>
      <c r="X293" s="38"/>
      <c r="Y293" s="38"/>
      <c r="Z293" s="38"/>
      <c r="AA293" s="38"/>
      <c r="AB293" s="9"/>
      <c r="AC293" s="39"/>
    </row>
    <row r="294" spans="1:29" x14ac:dyDescent="0.25">
      <c r="A294"/>
      <c r="H294"/>
      <c r="X294" s="38"/>
      <c r="Y294" s="38"/>
      <c r="Z294" s="38"/>
      <c r="AA294" s="38"/>
      <c r="AB294" s="9"/>
      <c r="AC294" s="39"/>
    </row>
    <row r="295" spans="1:29" x14ac:dyDescent="0.25">
      <c r="A295"/>
      <c r="H295"/>
      <c r="X295" s="38"/>
      <c r="Y295" s="38"/>
      <c r="Z295" s="38"/>
      <c r="AA295" s="38"/>
      <c r="AB295" s="9"/>
      <c r="AC295" s="39"/>
    </row>
    <row r="296" spans="1:29" x14ac:dyDescent="0.25">
      <c r="A296"/>
      <c r="H296"/>
      <c r="X296" s="38"/>
      <c r="Y296" s="38"/>
      <c r="Z296" s="38"/>
      <c r="AA296" s="38"/>
      <c r="AB296" s="9"/>
      <c r="AC296" s="39"/>
    </row>
    <row r="297" spans="1:29" x14ac:dyDescent="0.25">
      <c r="A297"/>
      <c r="H297"/>
      <c r="X297" s="38"/>
      <c r="Y297" s="38"/>
      <c r="Z297" s="38"/>
      <c r="AA297" s="38"/>
      <c r="AB297" s="9"/>
      <c r="AC297" s="39"/>
    </row>
    <row r="298" spans="1:29" x14ac:dyDescent="0.25">
      <c r="A298"/>
      <c r="H298"/>
      <c r="X298" s="38"/>
      <c r="Y298" s="38"/>
      <c r="Z298" s="38"/>
      <c r="AA298" s="38"/>
      <c r="AB298" s="9"/>
      <c r="AC298" s="39"/>
    </row>
    <row r="299" spans="1:29" x14ac:dyDescent="0.25">
      <c r="A299"/>
      <c r="H299"/>
      <c r="X299" s="38"/>
      <c r="Y299" s="38"/>
      <c r="Z299" s="38"/>
      <c r="AA299" s="38"/>
      <c r="AB299" s="9"/>
      <c r="AC299" s="39"/>
    </row>
    <row r="300" spans="1:29" x14ac:dyDescent="0.25">
      <c r="A300"/>
      <c r="H300"/>
      <c r="X300" s="38"/>
      <c r="Y300" s="38"/>
      <c r="Z300" s="38"/>
      <c r="AA300" s="38"/>
      <c r="AB300" s="9"/>
      <c r="AC300" s="39"/>
    </row>
    <row r="301" spans="1:29" x14ac:dyDescent="0.25">
      <c r="A301"/>
      <c r="H301"/>
      <c r="X301" s="38"/>
      <c r="Y301" s="38"/>
      <c r="Z301" s="38"/>
      <c r="AA301" s="38"/>
      <c r="AB301" s="9"/>
      <c r="AC301" s="39"/>
    </row>
    <row r="302" spans="1:29" x14ac:dyDescent="0.25">
      <c r="A302"/>
      <c r="H302"/>
      <c r="X302" s="38"/>
      <c r="Y302" s="38"/>
      <c r="Z302" s="38"/>
      <c r="AA302" s="38"/>
      <c r="AB302" s="9"/>
      <c r="AC302" s="39"/>
    </row>
    <row r="303" spans="1:29" x14ac:dyDescent="0.25">
      <c r="A303"/>
      <c r="H303"/>
      <c r="X303" s="38"/>
      <c r="Y303" s="38"/>
      <c r="Z303" s="38"/>
      <c r="AA303" s="38"/>
      <c r="AB303" s="9"/>
      <c r="AC303" s="39"/>
    </row>
    <row r="304" spans="1:29" x14ac:dyDescent="0.25">
      <c r="A304"/>
      <c r="H304"/>
      <c r="X304" s="38"/>
      <c r="Y304" s="38"/>
      <c r="Z304" s="38"/>
      <c r="AA304" s="38"/>
      <c r="AB304" s="9"/>
      <c r="AC304" s="39"/>
    </row>
    <row r="305" spans="1:29" x14ac:dyDescent="0.25">
      <c r="A305"/>
      <c r="H305"/>
      <c r="X305" s="38"/>
      <c r="Y305" s="38"/>
      <c r="Z305" s="38"/>
      <c r="AA305" s="38"/>
      <c r="AB305" s="9"/>
      <c r="AC305" s="39"/>
    </row>
    <row r="306" spans="1:29" x14ac:dyDescent="0.25">
      <c r="A306"/>
      <c r="H306"/>
      <c r="X306" s="38"/>
      <c r="Y306" s="38"/>
      <c r="Z306" s="38"/>
      <c r="AA306" s="38"/>
      <c r="AB306" s="9"/>
      <c r="AC306" s="39"/>
    </row>
    <row r="307" spans="1:29" x14ac:dyDescent="0.25">
      <c r="A307"/>
      <c r="H307"/>
      <c r="X307" s="38"/>
      <c r="Y307" s="38"/>
      <c r="Z307" s="38"/>
      <c r="AA307" s="38"/>
      <c r="AB307" s="9"/>
      <c r="AC307" s="39"/>
    </row>
    <row r="308" spans="1:29" x14ac:dyDescent="0.25">
      <c r="A308"/>
      <c r="H308"/>
      <c r="X308" s="38"/>
      <c r="Y308" s="38"/>
      <c r="Z308" s="38"/>
      <c r="AA308" s="38"/>
      <c r="AB308" s="9"/>
      <c r="AC308" s="39"/>
    </row>
    <row r="309" spans="1:29" x14ac:dyDescent="0.25">
      <c r="A309"/>
      <c r="H309"/>
      <c r="X309" s="38"/>
      <c r="Y309" s="38"/>
      <c r="Z309" s="38"/>
      <c r="AA309" s="38"/>
      <c r="AB309" s="9"/>
      <c r="AC309" s="39"/>
    </row>
    <row r="310" spans="1:29" x14ac:dyDescent="0.25">
      <c r="A310"/>
      <c r="H310"/>
      <c r="X310" s="38"/>
      <c r="Y310" s="38"/>
      <c r="Z310" s="38"/>
      <c r="AA310" s="38"/>
      <c r="AB310" s="9"/>
      <c r="AC310" s="39"/>
    </row>
    <row r="311" spans="1:29" x14ac:dyDescent="0.25">
      <c r="A311"/>
      <c r="H311"/>
      <c r="X311" s="38"/>
      <c r="Y311" s="38"/>
      <c r="Z311" s="38"/>
      <c r="AA311" s="38"/>
      <c r="AB311" s="9"/>
      <c r="AC311" s="39"/>
    </row>
    <row r="312" spans="1:29" x14ac:dyDescent="0.25">
      <c r="A312"/>
      <c r="H312"/>
      <c r="X312" s="38"/>
      <c r="Y312" s="38"/>
      <c r="Z312" s="38"/>
      <c r="AA312" s="38"/>
      <c r="AB312" s="9"/>
      <c r="AC312" s="39"/>
    </row>
    <row r="313" spans="1:29" x14ac:dyDescent="0.25">
      <c r="A313"/>
      <c r="H313"/>
      <c r="X313" s="38"/>
      <c r="Y313" s="38"/>
      <c r="Z313" s="38"/>
      <c r="AA313" s="38"/>
      <c r="AB313" s="9"/>
      <c r="AC313" s="39"/>
    </row>
    <row r="314" spans="1:29" x14ac:dyDescent="0.25">
      <c r="A314"/>
      <c r="H314"/>
      <c r="X314" s="38"/>
      <c r="Y314" s="38"/>
      <c r="Z314" s="38"/>
      <c r="AA314" s="38"/>
      <c r="AB314" s="9"/>
      <c r="AC314" s="39"/>
    </row>
    <row r="315" spans="1:29" x14ac:dyDescent="0.25">
      <c r="A315"/>
      <c r="H315"/>
      <c r="X315" s="38"/>
      <c r="Y315" s="38"/>
      <c r="Z315" s="38"/>
      <c r="AA315" s="38"/>
      <c r="AB315" s="9"/>
      <c r="AC315" s="39"/>
    </row>
    <row r="316" spans="1:29" x14ac:dyDescent="0.25">
      <c r="A316"/>
      <c r="H316"/>
      <c r="X316" s="38"/>
      <c r="Y316" s="38"/>
      <c r="Z316" s="38"/>
      <c r="AA316" s="38"/>
      <c r="AB316" s="9"/>
      <c r="AC316" s="39"/>
    </row>
    <row r="317" spans="1:29" x14ac:dyDescent="0.25">
      <c r="A317"/>
      <c r="H317"/>
      <c r="X317" s="38"/>
      <c r="Y317" s="38"/>
      <c r="Z317" s="38"/>
      <c r="AA317" s="38"/>
      <c r="AB317" s="9"/>
      <c r="AC317" s="39"/>
    </row>
    <row r="318" spans="1:29" x14ac:dyDescent="0.25">
      <c r="A318"/>
      <c r="H318"/>
      <c r="X318" s="38"/>
      <c r="Y318" s="38"/>
      <c r="Z318" s="38"/>
      <c r="AA318" s="38"/>
      <c r="AB318" s="9"/>
      <c r="AC318" s="39"/>
    </row>
    <row r="319" spans="1:29" x14ac:dyDescent="0.25">
      <c r="A319"/>
      <c r="H319"/>
      <c r="X319" s="38"/>
      <c r="Y319" s="38"/>
      <c r="Z319" s="38"/>
      <c r="AA319" s="38"/>
      <c r="AB319" s="9"/>
      <c r="AC319" s="39"/>
    </row>
    <row r="320" spans="1:29" x14ac:dyDescent="0.25">
      <c r="A320"/>
      <c r="H320"/>
      <c r="X320" s="38"/>
      <c r="Y320" s="38"/>
      <c r="Z320" s="38"/>
      <c r="AA320" s="38"/>
      <c r="AB320" s="9"/>
      <c r="AC320" s="39"/>
    </row>
    <row r="321" spans="1:29" x14ac:dyDescent="0.25">
      <c r="A321"/>
      <c r="H321"/>
      <c r="X321" s="38"/>
      <c r="Y321" s="38"/>
      <c r="Z321" s="38"/>
      <c r="AA321" s="38"/>
      <c r="AB321" s="9"/>
      <c r="AC321" s="39"/>
    </row>
    <row r="322" spans="1:29" x14ac:dyDescent="0.25">
      <c r="A322"/>
      <c r="H322"/>
      <c r="X322" s="38"/>
      <c r="Y322" s="38"/>
      <c r="Z322" s="38"/>
      <c r="AA322" s="38"/>
      <c r="AB322" s="9"/>
      <c r="AC322" s="39"/>
    </row>
    <row r="323" spans="1:29" x14ac:dyDescent="0.25">
      <c r="A323"/>
      <c r="H323"/>
      <c r="X323" s="38"/>
      <c r="Y323" s="38"/>
      <c r="Z323" s="38"/>
      <c r="AA323" s="38"/>
      <c r="AB323" s="9"/>
      <c r="AC323" s="39"/>
    </row>
    <row r="324" spans="1:29" x14ac:dyDescent="0.25">
      <c r="A324"/>
      <c r="H324"/>
      <c r="X324" s="38"/>
      <c r="Y324" s="38"/>
      <c r="Z324" s="38"/>
      <c r="AA324" s="38"/>
      <c r="AB324" s="9"/>
      <c r="AC324" s="39"/>
    </row>
    <row r="325" spans="1:29" x14ac:dyDescent="0.25">
      <c r="A325"/>
      <c r="H325"/>
      <c r="X325" s="38"/>
      <c r="Y325" s="38"/>
      <c r="Z325" s="38"/>
      <c r="AA325" s="38"/>
      <c r="AB325" s="9"/>
      <c r="AC325" s="39"/>
    </row>
    <row r="326" spans="1:29" x14ac:dyDescent="0.25">
      <c r="A326"/>
      <c r="H326"/>
      <c r="X326" s="38"/>
      <c r="Y326" s="38"/>
      <c r="Z326" s="38"/>
      <c r="AA326" s="38"/>
      <c r="AB326" s="9"/>
      <c r="AC326" s="39"/>
    </row>
    <row r="327" spans="1:29" x14ac:dyDescent="0.25">
      <c r="A327"/>
      <c r="H327"/>
      <c r="X327" s="38"/>
      <c r="Y327" s="38"/>
      <c r="Z327" s="38"/>
      <c r="AA327" s="38"/>
      <c r="AB327" s="9"/>
      <c r="AC327" s="39"/>
    </row>
    <row r="328" spans="1:29" x14ac:dyDescent="0.25">
      <c r="A328"/>
      <c r="H328"/>
      <c r="X328" s="38"/>
      <c r="Y328" s="38"/>
      <c r="Z328" s="38"/>
      <c r="AA328" s="38"/>
      <c r="AB328" s="9"/>
      <c r="AC328" s="39"/>
    </row>
    <row r="329" spans="1:29" x14ac:dyDescent="0.25">
      <c r="A329"/>
      <c r="H329"/>
      <c r="X329" s="38"/>
      <c r="Y329" s="38"/>
      <c r="Z329" s="38"/>
      <c r="AA329" s="38"/>
      <c r="AB329" s="9"/>
      <c r="AC329" s="39"/>
    </row>
    <row r="330" spans="1:29" x14ac:dyDescent="0.25">
      <c r="A330"/>
      <c r="H330"/>
      <c r="X330" s="38"/>
      <c r="Y330" s="38"/>
      <c r="Z330" s="38"/>
      <c r="AA330" s="38"/>
      <c r="AB330" s="9"/>
      <c r="AC330" s="39"/>
    </row>
    <row r="331" spans="1:29" x14ac:dyDescent="0.25">
      <c r="A331"/>
      <c r="H331"/>
      <c r="X331" s="38"/>
      <c r="Y331" s="38"/>
      <c r="Z331" s="38"/>
      <c r="AA331" s="38"/>
      <c r="AB331" s="9"/>
      <c r="AC331" s="39"/>
    </row>
    <row r="332" spans="1:29" x14ac:dyDescent="0.25">
      <c r="A332"/>
      <c r="H332"/>
      <c r="X332" s="38"/>
      <c r="Y332" s="38"/>
      <c r="Z332" s="38"/>
      <c r="AA332" s="38"/>
      <c r="AB332" s="9"/>
      <c r="AC332" s="39"/>
    </row>
    <row r="333" spans="1:29" x14ac:dyDescent="0.25">
      <c r="A333"/>
      <c r="H333"/>
      <c r="X333" s="38"/>
      <c r="Y333" s="38"/>
      <c r="Z333" s="38"/>
      <c r="AA333" s="38"/>
      <c r="AB333" s="9"/>
      <c r="AC333" s="39"/>
    </row>
    <row r="334" spans="1:29" x14ac:dyDescent="0.25">
      <c r="A334"/>
      <c r="H334"/>
      <c r="X334" s="38"/>
      <c r="Y334" s="38"/>
      <c r="Z334" s="38"/>
      <c r="AA334" s="38"/>
      <c r="AB334" s="9"/>
      <c r="AC334" s="39"/>
    </row>
    <row r="335" spans="1:29" x14ac:dyDescent="0.25">
      <c r="A335"/>
      <c r="H335"/>
      <c r="X335" s="38"/>
      <c r="Y335" s="38"/>
      <c r="Z335" s="38"/>
      <c r="AA335" s="38"/>
      <c r="AB335" s="9"/>
      <c r="AC335" s="39"/>
    </row>
    <row r="336" spans="1:29" x14ac:dyDescent="0.25">
      <c r="A336"/>
      <c r="H336"/>
      <c r="X336" s="38"/>
      <c r="Y336" s="38"/>
      <c r="Z336" s="38"/>
      <c r="AA336" s="38"/>
      <c r="AB336" s="9"/>
      <c r="AC336" s="39"/>
    </row>
    <row r="337" spans="1:29" x14ac:dyDescent="0.25">
      <c r="A337"/>
      <c r="H337"/>
      <c r="X337" s="38"/>
      <c r="Y337" s="38"/>
      <c r="Z337" s="38"/>
      <c r="AA337" s="38"/>
      <c r="AB337" s="9"/>
      <c r="AC337" s="39"/>
    </row>
    <row r="338" spans="1:29" x14ac:dyDescent="0.25">
      <c r="A338"/>
      <c r="H338"/>
      <c r="X338" s="38"/>
      <c r="Y338" s="38"/>
      <c r="Z338" s="38"/>
      <c r="AA338" s="38"/>
      <c r="AB338" s="9"/>
      <c r="AC338" s="39"/>
    </row>
    <row r="339" spans="1:29" x14ac:dyDescent="0.25">
      <c r="A339"/>
      <c r="H339"/>
      <c r="X339" s="38"/>
      <c r="Y339" s="38"/>
      <c r="Z339" s="38"/>
      <c r="AA339" s="38"/>
      <c r="AB339" s="9"/>
      <c r="AC339" s="39"/>
    </row>
    <row r="340" spans="1:29" x14ac:dyDescent="0.25">
      <c r="A340"/>
      <c r="H340"/>
      <c r="X340" s="38"/>
      <c r="Y340" s="38"/>
      <c r="Z340" s="38"/>
      <c r="AA340" s="38"/>
      <c r="AB340" s="9"/>
      <c r="AC340" s="39"/>
    </row>
    <row r="341" spans="1:29" x14ac:dyDescent="0.25">
      <c r="A341"/>
      <c r="H341"/>
      <c r="X341" s="38"/>
      <c r="Y341" s="38"/>
      <c r="Z341" s="38"/>
      <c r="AA341" s="38"/>
      <c r="AB341" s="9"/>
      <c r="AC341" s="39"/>
    </row>
    <row r="342" spans="1:29" x14ac:dyDescent="0.25">
      <c r="A342"/>
      <c r="H342"/>
      <c r="X342" s="38"/>
      <c r="Y342" s="38"/>
      <c r="Z342" s="38"/>
      <c r="AA342" s="38"/>
      <c r="AB342" s="9"/>
      <c r="AC342" s="39"/>
    </row>
    <row r="343" spans="1:29" x14ac:dyDescent="0.25">
      <c r="A343"/>
      <c r="H343"/>
      <c r="X343" s="38"/>
      <c r="Y343" s="38"/>
      <c r="Z343" s="38"/>
      <c r="AA343" s="38"/>
      <c r="AB343" s="9"/>
      <c r="AC343" s="39"/>
    </row>
    <row r="344" spans="1:29" x14ac:dyDescent="0.25">
      <c r="A344"/>
      <c r="H344"/>
      <c r="X344" s="38"/>
      <c r="Y344" s="38"/>
      <c r="Z344" s="38"/>
      <c r="AA344" s="38"/>
      <c r="AB344" s="9"/>
      <c r="AC344" s="39"/>
    </row>
    <row r="345" spans="1:29" x14ac:dyDescent="0.25">
      <c r="A345"/>
      <c r="H345"/>
      <c r="X345" s="38"/>
      <c r="Y345" s="38"/>
      <c r="Z345" s="38"/>
      <c r="AA345" s="38"/>
      <c r="AB345" s="9"/>
      <c r="AC345" s="39"/>
    </row>
    <row r="346" spans="1:29" x14ac:dyDescent="0.25">
      <c r="A346"/>
      <c r="H346"/>
      <c r="X346" s="38"/>
      <c r="Y346" s="38"/>
      <c r="Z346" s="38"/>
      <c r="AA346" s="38"/>
      <c r="AB346" s="9"/>
      <c r="AC346" s="39"/>
    </row>
    <row r="347" spans="1:29" x14ac:dyDescent="0.25">
      <c r="A347"/>
      <c r="H347"/>
      <c r="X347" s="38"/>
      <c r="Y347" s="38"/>
      <c r="Z347" s="38"/>
      <c r="AA347" s="38"/>
      <c r="AB347" s="9"/>
      <c r="AC347" s="39"/>
    </row>
    <row r="348" spans="1:29" x14ac:dyDescent="0.25">
      <c r="A348"/>
      <c r="H348"/>
      <c r="X348" s="38"/>
      <c r="Y348" s="38"/>
      <c r="Z348" s="38"/>
      <c r="AA348" s="38"/>
      <c r="AB348" s="9"/>
      <c r="AC348" s="39"/>
    </row>
    <row r="349" spans="1:29" x14ac:dyDescent="0.25">
      <c r="A349"/>
      <c r="H349"/>
      <c r="X349" s="38"/>
      <c r="Y349" s="38"/>
      <c r="Z349" s="38"/>
      <c r="AA349" s="38"/>
      <c r="AB349" s="9"/>
      <c r="AC349" s="39"/>
    </row>
    <row r="350" spans="1:29" x14ac:dyDescent="0.25">
      <c r="A350"/>
      <c r="H350"/>
      <c r="X350" s="38"/>
      <c r="Y350" s="38"/>
      <c r="Z350" s="38"/>
      <c r="AA350" s="38"/>
      <c r="AB350" s="9"/>
      <c r="AC350" s="39"/>
    </row>
    <row r="351" spans="1:29" x14ac:dyDescent="0.25">
      <c r="A351"/>
      <c r="H351"/>
      <c r="X351" s="38"/>
      <c r="Y351" s="38"/>
      <c r="Z351" s="38"/>
      <c r="AA351" s="38"/>
      <c r="AB351" s="9"/>
      <c r="AC351" s="39"/>
    </row>
    <row r="352" spans="1:29" x14ac:dyDescent="0.25">
      <c r="A352"/>
      <c r="H352"/>
      <c r="X352" s="38"/>
      <c r="Y352" s="38"/>
      <c r="Z352" s="38"/>
      <c r="AA352" s="38"/>
      <c r="AB352" s="9"/>
      <c r="AC352" s="39"/>
    </row>
    <row r="353" spans="1:29" x14ac:dyDescent="0.25">
      <c r="A353"/>
      <c r="H353"/>
      <c r="X353" s="38"/>
      <c r="Y353" s="38"/>
      <c r="Z353" s="38"/>
      <c r="AA353" s="38"/>
      <c r="AB353" s="9"/>
      <c r="AC353" s="39"/>
    </row>
    <row r="354" spans="1:29" x14ac:dyDescent="0.25">
      <c r="A354"/>
      <c r="H354"/>
      <c r="X354" s="38"/>
      <c r="Y354" s="38"/>
      <c r="Z354" s="38"/>
      <c r="AA354" s="38"/>
      <c r="AB354" s="9"/>
      <c r="AC354" s="39"/>
    </row>
    <row r="355" spans="1:29" x14ac:dyDescent="0.25">
      <c r="A355"/>
      <c r="H355"/>
      <c r="X355" s="38"/>
      <c r="Y355" s="38"/>
      <c r="Z355" s="38"/>
      <c r="AA355" s="38"/>
      <c r="AB355" s="9"/>
      <c r="AC355" s="39"/>
    </row>
    <row r="356" spans="1:29" x14ac:dyDescent="0.25">
      <c r="A356"/>
      <c r="H356"/>
      <c r="X356" s="38"/>
      <c r="Y356" s="38"/>
      <c r="Z356" s="38"/>
      <c r="AA356" s="38"/>
      <c r="AB356" s="9"/>
      <c r="AC356" s="39"/>
    </row>
    <row r="357" spans="1:29" x14ac:dyDescent="0.25">
      <c r="A357"/>
      <c r="H357"/>
      <c r="X357" s="38"/>
      <c r="Y357" s="38"/>
      <c r="Z357" s="38"/>
      <c r="AA357" s="38"/>
      <c r="AB357" s="9"/>
      <c r="AC357" s="39"/>
    </row>
    <row r="358" spans="1:29" x14ac:dyDescent="0.25">
      <c r="A358"/>
      <c r="H358"/>
      <c r="X358" s="38"/>
      <c r="Y358" s="38"/>
      <c r="Z358" s="38"/>
      <c r="AA358" s="38"/>
      <c r="AB358" s="9"/>
      <c r="AC358" s="39"/>
    </row>
    <row r="359" spans="1:29" x14ac:dyDescent="0.25">
      <c r="A359"/>
      <c r="H359"/>
      <c r="X359" s="38"/>
      <c r="Y359" s="38"/>
      <c r="Z359" s="38"/>
      <c r="AA359" s="38"/>
      <c r="AB359" s="9"/>
      <c r="AC359" s="39"/>
    </row>
    <row r="360" spans="1:29" x14ac:dyDescent="0.25">
      <c r="A360"/>
      <c r="H360"/>
      <c r="X360" s="38"/>
      <c r="Y360" s="38"/>
      <c r="Z360" s="38"/>
      <c r="AA360" s="38"/>
      <c r="AB360" s="9"/>
      <c r="AC360" s="39"/>
    </row>
    <row r="361" spans="1:29" x14ac:dyDescent="0.25">
      <c r="A361"/>
      <c r="H361"/>
      <c r="X361" s="38"/>
      <c r="Y361" s="38"/>
      <c r="Z361" s="38"/>
      <c r="AA361" s="38"/>
      <c r="AB361" s="9"/>
      <c r="AC361" s="39"/>
    </row>
    <row r="362" spans="1:29" x14ac:dyDescent="0.25">
      <c r="A362"/>
      <c r="H362"/>
      <c r="X362" s="38"/>
      <c r="Y362" s="38"/>
      <c r="Z362" s="38"/>
      <c r="AA362" s="38"/>
      <c r="AB362" s="9"/>
      <c r="AC362" s="39"/>
    </row>
    <row r="363" spans="1:29" x14ac:dyDescent="0.25">
      <c r="A363"/>
      <c r="H363"/>
      <c r="X363" s="38"/>
      <c r="Y363" s="38"/>
      <c r="Z363" s="38"/>
      <c r="AA363" s="38"/>
      <c r="AB363" s="9"/>
      <c r="AC363" s="39"/>
    </row>
    <row r="364" spans="1:29" x14ac:dyDescent="0.25">
      <c r="A364"/>
      <c r="H364"/>
      <c r="X364" s="38"/>
      <c r="Y364" s="38"/>
      <c r="Z364" s="38"/>
      <c r="AA364" s="38"/>
      <c r="AB364" s="9"/>
      <c r="AC364" s="39"/>
    </row>
    <row r="365" spans="1:29" x14ac:dyDescent="0.25">
      <c r="A365"/>
      <c r="H365"/>
      <c r="X365" s="38"/>
      <c r="Y365" s="38"/>
      <c r="Z365" s="38"/>
      <c r="AA365" s="38"/>
      <c r="AB365" s="9"/>
      <c r="AC365" s="39"/>
    </row>
    <row r="366" spans="1:29" x14ac:dyDescent="0.25">
      <c r="A366"/>
      <c r="H366"/>
      <c r="X366" s="38"/>
      <c r="Y366" s="38"/>
      <c r="Z366" s="38"/>
      <c r="AA366" s="38"/>
      <c r="AB366" s="9"/>
      <c r="AC366" s="39"/>
    </row>
    <row r="367" spans="1:29" x14ac:dyDescent="0.25">
      <c r="A367"/>
      <c r="H367"/>
      <c r="X367" s="38"/>
      <c r="Y367" s="38"/>
      <c r="Z367" s="38"/>
      <c r="AA367" s="38"/>
      <c r="AB367" s="9"/>
      <c r="AC367" s="39"/>
    </row>
    <row r="368" spans="1:29" x14ac:dyDescent="0.25">
      <c r="A368"/>
      <c r="H368"/>
      <c r="X368" s="38"/>
      <c r="Y368" s="38"/>
      <c r="Z368" s="38"/>
      <c r="AA368" s="38"/>
      <c r="AB368" s="9"/>
      <c r="AC368" s="39"/>
    </row>
    <row r="369" spans="1:29" x14ac:dyDescent="0.25">
      <c r="A369"/>
      <c r="H369"/>
      <c r="X369" s="38"/>
      <c r="Y369" s="38"/>
      <c r="Z369" s="38"/>
      <c r="AA369" s="38"/>
      <c r="AB369" s="9"/>
      <c r="AC369" s="39"/>
    </row>
    <row r="370" spans="1:29" x14ac:dyDescent="0.25">
      <c r="A370"/>
      <c r="H370"/>
      <c r="X370" s="38"/>
      <c r="Y370" s="38"/>
      <c r="Z370" s="38"/>
      <c r="AA370" s="38"/>
      <c r="AB370" s="9"/>
      <c r="AC370" s="39"/>
    </row>
    <row r="371" spans="1:29" x14ac:dyDescent="0.25">
      <c r="A371"/>
      <c r="H371"/>
      <c r="X371" s="38"/>
      <c r="Y371" s="38"/>
      <c r="Z371" s="38"/>
      <c r="AA371" s="38"/>
      <c r="AB371" s="9"/>
      <c r="AC371" s="39"/>
    </row>
    <row r="372" spans="1:29" x14ac:dyDescent="0.25">
      <c r="A372"/>
      <c r="H372"/>
      <c r="X372" s="38"/>
      <c r="Y372" s="38"/>
      <c r="Z372" s="38"/>
      <c r="AA372" s="38"/>
      <c r="AB372" s="9"/>
      <c r="AC372" s="39"/>
    </row>
    <row r="373" spans="1:29" x14ac:dyDescent="0.25">
      <c r="A373"/>
      <c r="H373"/>
      <c r="X373" s="38"/>
      <c r="Y373" s="38"/>
      <c r="Z373" s="38"/>
      <c r="AA373" s="38"/>
      <c r="AB373" s="9"/>
      <c r="AC373" s="39"/>
    </row>
    <row r="374" spans="1:29" x14ac:dyDescent="0.25">
      <c r="A374"/>
      <c r="H374"/>
      <c r="X374" s="38"/>
      <c r="Y374" s="38"/>
      <c r="Z374" s="38"/>
      <c r="AA374" s="38"/>
      <c r="AB374" s="9"/>
      <c r="AC374" s="39"/>
    </row>
    <row r="375" spans="1:29" x14ac:dyDescent="0.25">
      <c r="A375"/>
      <c r="H375"/>
      <c r="X375" s="38"/>
      <c r="Y375" s="38"/>
      <c r="Z375" s="38"/>
      <c r="AA375" s="38"/>
      <c r="AB375" s="9"/>
      <c r="AC375" s="39"/>
    </row>
    <row r="376" spans="1:29" x14ac:dyDescent="0.25">
      <c r="A376"/>
      <c r="H376"/>
      <c r="X376" s="38"/>
      <c r="Y376" s="38"/>
      <c r="Z376" s="38"/>
      <c r="AA376" s="38"/>
      <c r="AB376" s="9"/>
      <c r="AC376" s="39"/>
    </row>
    <row r="377" spans="1:29" x14ac:dyDescent="0.25">
      <c r="A377"/>
      <c r="H377"/>
      <c r="X377" s="38"/>
      <c r="Y377" s="38"/>
      <c r="Z377" s="38"/>
      <c r="AA377" s="38"/>
      <c r="AB377" s="9"/>
      <c r="AC377" s="39"/>
    </row>
    <row r="378" spans="1:29" x14ac:dyDescent="0.25">
      <c r="A378"/>
      <c r="H378"/>
      <c r="X378" s="38"/>
      <c r="Y378" s="38"/>
      <c r="Z378" s="38"/>
      <c r="AA378" s="38"/>
      <c r="AB378" s="9"/>
      <c r="AC378" s="39"/>
    </row>
    <row r="379" spans="1:29" x14ac:dyDescent="0.25">
      <c r="A379"/>
      <c r="H379"/>
      <c r="X379" s="38"/>
      <c r="Y379" s="38"/>
      <c r="Z379" s="38"/>
      <c r="AA379" s="38"/>
      <c r="AB379" s="9"/>
      <c r="AC379" s="39"/>
    </row>
    <row r="380" spans="1:29" x14ac:dyDescent="0.25">
      <c r="A380"/>
      <c r="H380"/>
      <c r="X380" s="38"/>
      <c r="Y380" s="38"/>
      <c r="Z380" s="38"/>
      <c r="AA380" s="38"/>
      <c r="AB380" s="9"/>
      <c r="AC380" s="39"/>
    </row>
    <row r="381" spans="1:29" x14ac:dyDescent="0.25">
      <c r="A381"/>
      <c r="H381"/>
      <c r="X381" s="38"/>
      <c r="Y381" s="38"/>
      <c r="Z381" s="38"/>
      <c r="AA381" s="38"/>
      <c r="AB381" s="9"/>
      <c r="AC381" s="39"/>
    </row>
    <row r="382" spans="1:29" x14ac:dyDescent="0.25">
      <c r="A382"/>
      <c r="H382"/>
      <c r="X382" s="38"/>
      <c r="Y382" s="38"/>
      <c r="Z382" s="38"/>
      <c r="AA382" s="38"/>
      <c r="AB382" s="9"/>
      <c r="AC382" s="39"/>
    </row>
    <row r="383" spans="1:29" x14ac:dyDescent="0.25">
      <c r="A383"/>
      <c r="H383"/>
      <c r="X383" s="38"/>
      <c r="Y383" s="38"/>
      <c r="Z383" s="38"/>
      <c r="AA383" s="38"/>
      <c r="AB383" s="9"/>
      <c r="AC383" s="39"/>
    </row>
    <row r="384" spans="1:29" x14ac:dyDescent="0.25">
      <c r="A384"/>
      <c r="H384"/>
      <c r="X384" s="38"/>
      <c r="Y384" s="38"/>
      <c r="Z384" s="38"/>
      <c r="AA384" s="38"/>
      <c r="AB384" s="9"/>
      <c r="AC384" s="39"/>
    </row>
    <row r="385" spans="1:29" x14ac:dyDescent="0.25">
      <c r="A385"/>
      <c r="H385"/>
      <c r="X385" s="38"/>
      <c r="Y385" s="38"/>
      <c r="Z385" s="38"/>
      <c r="AA385" s="38"/>
      <c r="AB385" s="9"/>
      <c r="AC385" s="39"/>
    </row>
    <row r="386" spans="1:29" x14ac:dyDescent="0.25">
      <c r="A386"/>
      <c r="H386"/>
      <c r="X386" s="38"/>
      <c r="Y386" s="38"/>
      <c r="Z386" s="38"/>
      <c r="AA386" s="38"/>
      <c r="AB386" s="9"/>
      <c r="AC386" s="39"/>
    </row>
    <row r="387" spans="1:29" x14ac:dyDescent="0.25">
      <c r="A387"/>
      <c r="H387"/>
      <c r="X387" s="38"/>
      <c r="Y387" s="38"/>
      <c r="Z387" s="38"/>
      <c r="AA387" s="38"/>
      <c r="AB387" s="9"/>
      <c r="AC387" s="39"/>
    </row>
    <row r="388" spans="1:29" x14ac:dyDescent="0.25">
      <c r="A388"/>
      <c r="H388"/>
      <c r="X388" s="38"/>
      <c r="Y388" s="38"/>
      <c r="Z388" s="38"/>
      <c r="AA388" s="38"/>
      <c r="AB388" s="9"/>
      <c r="AC388" s="39"/>
    </row>
    <row r="389" spans="1:29" x14ac:dyDescent="0.25">
      <c r="A389"/>
      <c r="H389"/>
      <c r="X389" s="38"/>
      <c r="Y389" s="38"/>
      <c r="Z389" s="38"/>
      <c r="AA389" s="38"/>
      <c r="AB389" s="9"/>
      <c r="AC389" s="39"/>
    </row>
    <row r="390" spans="1:29" x14ac:dyDescent="0.25">
      <c r="A390"/>
      <c r="H390"/>
      <c r="X390" s="38"/>
      <c r="Y390" s="38"/>
      <c r="Z390" s="38"/>
      <c r="AA390" s="38"/>
      <c r="AB390" s="9"/>
      <c r="AC390" s="39"/>
    </row>
    <row r="391" spans="1:29" x14ac:dyDescent="0.25">
      <c r="A391"/>
      <c r="H391"/>
      <c r="X391" s="38"/>
      <c r="Y391" s="38"/>
      <c r="Z391" s="38"/>
      <c r="AA391" s="38"/>
      <c r="AB391" s="9"/>
      <c r="AC391" s="39"/>
    </row>
    <row r="392" spans="1:29" x14ac:dyDescent="0.25">
      <c r="A392"/>
      <c r="H392"/>
      <c r="X392" s="38"/>
      <c r="Y392" s="38"/>
      <c r="Z392" s="38"/>
      <c r="AA392" s="38"/>
      <c r="AB392" s="9"/>
      <c r="AC392" s="39"/>
    </row>
    <row r="393" spans="1:29" x14ac:dyDescent="0.25">
      <c r="A393"/>
      <c r="H393"/>
      <c r="X393" s="38"/>
      <c r="Y393" s="38"/>
      <c r="Z393" s="38"/>
      <c r="AA393" s="38"/>
      <c r="AB393" s="9"/>
      <c r="AC393" s="39"/>
    </row>
    <row r="394" spans="1:29" x14ac:dyDescent="0.25">
      <c r="A394"/>
      <c r="H394"/>
      <c r="X394" s="38"/>
      <c r="Y394" s="38"/>
      <c r="Z394" s="38"/>
      <c r="AA394" s="38"/>
      <c r="AB394" s="9"/>
      <c r="AC394" s="39"/>
    </row>
    <row r="395" spans="1:29" x14ac:dyDescent="0.25">
      <c r="A395"/>
      <c r="H395"/>
      <c r="X395" s="38"/>
      <c r="Y395" s="38"/>
      <c r="Z395" s="38"/>
      <c r="AA395" s="38"/>
      <c r="AB395" s="9"/>
      <c r="AC395" s="39"/>
    </row>
    <row r="396" spans="1:29" x14ac:dyDescent="0.25">
      <c r="A396"/>
      <c r="H396"/>
      <c r="X396" s="38"/>
      <c r="Y396" s="38"/>
      <c r="Z396" s="38"/>
      <c r="AA396" s="38"/>
      <c r="AB396" s="9"/>
      <c r="AC396" s="39"/>
    </row>
    <row r="397" spans="1:29" x14ac:dyDescent="0.25">
      <c r="A397"/>
      <c r="H397"/>
      <c r="X397" s="38"/>
      <c r="Y397" s="38"/>
      <c r="Z397" s="38"/>
      <c r="AA397" s="38"/>
      <c r="AB397" s="9"/>
      <c r="AC397" s="39"/>
    </row>
    <row r="398" spans="1:29" x14ac:dyDescent="0.25">
      <c r="A398"/>
      <c r="H398"/>
      <c r="X398" s="38"/>
      <c r="Y398" s="38"/>
      <c r="Z398" s="38"/>
      <c r="AA398" s="38"/>
      <c r="AB398" s="9"/>
      <c r="AC398" s="39"/>
    </row>
    <row r="399" spans="1:29" x14ac:dyDescent="0.25">
      <c r="A399"/>
      <c r="H399"/>
      <c r="X399" s="38"/>
      <c r="Y399" s="38"/>
      <c r="Z399" s="38"/>
      <c r="AA399" s="38"/>
      <c r="AB399" s="9"/>
      <c r="AC399" s="39"/>
    </row>
    <row r="400" spans="1:29" x14ac:dyDescent="0.25">
      <c r="A400"/>
      <c r="H400"/>
      <c r="X400" s="38"/>
      <c r="Y400" s="38"/>
      <c r="Z400" s="38"/>
      <c r="AA400" s="38"/>
      <c r="AB400" s="9"/>
      <c r="AC400" s="39"/>
    </row>
    <row r="401" spans="1:29" x14ac:dyDescent="0.25">
      <c r="A401"/>
      <c r="H401"/>
      <c r="X401" s="38"/>
      <c r="Y401" s="38"/>
      <c r="Z401" s="38"/>
      <c r="AA401" s="38"/>
      <c r="AB401" s="9"/>
      <c r="AC401" s="39"/>
    </row>
    <row r="402" spans="1:29" x14ac:dyDescent="0.25">
      <c r="A402"/>
      <c r="H402"/>
      <c r="X402" s="38"/>
      <c r="Y402" s="38"/>
      <c r="Z402" s="38"/>
      <c r="AA402" s="38"/>
      <c r="AB402" s="9"/>
      <c r="AC402" s="39"/>
    </row>
    <row r="403" spans="1:29" x14ac:dyDescent="0.25">
      <c r="A403"/>
      <c r="H403"/>
      <c r="X403" s="38"/>
      <c r="Y403" s="38"/>
      <c r="Z403" s="38"/>
      <c r="AA403" s="38"/>
      <c r="AB403" s="9"/>
      <c r="AC403" s="39"/>
    </row>
    <row r="404" spans="1:29" x14ac:dyDescent="0.25">
      <c r="A404"/>
      <c r="H404"/>
      <c r="X404" s="38"/>
      <c r="Y404" s="38"/>
      <c r="Z404" s="38"/>
      <c r="AA404" s="38"/>
      <c r="AB404" s="9"/>
      <c r="AC404" s="39"/>
    </row>
    <row r="405" spans="1:29" x14ac:dyDescent="0.25">
      <c r="A405"/>
      <c r="H405"/>
      <c r="X405" s="38"/>
      <c r="Y405" s="38"/>
      <c r="Z405" s="38"/>
      <c r="AA405" s="38"/>
      <c r="AB405" s="9"/>
      <c r="AC405" s="39"/>
    </row>
    <row r="406" spans="1:29" x14ac:dyDescent="0.25">
      <c r="A406"/>
      <c r="H406"/>
      <c r="X406" s="38"/>
      <c r="Y406" s="38"/>
      <c r="Z406" s="38"/>
      <c r="AA406" s="38"/>
      <c r="AB406" s="9"/>
      <c r="AC406" s="39"/>
    </row>
    <row r="407" spans="1:29" x14ac:dyDescent="0.25">
      <c r="A407"/>
      <c r="H407"/>
      <c r="X407" s="38"/>
      <c r="Y407" s="38"/>
      <c r="Z407" s="38"/>
      <c r="AA407" s="38"/>
      <c r="AB407" s="9"/>
      <c r="AC407" s="39"/>
    </row>
    <row r="408" spans="1:29" x14ac:dyDescent="0.25">
      <c r="A408"/>
      <c r="H408"/>
      <c r="X408" s="38"/>
      <c r="Y408" s="38"/>
      <c r="Z408" s="38"/>
      <c r="AA408" s="38"/>
      <c r="AB408" s="9"/>
      <c r="AC408" s="39"/>
    </row>
    <row r="409" spans="1:29" x14ac:dyDescent="0.25">
      <c r="A409"/>
      <c r="H409"/>
      <c r="X409" s="38"/>
      <c r="Y409" s="38"/>
      <c r="Z409" s="38"/>
      <c r="AA409" s="38"/>
      <c r="AB409" s="9"/>
      <c r="AC409" s="39"/>
    </row>
    <row r="410" spans="1:29" x14ac:dyDescent="0.25">
      <c r="A410"/>
      <c r="H410"/>
      <c r="X410" s="38"/>
      <c r="Y410" s="38"/>
      <c r="Z410" s="38"/>
      <c r="AA410" s="38"/>
      <c r="AB410" s="9"/>
      <c r="AC410" s="39"/>
    </row>
    <row r="411" spans="1:29" x14ac:dyDescent="0.25">
      <c r="A411"/>
      <c r="H411"/>
      <c r="X411" s="38"/>
      <c r="Y411" s="38"/>
      <c r="Z411" s="38"/>
      <c r="AA411" s="38"/>
      <c r="AB411" s="9"/>
      <c r="AC411" s="39"/>
    </row>
    <row r="412" spans="1:29" x14ac:dyDescent="0.25">
      <c r="A412"/>
      <c r="H412"/>
    </row>
    <row r="413" spans="1:29" x14ac:dyDescent="0.25">
      <c r="A413"/>
      <c r="H413"/>
    </row>
    <row r="414" spans="1:29" x14ac:dyDescent="0.25">
      <c r="A414"/>
      <c r="H414"/>
    </row>
    <row r="415" spans="1:29" x14ac:dyDescent="0.25">
      <c r="A415"/>
      <c r="H415"/>
    </row>
    <row r="416" spans="1:29" x14ac:dyDescent="0.25">
      <c r="A416"/>
      <c r="H416"/>
    </row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</sheetData>
  <mergeCells count="17">
    <mergeCell ref="F21:F22"/>
    <mergeCell ref="AF29:AG29"/>
    <mergeCell ref="AI29:AJ29"/>
    <mergeCell ref="F4:F19"/>
    <mergeCell ref="M4:O4"/>
    <mergeCell ref="R4:T4"/>
    <mergeCell ref="AF4:AI4"/>
    <mergeCell ref="M5:O5"/>
    <mergeCell ref="R5:T5"/>
    <mergeCell ref="M2:U2"/>
    <mergeCell ref="X2:AA2"/>
    <mergeCell ref="A3:D3"/>
    <mergeCell ref="H3:K3"/>
    <mergeCell ref="M3:O3"/>
    <mergeCell ref="R3:T3"/>
    <mergeCell ref="X3:Y3"/>
    <mergeCell ref="Z3:AA3"/>
  </mergeCells>
  <conditionalFormatting sqref="A2:A3 X2:AA411 AC3:AC411">
    <cfRule type="containsErrors" dxfId="51" priority="6">
      <formula>ISERROR(A2)</formula>
    </cfRule>
  </conditionalFormatting>
  <conditionalFormatting sqref="A5:A285">
    <cfRule type="duplicateValues" dxfId="50" priority="2"/>
  </conditionalFormatting>
  <conditionalFormatting sqref="A4:D4">
    <cfRule type="containsErrors" dxfId="49" priority="12">
      <formula>ISERROR(A4)</formula>
    </cfRule>
  </conditionalFormatting>
  <conditionalFormatting sqref="H2:H3">
    <cfRule type="containsErrors" dxfId="48" priority="4">
      <formula>ISERROR(H2)</formula>
    </cfRule>
  </conditionalFormatting>
  <conditionalFormatting sqref="H5:H285">
    <cfRule type="duplicateValues" dxfId="47" priority="1"/>
  </conditionalFormatting>
  <conditionalFormatting sqref="H4:K4">
    <cfRule type="containsErrors" dxfId="46" priority="5">
      <formula>ISERROR(H4)</formula>
    </cfRule>
  </conditionalFormatting>
  <conditionalFormatting sqref="M2">
    <cfRule type="containsErrors" dxfId="45" priority="10">
      <formula>ISERROR(M2)</formula>
    </cfRule>
  </conditionalFormatting>
  <conditionalFormatting sqref="U4:U5">
    <cfRule type="containsErrors" dxfId="44" priority="9">
      <formula>ISERROR(U4)</formula>
    </cfRule>
  </conditionalFormatting>
  <conditionalFormatting sqref="AD4">
    <cfRule type="containsErrors" dxfId="43" priority="8">
      <formula>ISERROR(AD4)</formula>
    </cfRule>
  </conditionalFormatting>
  <conditionalFormatting sqref="AF4:AI25">
    <cfRule type="containsErrors" dxfId="42" priority="7">
      <formula>ISERROR(AF4)</formula>
    </cfRule>
  </conditionalFormatting>
  <conditionalFormatting sqref="AF29:AJ63 AJ73">
    <cfRule type="containsErrors" dxfId="41" priority="11">
      <formula>ISERROR(AF29)</formula>
    </cfRule>
  </conditionalFormatting>
  <conditionalFormatting sqref="AG73">
    <cfRule type="containsErrors" dxfId="40" priority="3">
      <formula>ISERROR(AG73)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B418-951A-432A-9ABC-0E64193415FA}">
  <dimension ref="A1:AJ137"/>
  <sheetViews>
    <sheetView workbookViewId="0">
      <selection sqref="A1:XFD1048576"/>
    </sheetView>
  </sheetViews>
  <sheetFormatPr defaultColWidth="8" defaultRowHeight="15.75" x14ac:dyDescent="0.25"/>
  <cols>
    <col min="2" max="2" width="11.375" bestFit="1" customWidth="1"/>
    <col min="6" max="6" width="8.875" customWidth="1"/>
    <col min="7" max="7" width="13.5" customWidth="1"/>
    <col min="11" max="11" width="10.625" customWidth="1"/>
    <col min="16" max="16" width="19.625" customWidth="1"/>
    <col min="17" max="17" width="10.625" customWidth="1"/>
    <col min="22" max="22" width="10.25" customWidth="1"/>
    <col min="23" max="23" width="10" bestFit="1" customWidth="1"/>
    <col min="24" max="24" width="10.75" bestFit="1" customWidth="1"/>
    <col min="25" max="25" width="9.75" bestFit="1" customWidth="1"/>
    <col min="28" max="28" width="9.625" bestFit="1" customWidth="1"/>
    <col min="30" max="31" width="10.625" bestFit="1" customWidth="1"/>
    <col min="33" max="33" width="13.25" bestFit="1" customWidth="1"/>
    <col min="34" max="34" width="12.375" customWidth="1"/>
    <col min="35" max="35" width="12" customWidth="1"/>
  </cols>
  <sheetData>
    <row r="1" spans="1:36" ht="16.5" thickBot="1" x14ac:dyDescent="0.3"/>
    <row r="2" spans="1:36" ht="16.5" thickBot="1" x14ac:dyDescent="0.3">
      <c r="A2" s="13" t="s">
        <v>2</v>
      </c>
      <c r="B2" s="14"/>
      <c r="C2" s="1"/>
      <c r="D2" s="1"/>
      <c r="E2" s="1"/>
      <c r="F2" s="13" t="s">
        <v>3</v>
      </c>
      <c r="G2" s="14"/>
      <c r="I2" s="56" t="s">
        <v>41</v>
      </c>
      <c r="J2" s="56"/>
      <c r="K2" s="56"/>
      <c r="L2" s="56"/>
      <c r="M2" s="56"/>
      <c r="N2" s="56"/>
      <c r="O2" s="56"/>
      <c r="P2" s="56"/>
      <c r="Q2" s="56"/>
      <c r="V2" s="57"/>
      <c r="W2" s="57"/>
      <c r="AA2" s="58"/>
      <c r="AB2" s="57"/>
      <c r="AC2" s="59"/>
      <c r="AD2" s="59"/>
      <c r="AE2" s="60"/>
      <c r="AG2" t="s">
        <v>42</v>
      </c>
      <c r="AH2" t="s">
        <v>43</v>
      </c>
      <c r="AI2" t="s">
        <v>44</v>
      </c>
    </row>
    <row r="3" spans="1:36" ht="31.5" x14ac:dyDescent="0.25">
      <c r="A3" s="61" t="s">
        <v>9</v>
      </c>
      <c r="B3" s="62" t="s">
        <v>45</v>
      </c>
      <c r="C3" s="1"/>
      <c r="D3" s="1"/>
      <c r="E3" s="1"/>
      <c r="F3" s="61" t="s">
        <v>9</v>
      </c>
      <c r="G3" s="62" t="s">
        <v>45</v>
      </c>
      <c r="I3" s="63" t="s">
        <v>4</v>
      </c>
      <c r="J3" s="63"/>
      <c r="K3" s="63"/>
      <c r="L3" s="64">
        <f>AD17</f>
        <v>11</v>
      </c>
      <c r="M3" s="65"/>
      <c r="N3" s="63" t="s">
        <v>5</v>
      </c>
      <c r="O3" s="63"/>
      <c r="P3" s="63"/>
      <c r="Q3" s="64">
        <f>AA4</f>
        <v>0.3</v>
      </c>
      <c r="V3" s="66" t="s">
        <v>46</v>
      </c>
      <c r="W3" s="66"/>
      <c r="X3" s="67" t="s">
        <v>47</v>
      </c>
      <c r="Y3" s="67" t="s">
        <v>48</v>
      </c>
      <c r="Z3" s="67" t="s">
        <v>49</v>
      </c>
      <c r="AA3" s="68" t="s">
        <v>19</v>
      </c>
      <c r="AB3" s="69"/>
      <c r="AC3" s="25" t="s">
        <v>8</v>
      </c>
      <c r="AD3" s="25"/>
      <c r="AE3" s="70"/>
      <c r="AF3" s="71"/>
      <c r="AG3" s="71" t="s">
        <v>47</v>
      </c>
      <c r="AH3" s="71" t="s">
        <v>48</v>
      </c>
      <c r="AI3" s="71" t="s">
        <v>50</v>
      </c>
    </row>
    <row r="4" spans="1:36" x14ac:dyDescent="0.25">
      <c r="A4" s="72">
        <v>1</v>
      </c>
      <c r="B4" s="72">
        <v>8</v>
      </c>
      <c r="C4" s="1"/>
      <c r="D4" s="29" t="s">
        <v>13</v>
      </c>
      <c r="E4" s="1"/>
      <c r="F4" s="72">
        <v>1</v>
      </c>
      <c r="G4" s="72">
        <v>8</v>
      </c>
      <c r="I4" s="63" t="s">
        <v>14</v>
      </c>
      <c r="J4" s="63"/>
      <c r="K4" s="63"/>
      <c r="L4" s="64">
        <f>AD15</f>
        <v>0.19999999999999929</v>
      </c>
      <c r="M4" s="65"/>
      <c r="N4" s="63" t="s">
        <v>51</v>
      </c>
      <c r="O4" s="63"/>
      <c r="P4" s="63"/>
      <c r="Q4" s="73">
        <f>AI4</f>
        <v>8</v>
      </c>
      <c r="V4" s="74">
        <f>ROUND(G4-B4,1)</f>
        <v>0</v>
      </c>
      <c r="W4" s="75">
        <f>SUMIF(V4:V125,"&gt;0.5",V4:V125)</f>
        <v>0</v>
      </c>
      <c r="X4" s="75">
        <f>IF($V4&lt;-$AA$4,1,0)</f>
        <v>0</v>
      </c>
      <c r="Y4" s="75">
        <f>IF($V4&gt;$AA$4,1,0)</f>
        <v>0</v>
      </c>
      <c r="Z4" s="75">
        <f>IF($V4&gt;=-$AA$4,IF(V4&lt;=$AA$4,1,""),"")</f>
        <v>1</v>
      </c>
      <c r="AA4" s="76">
        <v>0.3</v>
      </c>
      <c r="AB4" s="69"/>
      <c r="AE4" s="71"/>
      <c r="AF4" s="71" t="s">
        <v>52</v>
      </c>
      <c r="AG4" s="71">
        <f>SUM(X:X)</f>
        <v>3</v>
      </c>
      <c r="AH4" s="71">
        <f>SUM(Y:Y)</f>
        <v>0</v>
      </c>
      <c r="AI4" s="71">
        <f>SUM(Z:Z)</f>
        <v>8</v>
      </c>
      <c r="AJ4">
        <f>SUM(AG4:AI4)</f>
        <v>11</v>
      </c>
    </row>
    <row r="5" spans="1:36" x14ac:dyDescent="0.25">
      <c r="A5" s="72">
        <v>2</v>
      </c>
      <c r="B5" s="72">
        <v>8</v>
      </c>
      <c r="C5" s="1"/>
      <c r="D5" s="29"/>
      <c r="E5" s="1"/>
      <c r="F5" s="72">
        <v>2</v>
      </c>
      <c r="G5" s="72">
        <v>8</v>
      </c>
      <c r="I5" s="63" t="s">
        <v>53</v>
      </c>
      <c r="J5" s="63"/>
      <c r="K5" s="63"/>
      <c r="L5" s="64">
        <f>AD14</f>
        <v>-0.90000000000000036</v>
      </c>
      <c r="M5" s="65"/>
      <c r="N5" s="63" t="s">
        <v>54</v>
      </c>
      <c r="O5" s="63"/>
      <c r="P5" s="63"/>
      <c r="Q5" s="73">
        <f>AH4</f>
        <v>0</v>
      </c>
      <c r="V5" s="74">
        <f t="shared" ref="V5:V14" si="0">ROUND(G5-B5,1)</f>
        <v>0</v>
      </c>
      <c r="W5" s="75"/>
      <c r="X5" s="75">
        <f t="shared" ref="X5:X14" si="1">IF($V5&lt;-$AA$4,1,0)</f>
        <v>0</v>
      </c>
      <c r="Y5" s="75">
        <f t="shared" ref="Y5:Y14" si="2">IF($V5&gt;$AA$4,1,0)</f>
        <v>0</v>
      </c>
      <c r="Z5" s="75">
        <f t="shared" ref="Z5:Z14" si="3">IF($V5&gt;=-$AA$4,IF(V5&lt;=$AA$4,1,""),"")</f>
        <v>1</v>
      </c>
      <c r="AA5" s="69"/>
      <c r="AB5" s="69"/>
      <c r="AC5" t="s">
        <v>23</v>
      </c>
      <c r="AD5">
        <v>-0.18181818181818199</v>
      </c>
      <c r="AE5" s="71"/>
      <c r="AF5" s="71" t="s">
        <v>55</v>
      </c>
      <c r="AG5" s="71">
        <f>AG4/$AJ$4</f>
        <v>0.27272727272727271</v>
      </c>
      <c r="AH5" s="71">
        <f t="shared" ref="AH5:AI5" si="4">AH4/$AJ$4</f>
        <v>0</v>
      </c>
      <c r="AI5" s="71">
        <f t="shared" si="4"/>
        <v>0.72727272727272729</v>
      </c>
    </row>
    <row r="6" spans="1:36" x14ac:dyDescent="0.25">
      <c r="A6" s="72">
        <v>3</v>
      </c>
      <c r="B6" s="72">
        <v>8</v>
      </c>
      <c r="C6" s="1"/>
      <c r="D6" s="29"/>
      <c r="E6" s="1"/>
      <c r="F6" s="72">
        <v>3</v>
      </c>
      <c r="G6" s="72">
        <v>8</v>
      </c>
      <c r="I6" s="77"/>
      <c r="J6" s="77"/>
      <c r="K6" s="77"/>
      <c r="L6" s="78"/>
      <c r="M6" s="65"/>
      <c r="N6" s="63" t="s">
        <v>56</v>
      </c>
      <c r="O6" s="63"/>
      <c r="P6" s="63"/>
      <c r="Q6" s="64">
        <f>AG4</f>
        <v>3</v>
      </c>
      <c r="V6" s="74">
        <f t="shared" si="0"/>
        <v>0</v>
      </c>
      <c r="W6" s="75"/>
      <c r="X6" s="75">
        <f t="shared" si="1"/>
        <v>0</v>
      </c>
      <c r="Y6" s="75">
        <f t="shared" si="2"/>
        <v>0</v>
      </c>
      <c r="Z6" s="75">
        <f t="shared" si="3"/>
        <v>1</v>
      </c>
      <c r="AA6" s="69"/>
      <c r="AB6" s="69"/>
      <c r="AC6" t="s">
        <v>24</v>
      </c>
      <c r="AD6">
        <v>9.8919785518075939E-2</v>
      </c>
      <c r="AE6" s="71"/>
      <c r="AF6" s="71"/>
      <c r="AG6" s="71"/>
      <c r="AH6" s="71"/>
      <c r="AI6" s="69"/>
    </row>
    <row r="7" spans="1:36" x14ac:dyDescent="0.25">
      <c r="A7" s="72">
        <v>4</v>
      </c>
      <c r="B7" s="72">
        <v>8</v>
      </c>
      <c r="C7" s="1"/>
      <c r="D7" s="29"/>
      <c r="E7" s="1"/>
      <c r="F7" s="72">
        <v>4</v>
      </c>
      <c r="G7" s="72">
        <v>8</v>
      </c>
      <c r="V7" s="74">
        <f t="shared" si="0"/>
        <v>0</v>
      </c>
      <c r="W7" s="75"/>
      <c r="X7" s="75">
        <f t="shared" si="1"/>
        <v>0</v>
      </c>
      <c r="Y7" s="75">
        <f t="shared" si="2"/>
        <v>0</v>
      </c>
      <c r="Z7" s="75">
        <f t="shared" si="3"/>
        <v>1</v>
      </c>
      <c r="AA7" s="69"/>
      <c r="AB7" s="69"/>
      <c r="AC7" t="s">
        <v>25</v>
      </c>
      <c r="AD7">
        <v>0</v>
      </c>
      <c r="AE7" s="71"/>
      <c r="AF7" s="71"/>
      <c r="AG7" s="71"/>
      <c r="AH7" s="71"/>
      <c r="AI7" s="69"/>
    </row>
    <row r="8" spans="1:36" x14ac:dyDescent="0.25">
      <c r="A8" s="72">
        <v>5</v>
      </c>
      <c r="B8" s="72">
        <v>8</v>
      </c>
      <c r="C8" s="1"/>
      <c r="D8" s="29"/>
      <c r="E8" s="1"/>
      <c r="F8" s="72">
        <v>5</v>
      </c>
      <c r="G8" s="72">
        <v>8.1999999999999993</v>
      </c>
      <c r="V8" s="74">
        <f t="shared" si="0"/>
        <v>0.2</v>
      </c>
      <c r="W8" s="75"/>
      <c r="X8" s="75">
        <f t="shared" si="1"/>
        <v>0</v>
      </c>
      <c r="Y8" s="75">
        <f t="shared" si="2"/>
        <v>0</v>
      </c>
      <c r="Z8" s="75">
        <f t="shared" si="3"/>
        <v>1</v>
      </c>
      <c r="AA8" s="69"/>
      <c r="AB8" s="69"/>
      <c r="AC8" t="s">
        <v>26</v>
      </c>
      <c r="AD8">
        <v>0</v>
      </c>
      <c r="AE8" s="71"/>
      <c r="AF8" s="71"/>
      <c r="AG8" s="71"/>
      <c r="AH8" s="71"/>
      <c r="AI8" s="69"/>
    </row>
    <row r="9" spans="1:36" x14ac:dyDescent="0.25">
      <c r="A9" s="72">
        <v>6</v>
      </c>
      <c r="B9" s="72">
        <v>8</v>
      </c>
      <c r="C9" s="1"/>
      <c r="D9" s="29"/>
      <c r="E9" s="1"/>
      <c r="F9" s="72">
        <v>6</v>
      </c>
      <c r="G9" s="72">
        <v>7.8</v>
      </c>
      <c r="V9" s="74">
        <f t="shared" si="0"/>
        <v>-0.2</v>
      </c>
      <c r="W9" s="75"/>
      <c r="X9" s="75">
        <f t="shared" si="1"/>
        <v>0</v>
      </c>
      <c r="Y9" s="75">
        <f t="shared" si="2"/>
        <v>0</v>
      </c>
      <c r="Z9" s="75">
        <f t="shared" si="3"/>
        <v>1</v>
      </c>
      <c r="AA9" s="69"/>
      <c r="AB9" s="69"/>
      <c r="AC9" t="s">
        <v>27</v>
      </c>
      <c r="AD9">
        <v>0.32807981290588972</v>
      </c>
      <c r="AE9" s="71"/>
      <c r="AF9" s="71"/>
      <c r="AG9" s="71"/>
      <c r="AH9" s="71"/>
      <c r="AI9" s="69"/>
    </row>
    <row r="10" spans="1:36" x14ac:dyDescent="0.25">
      <c r="A10" s="72">
        <v>7</v>
      </c>
      <c r="B10" s="72">
        <v>8</v>
      </c>
      <c r="C10" s="1"/>
      <c r="D10" s="29"/>
      <c r="E10" s="1"/>
      <c r="F10" s="72">
        <v>7</v>
      </c>
      <c r="G10" s="72">
        <v>7.8</v>
      </c>
      <c r="V10" s="74">
        <f t="shared" si="0"/>
        <v>-0.2</v>
      </c>
      <c r="W10" s="75"/>
      <c r="X10" s="75">
        <f t="shared" si="1"/>
        <v>0</v>
      </c>
      <c r="Y10" s="75">
        <f t="shared" si="2"/>
        <v>0</v>
      </c>
      <c r="Z10" s="75">
        <f t="shared" si="3"/>
        <v>1</v>
      </c>
      <c r="AA10" s="69"/>
      <c r="AB10" s="69"/>
      <c r="AC10" t="s">
        <v>28</v>
      </c>
      <c r="AD10">
        <v>0.10763636363636361</v>
      </c>
      <c r="AE10" s="71"/>
      <c r="AF10" s="71"/>
      <c r="AG10" s="71"/>
      <c r="AH10" s="71"/>
      <c r="AI10" s="69"/>
    </row>
    <row r="11" spans="1:36" x14ac:dyDescent="0.25">
      <c r="A11" s="72">
        <v>8</v>
      </c>
      <c r="B11" s="72">
        <v>8</v>
      </c>
      <c r="C11" s="1"/>
      <c r="D11" s="29"/>
      <c r="E11" s="1"/>
      <c r="F11" s="72">
        <v>8</v>
      </c>
      <c r="G11" s="72">
        <v>7.5</v>
      </c>
      <c r="V11" s="74">
        <f t="shared" si="0"/>
        <v>-0.5</v>
      </c>
      <c r="W11" s="75"/>
      <c r="X11" s="75">
        <f t="shared" si="1"/>
        <v>1</v>
      </c>
      <c r="Y11" s="75">
        <f t="shared" si="2"/>
        <v>0</v>
      </c>
      <c r="Z11" s="75" t="str">
        <f t="shared" si="3"/>
        <v/>
      </c>
      <c r="AA11" s="69"/>
      <c r="AB11" s="69"/>
      <c r="AC11" t="s">
        <v>29</v>
      </c>
      <c r="AD11">
        <v>0.8728190817506718</v>
      </c>
      <c r="AE11" s="71"/>
      <c r="AF11" s="71"/>
      <c r="AG11" s="71"/>
      <c r="AH11" s="71"/>
      <c r="AI11" s="69"/>
    </row>
    <row r="12" spans="1:36" x14ac:dyDescent="0.25">
      <c r="A12" s="72">
        <v>9</v>
      </c>
      <c r="B12" s="72">
        <v>8</v>
      </c>
      <c r="C12" s="1"/>
      <c r="D12" s="29"/>
      <c r="E12" s="1"/>
      <c r="F12" s="72">
        <v>9</v>
      </c>
      <c r="G12" s="72">
        <v>8.1</v>
      </c>
      <c r="V12" s="74">
        <f t="shared" si="0"/>
        <v>0.1</v>
      </c>
      <c r="W12" s="75"/>
      <c r="X12" s="75">
        <f t="shared" si="1"/>
        <v>0</v>
      </c>
      <c r="Y12" s="75">
        <f t="shared" si="2"/>
        <v>0</v>
      </c>
      <c r="Z12" s="75">
        <f t="shared" si="3"/>
        <v>1</v>
      </c>
      <c r="AA12" s="69"/>
      <c r="AB12" s="69"/>
      <c r="AC12" t="s">
        <v>30</v>
      </c>
      <c r="AD12">
        <v>-1.1517673650040006</v>
      </c>
      <c r="AE12" s="71"/>
      <c r="AF12" s="71"/>
      <c r="AG12" s="71"/>
      <c r="AH12" s="71"/>
      <c r="AI12" s="69"/>
    </row>
    <row r="13" spans="1:36" x14ac:dyDescent="0.25">
      <c r="A13" s="72">
        <v>10</v>
      </c>
      <c r="B13" s="72">
        <v>8</v>
      </c>
      <c r="C13" s="1"/>
      <c r="D13" s="29"/>
      <c r="E13" s="1"/>
      <c r="F13" s="72">
        <v>10</v>
      </c>
      <c r="G13" s="72">
        <v>7.5</v>
      </c>
      <c r="V13" s="74">
        <f t="shared" si="0"/>
        <v>-0.5</v>
      </c>
      <c r="W13" s="75"/>
      <c r="X13" s="75">
        <f t="shared" si="1"/>
        <v>1</v>
      </c>
      <c r="Y13" s="75">
        <f t="shared" si="2"/>
        <v>0</v>
      </c>
      <c r="Z13" s="75" t="str">
        <f t="shared" si="3"/>
        <v/>
      </c>
      <c r="AA13" s="69"/>
      <c r="AB13" s="69"/>
      <c r="AC13" t="s">
        <v>31</v>
      </c>
      <c r="AD13">
        <v>1.0999999999999996</v>
      </c>
      <c r="AE13" s="71"/>
      <c r="AF13" s="71"/>
      <c r="AG13" s="71"/>
      <c r="AH13" s="71"/>
      <c r="AI13" s="69"/>
    </row>
    <row r="14" spans="1:36" x14ac:dyDescent="0.25">
      <c r="A14" s="72">
        <v>11</v>
      </c>
      <c r="B14" s="72">
        <v>8</v>
      </c>
      <c r="C14" s="1"/>
      <c r="D14" s="29"/>
      <c r="E14" s="1"/>
      <c r="F14" s="72">
        <v>11</v>
      </c>
      <c r="G14" s="72">
        <v>7.1</v>
      </c>
      <c r="V14" s="74">
        <f t="shared" si="0"/>
        <v>-0.9</v>
      </c>
      <c r="W14" s="75"/>
      <c r="X14" s="75">
        <f t="shared" si="1"/>
        <v>1</v>
      </c>
      <c r="Y14" s="75">
        <f t="shared" si="2"/>
        <v>0</v>
      </c>
      <c r="Z14" s="75" t="str">
        <f t="shared" si="3"/>
        <v/>
      </c>
      <c r="AA14" s="69"/>
      <c r="AB14" s="69"/>
      <c r="AC14" t="s">
        <v>32</v>
      </c>
      <c r="AD14">
        <v>-0.90000000000000036</v>
      </c>
      <c r="AE14" s="71"/>
      <c r="AF14" s="71"/>
      <c r="AG14" s="71"/>
      <c r="AH14" s="71"/>
      <c r="AI14" s="69"/>
    </row>
    <row r="15" spans="1:36" x14ac:dyDescent="0.25">
      <c r="A15" s="72"/>
      <c r="B15" s="72"/>
      <c r="C15" s="1"/>
      <c r="D15" s="29"/>
      <c r="E15" s="1"/>
      <c r="F15" s="72"/>
      <c r="G15" s="72"/>
      <c r="V15" s="74"/>
      <c r="W15" s="75"/>
      <c r="X15" s="75"/>
      <c r="Y15" s="75"/>
      <c r="Z15" s="75"/>
      <c r="AA15" s="69"/>
      <c r="AB15" s="69"/>
      <c r="AC15" t="s">
        <v>33</v>
      </c>
      <c r="AD15">
        <v>0.19999999999999929</v>
      </c>
      <c r="AE15" s="71"/>
      <c r="AF15" s="71"/>
      <c r="AG15" s="71"/>
      <c r="AH15" s="71"/>
      <c r="AI15" s="69"/>
    </row>
    <row r="16" spans="1:36" x14ac:dyDescent="0.25">
      <c r="A16" s="72"/>
      <c r="B16" s="72"/>
      <c r="C16" s="1"/>
      <c r="D16" s="29"/>
      <c r="E16" s="1"/>
      <c r="F16" s="72"/>
      <c r="G16" s="72"/>
      <c r="V16" s="75"/>
      <c r="W16" s="75"/>
      <c r="X16" s="75"/>
      <c r="Y16" s="75"/>
      <c r="Z16" s="75"/>
      <c r="AA16" s="69"/>
      <c r="AB16" s="69"/>
      <c r="AC16" t="s">
        <v>34</v>
      </c>
      <c r="AD16">
        <v>-2.0000000000000018</v>
      </c>
      <c r="AE16" s="71"/>
      <c r="AF16" s="71"/>
      <c r="AG16" s="71"/>
      <c r="AH16" s="71"/>
      <c r="AI16" s="69"/>
    </row>
    <row r="17" spans="1:36" ht="16.5" thickBot="1" x14ac:dyDescent="0.3">
      <c r="A17" s="72"/>
      <c r="B17" s="72"/>
      <c r="C17" s="1"/>
      <c r="D17" s="29"/>
      <c r="E17" s="1"/>
      <c r="F17" s="72"/>
      <c r="G17" s="72"/>
      <c r="V17" s="75"/>
      <c r="W17" s="75"/>
      <c r="X17" s="75"/>
      <c r="Y17" s="75"/>
      <c r="Z17" s="75"/>
      <c r="AA17" s="69"/>
      <c r="AB17" s="69"/>
      <c r="AC17" s="42" t="s">
        <v>35</v>
      </c>
      <c r="AD17" s="42">
        <v>11</v>
      </c>
      <c r="AE17" s="71"/>
      <c r="AF17" s="71"/>
      <c r="AG17" s="71"/>
      <c r="AH17" s="71"/>
      <c r="AI17" s="69"/>
    </row>
    <row r="18" spans="1:36" ht="16.5" thickBot="1" x14ac:dyDescent="0.3">
      <c r="A18" s="72"/>
      <c r="B18" s="72"/>
      <c r="C18" s="1"/>
      <c r="D18" s="29"/>
      <c r="E18" s="1"/>
      <c r="F18" s="72"/>
      <c r="G18" s="72"/>
      <c r="V18" s="75"/>
      <c r="W18" s="75"/>
      <c r="X18" s="75"/>
      <c r="Y18" s="75"/>
      <c r="Z18" s="75"/>
      <c r="AA18" s="69"/>
      <c r="AB18" s="69"/>
      <c r="AC18" s="79"/>
      <c r="AD18" s="79">
        <v>0</v>
      </c>
      <c r="AE18" s="71"/>
      <c r="AF18" s="71"/>
      <c r="AG18" s="71"/>
      <c r="AH18" s="71"/>
      <c r="AI18" s="69"/>
    </row>
    <row r="19" spans="1:36" x14ac:dyDescent="0.25">
      <c r="A19" s="72"/>
      <c r="B19" s="72"/>
      <c r="C19" s="1"/>
      <c r="D19" s="29"/>
      <c r="E19" s="1"/>
      <c r="F19" s="72"/>
      <c r="G19" s="72"/>
      <c r="V19" s="75"/>
      <c r="W19" s="75"/>
      <c r="X19" s="75"/>
      <c r="Y19" s="75"/>
      <c r="Z19" s="75"/>
      <c r="AA19" s="69"/>
      <c r="AB19" s="69"/>
      <c r="AC19" s="69"/>
      <c r="AD19" s="69"/>
      <c r="AE19" s="69"/>
      <c r="AF19" s="69"/>
      <c r="AG19" s="69"/>
      <c r="AH19" s="69"/>
      <c r="AI19" s="69"/>
    </row>
    <row r="20" spans="1:36" ht="16.5" x14ac:dyDescent="0.25">
      <c r="A20" s="72"/>
      <c r="B20" s="72"/>
      <c r="C20" s="1"/>
      <c r="D20" s="43" t="s">
        <v>36</v>
      </c>
      <c r="E20" s="1"/>
      <c r="F20" s="72"/>
      <c r="G20" s="72"/>
      <c r="V20" s="75"/>
      <c r="W20" s="75"/>
      <c r="X20" s="75"/>
      <c r="Y20" s="75"/>
      <c r="Z20" s="75"/>
      <c r="AA20" s="69"/>
      <c r="AB20" s="69"/>
      <c r="AC20" s="69"/>
      <c r="AD20" s="69"/>
      <c r="AE20" s="69"/>
      <c r="AF20" s="69"/>
      <c r="AG20" s="69"/>
      <c r="AH20" s="69"/>
      <c r="AI20" s="69"/>
    </row>
    <row r="21" spans="1:36" x14ac:dyDescent="0.25">
      <c r="A21" s="72"/>
      <c r="B21" s="72"/>
      <c r="C21" s="1"/>
      <c r="D21" s="44"/>
      <c r="E21" s="1"/>
      <c r="F21" s="72"/>
      <c r="G21" s="72"/>
      <c r="V21" s="75"/>
      <c r="W21" s="75"/>
      <c r="X21" s="75"/>
      <c r="Y21" s="75"/>
      <c r="Z21" s="75"/>
      <c r="AA21" s="69"/>
      <c r="AB21" s="69"/>
      <c r="AC21" s="69"/>
      <c r="AD21" s="69"/>
      <c r="AE21" s="69"/>
      <c r="AF21" s="69"/>
      <c r="AG21" s="69"/>
      <c r="AH21" s="69"/>
      <c r="AI21" s="69"/>
    </row>
    <row r="22" spans="1:36" x14ac:dyDescent="0.25">
      <c r="A22" s="72"/>
      <c r="B22" s="72"/>
      <c r="C22" s="1"/>
      <c r="D22" s="44"/>
      <c r="E22" s="1"/>
      <c r="F22" s="72"/>
      <c r="G22" s="72"/>
      <c r="V22" s="75"/>
      <c r="W22" s="75"/>
      <c r="X22" s="75"/>
      <c r="Y22" s="75"/>
      <c r="Z22" s="75"/>
      <c r="AA22" s="69"/>
      <c r="AB22" s="69"/>
      <c r="AC22" s="69"/>
      <c r="AD22" s="69"/>
      <c r="AE22" s="69"/>
      <c r="AF22" s="69"/>
      <c r="AG22" s="69"/>
      <c r="AH22" s="69"/>
      <c r="AI22" s="69"/>
    </row>
    <row r="23" spans="1:36" x14ac:dyDescent="0.25">
      <c r="A23" s="72"/>
      <c r="B23" s="72"/>
      <c r="C23" s="1"/>
      <c r="D23" s="1"/>
      <c r="E23" s="1"/>
      <c r="F23" s="72"/>
      <c r="G23" s="72"/>
      <c r="V23" s="75"/>
      <c r="W23" s="75"/>
      <c r="X23" s="75"/>
      <c r="Y23" s="75"/>
      <c r="Z23" s="75"/>
      <c r="AA23" s="69"/>
      <c r="AB23" s="69"/>
      <c r="AC23" s="69"/>
      <c r="AD23" s="69"/>
      <c r="AE23" s="69"/>
      <c r="AF23" s="69"/>
      <c r="AG23" s="69"/>
      <c r="AH23" s="69"/>
      <c r="AI23" s="69"/>
    </row>
    <row r="24" spans="1:36" x14ac:dyDescent="0.25">
      <c r="A24" s="72"/>
      <c r="B24" s="72"/>
      <c r="C24" s="1"/>
      <c r="D24" s="1"/>
      <c r="E24" s="1"/>
      <c r="F24" s="72"/>
      <c r="G24" s="72"/>
      <c r="V24" s="75"/>
      <c r="W24" s="75"/>
      <c r="X24" s="75"/>
      <c r="Y24" s="75"/>
      <c r="Z24" s="75"/>
      <c r="AA24" s="69"/>
      <c r="AB24" s="69"/>
      <c r="AC24" s="69"/>
      <c r="AD24" s="69"/>
      <c r="AE24" s="69"/>
      <c r="AF24" s="69"/>
      <c r="AG24" s="69"/>
      <c r="AH24" s="69"/>
      <c r="AI24" s="69"/>
    </row>
    <row r="25" spans="1:36" x14ac:dyDescent="0.25">
      <c r="A25" s="72"/>
      <c r="B25" s="72"/>
      <c r="C25" s="1"/>
      <c r="D25" s="1"/>
      <c r="E25" s="1"/>
      <c r="F25" s="72"/>
      <c r="G25" s="72"/>
      <c r="V25" s="75"/>
      <c r="W25" s="75"/>
      <c r="X25" s="75"/>
      <c r="Y25" s="75"/>
      <c r="Z25" s="75"/>
      <c r="AA25" s="69"/>
      <c r="AB25" s="69"/>
      <c r="AC25" s="69"/>
      <c r="AD25" s="69"/>
      <c r="AE25" s="69"/>
      <c r="AF25" s="69"/>
      <c r="AG25" s="69"/>
      <c r="AH25" s="69"/>
      <c r="AI25" s="69"/>
    </row>
    <row r="26" spans="1:36" x14ac:dyDescent="0.25">
      <c r="A26" s="72"/>
      <c r="B26" s="72"/>
      <c r="C26" s="1"/>
      <c r="D26" s="1"/>
      <c r="E26" s="1"/>
      <c r="F26" s="72"/>
      <c r="G26" s="72"/>
      <c r="V26" s="75"/>
      <c r="W26" s="57"/>
      <c r="X26" s="75"/>
      <c r="Y26" s="75"/>
      <c r="Z26" s="75"/>
      <c r="AA26" s="80"/>
      <c r="AB26" s="81"/>
      <c r="AC26" s="81"/>
      <c r="AD26" s="57"/>
      <c r="AE26" s="57"/>
    </row>
    <row r="27" spans="1:36" x14ac:dyDescent="0.25">
      <c r="A27" s="72"/>
      <c r="B27" s="72"/>
      <c r="C27" s="1"/>
      <c r="D27" s="1"/>
      <c r="E27" s="1"/>
      <c r="F27" s="72"/>
      <c r="G27" s="72"/>
      <c r="V27" s="75"/>
      <c r="W27" s="57"/>
      <c r="X27" s="75"/>
      <c r="Y27" s="75"/>
      <c r="Z27" s="75"/>
      <c r="AA27" s="80"/>
      <c r="AB27" s="81"/>
      <c r="AC27" s="81"/>
      <c r="AD27" s="82">
        <f>SUM(AD31:AD71)</f>
        <v>11</v>
      </c>
      <c r="AE27" s="57"/>
      <c r="AG27" s="82">
        <f>SUM(AG31:AG71)</f>
        <v>0</v>
      </c>
    </row>
    <row r="28" spans="1:36" x14ac:dyDescent="0.25">
      <c r="A28" s="72"/>
      <c r="B28" s="72"/>
      <c r="C28" s="1"/>
      <c r="D28" s="1"/>
      <c r="E28" s="1"/>
      <c r="F28" s="72"/>
      <c r="G28" s="72"/>
      <c r="V28" s="75"/>
      <c r="W28" s="57"/>
      <c r="X28" s="75"/>
      <c r="Y28" s="75"/>
      <c r="Z28" s="75"/>
      <c r="AA28" s="80"/>
      <c r="AB28" s="81"/>
      <c r="AC28" s="81"/>
      <c r="AD28" s="57"/>
      <c r="AE28" s="57"/>
    </row>
    <row r="29" spans="1:36" x14ac:dyDescent="0.25">
      <c r="A29" s="72"/>
      <c r="B29" s="72"/>
      <c r="C29" s="1"/>
      <c r="D29" s="1"/>
      <c r="E29" s="1"/>
      <c r="F29" s="72"/>
      <c r="G29" s="72"/>
      <c r="V29" s="75"/>
      <c r="W29" s="57"/>
      <c r="X29" s="75"/>
      <c r="Y29" s="75"/>
      <c r="Z29" s="75"/>
      <c r="AA29" s="80"/>
      <c r="AB29" s="81"/>
      <c r="AC29" s="83" t="s">
        <v>37</v>
      </c>
      <c r="AD29" s="84"/>
      <c r="AE29" s="57"/>
      <c r="AF29" s="83" t="s">
        <v>38</v>
      </c>
      <c r="AG29" s="84"/>
    </row>
    <row r="30" spans="1:36" x14ac:dyDescent="0.25">
      <c r="A30" s="72"/>
      <c r="B30" s="72"/>
      <c r="C30" s="1"/>
      <c r="D30" s="1"/>
      <c r="E30" s="1"/>
      <c r="F30" s="72"/>
      <c r="G30" s="72"/>
      <c r="V30" s="75"/>
      <c r="W30" s="57"/>
      <c r="X30" s="75"/>
      <c r="Y30" s="75"/>
      <c r="Z30" s="75"/>
      <c r="AA30" s="80"/>
      <c r="AB30" s="81"/>
      <c r="AC30" s="49" t="s">
        <v>39</v>
      </c>
      <c r="AD30" s="50" t="s">
        <v>40</v>
      </c>
      <c r="AE30" s="57"/>
      <c r="AF30" s="49" t="s">
        <v>39</v>
      </c>
      <c r="AG30" s="50" t="s">
        <v>40</v>
      </c>
    </row>
    <row r="31" spans="1:36" x14ac:dyDescent="0.25">
      <c r="A31" s="72"/>
      <c r="B31" s="72"/>
      <c r="C31" s="1"/>
      <c r="D31" s="1"/>
      <c r="E31" s="1"/>
      <c r="F31" s="72"/>
      <c r="G31" s="72"/>
      <c r="V31" s="75"/>
      <c r="W31" s="57"/>
      <c r="X31" s="75"/>
      <c r="Y31" s="75"/>
      <c r="Z31" s="75"/>
      <c r="AA31" s="80"/>
      <c r="AB31" s="81"/>
      <c r="AC31" s="51">
        <f>IF($AE31&lt;=$AA$4,$AE31,"")</f>
        <v>-1</v>
      </c>
      <c r="AD31" s="52">
        <f>IF(AC31="","",COUNTIF($V$4:$V$999,"&gt;="&amp;$AE31)-COUNTIF($V$4:$V$999,"&gt;="&amp;$AE32))</f>
        <v>0</v>
      </c>
      <c r="AE31" s="53">
        <v>-1</v>
      </c>
      <c r="AF31" s="51" t="str">
        <f>IF($AE31&gt;$AA$4,$AE31,"")</f>
        <v/>
      </c>
      <c r="AG31" s="52" t="str">
        <f t="shared" ref="AG31:AG35" si="5">IF(AF31="","",COUNTIF($V$5:$V$1000,"&gt;="&amp;$AH31)-COUNTIF($V$5:$V$1000,"&gt;="&amp;$AH32))</f>
        <v/>
      </c>
      <c r="AI31">
        <f>COUNTIF($V$4:$V$999,"&gt;="&amp;$AE31)</f>
        <v>11</v>
      </c>
      <c r="AJ31">
        <f>COUNTIF($V$4:$V$999,"&gt;="&amp;$AE31)</f>
        <v>11</v>
      </c>
    </row>
    <row r="32" spans="1:36" x14ac:dyDescent="0.25">
      <c r="A32" s="72"/>
      <c r="B32" s="72"/>
      <c r="C32" s="1"/>
      <c r="D32" s="1"/>
      <c r="E32" s="1"/>
      <c r="F32" s="72"/>
      <c r="G32" s="72"/>
      <c r="V32" s="75"/>
      <c r="W32" s="57"/>
      <c r="X32" s="75"/>
      <c r="Y32" s="75"/>
      <c r="Z32" s="75"/>
      <c r="AA32" s="80"/>
      <c r="AB32" s="81"/>
      <c r="AC32" s="51">
        <f t="shared" ref="AC32:AC71" si="6">IF($AE32&lt;=$AA$4,$AE32,"")</f>
        <v>-0.9</v>
      </c>
      <c r="AD32" s="52">
        <f t="shared" ref="AD32:AD71" si="7">IF(AC32="","",COUNTIF($V$4:$V$999,"&gt;="&amp;$AE32)-COUNTIF($V$4:$V$999,"&gt;="&amp;$AE33))</f>
        <v>1</v>
      </c>
      <c r="AE32" s="53">
        <v>-0.9</v>
      </c>
      <c r="AF32" s="51" t="str">
        <f t="shared" ref="AF32:AF71" si="8">IF($AE32&gt;$AA$4,$AE32,"")</f>
        <v/>
      </c>
      <c r="AG32" s="52" t="str">
        <f t="shared" si="5"/>
        <v/>
      </c>
      <c r="AI32">
        <f>COUNTIF($V$4:$V$999,"&gt;="&amp;$AE32)</f>
        <v>11</v>
      </c>
      <c r="AJ32">
        <f>COUNTIF($V$4:$V$999,"&gt;="&amp;$AE33)</f>
        <v>10</v>
      </c>
    </row>
    <row r="33" spans="1:36" x14ac:dyDescent="0.25">
      <c r="A33" s="72"/>
      <c r="B33" s="72"/>
      <c r="C33" s="1"/>
      <c r="D33" s="1"/>
      <c r="E33" s="1"/>
      <c r="F33" s="72"/>
      <c r="G33" s="72"/>
      <c r="V33" s="75"/>
      <c r="W33" s="57"/>
      <c r="X33" s="75"/>
      <c r="Y33" s="75"/>
      <c r="Z33" s="75"/>
      <c r="AA33" s="80"/>
      <c r="AB33" s="81"/>
      <c r="AC33" s="51">
        <f t="shared" si="6"/>
        <v>-0.8</v>
      </c>
      <c r="AD33" s="52">
        <f t="shared" si="7"/>
        <v>0</v>
      </c>
      <c r="AE33" s="53">
        <v>-0.8</v>
      </c>
      <c r="AF33" s="51" t="str">
        <f t="shared" si="8"/>
        <v/>
      </c>
      <c r="AG33" s="52" t="str">
        <f t="shared" si="5"/>
        <v/>
      </c>
    </row>
    <row r="34" spans="1:36" x14ac:dyDescent="0.25">
      <c r="A34" s="72"/>
      <c r="B34" s="72"/>
      <c r="C34" s="1"/>
      <c r="D34" s="1"/>
      <c r="E34" s="1"/>
      <c r="F34" s="72"/>
      <c r="G34" s="72"/>
      <c r="V34" s="75"/>
      <c r="W34" s="57"/>
      <c r="X34" s="75"/>
      <c r="Y34" s="75"/>
      <c r="Z34" s="75"/>
      <c r="AA34" s="80"/>
      <c r="AB34" s="81"/>
      <c r="AC34" s="51">
        <f t="shared" si="6"/>
        <v>-0.7</v>
      </c>
      <c r="AD34" s="52">
        <f t="shared" si="7"/>
        <v>0</v>
      </c>
      <c r="AE34" s="53">
        <v>-0.7</v>
      </c>
      <c r="AF34" s="51" t="str">
        <f t="shared" si="8"/>
        <v/>
      </c>
      <c r="AG34" s="52" t="str">
        <f t="shared" si="5"/>
        <v/>
      </c>
    </row>
    <row r="35" spans="1:36" x14ac:dyDescent="0.25">
      <c r="A35" s="72"/>
      <c r="B35" s="72"/>
      <c r="C35" s="1"/>
      <c r="D35" s="1"/>
      <c r="E35" s="1"/>
      <c r="F35" s="72"/>
      <c r="G35" s="72"/>
      <c r="V35" s="75"/>
      <c r="W35" s="57"/>
      <c r="X35" s="75"/>
      <c r="Y35" s="75"/>
      <c r="Z35" s="75"/>
      <c r="AA35" s="80"/>
      <c r="AB35" s="81"/>
      <c r="AC35" s="51">
        <f t="shared" si="6"/>
        <v>-0.6</v>
      </c>
      <c r="AD35" s="52">
        <f t="shared" si="7"/>
        <v>0</v>
      </c>
      <c r="AE35" s="53">
        <v>-0.6</v>
      </c>
      <c r="AF35" s="51" t="str">
        <f t="shared" si="8"/>
        <v/>
      </c>
      <c r="AG35" s="52" t="str">
        <f t="shared" si="5"/>
        <v/>
      </c>
    </row>
    <row r="36" spans="1:36" x14ac:dyDescent="0.25">
      <c r="A36" s="72"/>
      <c r="B36" s="72"/>
      <c r="C36" s="1"/>
      <c r="D36" s="1"/>
      <c r="E36" s="1"/>
      <c r="F36" s="72"/>
      <c r="G36" s="72"/>
      <c r="V36" s="75"/>
      <c r="W36" s="57"/>
      <c r="X36" s="75"/>
      <c r="Y36" s="75"/>
      <c r="Z36" s="75"/>
      <c r="AA36" s="80"/>
      <c r="AB36" s="81"/>
      <c r="AC36" s="51">
        <f t="shared" si="6"/>
        <v>-0.5</v>
      </c>
      <c r="AD36" s="52">
        <f t="shared" si="7"/>
        <v>2</v>
      </c>
      <c r="AE36" s="53">
        <v>-0.5</v>
      </c>
      <c r="AF36" s="51" t="str">
        <f t="shared" si="8"/>
        <v/>
      </c>
      <c r="AG36" s="52" t="str">
        <f>IF(AF36="","",COUNTIF($V$5:$V$1000,"&gt;="&amp;$AF36)-COUNTIF($V$5:$V$1000,"&gt;="&amp;$AF37))</f>
        <v/>
      </c>
    </row>
    <row r="37" spans="1:36" x14ac:dyDescent="0.25">
      <c r="A37" s="72"/>
      <c r="B37" s="72"/>
      <c r="C37" s="1"/>
      <c r="D37" s="1"/>
      <c r="E37" s="1"/>
      <c r="F37" s="72"/>
      <c r="G37" s="72"/>
      <c r="V37" s="75"/>
      <c r="W37" s="57"/>
      <c r="X37" s="75"/>
      <c r="Y37" s="75"/>
      <c r="Z37" s="75"/>
      <c r="AA37" s="80"/>
      <c r="AB37" s="81"/>
      <c r="AC37" s="51">
        <f t="shared" si="6"/>
        <v>-0.4</v>
      </c>
      <c r="AD37" s="52">
        <f t="shared" si="7"/>
        <v>0</v>
      </c>
      <c r="AE37" s="53">
        <v>-0.4</v>
      </c>
      <c r="AF37" s="51" t="str">
        <f t="shared" si="8"/>
        <v/>
      </c>
      <c r="AG37" s="52" t="str">
        <f t="shared" ref="AG37:AG71" si="9">IF(AF37="","",COUNTIF($V$5:$V$1000,"&gt;="&amp;$AF37)-COUNTIF($V$5:$V$1000,"&gt;="&amp;$AF38))</f>
        <v/>
      </c>
    </row>
    <row r="38" spans="1:36" x14ac:dyDescent="0.25">
      <c r="A38" s="72"/>
      <c r="B38" s="72"/>
      <c r="C38" s="1"/>
      <c r="D38" s="1"/>
      <c r="E38" s="1"/>
      <c r="F38" s="72"/>
      <c r="G38" s="72"/>
      <c r="V38" s="75"/>
      <c r="W38" s="57"/>
      <c r="X38" s="75"/>
      <c r="Y38" s="75"/>
      <c r="Z38" s="75"/>
      <c r="AA38" s="80"/>
      <c r="AB38" s="81"/>
      <c r="AC38" s="51">
        <f t="shared" si="6"/>
        <v>-0.3</v>
      </c>
      <c r="AD38" s="52">
        <f t="shared" si="7"/>
        <v>0</v>
      </c>
      <c r="AE38" s="53">
        <v>-0.3</v>
      </c>
      <c r="AF38" s="51" t="str">
        <f t="shared" si="8"/>
        <v/>
      </c>
      <c r="AG38" s="52" t="str">
        <f t="shared" si="9"/>
        <v/>
      </c>
    </row>
    <row r="39" spans="1:36" x14ac:dyDescent="0.25">
      <c r="A39" s="72"/>
      <c r="B39" s="72"/>
      <c r="C39" s="1"/>
      <c r="D39" s="1"/>
      <c r="E39" s="1"/>
      <c r="F39" s="72"/>
      <c r="G39" s="72"/>
      <c r="V39" s="75"/>
      <c r="W39" s="57"/>
      <c r="X39" s="75"/>
      <c r="Y39" s="75"/>
      <c r="Z39" s="75"/>
      <c r="AA39" s="80"/>
      <c r="AB39" s="81"/>
      <c r="AC39" s="51">
        <f t="shared" si="6"/>
        <v>-0.2</v>
      </c>
      <c r="AD39" s="52">
        <f t="shared" si="7"/>
        <v>2</v>
      </c>
      <c r="AE39" s="53">
        <v>-0.2</v>
      </c>
      <c r="AF39" s="51" t="str">
        <f t="shared" si="8"/>
        <v/>
      </c>
      <c r="AG39" s="52" t="str">
        <f t="shared" si="9"/>
        <v/>
      </c>
    </row>
    <row r="40" spans="1:36" x14ac:dyDescent="0.25">
      <c r="A40" s="72"/>
      <c r="B40" s="72"/>
      <c r="C40" s="1"/>
      <c r="D40" s="1"/>
      <c r="E40" s="1"/>
      <c r="F40" s="72"/>
      <c r="G40" s="72"/>
      <c r="V40" s="75"/>
      <c r="W40" s="57"/>
      <c r="X40" s="75"/>
      <c r="Y40" s="75"/>
      <c r="Z40" s="75"/>
      <c r="AA40" s="80"/>
      <c r="AB40" s="81"/>
      <c r="AC40" s="51">
        <f t="shared" si="6"/>
        <v>-0.1</v>
      </c>
      <c r="AD40" s="52">
        <f t="shared" si="7"/>
        <v>0</v>
      </c>
      <c r="AE40" s="53">
        <v>-0.1</v>
      </c>
      <c r="AF40" s="51" t="str">
        <f t="shared" si="8"/>
        <v/>
      </c>
      <c r="AG40" s="52" t="str">
        <f t="shared" si="9"/>
        <v/>
      </c>
    </row>
    <row r="41" spans="1:36" x14ac:dyDescent="0.25">
      <c r="A41" s="72"/>
      <c r="B41" s="72"/>
      <c r="C41" s="1"/>
      <c r="D41" s="1"/>
      <c r="E41" s="1"/>
      <c r="F41" s="72"/>
      <c r="G41" s="72"/>
      <c r="V41" s="75"/>
      <c r="W41" s="57"/>
      <c r="X41" s="75"/>
      <c r="Y41" s="75"/>
      <c r="Z41" s="75"/>
      <c r="AA41" s="80"/>
      <c r="AB41" s="81"/>
      <c r="AC41" s="51">
        <f t="shared" si="6"/>
        <v>0</v>
      </c>
      <c r="AD41" s="52">
        <f t="shared" si="7"/>
        <v>4</v>
      </c>
      <c r="AE41" s="53">
        <v>0</v>
      </c>
      <c r="AF41" s="51" t="str">
        <f t="shared" si="8"/>
        <v/>
      </c>
      <c r="AG41" s="52" t="str">
        <f t="shared" si="9"/>
        <v/>
      </c>
    </row>
    <row r="42" spans="1:36" x14ac:dyDescent="0.25">
      <c r="A42" s="72"/>
      <c r="B42" s="72"/>
      <c r="C42" s="1"/>
      <c r="D42" s="1"/>
      <c r="E42" s="1"/>
      <c r="F42" s="72"/>
      <c r="G42" s="72"/>
      <c r="V42" s="75"/>
      <c r="W42" s="57"/>
      <c r="X42" s="75"/>
      <c r="Y42" s="75"/>
      <c r="Z42" s="75"/>
      <c r="AA42" s="80"/>
      <c r="AB42" s="81"/>
      <c r="AC42" s="51">
        <f t="shared" si="6"/>
        <v>0.1</v>
      </c>
      <c r="AD42" s="52">
        <f t="shared" si="7"/>
        <v>1</v>
      </c>
      <c r="AE42" s="53">
        <v>0.1</v>
      </c>
      <c r="AF42" s="51" t="str">
        <f t="shared" si="8"/>
        <v/>
      </c>
      <c r="AG42" s="52" t="str">
        <f t="shared" si="9"/>
        <v/>
      </c>
    </row>
    <row r="43" spans="1:36" x14ac:dyDescent="0.25">
      <c r="A43" s="72"/>
      <c r="B43" s="72"/>
      <c r="C43" s="1"/>
      <c r="D43" s="1"/>
      <c r="E43" s="1"/>
      <c r="F43" s="72"/>
      <c r="G43" s="72"/>
      <c r="V43" s="75"/>
      <c r="W43" s="57"/>
      <c r="X43" s="75"/>
      <c r="Y43" s="75"/>
      <c r="Z43" s="75"/>
      <c r="AA43" s="80"/>
      <c r="AB43" s="81"/>
      <c r="AC43" s="51">
        <f t="shared" si="6"/>
        <v>0.2</v>
      </c>
      <c r="AD43" s="52">
        <f t="shared" si="7"/>
        <v>1</v>
      </c>
      <c r="AE43" s="53">
        <v>0.2</v>
      </c>
      <c r="AF43" s="51" t="str">
        <f t="shared" si="8"/>
        <v/>
      </c>
      <c r="AG43" s="52" t="str">
        <f t="shared" si="9"/>
        <v/>
      </c>
      <c r="AI43">
        <f>COUNTIF($V$4:$V$999,"&gt;="&amp;$AE43)</f>
        <v>1</v>
      </c>
      <c r="AJ43">
        <f>COUNTIF($V$4:$V$999,"&gt;="&amp;$AE44)</f>
        <v>0</v>
      </c>
    </row>
    <row r="44" spans="1:36" x14ac:dyDescent="0.25">
      <c r="A44" s="72"/>
      <c r="B44" s="72"/>
      <c r="C44" s="1"/>
      <c r="D44" s="1"/>
      <c r="E44" s="1"/>
      <c r="F44" s="72"/>
      <c r="G44" s="72"/>
      <c r="V44" s="75"/>
      <c r="W44" s="57"/>
      <c r="X44" s="75"/>
      <c r="Y44" s="75"/>
      <c r="Z44" s="75"/>
      <c r="AA44" s="80"/>
      <c r="AB44" s="81"/>
      <c r="AC44" s="51">
        <f t="shared" si="6"/>
        <v>0.3</v>
      </c>
      <c r="AD44" s="52">
        <f t="shared" si="7"/>
        <v>0</v>
      </c>
      <c r="AE44" s="53">
        <v>0.3</v>
      </c>
      <c r="AF44" s="51" t="str">
        <f t="shared" si="8"/>
        <v/>
      </c>
      <c r="AG44" s="52" t="str">
        <f t="shared" si="9"/>
        <v/>
      </c>
      <c r="AI44">
        <f>COUNTIF($V$4:$V$999,"&gt;="&amp;$AE44)</f>
        <v>0</v>
      </c>
      <c r="AJ44">
        <f>COUNTIF($V$4:$V$999,"&gt;="&amp;$AE45)</f>
        <v>0</v>
      </c>
    </row>
    <row r="45" spans="1:36" x14ac:dyDescent="0.25">
      <c r="A45" s="72"/>
      <c r="B45" s="72"/>
      <c r="C45" s="1"/>
      <c r="D45" s="1"/>
      <c r="E45" s="1"/>
      <c r="F45" s="72"/>
      <c r="G45" s="72"/>
      <c r="V45" s="75"/>
      <c r="W45" s="57"/>
      <c r="X45" s="75"/>
      <c r="Y45" s="75"/>
      <c r="Z45" s="75"/>
      <c r="AA45" s="80"/>
      <c r="AB45" s="81"/>
      <c r="AC45" s="51" t="str">
        <f t="shared" si="6"/>
        <v/>
      </c>
      <c r="AD45" s="52" t="str">
        <f t="shared" si="7"/>
        <v/>
      </c>
      <c r="AE45" s="53">
        <v>0.4</v>
      </c>
      <c r="AF45" s="51">
        <f t="shared" si="8"/>
        <v>0.4</v>
      </c>
      <c r="AG45" s="52">
        <f t="shared" si="9"/>
        <v>0</v>
      </c>
    </row>
    <row r="46" spans="1:36" x14ac:dyDescent="0.25">
      <c r="A46" s="72"/>
      <c r="B46" s="72"/>
      <c r="C46" s="1"/>
      <c r="D46" s="1"/>
      <c r="E46" s="1"/>
      <c r="F46" s="72"/>
      <c r="G46" s="72"/>
      <c r="V46" s="75"/>
      <c r="W46" s="57"/>
      <c r="X46" s="75"/>
      <c r="Y46" s="75"/>
      <c r="Z46" s="75"/>
      <c r="AA46" s="80"/>
      <c r="AB46" s="81"/>
      <c r="AC46" s="51" t="str">
        <f t="shared" si="6"/>
        <v/>
      </c>
      <c r="AD46" s="52" t="str">
        <f t="shared" si="7"/>
        <v/>
      </c>
      <c r="AE46" s="53">
        <v>0.5</v>
      </c>
      <c r="AF46" s="51">
        <f t="shared" si="8"/>
        <v>0.5</v>
      </c>
      <c r="AG46" s="52">
        <f t="shared" si="9"/>
        <v>0</v>
      </c>
    </row>
    <row r="47" spans="1:36" x14ac:dyDescent="0.25">
      <c r="A47" s="72"/>
      <c r="B47" s="72"/>
      <c r="C47" s="1"/>
      <c r="D47" s="1"/>
      <c r="E47" s="1"/>
      <c r="F47" s="72"/>
      <c r="G47" s="72"/>
      <c r="V47" s="75"/>
      <c r="W47" s="57"/>
      <c r="X47" s="75"/>
      <c r="Y47" s="75"/>
      <c r="Z47" s="75"/>
      <c r="AA47" s="80"/>
      <c r="AB47" s="81"/>
      <c r="AC47" s="51" t="str">
        <f t="shared" si="6"/>
        <v/>
      </c>
      <c r="AD47" s="52" t="str">
        <f t="shared" si="7"/>
        <v/>
      </c>
      <c r="AE47" s="53">
        <v>0.6</v>
      </c>
      <c r="AF47" s="51">
        <f t="shared" si="8"/>
        <v>0.6</v>
      </c>
      <c r="AG47" s="52">
        <f t="shared" si="9"/>
        <v>0</v>
      </c>
    </row>
    <row r="48" spans="1:36" x14ac:dyDescent="0.25">
      <c r="A48" s="72"/>
      <c r="B48" s="72"/>
      <c r="C48" s="1"/>
      <c r="D48" s="1"/>
      <c r="E48" s="1"/>
      <c r="F48" s="72"/>
      <c r="G48" s="72"/>
      <c r="V48" s="75"/>
      <c r="W48" s="57"/>
      <c r="X48" s="75"/>
      <c r="Y48" s="75"/>
      <c r="Z48" s="75"/>
      <c r="AA48" s="80"/>
      <c r="AB48" s="81"/>
      <c r="AC48" s="51" t="str">
        <f t="shared" si="6"/>
        <v/>
      </c>
      <c r="AD48" s="52" t="str">
        <f t="shared" si="7"/>
        <v/>
      </c>
      <c r="AE48" s="53">
        <v>0.7</v>
      </c>
      <c r="AF48" s="51">
        <f t="shared" si="8"/>
        <v>0.7</v>
      </c>
      <c r="AG48" s="52">
        <f t="shared" si="9"/>
        <v>0</v>
      </c>
    </row>
    <row r="49" spans="1:33" x14ac:dyDescent="0.25">
      <c r="A49" s="72"/>
      <c r="B49" s="72"/>
      <c r="C49" s="1"/>
      <c r="D49" s="1"/>
      <c r="E49" s="1"/>
      <c r="F49" s="72"/>
      <c r="G49" s="72"/>
      <c r="V49" s="75"/>
      <c r="W49" s="57"/>
      <c r="X49" s="75"/>
      <c r="Y49" s="75"/>
      <c r="Z49" s="75"/>
      <c r="AA49" s="80"/>
      <c r="AB49" s="81"/>
      <c r="AC49" s="51" t="str">
        <f t="shared" si="6"/>
        <v/>
      </c>
      <c r="AD49" s="52" t="str">
        <f t="shared" si="7"/>
        <v/>
      </c>
      <c r="AE49" s="53">
        <v>0.8</v>
      </c>
      <c r="AF49" s="51">
        <f t="shared" si="8"/>
        <v>0.8</v>
      </c>
      <c r="AG49" s="52">
        <f t="shared" si="9"/>
        <v>0</v>
      </c>
    </row>
    <row r="50" spans="1:33" x14ac:dyDescent="0.25">
      <c r="A50" s="72"/>
      <c r="B50" s="72"/>
      <c r="C50" s="1"/>
      <c r="D50" s="1"/>
      <c r="E50" s="1"/>
      <c r="F50" s="72"/>
      <c r="G50" s="72"/>
      <c r="V50" s="75"/>
      <c r="W50" s="57"/>
      <c r="X50" s="75"/>
      <c r="Y50" s="75"/>
      <c r="Z50" s="75"/>
      <c r="AA50" s="80"/>
      <c r="AB50" s="81"/>
      <c r="AC50" s="51" t="str">
        <f t="shared" si="6"/>
        <v/>
      </c>
      <c r="AD50" s="52" t="str">
        <f t="shared" si="7"/>
        <v/>
      </c>
      <c r="AE50" s="53">
        <v>0.9</v>
      </c>
      <c r="AF50" s="51">
        <f t="shared" si="8"/>
        <v>0.9</v>
      </c>
      <c r="AG50" s="52">
        <f t="shared" si="9"/>
        <v>0</v>
      </c>
    </row>
    <row r="51" spans="1:33" x14ac:dyDescent="0.25">
      <c r="A51" s="72"/>
      <c r="B51" s="72"/>
      <c r="C51" s="1"/>
      <c r="D51" s="1"/>
      <c r="E51" s="1"/>
      <c r="F51" s="72"/>
      <c r="G51" s="72"/>
      <c r="V51" s="75"/>
      <c r="W51" s="57"/>
      <c r="X51" s="75"/>
      <c r="Y51" s="75"/>
      <c r="Z51" s="75"/>
      <c r="AA51" s="80"/>
      <c r="AB51" s="81"/>
      <c r="AC51" s="51" t="str">
        <f t="shared" si="6"/>
        <v/>
      </c>
      <c r="AD51" s="52" t="str">
        <f t="shared" si="7"/>
        <v/>
      </c>
      <c r="AE51" s="53">
        <v>1</v>
      </c>
      <c r="AF51" s="51">
        <f t="shared" si="8"/>
        <v>1</v>
      </c>
      <c r="AG51" s="52">
        <f t="shared" si="9"/>
        <v>0</v>
      </c>
    </row>
    <row r="52" spans="1:33" x14ac:dyDescent="0.25">
      <c r="A52" s="72"/>
      <c r="B52" s="72"/>
      <c r="C52" s="1"/>
      <c r="D52" s="1"/>
      <c r="E52" s="1"/>
      <c r="F52" s="72"/>
      <c r="G52" s="72"/>
      <c r="V52" s="75"/>
      <c r="W52" s="57"/>
      <c r="X52" s="75"/>
      <c r="Y52" s="75"/>
      <c r="Z52" s="75"/>
      <c r="AA52" s="80"/>
      <c r="AB52" s="81"/>
      <c r="AC52" s="51" t="str">
        <f t="shared" si="6"/>
        <v/>
      </c>
      <c r="AD52" s="52" t="str">
        <f t="shared" si="7"/>
        <v/>
      </c>
      <c r="AE52" s="53">
        <v>1.1000000000000001</v>
      </c>
      <c r="AF52" s="51">
        <f t="shared" si="8"/>
        <v>1.1000000000000001</v>
      </c>
      <c r="AG52" s="52">
        <f t="shared" si="9"/>
        <v>0</v>
      </c>
    </row>
    <row r="53" spans="1:33" x14ac:dyDescent="0.25">
      <c r="A53" s="72"/>
      <c r="B53" s="72"/>
      <c r="C53" s="1"/>
      <c r="D53" s="1"/>
      <c r="E53" s="1"/>
      <c r="F53" s="72"/>
      <c r="G53" s="72"/>
      <c r="V53" s="75"/>
      <c r="W53" s="57"/>
      <c r="X53" s="75"/>
      <c r="Y53" s="75"/>
      <c r="Z53" s="75"/>
      <c r="AA53" s="80"/>
      <c r="AB53" s="81"/>
      <c r="AC53" s="51" t="str">
        <f t="shared" si="6"/>
        <v/>
      </c>
      <c r="AD53" s="52" t="str">
        <f t="shared" si="7"/>
        <v/>
      </c>
      <c r="AE53" s="53">
        <v>1.2</v>
      </c>
      <c r="AF53" s="51">
        <f t="shared" si="8"/>
        <v>1.2</v>
      </c>
      <c r="AG53" s="52">
        <f t="shared" si="9"/>
        <v>0</v>
      </c>
    </row>
    <row r="54" spans="1:33" x14ac:dyDescent="0.25">
      <c r="A54" s="72"/>
      <c r="B54" s="72"/>
      <c r="C54" s="1"/>
      <c r="D54" s="1"/>
      <c r="E54" s="1"/>
      <c r="F54" s="72"/>
      <c r="G54" s="72"/>
      <c r="V54" s="75"/>
      <c r="W54" s="57"/>
      <c r="X54" s="75"/>
      <c r="Y54" s="75"/>
      <c r="Z54" s="75"/>
      <c r="AA54" s="80"/>
      <c r="AB54" s="81"/>
      <c r="AC54" s="51" t="str">
        <f t="shared" si="6"/>
        <v/>
      </c>
      <c r="AD54" s="52" t="str">
        <f t="shared" si="7"/>
        <v/>
      </c>
      <c r="AE54" s="53">
        <v>1.3</v>
      </c>
      <c r="AF54" s="51">
        <f t="shared" si="8"/>
        <v>1.3</v>
      </c>
      <c r="AG54" s="52">
        <f t="shared" si="9"/>
        <v>0</v>
      </c>
    </row>
    <row r="55" spans="1:33" x14ac:dyDescent="0.25">
      <c r="A55" s="72"/>
      <c r="B55" s="72"/>
      <c r="C55" s="1"/>
      <c r="D55" s="1"/>
      <c r="E55" s="1"/>
      <c r="F55" s="72"/>
      <c r="G55" s="72"/>
      <c r="V55" s="75"/>
      <c r="W55" s="57"/>
      <c r="X55" s="75"/>
      <c r="Y55" s="75"/>
      <c r="Z55" s="75"/>
      <c r="AA55" s="80"/>
      <c r="AB55" s="81"/>
      <c r="AC55" s="51" t="str">
        <f t="shared" si="6"/>
        <v/>
      </c>
      <c r="AD55" s="52" t="str">
        <f t="shared" si="7"/>
        <v/>
      </c>
      <c r="AE55" s="53">
        <v>1.4</v>
      </c>
      <c r="AF55" s="51">
        <f t="shared" si="8"/>
        <v>1.4</v>
      </c>
      <c r="AG55" s="52">
        <f t="shared" si="9"/>
        <v>0</v>
      </c>
    </row>
    <row r="56" spans="1:33" x14ac:dyDescent="0.25">
      <c r="A56" s="72"/>
      <c r="B56" s="72"/>
      <c r="C56" s="1"/>
      <c r="D56" s="1"/>
      <c r="E56" s="1"/>
      <c r="F56" s="72"/>
      <c r="G56" s="72"/>
      <c r="V56" s="75"/>
      <c r="W56" s="57"/>
      <c r="X56" s="75"/>
      <c r="Y56" s="75"/>
      <c r="Z56" s="75"/>
      <c r="AA56" s="80"/>
      <c r="AB56" s="81"/>
      <c r="AC56" s="51" t="str">
        <f t="shared" si="6"/>
        <v/>
      </c>
      <c r="AD56" s="52" t="str">
        <f t="shared" si="7"/>
        <v/>
      </c>
      <c r="AE56" s="53">
        <v>1.5</v>
      </c>
      <c r="AF56" s="51">
        <f t="shared" si="8"/>
        <v>1.5</v>
      </c>
      <c r="AG56" s="52">
        <f t="shared" si="9"/>
        <v>0</v>
      </c>
    </row>
    <row r="57" spans="1:33" x14ac:dyDescent="0.25">
      <c r="A57" s="72"/>
      <c r="B57" s="72"/>
      <c r="C57" s="1"/>
      <c r="D57" s="1"/>
      <c r="E57" s="1"/>
      <c r="F57" s="72"/>
      <c r="G57" s="72"/>
      <c r="V57" s="75"/>
      <c r="W57" s="57"/>
      <c r="X57" s="75"/>
      <c r="Y57" s="75"/>
      <c r="Z57" s="75"/>
      <c r="AA57" s="80"/>
      <c r="AB57" s="81"/>
      <c r="AC57" s="51" t="str">
        <f t="shared" si="6"/>
        <v/>
      </c>
      <c r="AD57" s="52" t="str">
        <f t="shared" si="7"/>
        <v/>
      </c>
      <c r="AE57" s="53">
        <v>1.6</v>
      </c>
      <c r="AF57" s="51">
        <f t="shared" si="8"/>
        <v>1.6</v>
      </c>
      <c r="AG57" s="52">
        <f t="shared" si="9"/>
        <v>0</v>
      </c>
    </row>
    <row r="58" spans="1:33" x14ac:dyDescent="0.25">
      <c r="A58" s="72"/>
      <c r="B58" s="72"/>
      <c r="C58" s="1"/>
      <c r="D58" s="1"/>
      <c r="E58" s="1"/>
      <c r="F58" s="72"/>
      <c r="G58" s="72"/>
      <c r="V58" s="75"/>
      <c r="W58" s="57"/>
      <c r="X58" s="75"/>
      <c r="Y58" s="75"/>
      <c r="Z58" s="75"/>
      <c r="AA58" s="80"/>
      <c r="AB58" s="81"/>
      <c r="AC58" s="51" t="str">
        <f t="shared" si="6"/>
        <v/>
      </c>
      <c r="AD58" s="52" t="str">
        <f t="shared" si="7"/>
        <v/>
      </c>
      <c r="AE58" s="53">
        <v>1.7</v>
      </c>
      <c r="AF58" s="51">
        <f t="shared" si="8"/>
        <v>1.7</v>
      </c>
      <c r="AG58" s="52">
        <f t="shared" si="9"/>
        <v>0</v>
      </c>
    </row>
    <row r="59" spans="1:33" x14ac:dyDescent="0.25">
      <c r="A59" s="72"/>
      <c r="B59" s="72"/>
      <c r="C59" s="1"/>
      <c r="D59" s="1"/>
      <c r="E59" s="1"/>
      <c r="F59" s="72"/>
      <c r="G59" s="72"/>
      <c r="V59" s="75"/>
      <c r="W59" s="57"/>
      <c r="X59" s="75"/>
      <c r="Y59" s="75"/>
      <c r="Z59" s="75"/>
      <c r="AA59" s="80"/>
      <c r="AB59" s="81"/>
      <c r="AC59" s="51" t="str">
        <f t="shared" si="6"/>
        <v/>
      </c>
      <c r="AD59" s="52" t="str">
        <f t="shared" si="7"/>
        <v/>
      </c>
      <c r="AE59" s="53">
        <v>1.8</v>
      </c>
      <c r="AF59" s="51">
        <f t="shared" si="8"/>
        <v>1.8</v>
      </c>
      <c r="AG59" s="52">
        <f t="shared" si="9"/>
        <v>0</v>
      </c>
    </row>
    <row r="60" spans="1:33" x14ac:dyDescent="0.25">
      <c r="A60" s="72"/>
      <c r="B60" s="72"/>
      <c r="C60" s="1"/>
      <c r="D60" s="1"/>
      <c r="E60" s="1"/>
      <c r="F60" s="72"/>
      <c r="G60" s="72"/>
      <c r="V60" s="75"/>
      <c r="W60" s="57"/>
      <c r="X60" s="75"/>
      <c r="Y60" s="75"/>
      <c r="Z60" s="75"/>
      <c r="AA60" s="80"/>
      <c r="AB60" s="81"/>
      <c r="AC60" s="51" t="str">
        <f t="shared" si="6"/>
        <v/>
      </c>
      <c r="AD60" s="52" t="str">
        <f t="shared" si="7"/>
        <v/>
      </c>
      <c r="AE60" s="53">
        <v>1.9</v>
      </c>
      <c r="AF60" s="51">
        <f t="shared" si="8"/>
        <v>1.9</v>
      </c>
      <c r="AG60" s="52">
        <f t="shared" si="9"/>
        <v>0</v>
      </c>
    </row>
    <row r="61" spans="1:33" x14ac:dyDescent="0.25">
      <c r="A61" s="72"/>
      <c r="B61" s="72"/>
      <c r="C61" s="1"/>
      <c r="D61" s="1"/>
      <c r="E61" s="1"/>
      <c r="F61" s="72"/>
      <c r="G61" s="72"/>
      <c r="V61" s="75"/>
      <c r="W61" s="57"/>
      <c r="X61" s="75"/>
      <c r="Y61" s="75"/>
      <c r="Z61" s="75"/>
      <c r="AA61" s="80"/>
      <c r="AB61" s="81"/>
      <c r="AC61" s="51" t="str">
        <f t="shared" si="6"/>
        <v/>
      </c>
      <c r="AD61" s="52" t="str">
        <f t="shared" si="7"/>
        <v/>
      </c>
      <c r="AE61" s="53">
        <v>2</v>
      </c>
      <c r="AF61" s="51">
        <f t="shared" si="8"/>
        <v>2</v>
      </c>
      <c r="AG61" s="52">
        <f t="shared" si="9"/>
        <v>0</v>
      </c>
    </row>
    <row r="62" spans="1:33" x14ac:dyDescent="0.25">
      <c r="A62" s="72"/>
      <c r="B62" s="72"/>
      <c r="C62" s="1"/>
      <c r="D62" s="1"/>
      <c r="E62" s="1"/>
      <c r="F62" s="72"/>
      <c r="G62" s="72"/>
      <c r="V62" s="75"/>
      <c r="W62" s="57"/>
      <c r="X62" s="75"/>
      <c r="Y62" s="75"/>
      <c r="Z62" s="75"/>
      <c r="AA62" s="80"/>
      <c r="AB62" s="81"/>
      <c r="AC62" s="51" t="str">
        <f t="shared" si="6"/>
        <v/>
      </c>
      <c r="AD62" s="52" t="str">
        <f t="shared" si="7"/>
        <v/>
      </c>
      <c r="AE62" s="53">
        <v>2.1</v>
      </c>
      <c r="AF62" s="51">
        <f t="shared" si="8"/>
        <v>2.1</v>
      </c>
      <c r="AG62" s="52">
        <f t="shared" si="9"/>
        <v>0</v>
      </c>
    </row>
    <row r="63" spans="1:33" x14ac:dyDescent="0.25">
      <c r="A63" s="72"/>
      <c r="B63" s="72"/>
      <c r="C63" s="1"/>
      <c r="D63" s="1"/>
      <c r="E63" s="1"/>
      <c r="F63" s="72"/>
      <c r="G63" s="72"/>
      <c r="V63" s="75"/>
      <c r="W63" s="57"/>
      <c r="X63" s="75"/>
      <c r="Y63" s="75"/>
      <c r="Z63" s="75"/>
      <c r="AA63" s="80"/>
      <c r="AB63" s="81"/>
      <c r="AC63" s="51" t="str">
        <f t="shared" si="6"/>
        <v/>
      </c>
      <c r="AD63" s="52" t="str">
        <f t="shared" si="7"/>
        <v/>
      </c>
      <c r="AE63" s="53">
        <v>2.2000000000000002</v>
      </c>
      <c r="AF63" s="51">
        <f t="shared" si="8"/>
        <v>2.2000000000000002</v>
      </c>
      <c r="AG63" s="52">
        <f t="shared" si="9"/>
        <v>0</v>
      </c>
    </row>
    <row r="64" spans="1:33" x14ac:dyDescent="0.25">
      <c r="A64" s="72"/>
      <c r="B64" s="72"/>
      <c r="C64" s="1"/>
      <c r="D64" s="1"/>
      <c r="E64" s="1"/>
      <c r="F64" s="72"/>
      <c r="G64" s="72"/>
      <c r="V64" s="75"/>
      <c r="X64" s="75"/>
      <c r="Y64" s="75"/>
      <c r="Z64" s="75"/>
      <c r="AC64" s="51" t="str">
        <f t="shared" si="6"/>
        <v/>
      </c>
      <c r="AD64" s="52" t="str">
        <f t="shared" si="7"/>
        <v/>
      </c>
      <c r="AE64" s="53">
        <v>2.2999999999999998</v>
      </c>
      <c r="AF64" s="51">
        <f t="shared" si="8"/>
        <v>2.2999999999999998</v>
      </c>
      <c r="AG64" s="52">
        <f t="shared" si="9"/>
        <v>0</v>
      </c>
    </row>
    <row r="65" spans="1:33" x14ac:dyDescent="0.25">
      <c r="A65" s="72"/>
      <c r="B65" s="72"/>
      <c r="C65" s="1"/>
      <c r="D65" s="1"/>
      <c r="E65" s="1"/>
      <c r="F65" s="72"/>
      <c r="G65" s="72"/>
      <c r="V65" s="75"/>
      <c r="X65" s="75"/>
      <c r="Y65" s="75"/>
      <c r="Z65" s="75"/>
      <c r="AC65" s="51" t="str">
        <f t="shared" si="6"/>
        <v/>
      </c>
      <c r="AD65" s="52" t="str">
        <f t="shared" si="7"/>
        <v/>
      </c>
      <c r="AE65" s="53">
        <v>2.4</v>
      </c>
      <c r="AF65" s="51">
        <f t="shared" si="8"/>
        <v>2.4</v>
      </c>
      <c r="AG65" s="52">
        <f t="shared" si="9"/>
        <v>0</v>
      </c>
    </row>
    <row r="66" spans="1:33" x14ac:dyDescent="0.25">
      <c r="A66" s="72"/>
      <c r="B66" s="72"/>
      <c r="C66" s="1"/>
      <c r="D66" s="1"/>
      <c r="E66" s="1"/>
      <c r="F66" s="72"/>
      <c r="G66" s="72"/>
      <c r="V66" s="75"/>
      <c r="X66" s="75"/>
      <c r="Y66" s="75"/>
      <c r="Z66" s="75"/>
      <c r="AC66" s="51" t="str">
        <f t="shared" si="6"/>
        <v/>
      </c>
      <c r="AD66" s="52" t="str">
        <f t="shared" si="7"/>
        <v/>
      </c>
      <c r="AE66" s="53">
        <v>2.5</v>
      </c>
      <c r="AF66" s="51">
        <f t="shared" si="8"/>
        <v>2.5</v>
      </c>
      <c r="AG66" s="52">
        <f t="shared" si="9"/>
        <v>0</v>
      </c>
    </row>
    <row r="67" spans="1:33" x14ac:dyDescent="0.25">
      <c r="A67" s="72"/>
      <c r="B67" s="72"/>
      <c r="C67" s="1"/>
      <c r="D67" s="1"/>
      <c r="E67" s="1"/>
      <c r="F67" s="72"/>
      <c r="G67" s="72"/>
      <c r="V67" s="75"/>
      <c r="X67" s="75"/>
      <c r="Y67" s="75"/>
      <c r="Z67" s="75"/>
      <c r="AC67" s="51" t="str">
        <f t="shared" si="6"/>
        <v/>
      </c>
      <c r="AD67" s="52" t="str">
        <f t="shared" si="7"/>
        <v/>
      </c>
      <c r="AE67" s="53">
        <v>2.6</v>
      </c>
      <c r="AF67" s="51">
        <f t="shared" si="8"/>
        <v>2.6</v>
      </c>
      <c r="AG67" s="52">
        <f t="shared" si="9"/>
        <v>0</v>
      </c>
    </row>
    <row r="68" spans="1:33" x14ac:dyDescent="0.25">
      <c r="A68" s="72"/>
      <c r="B68" s="72"/>
      <c r="C68" s="1"/>
      <c r="D68" s="1"/>
      <c r="E68" s="1"/>
      <c r="F68" s="72"/>
      <c r="G68" s="72"/>
      <c r="V68" s="75"/>
      <c r="X68" s="75"/>
      <c r="Y68" s="75"/>
      <c r="Z68" s="75"/>
      <c r="AC68" s="51" t="str">
        <f t="shared" si="6"/>
        <v/>
      </c>
      <c r="AD68" s="52" t="str">
        <f t="shared" si="7"/>
        <v/>
      </c>
      <c r="AE68" s="53">
        <v>2.7</v>
      </c>
      <c r="AF68" s="51">
        <f t="shared" si="8"/>
        <v>2.7</v>
      </c>
      <c r="AG68" s="52">
        <f t="shared" si="9"/>
        <v>0</v>
      </c>
    </row>
    <row r="69" spans="1:33" x14ac:dyDescent="0.25">
      <c r="A69" s="72"/>
      <c r="B69" s="72"/>
      <c r="C69" s="1"/>
      <c r="D69" s="1"/>
      <c r="E69" s="1"/>
      <c r="F69" s="72"/>
      <c r="G69" s="72"/>
      <c r="V69" s="75"/>
      <c r="X69" s="75"/>
      <c r="Y69" s="75"/>
      <c r="Z69" s="75"/>
      <c r="AC69" s="51" t="str">
        <f t="shared" si="6"/>
        <v/>
      </c>
      <c r="AD69" s="52" t="str">
        <f t="shared" si="7"/>
        <v/>
      </c>
      <c r="AE69" s="53">
        <v>2.8</v>
      </c>
      <c r="AF69" s="51">
        <f t="shared" si="8"/>
        <v>2.8</v>
      </c>
      <c r="AG69" s="52">
        <f t="shared" si="9"/>
        <v>0</v>
      </c>
    </row>
    <row r="70" spans="1:33" x14ac:dyDescent="0.25">
      <c r="A70" s="72"/>
      <c r="B70" s="72"/>
      <c r="C70" s="1"/>
      <c r="D70" s="1"/>
      <c r="E70" s="1"/>
      <c r="F70" s="72"/>
      <c r="G70" s="72"/>
      <c r="V70" s="75"/>
      <c r="X70" s="75"/>
      <c r="Y70" s="75"/>
      <c r="Z70" s="75"/>
      <c r="AC70" s="51" t="str">
        <f t="shared" si="6"/>
        <v/>
      </c>
      <c r="AD70" s="52" t="str">
        <f t="shared" si="7"/>
        <v/>
      </c>
      <c r="AE70" s="53">
        <v>2.9</v>
      </c>
      <c r="AF70" s="51">
        <f t="shared" si="8"/>
        <v>2.9</v>
      </c>
      <c r="AG70" s="52">
        <f t="shared" si="9"/>
        <v>0</v>
      </c>
    </row>
    <row r="71" spans="1:33" x14ac:dyDescent="0.25">
      <c r="A71" s="72"/>
      <c r="B71" s="72"/>
      <c r="C71" s="1"/>
      <c r="D71" s="1"/>
      <c r="E71" s="1"/>
      <c r="F71" s="72"/>
      <c r="G71" s="72"/>
      <c r="V71" s="75"/>
      <c r="X71" s="75"/>
      <c r="Y71" s="75"/>
      <c r="Z71" s="75"/>
      <c r="AC71" s="51" t="str">
        <f t="shared" si="6"/>
        <v/>
      </c>
      <c r="AD71" s="52" t="str">
        <f t="shared" si="7"/>
        <v/>
      </c>
      <c r="AE71" s="53">
        <v>3</v>
      </c>
      <c r="AF71" s="51">
        <f t="shared" si="8"/>
        <v>3</v>
      </c>
      <c r="AG71" s="52">
        <f t="shared" si="9"/>
        <v>0</v>
      </c>
    </row>
    <row r="72" spans="1:33" x14ac:dyDescent="0.25">
      <c r="A72" s="72"/>
      <c r="B72" s="72"/>
      <c r="C72" s="1"/>
      <c r="D72" s="1"/>
      <c r="E72" s="1"/>
      <c r="F72" s="72"/>
      <c r="G72" s="72"/>
      <c r="V72" s="75"/>
      <c r="X72" s="75"/>
      <c r="Y72" s="75"/>
      <c r="Z72" s="75"/>
    </row>
    <row r="73" spans="1:33" x14ac:dyDescent="0.25">
      <c r="A73" s="72"/>
      <c r="B73" s="72"/>
      <c r="C73" s="1"/>
      <c r="D73" s="1"/>
      <c r="E73" s="1"/>
      <c r="F73" s="72"/>
      <c r="G73" s="72"/>
      <c r="V73" s="75"/>
      <c r="X73" s="75"/>
      <c r="Y73" s="75"/>
      <c r="Z73" s="75"/>
    </row>
    <row r="74" spans="1:33" x14ac:dyDescent="0.25">
      <c r="A74" s="72"/>
      <c r="B74" s="72"/>
      <c r="C74" s="1"/>
      <c r="D74" s="1"/>
      <c r="E74" s="1"/>
      <c r="F74" s="72"/>
      <c r="G74" s="72"/>
      <c r="V74" s="75"/>
      <c r="X74" s="75"/>
      <c r="Y74" s="75"/>
      <c r="Z74" s="75"/>
    </row>
    <row r="75" spans="1:33" x14ac:dyDescent="0.25">
      <c r="A75" s="72"/>
      <c r="B75" s="72"/>
      <c r="C75" s="1"/>
      <c r="D75" s="1"/>
      <c r="E75" s="1"/>
      <c r="F75" s="72"/>
      <c r="G75" s="72"/>
      <c r="V75" s="75"/>
      <c r="X75" s="75"/>
      <c r="Y75" s="75"/>
      <c r="Z75" s="75"/>
    </row>
    <row r="76" spans="1:33" x14ac:dyDescent="0.25">
      <c r="A76" s="72"/>
      <c r="B76" s="72"/>
      <c r="C76" s="1"/>
      <c r="D76" s="1"/>
      <c r="E76" s="1"/>
      <c r="F76" s="72"/>
      <c r="G76" s="72"/>
      <c r="V76" s="75"/>
      <c r="X76" s="75"/>
      <c r="Y76" s="75"/>
      <c r="Z76" s="75"/>
    </row>
    <row r="77" spans="1:33" x14ac:dyDescent="0.25">
      <c r="A77" s="72"/>
      <c r="B77" s="72"/>
      <c r="C77" s="1"/>
      <c r="D77" s="1"/>
      <c r="E77" s="1"/>
      <c r="F77" s="72"/>
      <c r="G77" s="72"/>
      <c r="V77" s="75"/>
      <c r="X77" s="75"/>
      <c r="Y77" s="75"/>
      <c r="Z77" s="75"/>
    </row>
    <row r="78" spans="1:33" x14ac:dyDescent="0.25">
      <c r="A78" s="72"/>
      <c r="B78" s="72"/>
      <c r="C78" s="1"/>
      <c r="D78" s="1"/>
      <c r="E78" s="1"/>
      <c r="F78" s="72"/>
      <c r="G78" s="72"/>
      <c r="V78" s="75"/>
      <c r="X78" s="75"/>
      <c r="Y78" s="75"/>
      <c r="Z78" s="75"/>
    </row>
    <row r="79" spans="1:33" x14ac:dyDescent="0.25">
      <c r="A79" s="72"/>
      <c r="B79" s="72"/>
      <c r="C79" s="1"/>
      <c r="D79" s="1"/>
      <c r="E79" s="1"/>
      <c r="F79" s="72"/>
      <c r="G79" s="72"/>
      <c r="V79" s="75"/>
      <c r="X79" s="75"/>
      <c r="Y79" s="75"/>
      <c r="Z79" s="75"/>
    </row>
    <row r="80" spans="1:33" x14ac:dyDescent="0.25">
      <c r="A80" s="72"/>
      <c r="B80" s="72"/>
      <c r="C80" s="1"/>
      <c r="D80" s="1"/>
      <c r="E80" s="1"/>
      <c r="F80" s="72"/>
      <c r="G80" s="72"/>
      <c r="V80" s="75"/>
      <c r="X80" s="75"/>
      <c r="Y80" s="75"/>
      <c r="Z80" s="75"/>
    </row>
    <row r="81" spans="1:26" x14ac:dyDescent="0.25">
      <c r="A81" s="72"/>
      <c r="B81" s="72"/>
      <c r="C81" s="1"/>
      <c r="D81" s="1"/>
      <c r="E81" s="1"/>
      <c r="F81" s="72"/>
      <c r="G81" s="72"/>
      <c r="V81" s="75"/>
      <c r="X81" s="75"/>
      <c r="Y81" s="75"/>
      <c r="Z81" s="75"/>
    </row>
    <row r="82" spans="1:26" x14ac:dyDescent="0.25">
      <c r="A82" s="72"/>
      <c r="B82" s="72"/>
      <c r="C82" s="1"/>
      <c r="D82" s="1"/>
      <c r="E82" s="1"/>
      <c r="F82" s="72"/>
      <c r="G82" s="72"/>
      <c r="V82" s="75"/>
      <c r="X82" s="75"/>
      <c r="Y82" s="75"/>
      <c r="Z82" s="75"/>
    </row>
    <row r="83" spans="1:26" x14ac:dyDescent="0.25">
      <c r="A83" s="72"/>
      <c r="B83" s="72"/>
      <c r="C83" s="1"/>
      <c r="D83" s="1"/>
      <c r="E83" s="1"/>
      <c r="F83" s="72"/>
      <c r="G83" s="72"/>
      <c r="V83" s="75"/>
      <c r="X83" s="75"/>
      <c r="Y83" s="75"/>
      <c r="Z83" s="75"/>
    </row>
    <row r="84" spans="1:26" x14ac:dyDescent="0.25">
      <c r="A84" s="72"/>
      <c r="B84" s="72"/>
      <c r="C84" s="1"/>
      <c r="D84" s="1"/>
      <c r="E84" s="1"/>
      <c r="F84" s="72"/>
      <c r="G84" s="72"/>
      <c r="V84" s="75"/>
      <c r="X84" s="75"/>
      <c r="Y84" s="75"/>
      <c r="Z84" s="75"/>
    </row>
    <row r="85" spans="1:26" x14ac:dyDescent="0.25">
      <c r="A85" s="72"/>
      <c r="B85" s="72"/>
      <c r="C85" s="1"/>
      <c r="D85" s="1"/>
      <c r="E85" s="1"/>
      <c r="F85" s="72"/>
      <c r="G85" s="72"/>
      <c r="V85" s="75"/>
      <c r="X85" s="75"/>
      <c r="Y85" s="75"/>
      <c r="Z85" s="75"/>
    </row>
    <row r="86" spans="1:26" x14ac:dyDescent="0.25">
      <c r="A86" s="72"/>
      <c r="B86" s="72"/>
      <c r="C86" s="1"/>
      <c r="D86" s="1"/>
      <c r="E86" s="1"/>
      <c r="F86" s="72"/>
      <c r="G86" s="72"/>
      <c r="V86" s="75"/>
      <c r="X86" s="75"/>
      <c r="Y86" s="75"/>
      <c r="Z86" s="75"/>
    </row>
    <row r="87" spans="1:26" x14ac:dyDescent="0.25">
      <c r="A87" s="72"/>
      <c r="B87" s="72"/>
      <c r="C87" s="1"/>
      <c r="D87" s="1"/>
      <c r="E87" s="1"/>
      <c r="F87" s="72"/>
      <c r="G87" s="72"/>
      <c r="V87" s="75"/>
      <c r="X87" s="75"/>
      <c r="Y87" s="75"/>
      <c r="Z87" s="75"/>
    </row>
    <row r="88" spans="1:26" x14ac:dyDescent="0.25">
      <c r="A88" s="72"/>
      <c r="B88" s="72"/>
      <c r="C88" s="1"/>
      <c r="D88" s="1"/>
      <c r="E88" s="1"/>
      <c r="F88" s="72"/>
      <c r="G88" s="72"/>
      <c r="V88" s="75"/>
      <c r="X88" s="75"/>
      <c r="Y88" s="75"/>
      <c r="Z88" s="75"/>
    </row>
    <row r="89" spans="1:26" x14ac:dyDescent="0.25">
      <c r="A89" s="72"/>
      <c r="B89" s="72"/>
      <c r="C89" s="1"/>
      <c r="D89" s="1"/>
      <c r="E89" s="1"/>
      <c r="F89" s="72"/>
      <c r="G89" s="72"/>
      <c r="V89" s="75"/>
      <c r="X89" s="75"/>
      <c r="Y89" s="75"/>
      <c r="Z89" s="75"/>
    </row>
    <row r="90" spans="1:26" x14ac:dyDescent="0.25">
      <c r="A90" s="72"/>
      <c r="B90" s="72"/>
      <c r="C90" s="1"/>
      <c r="D90" s="1"/>
      <c r="E90" s="1"/>
      <c r="F90" s="72"/>
      <c r="G90" s="72"/>
      <c r="V90" s="75"/>
      <c r="X90" s="75"/>
      <c r="Y90" s="75"/>
      <c r="Z90" s="75"/>
    </row>
    <row r="91" spans="1:26" x14ac:dyDescent="0.25">
      <c r="A91" s="72"/>
      <c r="B91" s="72"/>
      <c r="C91" s="1"/>
      <c r="D91" s="1"/>
      <c r="E91" s="1"/>
      <c r="F91" s="72"/>
      <c r="G91" s="72"/>
      <c r="V91" s="75"/>
      <c r="X91" s="75"/>
      <c r="Y91" s="75"/>
      <c r="Z91" s="75"/>
    </row>
    <row r="92" spans="1:26" x14ac:dyDescent="0.25">
      <c r="A92" s="72"/>
      <c r="B92" s="72"/>
      <c r="C92" s="1"/>
      <c r="D92" s="1"/>
      <c r="E92" s="1"/>
      <c r="F92" s="72"/>
      <c r="G92" s="72"/>
      <c r="V92" s="75"/>
      <c r="X92" s="75"/>
      <c r="Y92" s="75"/>
      <c r="Z92" s="75"/>
    </row>
    <row r="93" spans="1:26" x14ac:dyDescent="0.25">
      <c r="A93" s="72"/>
      <c r="B93" s="72"/>
      <c r="C93" s="1"/>
      <c r="D93" s="1"/>
      <c r="E93" s="1"/>
      <c r="F93" s="72"/>
      <c r="G93" s="72"/>
      <c r="V93" s="75"/>
      <c r="X93" s="75"/>
      <c r="Y93" s="75"/>
      <c r="Z93" s="75"/>
    </row>
    <row r="94" spans="1:26" x14ac:dyDescent="0.25">
      <c r="A94" s="72"/>
      <c r="B94" s="72"/>
      <c r="C94" s="1"/>
      <c r="D94" s="1"/>
      <c r="E94" s="1"/>
      <c r="F94" s="72"/>
      <c r="G94" s="72"/>
      <c r="V94" s="75"/>
      <c r="X94" s="75"/>
      <c r="Y94" s="75"/>
      <c r="Z94" s="75"/>
    </row>
    <row r="95" spans="1:26" x14ac:dyDescent="0.25">
      <c r="A95" s="85"/>
      <c r="B95" s="85"/>
      <c r="C95" s="1"/>
      <c r="D95" s="1"/>
      <c r="E95" s="1"/>
      <c r="F95" s="85"/>
      <c r="G95" s="85"/>
      <c r="V95" s="75"/>
      <c r="X95" s="75"/>
      <c r="Y95" s="75"/>
      <c r="Z95" s="75"/>
    </row>
    <row r="96" spans="1:26" x14ac:dyDescent="0.25">
      <c r="A96" s="85"/>
      <c r="B96" s="85"/>
      <c r="C96" s="1"/>
      <c r="D96" s="1"/>
      <c r="E96" s="1"/>
      <c r="F96" s="85"/>
      <c r="G96" s="85"/>
      <c r="V96" s="75"/>
      <c r="X96" s="75"/>
      <c r="Y96" s="75"/>
      <c r="Z96" s="75"/>
    </row>
    <row r="97" spans="1:26" x14ac:dyDescent="0.25">
      <c r="A97" s="85"/>
      <c r="B97" s="85"/>
      <c r="C97" s="1"/>
      <c r="D97" s="1"/>
      <c r="E97" s="1"/>
      <c r="F97" s="85"/>
      <c r="G97" s="85"/>
      <c r="V97" s="75"/>
      <c r="X97" s="75"/>
      <c r="Y97" s="75"/>
      <c r="Z97" s="75"/>
    </row>
    <row r="98" spans="1:26" x14ac:dyDescent="0.25">
      <c r="A98" s="85"/>
      <c r="B98" s="85"/>
      <c r="C98" s="1"/>
      <c r="D98" s="1"/>
      <c r="E98" s="1"/>
      <c r="F98" s="85"/>
      <c r="G98" s="85"/>
      <c r="V98" s="75"/>
      <c r="X98" s="75"/>
      <c r="Y98" s="75"/>
      <c r="Z98" s="75"/>
    </row>
    <row r="99" spans="1:26" x14ac:dyDescent="0.25">
      <c r="A99" s="85"/>
      <c r="B99" s="85"/>
      <c r="C99" s="1"/>
      <c r="D99" s="1"/>
      <c r="E99" s="1"/>
      <c r="F99" s="85"/>
      <c r="G99" s="85"/>
      <c r="V99" s="75"/>
      <c r="X99" s="75"/>
      <c r="Y99" s="75"/>
      <c r="Z99" s="75"/>
    </row>
    <row r="100" spans="1:26" x14ac:dyDescent="0.25">
      <c r="A100" s="85"/>
      <c r="B100" s="85"/>
      <c r="C100" s="1"/>
      <c r="D100" s="1"/>
      <c r="E100" s="1"/>
      <c r="F100" s="85"/>
      <c r="G100" s="85"/>
      <c r="V100" s="75"/>
      <c r="X100" s="75"/>
      <c r="Y100" s="75"/>
      <c r="Z100" s="75"/>
    </row>
    <row r="101" spans="1:26" x14ac:dyDescent="0.25">
      <c r="A101" s="85"/>
      <c r="B101" s="85"/>
      <c r="C101" s="1"/>
      <c r="D101" s="1"/>
      <c r="E101" s="1"/>
      <c r="F101" s="85"/>
      <c r="G101" s="85"/>
      <c r="V101" s="75"/>
      <c r="X101" s="75"/>
      <c r="Y101" s="75"/>
      <c r="Z101" s="75"/>
    </row>
    <row r="102" spans="1:26" x14ac:dyDescent="0.25">
      <c r="A102" s="85"/>
      <c r="B102" s="85"/>
      <c r="C102" s="1"/>
      <c r="D102" s="1"/>
      <c r="E102" s="1"/>
      <c r="F102" s="85"/>
      <c r="G102" s="85"/>
      <c r="V102" s="75"/>
      <c r="X102" s="75"/>
      <c r="Y102" s="75"/>
      <c r="Z102" s="75"/>
    </row>
    <row r="103" spans="1:26" x14ac:dyDescent="0.25">
      <c r="A103" s="85"/>
      <c r="B103" s="85"/>
      <c r="C103" s="1"/>
      <c r="D103" s="1"/>
      <c r="E103" s="1"/>
      <c r="F103" s="85"/>
      <c r="G103" s="85"/>
      <c r="V103" s="75"/>
      <c r="X103" s="75"/>
      <c r="Y103" s="75"/>
      <c r="Z103" s="75"/>
    </row>
    <row r="104" spans="1:26" x14ac:dyDescent="0.25">
      <c r="A104" s="85"/>
      <c r="B104" s="85"/>
      <c r="C104" s="1"/>
      <c r="D104" s="1"/>
      <c r="E104" s="1"/>
      <c r="F104" s="85"/>
      <c r="G104" s="85"/>
      <c r="V104" s="75"/>
      <c r="X104" s="75"/>
      <c r="Y104" s="75"/>
      <c r="Z104" s="75"/>
    </row>
    <row r="105" spans="1:26" x14ac:dyDescent="0.25">
      <c r="A105" s="85"/>
      <c r="B105" s="85"/>
      <c r="C105" s="1"/>
      <c r="D105" s="1"/>
      <c r="E105" s="1"/>
      <c r="F105" s="85"/>
      <c r="G105" s="85"/>
      <c r="V105" s="75"/>
      <c r="X105" s="75"/>
      <c r="Y105" s="75"/>
      <c r="Z105" s="75"/>
    </row>
    <row r="106" spans="1:26" x14ac:dyDescent="0.25">
      <c r="A106" s="85"/>
      <c r="B106" s="85"/>
      <c r="C106" s="1"/>
      <c r="D106" s="1"/>
      <c r="E106" s="1"/>
      <c r="F106" s="85"/>
      <c r="G106" s="85"/>
      <c r="V106" s="75"/>
      <c r="X106" s="75"/>
      <c r="Y106" s="75"/>
      <c r="Z106" s="75"/>
    </row>
    <row r="107" spans="1:26" x14ac:dyDescent="0.25">
      <c r="A107" s="85"/>
      <c r="B107" s="85"/>
      <c r="C107" s="1"/>
      <c r="D107" s="1"/>
      <c r="E107" s="1"/>
      <c r="F107" s="85"/>
      <c r="G107" s="85"/>
      <c r="V107" s="75"/>
      <c r="X107" s="75"/>
      <c r="Y107" s="75"/>
      <c r="Z107" s="75"/>
    </row>
    <row r="108" spans="1:26" x14ac:dyDescent="0.25">
      <c r="A108" s="85"/>
      <c r="B108" s="85"/>
      <c r="C108" s="1"/>
      <c r="D108" s="1"/>
      <c r="E108" s="1"/>
      <c r="F108" s="85"/>
      <c r="G108" s="85"/>
      <c r="V108" s="75"/>
      <c r="X108" s="75"/>
      <c r="Y108" s="75"/>
      <c r="Z108" s="75"/>
    </row>
    <row r="109" spans="1:26" x14ac:dyDescent="0.25">
      <c r="A109" s="85"/>
      <c r="B109" s="85"/>
      <c r="C109" s="1"/>
      <c r="D109" s="1"/>
      <c r="E109" s="1"/>
      <c r="F109" s="85"/>
      <c r="G109" s="85"/>
      <c r="V109" s="75"/>
      <c r="X109" s="75"/>
      <c r="Y109" s="75"/>
      <c r="Z109" s="75"/>
    </row>
    <row r="110" spans="1:26" x14ac:dyDescent="0.25">
      <c r="A110" s="85"/>
      <c r="B110" s="85"/>
      <c r="C110" s="1"/>
      <c r="D110" s="1"/>
      <c r="E110" s="1"/>
      <c r="F110" s="85"/>
      <c r="G110" s="85"/>
      <c r="V110" s="75"/>
      <c r="X110" s="75"/>
      <c r="Y110" s="75"/>
      <c r="Z110" s="75"/>
    </row>
    <row r="111" spans="1:26" x14ac:dyDescent="0.25">
      <c r="A111" s="85"/>
      <c r="B111" s="85"/>
      <c r="C111" s="1"/>
      <c r="D111" s="1"/>
      <c r="E111" s="1"/>
      <c r="F111" s="85"/>
      <c r="G111" s="85"/>
      <c r="V111" s="75"/>
      <c r="X111" s="75"/>
      <c r="Y111" s="75"/>
      <c r="Z111" s="75"/>
    </row>
    <row r="112" spans="1:26" x14ac:dyDescent="0.25">
      <c r="A112" s="85"/>
      <c r="B112" s="85"/>
      <c r="C112" s="1"/>
      <c r="D112" s="1"/>
      <c r="E112" s="1"/>
      <c r="F112" s="85"/>
      <c r="G112" s="85"/>
      <c r="V112" s="75"/>
      <c r="X112" s="75"/>
      <c r="Y112" s="75"/>
      <c r="Z112" s="75"/>
    </row>
    <row r="113" spans="1:26" x14ac:dyDescent="0.25">
      <c r="A113" s="85"/>
      <c r="B113" s="85"/>
      <c r="C113" s="1"/>
      <c r="D113" s="1"/>
      <c r="E113" s="1"/>
      <c r="F113" s="85"/>
      <c r="G113" s="85"/>
      <c r="V113" s="75"/>
      <c r="X113" s="75"/>
      <c r="Y113" s="75"/>
      <c r="Z113" s="75"/>
    </row>
    <row r="114" spans="1:26" x14ac:dyDescent="0.25">
      <c r="A114" s="85"/>
      <c r="B114" s="85"/>
      <c r="C114" s="1"/>
      <c r="D114" s="1"/>
      <c r="E114" s="1"/>
      <c r="F114" s="85"/>
      <c r="G114" s="85"/>
      <c r="V114" s="75"/>
      <c r="X114" s="75"/>
      <c r="Y114" s="75"/>
      <c r="Z114" s="75"/>
    </row>
    <row r="115" spans="1:26" x14ac:dyDescent="0.25">
      <c r="A115" s="85"/>
      <c r="B115" s="85"/>
      <c r="C115" s="1"/>
      <c r="D115" s="1"/>
      <c r="E115" s="1"/>
      <c r="F115" s="85"/>
      <c r="G115" s="85"/>
      <c r="V115" s="75"/>
      <c r="X115" s="75"/>
      <c r="Y115" s="75"/>
      <c r="Z115" s="75"/>
    </row>
    <row r="116" spans="1:26" x14ac:dyDescent="0.25">
      <c r="A116" s="85"/>
      <c r="B116" s="85"/>
      <c r="C116" s="1"/>
      <c r="D116" s="1"/>
      <c r="E116" s="1"/>
      <c r="F116" s="85"/>
      <c r="G116" s="85"/>
      <c r="V116" s="75"/>
      <c r="X116" s="75"/>
      <c r="Y116" s="75"/>
      <c r="Z116" s="75"/>
    </row>
    <row r="117" spans="1:26" x14ac:dyDescent="0.25">
      <c r="A117" s="85"/>
      <c r="B117" s="85"/>
      <c r="C117" s="1"/>
      <c r="D117" s="1"/>
      <c r="E117" s="1"/>
      <c r="F117" s="85"/>
      <c r="G117" s="85"/>
      <c r="V117" s="75"/>
      <c r="X117" s="75"/>
      <c r="Y117" s="75"/>
      <c r="Z117" s="75"/>
    </row>
    <row r="118" spans="1:26" x14ac:dyDescent="0.25">
      <c r="A118" s="85"/>
      <c r="B118" s="85"/>
      <c r="C118" s="1"/>
      <c r="D118" s="1"/>
      <c r="E118" s="1"/>
      <c r="F118" s="85"/>
      <c r="G118" s="85"/>
      <c r="V118" s="75"/>
      <c r="X118" s="75"/>
      <c r="Y118" s="75"/>
      <c r="Z118" s="75"/>
    </row>
    <row r="119" spans="1:26" x14ac:dyDescent="0.25">
      <c r="A119" s="85"/>
      <c r="B119" s="85"/>
      <c r="C119" s="1"/>
      <c r="D119" s="1"/>
      <c r="E119" s="1"/>
      <c r="F119" s="85"/>
      <c r="G119" s="85"/>
      <c r="V119" s="75"/>
      <c r="X119" s="75"/>
      <c r="Y119" s="75"/>
      <c r="Z119" s="75"/>
    </row>
    <row r="120" spans="1:26" x14ac:dyDescent="0.25">
      <c r="A120" s="85"/>
      <c r="B120" s="85"/>
      <c r="C120" s="1"/>
      <c r="D120" s="1"/>
      <c r="E120" s="1"/>
      <c r="F120" s="85"/>
      <c r="G120" s="85"/>
      <c r="V120" s="75"/>
      <c r="X120" s="75"/>
      <c r="Y120" s="75"/>
      <c r="Z120" s="75"/>
    </row>
    <row r="121" spans="1:26" x14ac:dyDescent="0.25">
      <c r="A121" s="85"/>
      <c r="B121" s="85"/>
      <c r="C121" s="1"/>
      <c r="D121" s="1"/>
      <c r="E121" s="1"/>
      <c r="F121" s="85"/>
      <c r="G121" s="85"/>
      <c r="V121" s="75"/>
      <c r="X121" s="75"/>
      <c r="Y121" s="75"/>
      <c r="Z121" s="75"/>
    </row>
    <row r="122" spans="1:26" x14ac:dyDescent="0.25">
      <c r="A122" s="85"/>
      <c r="B122" s="85"/>
      <c r="C122" s="1"/>
      <c r="D122" s="1"/>
      <c r="E122" s="1"/>
      <c r="F122" s="85"/>
      <c r="G122" s="85"/>
      <c r="V122" s="75"/>
      <c r="X122" s="75"/>
      <c r="Y122" s="75"/>
      <c r="Z122" s="75"/>
    </row>
    <row r="123" spans="1:26" x14ac:dyDescent="0.25">
      <c r="A123" s="85"/>
      <c r="B123" s="85"/>
      <c r="C123" s="1"/>
      <c r="D123" s="1"/>
      <c r="E123" s="1"/>
      <c r="F123" s="85"/>
      <c r="G123" s="85"/>
      <c r="V123" s="75"/>
      <c r="X123" s="75"/>
      <c r="Y123" s="75"/>
      <c r="Z123" s="75"/>
    </row>
    <row r="124" spans="1:26" x14ac:dyDescent="0.25">
      <c r="A124" s="85"/>
      <c r="B124" s="85"/>
      <c r="C124" s="1"/>
      <c r="D124" s="1"/>
      <c r="E124" s="1"/>
      <c r="F124" s="85"/>
      <c r="G124" s="85"/>
      <c r="V124" s="75"/>
      <c r="X124" s="75"/>
      <c r="Y124" s="75"/>
      <c r="Z124" s="75"/>
    </row>
    <row r="125" spans="1:26" x14ac:dyDescent="0.25">
      <c r="A125" s="72"/>
      <c r="B125" s="72"/>
      <c r="F125" s="72"/>
      <c r="G125" s="72"/>
      <c r="V125" s="75"/>
      <c r="X125" s="75"/>
      <c r="Y125" s="75"/>
      <c r="Z125" s="75"/>
    </row>
    <row r="126" spans="1:26" x14ac:dyDescent="0.25">
      <c r="F126" s="72"/>
      <c r="G126" s="72"/>
      <c r="V126" s="75"/>
      <c r="X126" s="75"/>
      <c r="Y126" s="75"/>
      <c r="Z126" s="75"/>
    </row>
    <row r="127" spans="1:26" x14ac:dyDescent="0.25">
      <c r="F127" s="72"/>
      <c r="G127" s="72"/>
      <c r="V127" s="75"/>
      <c r="X127" s="75"/>
      <c r="Y127" s="75"/>
      <c r="Z127" s="75"/>
    </row>
    <row r="128" spans="1:26" x14ac:dyDescent="0.25">
      <c r="F128" s="72"/>
      <c r="G128" s="72"/>
      <c r="V128" s="75"/>
      <c r="X128" s="75"/>
      <c r="Y128" s="75"/>
      <c r="Z128" s="75"/>
    </row>
    <row r="129" spans="6:26" x14ac:dyDescent="0.25">
      <c r="F129" s="72"/>
      <c r="G129" s="72"/>
      <c r="V129" s="75"/>
      <c r="X129" s="75"/>
      <c r="Y129" s="75"/>
      <c r="Z129" s="75"/>
    </row>
    <row r="130" spans="6:26" x14ac:dyDescent="0.25">
      <c r="F130" s="72"/>
      <c r="G130" s="72"/>
      <c r="V130" s="75"/>
      <c r="X130" s="75"/>
      <c r="Y130" s="75"/>
      <c r="Z130" s="75"/>
    </row>
    <row r="131" spans="6:26" x14ac:dyDescent="0.25">
      <c r="F131" s="72"/>
      <c r="G131" s="72"/>
      <c r="V131" s="75"/>
      <c r="X131" s="75"/>
      <c r="Y131" s="75"/>
      <c r="Z131" s="75"/>
    </row>
    <row r="132" spans="6:26" x14ac:dyDescent="0.25">
      <c r="F132" s="72"/>
      <c r="G132" s="72"/>
      <c r="V132" s="75"/>
      <c r="X132" s="75"/>
      <c r="Y132" s="75"/>
      <c r="Z132" s="75"/>
    </row>
    <row r="133" spans="6:26" x14ac:dyDescent="0.25">
      <c r="F133" s="72"/>
      <c r="G133" s="72"/>
      <c r="V133" s="75"/>
      <c r="X133" s="75"/>
      <c r="Y133" s="75"/>
      <c r="Z133" s="75"/>
    </row>
    <row r="134" spans="6:26" x14ac:dyDescent="0.25">
      <c r="F134" s="72"/>
      <c r="G134" s="72"/>
      <c r="V134" s="75"/>
      <c r="X134" s="75"/>
      <c r="Y134" s="75"/>
      <c r="Z134" s="75"/>
    </row>
    <row r="135" spans="6:26" x14ac:dyDescent="0.25">
      <c r="F135" s="72"/>
      <c r="G135" s="72"/>
      <c r="V135" s="75"/>
      <c r="X135" s="75"/>
      <c r="Y135" s="75"/>
      <c r="Z135" s="75"/>
    </row>
    <row r="136" spans="6:26" x14ac:dyDescent="0.25">
      <c r="F136" s="72"/>
      <c r="G136" s="72"/>
      <c r="V136" s="75"/>
      <c r="X136" s="75"/>
      <c r="Y136" s="75"/>
      <c r="Z136" s="75"/>
    </row>
    <row r="137" spans="6:26" x14ac:dyDescent="0.25">
      <c r="V137" s="75"/>
      <c r="X137" s="75"/>
      <c r="Y137" s="75"/>
      <c r="Z137" s="75"/>
    </row>
  </sheetData>
  <mergeCells count="15">
    <mergeCell ref="I6:K6"/>
    <mergeCell ref="N6:P6"/>
    <mergeCell ref="D21:D22"/>
    <mergeCell ref="AC29:AD29"/>
    <mergeCell ref="AF29:AG29"/>
    <mergeCell ref="A2:B2"/>
    <mergeCell ref="F2:G2"/>
    <mergeCell ref="I2:Q2"/>
    <mergeCell ref="I3:K3"/>
    <mergeCell ref="N3:P3"/>
    <mergeCell ref="D4:D19"/>
    <mergeCell ref="I4:K4"/>
    <mergeCell ref="N4:P4"/>
    <mergeCell ref="I5:K5"/>
    <mergeCell ref="N5:P5"/>
  </mergeCells>
  <conditionalFormatting sqref="A2">
    <cfRule type="containsErrors" dxfId="39" priority="11">
      <formula>ISERROR(A2)</formula>
    </cfRule>
  </conditionalFormatting>
  <conditionalFormatting sqref="A3:B124">
    <cfRule type="containsErrors" dxfId="38" priority="6">
      <formula>ISERROR(A3)</formula>
    </cfRule>
  </conditionalFormatting>
  <conditionalFormatting sqref="F2:F16">
    <cfRule type="containsErrors" dxfId="37" priority="1">
      <formula>ISERROR(F2)</formula>
    </cfRule>
  </conditionalFormatting>
  <conditionalFormatting sqref="G3:G16 F17:G124">
    <cfRule type="containsErrors" dxfId="36" priority="5">
      <formula>ISERROR(F3)</formula>
    </cfRule>
  </conditionalFormatting>
  <conditionalFormatting sqref="I2">
    <cfRule type="containsErrors" dxfId="35" priority="7">
      <formula>ISERROR(I2)</formula>
    </cfRule>
  </conditionalFormatting>
  <conditionalFormatting sqref="Q4:Q5">
    <cfRule type="containsErrors" dxfId="34" priority="10">
      <formula>ISERROR(Q4)</formula>
    </cfRule>
  </conditionalFormatting>
  <conditionalFormatting sqref="AA25:AA63">
    <cfRule type="containsErrors" dxfId="33" priority="9">
      <formula>ISERROR(AA25)</formula>
    </cfRule>
  </conditionalFormatting>
  <conditionalFormatting sqref="AB25:AC28 AB29:AB63">
    <cfRule type="containsErrors" dxfId="32" priority="8">
      <formula>ISERROR(AB25)</formula>
    </cfRule>
  </conditionalFormatting>
  <conditionalFormatting sqref="AC29:AD71">
    <cfRule type="containsErrors" dxfId="31" priority="4">
      <formula>ISERROR(AC29)</formula>
    </cfRule>
  </conditionalFormatting>
  <conditionalFormatting sqref="AE31:AE71">
    <cfRule type="containsErrors" dxfId="30" priority="3">
      <formula>ISERROR(AE31)</formula>
    </cfRule>
  </conditionalFormatting>
  <conditionalFormatting sqref="AF29:AG71">
    <cfRule type="containsErrors" dxfId="29" priority="2">
      <formula>ISERROR(AF29)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2062-FB6C-49F3-911B-AF6F441A8817}">
  <dimension ref="A1:AJ285"/>
  <sheetViews>
    <sheetView workbookViewId="0">
      <selection sqref="A1:XFD1048576"/>
    </sheetView>
  </sheetViews>
  <sheetFormatPr defaultColWidth="8" defaultRowHeight="15.75" x14ac:dyDescent="0.25"/>
  <cols>
    <col min="2" max="2" width="11.875" customWidth="1"/>
    <col min="6" max="6" width="8.875" customWidth="1"/>
    <col min="7" max="7" width="12.25" customWidth="1"/>
    <col min="11" max="11" width="10.375" customWidth="1"/>
    <col min="12" max="12" width="8.125" customWidth="1"/>
    <col min="16" max="16" width="20.75" customWidth="1"/>
    <col min="17" max="17" width="11.375" customWidth="1"/>
    <col min="24" max="24" width="11.875" bestFit="1" customWidth="1"/>
    <col min="25" max="25" width="10.75" bestFit="1" customWidth="1"/>
    <col min="26" max="26" width="6.875" customWidth="1"/>
    <col min="33" max="34" width="15.25" bestFit="1" customWidth="1"/>
    <col min="35" max="35" width="9.875" bestFit="1" customWidth="1"/>
  </cols>
  <sheetData>
    <row r="1" spans="1:36" ht="16.5" thickBot="1" x14ac:dyDescent="0.3"/>
    <row r="2" spans="1:36" ht="16.5" thickBot="1" x14ac:dyDescent="0.3">
      <c r="A2" s="13" t="s">
        <v>2</v>
      </c>
      <c r="B2" s="14"/>
      <c r="C2" s="1"/>
      <c r="D2" s="1"/>
      <c r="E2" s="1"/>
      <c r="F2" s="13" t="s">
        <v>3</v>
      </c>
      <c r="G2" s="14"/>
      <c r="I2" s="56" t="s">
        <v>57</v>
      </c>
      <c r="J2" s="56"/>
      <c r="K2" s="56"/>
      <c r="L2" s="56"/>
      <c r="M2" s="56"/>
      <c r="N2" s="56"/>
      <c r="O2" s="56"/>
      <c r="P2" s="56"/>
      <c r="Q2" s="56"/>
      <c r="V2" s="57"/>
      <c r="W2" s="57"/>
      <c r="AA2" s="58"/>
      <c r="AB2" s="57"/>
      <c r="AC2" s="59"/>
      <c r="AD2" s="59"/>
      <c r="AE2" s="60"/>
      <c r="AG2" t="s">
        <v>58</v>
      </c>
      <c r="AH2" t="s">
        <v>59</v>
      </c>
      <c r="AI2" t="s">
        <v>44</v>
      </c>
    </row>
    <row r="3" spans="1:36" ht="48" thickBot="1" x14ac:dyDescent="0.3">
      <c r="A3" s="61" t="s">
        <v>9</v>
      </c>
      <c r="B3" s="62" t="s">
        <v>60</v>
      </c>
      <c r="C3" s="1"/>
      <c r="D3" s="1"/>
      <c r="E3" s="1"/>
      <c r="F3" s="26" t="s">
        <v>9</v>
      </c>
      <c r="G3" s="62" t="s">
        <v>60</v>
      </c>
      <c r="I3" s="63" t="s">
        <v>4</v>
      </c>
      <c r="J3" s="63"/>
      <c r="K3" s="63"/>
      <c r="L3" s="86">
        <f>AD17</f>
        <v>13</v>
      </c>
      <c r="M3" s="65"/>
      <c r="N3" s="63" t="s">
        <v>61</v>
      </c>
      <c r="O3" s="63"/>
      <c r="P3" s="63"/>
      <c r="Q3" s="64">
        <f>AA4</f>
        <v>10</v>
      </c>
      <c r="V3" s="66" t="s">
        <v>46</v>
      </c>
      <c r="W3" s="66"/>
      <c r="X3" s="67" t="s">
        <v>62</v>
      </c>
      <c r="Y3" s="67" t="s">
        <v>63</v>
      </c>
      <c r="Z3" s="67" t="s">
        <v>49</v>
      </c>
      <c r="AA3" s="68" t="s">
        <v>19</v>
      </c>
      <c r="AB3" s="69"/>
      <c r="AC3" s="25" t="s">
        <v>8</v>
      </c>
      <c r="AD3" s="25"/>
      <c r="AE3" s="70"/>
      <c r="AF3" s="71"/>
      <c r="AG3" s="71" t="s">
        <v>62</v>
      </c>
      <c r="AH3" s="71" t="s">
        <v>64</v>
      </c>
      <c r="AI3" s="71" t="s">
        <v>50</v>
      </c>
    </row>
    <row r="4" spans="1:36" x14ac:dyDescent="0.25">
      <c r="A4" s="72">
        <v>1</v>
      </c>
      <c r="B4" s="72">
        <v>85</v>
      </c>
      <c r="C4" s="1"/>
      <c r="D4" s="29" t="s">
        <v>13</v>
      </c>
      <c r="E4" s="1"/>
      <c r="F4" s="72">
        <v>1</v>
      </c>
      <c r="G4" s="72">
        <v>90</v>
      </c>
      <c r="I4" s="63" t="s">
        <v>65</v>
      </c>
      <c r="J4" s="63"/>
      <c r="K4" s="63"/>
      <c r="L4" s="86">
        <f>AD15</f>
        <v>35</v>
      </c>
      <c r="M4" s="65"/>
      <c r="N4" s="63" t="s">
        <v>51</v>
      </c>
      <c r="O4" s="63"/>
      <c r="P4" s="63"/>
      <c r="Q4" s="73">
        <f>AI4</f>
        <v>13</v>
      </c>
      <c r="V4" s="74">
        <f>ROUND(G4-B4,1)</f>
        <v>5</v>
      </c>
      <c r="W4" s="75">
        <f>SUMIF(V4:V87,"&gt;0.5",V4:V87)</f>
        <v>0</v>
      </c>
      <c r="X4" s="75">
        <f>IF($V4&lt;-$AA$4,1,0)</f>
        <v>0</v>
      </c>
      <c r="Y4" s="75">
        <f>IF($V4&gt;$AA$4,1,0)</f>
        <v>0</v>
      </c>
      <c r="Z4" s="75">
        <f>IF($V4&gt;=-$AA$4,IF(V4&lt;=$AA$4,1,""),"")</f>
        <v>1</v>
      </c>
      <c r="AA4" s="76">
        <v>10</v>
      </c>
      <c r="AB4" s="69"/>
      <c r="AE4" s="71"/>
      <c r="AF4" s="71" t="s">
        <v>52</v>
      </c>
      <c r="AG4" s="71">
        <f>SUM(X:X)</f>
        <v>0</v>
      </c>
      <c r="AH4" s="71">
        <f>SUM(Y:Y)</f>
        <v>0</v>
      </c>
      <c r="AI4" s="71">
        <f>SUM(Z:Z)</f>
        <v>13</v>
      </c>
      <c r="AJ4">
        <f>SUM(AG4:AI4)</f>
        <v>13</v>
      </c>
    </row>
    <row r="5" spans="1:36" x14ac:dyDescent="0.25">
      <c r="A5" s="72">
        <v>2</v>
      </c>
      <c r="B5" s="72">
        <v>85</v>
      </c>
      <c r="C5" s="1"/>
      <c r="D5" s="29"/>
      <c r="E5" s="1"/>
      <c r="F5" s="72">
        <v>2</v>
      </c>
      <c r="G5" s="72">
        <v>85</v>
      </c>
      <c r="I5" s="63" t="s">
        <v>66</v>
      </c>
      <c r="J5" s="63"/>
      <c r="K5" s="63"/>
      <c r="L5" s="86">
        <f>AD14</f>
        <v>-25</v>
      </c>
      <c r="M5" s="65"/>
      <c r="N5" s="63" t="s">
        <v>67</v>
      </c>
      <c r="O5" s="63"/>
      <c r="P5" s="63"/>
      <c r="Q5" s="73">
        <f>AH4</f>
        <v>0</v>
      </c>
      <c r="V5" s="74">
        <f t="shared" ref="V5:V16" si="0">ROUND(G5-B5,1)</f>
        <v>0</v>
      </c>
      <c r="W5" s="75"/>
      <c r="X5" s="75">
        <f t="shared" ref="X5:X16" si="1">IF($V5&lt;-$AA$4,1,0)</f>
        <v>0</v>
      </c>
      <c r="Y5" s="75">
        <f t="shared" ref="Y5:Y16" si="2">IF($V5&gt;$AA$4,1,0)</f>
        <v>0</v>
      </c>
      <c r="Z5" s="75">
        <f t="shared" ref="Z5:Z16" si="3">IF($V5&gt;=-$AA$4,IF(V5&lt;=$AA$4,1,""),"")</f>
        <v>1</v>
      </c>
      <c r="AA5" s="69"/>
      <c r="AB5" s="69"/>
      <c r="AC5" t="s">
        <v>23</v>
      </c>
      <c r="AD5">
        <v>8.8461538461538467</v>
      </c>
      <c r="AE5" s="71"/>
      <c r="AF5" s="71" t="s">
        <v>55</v>
      </c>
      <c r="AG5" s="71">
        <f>AG4/$AJ$4</f>
        <v>0</v>
      </c>
      <c r="AH5" s="71">
        <f t="shared" ref="AH5:AI5" si="4">AH4/$AJ$4</f>
        <v>0</v>
      </c>
      <c r="AI5" s="71">
        <f t="shared" si="4"/>
        <v>1</v>
      </c>
    </row>
    <row r="6" spans="1:36" x14ac:dyDescent="0.25">
      <c r="A6" s="72">
        <v>3</v>
      </c>
      <c r="B6" s="72">
        <v>85</v>
      </c>
      <c r="C6" s="1"/>
      <c r="D6" s="29"/>
      <c r="E6" s="1"/>
      <c r="F6" s="72">
        <v>3</v>
      </c>
      <c r="G6" s="72">
        <v>85</v>
      </c>
      <c r="I6" s="77"/>
      <c r="J6" s="77"/>
      <c r="K6" s="77"/>
      <c r="L6" s="78"/>
      <c r="M6" s="65"/>
      <c r="N6" s="63" t="s">
        <v>68</v>
      </c>
      <c r="O6" s="63"/>
      <c r="P6" s="63"/>
      <c r="Q6" s="64">
        <f>AG4</f>
        <v>0</v>
      </c>
      <c r="V6" s="74">
        <f t="shared" si="0"/>
        <v>0</v>
      </c>
      <c r="W6" s="75"/>
      <c r="X6" s="75">
        <f t="shared" si="1"/>
        <v>0</v>
      </c>
      <c r="Y6" s="75">
        <f t="shared" si="2"/>
        <v>0</v>
      </c>
      <c r="Z6" s="75">
        <f t="shared" si="3"/>
        <v>1</v>
      </c>
      <c r="AA6" s="69"/>
      <c r="AB6" s="69"/>
      <c r="AC6" t="s">
        <v>24</v>
      </c>
      <c r="AD6">
        <v>3.5874534819572363</v>
      </c>
      <c r="AE6" s="71"/>
      <c r="AF6" s="71"/>
      <c r="AG6" s="71"/>
      <c r="AH6" s="71"/>
      <c r="AI6" s="69"/>
    </row>
    <row r="7" spans="1:36" x14ac:dyDescent="0.25">
      <c r="A7" s="72">
        <v>4</v>
      </c>
      <c r="B7" s="72">
        <v>85</v>
      </c>
      <c r="C7" s="1"/>
      <c r="D7" s="29"/>
      <c r="E7" s="1"/>
      <c r="F7" s="72">
        <v>4</v>
      </c>
      <c r="G7" s="72">
        <v>85</v>
      </c>
      <c r="V7" s="74">
        <f t="shared" si="0"/>
        <v>0</v>
      </c>
      <c r="W7" s="75"/>
      <c r="X7" s="75">
        <f t="shared" si="1"/>
        <v>0</v>
      </c>
      <c r="Y7" s="75">
        <f t="shared" si="2"/>
        <v>0</v>
      </c>
      <c r="Z7" s="75">
        <f t="shared" si="3"/>
        <v>1</v>
      </c>
      <c r="AA7" s="69"/>
      <c r="AB7" s="69"/>
      <c r="AC7" t="s">
        <v>25</v>
      </c>
      <c r="AD7">
        <v>10</v>
      </c>
      <c r="AE7" s="71"/>
      <c r="AF7" s="71"/>
      <c r="AG7" s="71"/>
      <c r="AH7" s="71"/>
      <c r="AI7" s="69"/>
    </row>
    <row r="8" spans="1:36" x14ac:dyDescent="0.25">
      <c r="A8" s="72">
        <v>5</v>
      </c>
      <c r="B8" s="72">
        <v>85</v>
      </c>
      <c r="C8" s="1"/>
      <c r="D8" s="29"/>
      <c r="E8" s="1"/>
      <c r="F8" s="72">
        <v>5</v>
      </c>
      <c r="G8" s="72">
        <v>85</v>
      </c>
      <c r="V8" s="74">
        <f t="shared" si="0"/>
        <v>0</v>
      </c>
      <c r="W8" s="75"/>
      <c r="X8" s="75">
        <f t="shared" si="1"/>
        <v>0</v>
      </c>
      <c r="Y8" s="75">
        <f t="shared" si="2"/>
        <v>0</v>
      </c>
      <c r="Z8" s="75">
        <f t="shared" si="3"/>
        <v>1</v>
      </c>
      <c r="AA8" s="69"/>
      <c r="AB8" s="69"/>
      <c r="AC8" t="s">
        <v>26</v>
      </c>
      <c r="AD8">
        <v>5</v>
      </c>
      <c r="AE8" s="71"/>
      <c r="AF8" s="71"/>
      <c r="AG8" s="71"/>
      <c r="AH8" s="71"/>
      <c r="AI8" s="69"/>
    </row>
    <row r="9" spans="1:36" x14ac:dyDescent="0.25">
      <c r="A9" s="72">
        <v>6</v>
      </c>
      <c r="B9" s="72">
        <v>85</v>
      </c>
      <c r="C9" s="1"/>
      <c r="D9" s="29"/>
      <c r="E9" s="1"/>
      <c r="F9" s="72">
        <v>6</v>
      </c>
      <c r="G9" s="72">
        <v>85</v>
      </c>
      <c r="V9" s="74">
        <f t="shared" si="0"/>
        <v>0</v>
      </c>
      <c r="W9" s="75"/>
      <c r="X9" s="75">
        <f t="shared" si="1"/>
        <v>0</v>
      </c>
      <c r="Y9" s="75">
        <f t="shared" si="2"/>
        <v>0</v>
      </c>
      <c r="Z9" s="75">
        <f t="shared" si="3"/>
        <v>1</v>
      </c>
      <c r="AA9" s="69"/>
      <c r="AB9" s="69"/>
      <c r="AC9" t="s">
        <v>27</v>
      </c>
      <c r="AD9">
        <v>12.934747477538643</v>
      </c>
      <c r="AE9" s="71"/>
      <c r="AF9" s="71"/>
      <c r="AG9" s="71"/>
      <c r="AH9" s="71"/>
      <c r="AI9" s="69"/>
    </row>
    <row r="10" spans="1:36" x14ac:dyDescent="0.25">
      <c r="A10" s="72">
        <v>7</v>
      </c>
      <c r="B10" s="72">
        <v>85</v>
      </c>
      <c r="C10" s="1"/>
      <c r="D10" s="29"/>
      <c r="E10" s="1"/>
      <c r="F10" s="72">
        <v>7</v>
      </c>
      <c r="G10" s="72">
        <v>85</v>
      </c>
      <c r="V10" s="74">
        <f t="shared" si="0"/>
        <v>0</v>
      </c>
      <c r="W10" s="75"/>
      <c r="X10" s="75">
        <f t="shared" si="1"/>
        <v>0</v>
      </c>
      <c r="Y10" s="75">
        <f t="shared" si="2"/>
        <v>0</v>
      </c>
      <c r="Z10" s="75">
        <f t="shared" si="3"/>
        <v>1</v>
      </c>
      <c r="AA10" s="69"/>
      <c r="AB10" s="69"/>
      <c r="AC10" t="s">
        <v>28</v>
      </c>
      <c r="AD10">
        <v>167.30769230769229</v>
      </c>
      <c r="AE10" s="71"/>
      <c r="AF10" s="71"/>
      <c r="AG10" s="71"/>
      <c r="AH10" s="71"/>
      <c r="AI10" s="69"/>
    </row>
    <row r="11" spans="1:36" x14ac:dyDescent="0.25">
      <c r="A11" s="72">
        <v>8</v>
      </c>
      <c r="B11" s="72">
        <v>85</v>
      </c>
      <c r="C11" s="1"/>
      <c r="D11" s="29"/>
      <c r="E11" s="1"/>
      <c r="F11" s="72">
        <v>8</v>
      </c>
      <c r="G11" s="72">
        <v>85</v>
      </c>
      <c r="V11" s="74">
        <f t="shared" si="0"/>
        <v>0</v>
      </c>
      <c r="W11" s="75"/>
      <c r="X11" s="75">
        <f t="shared" si="1"/>
        <v>0</v>
      </c>
      <c r="Y11" s="75">
        <f t="shared" si="2"/>
        <v>0</v>
      </c>
      <c r="Z11" s="75">
        <f t="shared" si="3"/>
        <v>1</v>
      </c>
      <c r="AA11" s="69"/>
      <c r="AB11" s="69"/>
      <c r="AC11" t="s">
        <v>29</v>
      </c>
      <c r="AD11">
        <v>4.8669549237920258</v>
      </c>
      <c r="AE11" s="71"/>
      <c r="AF11" s="71"/>
      <c r="AG11" s="71"/>
      <c r="AH11" s="71"/>
      <c r="AI11" s="69"/>
    </row>
    <row r="12" spans="1:36" x14ac:dyDescent="0.25">
      <c r="A12" s="72">
        <v>9</v>
      </c>
      <c r="B12" s="72">
        <v>85</v>
      </c>
      <c r="C12" s="1"/>
      <c r="D12" s="29"/>
      <c r="E12" s="1"/>
      <c r="F12" s="72">
        <v>9</v>
      </c>
      <c r="G12" s="72">
        <v>85</v>
      </c>
      <c r="V12" s="74">
        <f t="shared" si="0"/>
        <v>0</v>
      </c>
      <c r="W12" s="75"/>
      <c r="X12" s="75">
        <f t="shared" si="1"/>
        <v>0</v>
      </c>
      <c r="Y12" s="75">
        <f t="shared" si="2"/>
        <v>0</v>
      </c>
      <c r="Z12" s="75">
        <f t="shared" si="3"/>
        <v>1</v>
      </c>
      <c r="AA12" s="69"/>
      <c r="AB12" s="69"/>
      <c r="AC12" t="s">
        <v>30</v>
      </c>
      <c r="AD12">
        <v>-0.92862224591022657</v>
      </c>
      <c r="AE12" s="71"/>
      <c r="AF12" s="71"/>
      <c r="AG12" s="71"/>
      <c r="AH12" s="71"/>
      <c r="AI12" s="69"/>
    </row>
    <row r="13" spans="1:36" x14ac:dyDescent="0.25">
      <c r="A13" s="72">
        <v>10</v>
      </c>
      <c r="B13" s="72">
        <v>85</v>
      </c>
      <c r="C13" s="1"/>
      <c r="D13" s="29"/>
      <c r="E13" s="1"/>
      <c r="F13" s="72">
        <v>10</v>
      </c>
      <c r="G13" s="72">
        <v>85</v>
      </c>
      <c r="V13" s="74">
        <f t="shared" si="0"/>
        <v>0</v>
      </c>
      <c r="W13" s="75"/>
      <c r="X13" s="75">
        <f t="shared" si="1"/>
        <v>0</v>
      </c>
      <c r="Y13" s="75">
        <f t="shared" si="2"/>
        <v>0</v>
      </c>
      <c r="Z13" s="75">
        <f t="shared" si="3"/>
        <v>1</v>
      </c>
      <c r="AA13" s="69"/>
      <c r="AB13" s="69"/>
      <c r="AC13" t="s">
        <v>31</v>
      </c>
      <c r="AD13">
        <v>60</v>
      </c>
      <c r="AE13" s="71"/>
      <c r="AF13" s="71"/>
      <c r="AG13" s="71"/>
      <c r="AH13" s="71"/>
      <c r="AI13" s="69"/>
    </row>
    <row r="14" spans="1:36" x14ac:dyDescent="0.25">
      <c r="A14" s="72">
        <v>11</v>
      </c>
      <c r="B14" s="72">
        <v>85</v>
      </c>
      <c r="C14" s="1"/>
      <c r="D14" s="29"/>
      <c r="E14" s="1"/>
      <c r="F14" s="72">
        <v>11</v>
      </c>
      <c r="G14" s="72">
        <v>85</v>
      </c>
      <c r="V14" s="74">
        <f t="shared" si="0"/>
        <v>0</v>
      </c>
      <c r="W14" s="75"/>
      <c r="X14" s="75">
        <f t="shared" si="1"/>
        <v>0</v>
      </c>
      <c r="Y14" s="75">
        <f t="shared" si="2"/>
        <v>0</v>
      </c>
      <c r="Z14" s="75">
        <f t="shared" si="3"/>
        <v>1</v>
      </c>
      <c r="AA14" s="69"/>
      <c r="AB14" s="69"/>
      <c r="AC14" t="s">
        <v>32</v>
      </c>
      <c r="AD14">
        <v>-25</v>
      </c>
      <c r="AE14" s="71"/>
      <c r="AF14" s="71"/>
      <c r="AG14" s="71"/>
      <c r="AH14" s="71"/>
      <c r="AI14" s="69"/>
    </row>
    <row r="15" spans="1:36" x14ac:dyDescent="0.25">
      <c r="A15" s="72"/>
      <c r="B15" s="72"/>
      <c r="C15" s="1"/>
      <c r="D15" s="29"/>
      <c r="E15" s="1"/>
      <c r="F15" s="72"/>
      <c r="G15" s="72"/>
      <c r="V15" s="74">
        <f t="shared" si="0"/>
        <v>0</v>
      </c>
      <c r="W15" s="75"/>
      <c r="X15" s="75">
        <f t="shared" si="1"/>
        <v>0</v>
      </c>
      <c r="Y15" s="75">
        <f t="shared" si="2"/>
        <v>0</v>
      </c>
      <c r="Z15" s="75">
        <f t="shared" si="3"/>
        <v>1</v>
      </c>
      <c r="AA15" s="69"/>
      <c r="AB15" s="69"/>
      <c r="AC15" t="s">
        <v>33</v>
      </c>
      <c r="AD15">
        <v>35</v>
      </c>
      <c r="AE15" s="71"/>
      <c r="AF15" s="71"/>
      <c r="AG15" s="71"/>
      <c r="AH15" s="71"/>
      <c r="AI15" s="69"/>
    </row>
    <row r="16" spans="1:36" x14ac:dyDescent="0.25">
      <c r="A16" s="72"/>
      <c r="B16" s="72"/>
      <c r="C16" s="1"/>
      <c r="D16" s="29"/>
      <c r="E16" s="1"/>
      <c r="F16" s="72"/>
      <c r="G16" s="72"/>
      <c r="V16" s="74">
        <f t="shared" si="0"/>
        <v>0</v>
      </c>
      <c r="W16" s="75"/>
      <c r="X16" s="75">
        <f t="shared" si="1"/>
        <v>0</v>
      </c>
      <c r="Y16" s="75">
        <f t="shared" si="2"/>
        <v>0</v>
      </c>
      <c r="Z16" s="75">
        <f t="shared" si="3"/>
        <v>1</v>
      </c>
      <c r="AA16" s="69"/>
      <c r="AB16" s="69"/>
      <c r="AC16" t="s">
        <v>34</v>
      </c>
      <c r="AD16">
        <v>115</v>
      </c>
      <c r="AE16" s="71"/>
      <c r="AF16" s="71"/>
      <c r="AG16" s="71"/>
      <c r="AH16" s="71"/>
      <c r="AI16" s="69"/>
    </row>
    <row r="17" spans="1:35" ht="16.5" thickBot="1" x14ac:dyDescent="0.3">
      <c r="A17" s="72"/>
      <c r="B17" s="72"/>
      <c r="C17" s="1"/>
      <c r="D17" s="29"/>
      <c r="E17" s="1"/>
      <c r="F17" s="72"/>
      <c r="G17" s="72"/>
      <c r="V17" s="75"/>
      <c r="W17" s="75"/>
      <c r="X17" s="75"/>
      <c r="Y17" s="75"/>
      <c r="Z17" s="75"/>
      <c r="AA17" s="69"/>
      <c r="AB17" s="69"/>
      <c r="AC17" s="42" t="s">
        <v>35</v>
      </c>
      <c r="AD17" s="42">
        <v>13</v>
      </c>
      <c r="AE17" s="71"/>
      <c r="AF17" s="71"/>
      <c r="AG17" s="71"/>
      <c r="AH17" s="71"/>
      <c r="AI17" s="69"/>
    </row>
    <row r="18" spans="1:35" ht="16.5" thickBot="1" x14ac:dyDescent="0.3">
      <c r="A18" s="72"/>
      <c r="B18" s="72"/>
      <c r="C18" s="1"/>
      <c r="D18" s="29"/>
      <c r="E18" s="1"/>
      <c r="F18" s="72"/>
      <c r="G18" s="72"/>
      <c r="V18" s="75"/>
      <c r="W18" s="75"/>
      <c r="X18" s="75"/>
      <c r="Y18" s="75"/>
      <c r="Z18" s="75"/>
      <c r="AA18" s="69"/>
      <c r="AB18" s="69"/>
      <c r="AC18" s="79" t="s">
        <v>69</v>
      </c>
      <c r="AD18" s="79">
        <v>0</v>
      </c>
      <c r="AE18" s="71"/>
      <c r="AF18" s="71"/>
      <c r="AG18" s="71"/>
      <c r="AH18" s="71"/>
      <c r="AI18" s="69"/>
    </row>
    <row r="19" spans="1:35" x14ac:dyDescent="0.25">
      <c r="A19" s="72"/>
      <c r="B19" s="72"/>
      <c r="C19" s="1"/>
      <c r="D19" s="29"/>
      <c r="E19" s="1"/>
      <c r="F19" s="72"/>
      <c r="G19" s="72"/>
      <c r="V19" s="75"/>
      <c r="W19" s="75"/>
      <c r="X19" s="75"/>
      <c r="Y19" s="75"/>
      <c r="Z19" s="75"/>
      <c r="AA19" s="69"/>
      <c r="AB19" s="69"/>
      <c r="AC19" s="69"/>
      <c r="AD19" s="69"/>
      <c r="AE19" s="69"/>
      <c r="AF19" s="69"/>
      <c r="AG19" s="69"/>
      <c r="AH19" s="69"/>
      <c r="AI19" s="69"/>
    </row>
    <row r="20" spans="1:35" ht="16.5" x14ac:dyDescent="0.25">
      <c r="A20" s="72"/>
      <c r="B20" s="72"/>
      <c r="C20" s="1"/>
      <c r="D20" s="43" t="s">
        <v>36</v>
      </c>
      <c r="E20" s="1"/>
      <c r="F20" s="72"/>
      <c r="G20" s="72"/>
      <c r="V20" s="75"/>
      <c r="W20" s="75"/>
      <c r="X20" s="75"/>
      <c r="Y20" s="75"/>
      <c r="Z20" s="75"/>
      <c r="AA20" s="69"/>
      <c r="AB20" s="69"/>
      <c r="AC20" s="69"/>
      <c r="AD20" s="69"/>
      <c r="AE20" s="69"/>
      <c r="AF20" s="69"/>
      <c r="AG20" s="69"/>
      <c r="AH20" s="69"/>
      <c r="AI20" s="69"/>
    </row>
    <row r="21" spans="1:35" x14ac:dyDescent="0.25">
      <c r="A21" s="72"/>
      <c r="B21" s="72"/>
      <c r="C21" s="1"/>
      <c r="D21" s="44"/>
      <c r="E21" s="1"/>
      <c r="F21" s="72"/>
      <c r="G21" s="72"/>
      <c r="V21" s="75"/>
      <c r="W21" s="75"/>
      <c r="X21" s="75"/>
      <c r="Y21" s="75"/>
      <c r="Z21" s="75"/>
      <c r="AA21" s="69"/>
      <c r="AB21" s="69"/>
      <c r="AC21" s="69"/>
      <c r="AD21" s="69"/>
      <c r="AE21" s="69"/>
      <c r="AF21" s="69"/>
      <c r="AG21" s="69"/>
      <c r="AH21" s="69"/>
      <c r="AI21" s="69"/>
    </row>
    <row r="22" spans="1:35" x14ac:dyDescent="0.25">
      <c r="A22" s="72"/>
      <c r="B22" s="72"/>
      <c r="C22" s="1"/>
      <c r="D22" s="44"/>
      <c r="E22" s="1"/>
      <c r="F22" s="72"/>
      <c r="G22" s="72"/>
      <c r="V22" s="75"/>
      <c r="W22" s="75"/>
      <c r="X22" s="75"/>
      <c r="Y22" s="75"/>
      <c r="Z22" s="75"/>
      <c r="AA22" s="69"/>
      <c r="AB22" s="69"/>
      <c r="AC22" s="69"/>
      <c r="AD22" s="69"/>
      <c r="AE22" s="69"/>
      <c r="AF22" s="69"/>
      <c r="AG22" s="69"/>
      <c r="AH22" s="69"/>
      <c r="AI22" s="69"/>
    </row>
    <row r="23" spans="1:35" x14ac:dyDescent="0.25">
      <c r="A23" s="72"/>
      <c r="B23" s="72"/>
      <c r="C23" s="1"/>
      <c r="D23" s="1"/>
      <c r="E23" s="1"/>
      <c r="F23" s="72"/>
      <c r="G23" s="72"/>
      <c r="V23" s="75"/>
      <c r="W23" s="75"/>
      <c r="X23" s="75"/>
      <c r="Y23" s="75"/>
      <c r="Z23" s="75"/>
      <c r="AA23" s="69"/>
      <c r="AB23" s="69"/>
      <c r="AC23" s="69"/>
      <c r="AD23" s="69"/>
      <c r="AE23" s="69"/>
      <c r="AF23" s="69"/>
      <c r="AG23" s="69"/>
      <c r="AH23" s="69"/>
      <c r="AI23" s="69"/>
    </row>
    <row r="24" spans="1:35" x14ac:dyDescent="0.25">
      <c r="A24" s="72"/>
      <c r="B24" s="72"/>
      <c r="C24" s="1"/>
      <c r="D24" s="1"/>
      <c r="E24" s="1"/>
      <c r="F24" s="72"/>
      <c r="G24" s="72"/>
      <c r="V24" s="75"/>
      <c r="W24" s="75"/>
      <c r="X24" s="75"/>
      <c r="Y24" s="75"/>
      <c r="Z24" s="75"/>
      <c r="AA24" s="69"/>
      <c r="AB24" s="69"/>
      <c r="AC24" s="69"/>
      <c r="AD24" s="69"/>
      <c r="AE24" s="69"/>
      <c r="AF24" s="69"/>
      <c r="AG24" s="69"/>
      <c r="AH24" s="69"/>
      <c r="AI24" s="69"/>
    </row>
    <row r="25" spans="1:35" x14ac:dyDescent="0.25">
      <c r="A25" s="72"/>
      <c r="B25" s="72"/>
      <c r="C25" s="1"/>
      <c r="D25" s="1"/>
      <c r="E25" s="1"/>
      <c r="F25" s="72"/>
      <c r="G25" s="72"/>
      <c r="V25" s="75"/>
      <c r="W25" s="75"/>
      <c r="X25" s="75"/>
      <c r="Y25" s="75"/>
      <c r="Z25" s="75"/>
      <c r="AA25" s="69"/>
      <c r="AB25" s="69"/>
      <c r="AC25" s="69"/>
      <c r="AD25" s="69"/>
      <c r="AE25" s="69"/>
      <c r="AF25" s="69"/>
      <c r="AG25" s="69"/>
      <c r="AH25" s="69"/>
      <c r="AI25" s="69"/>
    </row>
    <row r="26" spans="1:35" x14ac:dyDescent="0.25">
      <c r="A26" s="72"/>
      <c r="B26" s="72"/>
      <c r="C26" s="1"/>
      <c r="D26" s="1"/>
      <c r="E26" s="1"/>
      <c r="F26" s="72"/>
      <c r="G26" s="72"/>
      <c r="V26" s="75"/>
      <c r="W26" s="57"/>
      <c r="X26" s="75"/>
      <c r="Y26" s="75"/>
      <c r="Z26" s="75"/>
      <c r="AA26" s="80"/>
      <c r="AB26" s="81"/>
      <c r="AC26" s="81"/>
      <c r="AD26" s="57"/>
      <c r="AE26" s="57"/>
    </row>
    <row r="27" spans="1:35" x14ac:dyDescent="0.25">
      <c r="A27" s="72"/>
      <c r="B27" s="72"/>
      <c r="C27" s="1"/>
      <c r="D27" s="1"/>
      <c r="E27" s="1"/>
      <c r="F27" s="72"/>
      <c r="G27" s="72"/>
      <c r="V27" s="75"/>
      <c r="W27" s="57"/>
      <c r="X27" s="75"/>
      <c r="Y27" s="75"/>
      <c r="Z27" s="75"/>
      <c r="AA27" s="80"/>
      <c r="AB27" s="81"/>
      <c r="AC27" s="81"/>
      <c r="AD27" s="82">
        <f>SUM(AD31:AD71)</f>
        <v>13</v>
      </c>
      <c r="AE27" s="57"/>
      <c r="AG27" s="82">
        <f>SUM(AG31:AG71)</f>
        <v>0</v>
      </c>
    </row>
    <row r="28" spans="1:35" x14ac:dyDescent="0.25">
      <c r="A28" s="72"/>
      <c r="B28" s="72"/>
      <c r="C28" s="1"/>
      <c r="D28" s="1"/>
      <c r="E28" s="1"/>
      <c r="F28" s="72"/>
      <c r="G28" s="72"/>
      <c r="V28" s="75"/>
      <c r="W28" s="57"/>
      <c r="X28" s="75"/>
      <c r="Y28" s="75"/>
      <c r="Z28" s="75"/>
      <c r="AA28" s="80"/>
      <c r="AB28" s="81"/>
      <c r="AC28" s="81"/>
      <c r="AD28" s="57"/>
      <c r="AE28" s="57"/>
    </row>
    <row r="29" spans="1:35" x14ac:dyDescent="0.25">
      <c r="A29" s="72"/>
      <c r="B29" s="72"/>
      <c r="C29" s="1"/>
      <c r="D29" s="1"/>
      <c r="E29" s="1"/>
      <c r="F29" s="72"/>
      <c r="G29" s="72"/>
      <c r="V29" s="75"/>
      <c r="W29" s="57"/>
      <c r="X29" s="75"/>
      <c r="Y29" s="75"/>
      <c r="Z29" s="75"/>
      <c r="AA29" s="80"/>
      <c r="AB29" s="81"/>
      <c r="AC29" s="83" t="s">
        <v>37</v>
      </c>
      <c r="AD29" s="84"/>
      <c r="AE29" s="57"/>
      <c r="AF29" s="83" t="s">
        <v>38</v>
      </c>
      <c r="AG29" s="84"/>
    </row>
    <row r="30" spans="1:35" x14ac:dyDescent="0.25">
      <c r="A30" s="72"/>
      <c r="B30" s="72"/>
      <c r="C30" s="1"/>
      <c r="D30" s="1"/>
      <c r="E30" s="1"/>
      <c r="F30" s="72"/>
      <c r="G30" s="72"/>
      <c r="V30" s="75"/>
      <c r="W30" s="57"/>
      <c r="X30" s="75"/>
      <c r="Y30" s="75"/>
      <c r="Z30" s="75"/>
      <c r="AA30" s="80"/>
      <c r="AB30" s="81"/>
      <c r="AC30" s="49" t="s">
        <v>39</v>
      </c>
      <c r="AD30" s="50" t="s">
        <v>40</v>
      </c>
      <c r="AE30" s="57"/>
      <c r="AF30" s="49" t="s">
        <v>39</v>
      </c>
      <c r="AG30" s="50" t="s">
        <v>40</v>
      </c>
    </row>
    <row r="31" spans="1:35" x14ac:dyDescent="0.25">
      <c r="A31" s="72"/>
      <c r="B31" s="72"/>
      <c r="C31" s="1"/>
      <c r="D31" s="1"/>
      <c r="E31" s="1"/>
      <c r="F31" s="72"/>
      <c r="G31" s="72"/>
      <c r="V31" s="75"/>
      <c r="W31" s="57"/>
      <c r="X31" s="75"/>
      <c r="Y31" s="75"/>
      <c r="Z31" s="75"/>
      <c r="AA31" s="80"/>
      <c r="AB31" s="81"/>
      <c r="AC31" s="51">
        <f>IF($AE31&lt;=$AA$4,$AE31,"")</f>
        <v>-100</v>
      </c>
      <c r="AD31" s="52">
        <f t="shared" ref="AD31:AD71" si="5">IF(AC31="","",COUNTIF($V$4:$V$950,"&gt;="&amp;$AE31)-COUNTIF($V$4:$V$950,"&gt;="&amp;$AE32))</f>
        <v>0</v>
      </c>
      <c r="AE31" s="53">
        <v>-100</v>
      </c>
      <c r="AF31" s="51" t="str">
        <f>IF($AE31&gt;$AA$4,$AE31,"")</f>
        <v/>
      </c>
      <c r="AG31" s="52" t="str">
        <f>IF(AF31="","",COUNTIF($V$5:$V$951,"&gt;="&amp;$AH31)-COUNTIF($V$5:$V$951,"&gt;="&amp;$AH32))</f>
        <v/>
      </c>
    </row>
    <row r="32" spans="1:35" x14ac:dyDescent="0.25">
      <c r="A32" s="72"/>
      <c r="B32" s="72"/>
      <c r="C32" s="1"/>
      <c r="D32" s="1"/>
      <c r="E32" s="1"/>
      <c r="F32" s="72"/>
      <c r="G32" s="72"/>
      <c r="V32" s="75"/>
      <c r="W32" s="57"/>
      <c r="X32" s="75"/>
      <c r="Y32" s="75"/>
      <c r="Z32" s="75"/>
      <c r="AA32" s="80"/>
      <c r="AB32" s="81"/>
      <c r="AC32" s="51">
        <f t="shared" ref="AC32:AC71" si="6">IF($AE32&lt;=$AA$4,$AE32,"")</f>
        <v>-95</v>
      </c>
      <c r="AD32" s="52">
        <f t="shared" si="5"/>
        <v>0</v>
      </c>
      <c r="AE32" s="53">
        <v>-95</v>
      </c>
      <c r="AF32" s="51" t="str">
        <f t="shared" ref="AF32:AF71" si="7">IF($AE32&gt;$AA$4,$AE32,"")</f>
        <v/>
      </c>
      <c r="AG32" s="52" t="str">
        <f>IF(AF32="","",COUNTIF($V$5:$V$951,"&gt;="&amp;$AH32)-COUNTIF($V$5:$V$951,"&gt;="&amp;$AH33))</f>
        <v/>
      </c>
    </row>
    <row r="33" spans="1:33" x14ac:dyDescent="0.25">
      <c r="A33" s="72"/>
      <c r="B33" s="72"/>
      <c r="C33" s="1"/>
      <c r="D33" s="1"/>
      <c r="E33" s="1"/>
      <c r="F33" s="72"/>
      <c r="G33" s="72"/>
      <c r="V33" s="75"/>
      <c r="W33" s="57"/>
      <c r="X33" s="75"/>
      <c r="Y33" s="75"/>
      <c r="Z33" s="75"/>
      <c r="AA33" s="80"/>
      <c r="AB33" s="81"/>
      <c r="AC33" s="51">
        <f t="shared" si="6"/>
        <v>-90</v>
      </c>
      <c r="AD33" s="52">
        <f t="shared" si="5"/>
        <v>0</v>
      </c>
      <c r="AE33" s="53">
        <v>-90</v>
      </c>
      <c r="AF33" s="51" t="str">
        <f t="shared" si="7"/>
        <v/>
      </c>
      <c r="AG33" s="52" t="str">
        <f>IF(AF33="","",COUNTIF($V$5:$V$951,"&gt;="&amp;$AH33)-COUNTIF($V$5:$V$951,"&gt;="&amp;$AH34))</f>
        <v/>
      </c>
    </row>
    <row r="34" spans="1:33" x14ac:dyDescent="0.25">
      <c r="A34" s="72"/>
      <c r="B34" s="72"/>
      <c r="C34" s="1"/>
      <c r="D34" s="1"/>
      <c r="E34" s="1"/>
      <c r="F34" s="72"/>
      <c r="G34" s="72"/>
      <c r="V34" s="75"/>
      <c r="W34" s="57"/>
      <c r="X34" s="75"/>
      <c r="Y34" s="75"/>
      <c r="Z34" s="75"/>
      <c r="AA34" s="80"/>
      <c r="AB34" s="81"/>
      <c r="AC34" s="51">
        <f t="shared" si="6"/>
        <v>-85</v>
      </c>
      <c r="AD34" s="52">
        <f t="shared" si="5"/>
        <v>0</v>
      </c>
      <c r="AE34" s="53">
        <v>-85</v>
      </c>
      <c r="AF34" s="51" t="str">
        <f t="shared" si="7"/>
        <v/>
      </c>
      <c r="AG34" s="52" t="str">
        <f>IF(AF34="","",COUNTIF($V$5:$V$951,"&gt;="&amp;$AH34)-COUNTIF($V$5:$V$951,"&gt;="&amp;$AH35))</f>
        <v/>
      </c>
    </row>
    <row r="35" spans="1:33" x14ac:dyDescent="0.25">
      <c r="C35" s="1"/>
      <c r="D35" s="1"/>
      <c r="E35" s="1"/>
      <c r="V35" s="75"/>
      <c r="W35" s="57"/>
      <c r="X35" s="75"/>
      <c r="Y35" s="75"/>
      <c r="Z35" s="75"/>
      <c r="AA35" s="80"/>
      <c r="AB35" s="81"/>
      <c r="AC35" s="51">
        <f t="shared" si="6"/>
        <v>-80</v>
      </c>
      <c r="AD35" s="52">
        <f t="shared" si="5"/>
        <v>0</v>
      </c>
      <c r="AE35" s="53">
        <v>-80</v>
      </c>
      <c r="AF35" s="51" t="str">
        <f t="shared" si="7"/>
        <v/>
      </c>
      <c r="AG35" s="52" t="str">
        <f>IF(AF35="","",COUNTIF($V$5:$V$951,"&gt;="&amp;$AH35)-COUNTIF($V$5:$V$951,"&gt;="&amp;$AH36))</f>
        <v/>
      </c>
    </row>
    <row r="36" spans="1:33" x14ac:dyDescent="0.25">
      <c r="C36" s="1"/>
      <c r="D36" s="1"/>
      <c r="E36" s="1"/>
      <c r="V36" s="75"/>
      <c r="W36" s="57"/>
      <c r="X36" s="75"/>
      <c r="Y36" s="75"/>
      <c r="Z36" s="75"/>
      <c r="AA36" s="80"/>
      <c r="AB36" s="81"/>
      <c r="AC36" s="51">
        <f t="shared" si="6"/>
        <v>-75</v>
      </c>
      <c r="AD36" s="52">
        <f t="shared" si="5"/>
        <v>0</v>
      </c>
      <c r="AE36" s="53">
        <v>-75</v>
      </c>
      <c r="AF36" s="51" t="str">
        <f t="shared" si="7"/>
        <v/>
      </c>
      <c r="AG36" s="52" t="str">
        <f t="shared" ref="AG36:AG71" si="8">IF(AF36="","",COUNTIF($V$5:$V$951,"&gt;="&amp;$AF36)-COUNTIF($V$5:$V$951,"&gt;="&amp;$AF37))</f>
        <v/>
      </c>
    </row>
    <row r="37" spans="1:33" x14ac:dyDescent="0.25">
      <c r="C37" s="1"/>
      <c r="D37" s="1"/>
      <c r="E37" s="1"/>
      <c r="V37" s="75"/>
      <c r="W37" s="57"/>
      <c r="X37" s="75"/>
      <c r="Y37" s="75"/>
      <c r="Z37" s="75"/>
      <c r="AA37" s="80"/>
      <c r="AB37" s="81"/>
      <c r="AC37" s="51">
        <f t="shared" si="6"/>
        <v>-70</v>
      </c>
      <c r="AD37" s="52">
        <f t="shared" si="5"/>
        <v>0</v>
      </c>
      <c r="AE37" s="53">
        <v>-70</v>
      </c>
      <c r="AF37" s="51" t="str">
        <f t="shared" si="7"/>
        <v/>
      </c>
      <c r="AG37" s="52" t="str">
        <f t="shared" si="8"/>
        <v/>
      </c>
    </row>
    <row r="38" spans="1:33" x14ac:dyDescent="0.25">
      <c r="C38" s="1"/>
      <c r="D38" s="1"/>
      <c r="E38" s="1"/>
      <c r="V38" s="75"/>
      <c r="W38" s="57"/>
      <c r="X38" s="75"/>
      <c r="Y38" s="75"/>
      <c r="Z38" s="75"/>
      <c r="AA38" s="80"/>
      <c r="AB38" s="81"/>
      <c r="AC38" s="51">
        <f t="shared" si="6"/>
        <v>-65</v>
      </c>
      <c r="AD38" s="52">
        <f t="shared" si="5"/>
        <v>0</v>
      </c>
      <c r="AE38" s="53">
        <v>-65</v>
      </c>
      <c r="AF38" s="51" t="str">
        <f t="shared" si="7"/>
        <v/>
      </c>
      <c r="AG38" s="52" t="str">
        <f t="shared" si="8"/>
        <v/>
      </c>
    </row>
    <row r="39" spans="1:33" x14ac:dyDescent="0.25">
      <c r="C39" s="1"/>
      <c r="D39" s="1"/>
      <c r="E39" s="1"/>
      <c r="V39" s="75"/>
      <c r="W39" s="57"/>
      <c r="X39" s="75"/>
      <c r="Y39" s="75"/>
      <c r="Z39" s="75"/>
      <c r="AA39" s="80"/>
      <c r="AB39" s="81"/>
      <c r="AC39" s="51">
        <f t="shared" si="6"/>
        <v>-60</v>
      </c>
      <c r="AD39" s="52">
        <f t="shared" si="5"/>
        <v>0</v>
      </c>
      <c r="AE39" s="53">
        <v>-60</v>
      </c>
      <c r="AF39" s="51" t="str">
        <f t="shared" si="7"/>
        <v/>
      </c>
      <c r="AG39" s="52" t="str">
        <f t="shared" si="8"/>
        <v/>
      </c>
    </row>
    <row r="40" spans="1:33" x14ac:dyDescent="0.25">
      <c r="C40" s="1"/>
      <c r="D40" s="1"/>
      <c r="E40" s="1"/>
      <c r="V40" s="75"/>
      <c r="W40" s="57"/>
      <c r="X40" s="75"/>
      <c r="Y40" s="75"/>
      <c r="Z40" s="75"/>
      <c r="AA40" s="80"/>
      <c r="AB40" s="81"/>
      <c r="AC40" s="51">
        <f t="shared" si="6"/>
        <v>-55</v>
      </c>
      <c r="AD40" s="52">
        <f t="shared" si="5"/>
        <v>0</v>
      </c>
      <c r="AE40" s="53">
        <v>-55</v>
      </c>
      <c r="AF40" s="51" t="str">
        <f t="shared" si="7"/>
        <v/>
      </c>
      <c r="AG40" s="52" t="str">
        <f t="shared" si="8"/>
        <v/>
      </c>
    </row>
    <row r="41" spans="1:33" x14ac:dyDescent="0.25">
      <c r="C41" s="1"/>
      <c r="D41" s="1"/>
      <c r="E41" s="1"/>
      <c r="V41" s="75"/>
      <c r="W41" s="57"/>
      <c r="X41" s="75"/>
      <c r="Y41" s="75"/>
      <c r="Z41" s="75"/>
      <c r="AA41" s="80"/>
      <c r="AB41" s="81"/>
      <c r="AC41" s="51">
        <f t="shared" si="6"/>
        <v>-50</v>
      </c>
      <c r="AD41" s="52">
        <f t="shared" si="5"/>
        <v>0</v>
      </c>
      <c r="AE41" s="53">
        <v>-50</v>
      </c>
      <c r="AF41" s="51" t="str">
        <f t="shared" si="7"/>
        <v/>
      </c>
      <c r="AG41" s="52" t="str">
        <f t="shared" si="8"/>
        <v/>
      </c>
    </row>
    <row r="42" spans="1:33" x14ac:dyDescent="0.25">
      <c r="C42" s="1"/>
      <c r="D42" s="1"/>
      <c r="E42" s="1"/>
      <c r="V42" s="75"/>
      <c r="W42" s="57"/>
      <c r="X42" s="75"/>
      <c r="Y42" s="75"/>
      <c r="Z42" s="75"/>
      <c r="AA42" s="80"/>
      <c r="AB42" s="81"/>
      <c r="AC42" s="51">
        <f t="shared" si="6"/>
        <v>-45</v>
      </c>
      <c r="AD42" s="52">
        <f t="shared" si="5"/>
        <v>0</v>
      </c>
      <c r="AE42" s="53">
        <v>-45</v>
      </c>
      <c r="AF42" s="51" t="str">
        <f t="shared" si="7"/>
        <v/>
      </c>
      <c r="AG42" s="52" t="str">
        <f t="shared" si="8"/>
        <v/>
      </c>
    </row>
    <row r="43" spans="1:33" x14ac:dyDescent="0.25">
      <c r="C43" s="1"/>
      <c r="D43" s="1"/>
      <c r="E43" s="1"/>
      <c r="V43" s="75"/>
      <c r="W43" s="57"/>
      <c r="X43" s="75"/>
      <c r="Y43" s="75"/>
      <c r="Z43" s="75"/>
      <c r="AA43" s="80"/>
      <c r="AB43" s="81"/>
      <c r="AC43" s="51">
        <f t="shared" si="6"/>
        <v>-40</v>
      </c>
      <c r="AD43" s="52">
        <f t="shared" si="5"/>
        <v>0</v>
      </c>
      <c r="AE43" s="53">
        <v>-40</v>
      </c>
      <c r="AF43" s="51" t="str">
        <f t="shared" si="7"/>
        <v/>
      </c>
      <c r="AG43" s="52" t="str">
        <f t="shared" si="8"/>
        <v/>
      </c>
    </row>
    <row r="44" spans="1:33" x14ac:dyDescent="0.25">
      <c r="C44" s="1"/>
      <c r="D44" s="1"/>
      <c r="E44" s="1"/>
      <c r="V44" s="75"/>
      <c r="W44" s="57"/>
      <c r="X44" s="75"/>
      <c r="Y44" s="75"/>
      <c r="Z44" s="75"/>
      <c r="AA44" s="80"/>
      <c r="AB44" s="81"/>
      <c r="AC44" s="51">
        <f t="shared" si="6"/>
        <v>-35</v>
      </c>
      <c r="AD44" s="52">
        <f t="shared" si="5"/>
        <v>0</v>
      </c>
      <c r="AE44" s="53">
        <v>-35</v>
      </c>
      <c r="AF44" s="51" t="str">
        <f t="shared" si="7"/>
        <v/>
      </c>
      <c r="AG44" s="52" t="str">
        <f t="shared" si="8"/>
        <v/>
      </c>
    </row>
    <row r="45" spans="1:33" x14ac:dyDescent="0.25">
      <c r="C45" s="1"/>
      <c r="D45" s="1"/>
      <c r="E45" s="1"/>
      <c r="V45" s="75"/>
      <c r="W45" s="57"/>
      <c r="X45" s="75"/>
      <c r="Y45" s="75"/>
      <c r="Z45" s="75"/>
      <c r="AA45" s="80"/>
      <c r="AB45" s="81"/>
      <c r="AC45" s="51">
        <f t="shared" si="6"/>
        <v>-30</v>
      </c>
      <c r="AD45" s="52">
        <f t="shared" si="5"/>
        <v>0</v>
      </c>
      <c r="AE45" s="53">
        <v>-30</v>
      </c>
      <c r="AF45" s="51" t="str">
        <f t="shared" si="7"/>
        <v/>
      </c>
      <c r="AG45" s="52" t="str">
        <f t="shared" si="8"/>
        <v/>
      </c>
    </row>
    <row r="46" spans="1:33" x14ac:dyDescent="0.25">
      <c r="C46" s="1"/>
      <c r="D46" s="1"/>
      <c r="E46" s="1"/>
      <c r="V46" s="75"/>
      <c r="W46" s="57"/>
      <c r="X46" s="75"/>
      <c r="Y46" s="75"/>
      <c r="Z46" s="75"/>
      <c r="AA46" s="80"/>
      <c r="AB46" s="81"/>
      <c r="AC46" s="51">
        <f t="shared" si="6"/>
        <v>-25</v>
      </c>
      <c r="AD46" s="52">
        <f t="shared" si="5"/>
        <v>0</v>
      </c>
      <c r="AE46" s="53">
        <v>-25</v>
      </c>
      <c r="AF46" s="51" t="str">
        <f t="shared" si="7"/>
        <v/>
      </c>
      <c r="AG46" s="52" t="str">
        <f t="shared" si="8"/>
        <v/>
      </c>
    </row>
    <row r="47" spans="1:33" x14ac:dyDescent="0.25">
      <c r="C47" s="1"/>
      <c r="D47" s="1"/>
      <c r="E47" s="1"/>
      <c r="V47" s="75"/>
      <c r="W47" s="57"/>
      <c r="X47" s="75"/>
      <c r="Y47" s="75"/>
      <c r="Z47" s="75"/>
      <c r="AA47" s="80"/>
      <c r="AB47" s="81"/>
      <c r="AC47" s="51">
        <f t="shared" si="6"/>
        <v>-20</v>
      </c>
      <c r="AD47" s="52">
        <f t="shared" si="5"/>
        <v>0</v>
      </c>
      <c r="AE47" s="53">
        <v>-20</v>
      </c>
      <c r="AF47" s="51" t="str">
        <f t="shared" si="7"/>
        <v/>
      </c>
      <c r="AG47" s="52" t="str">
        <f t="shared" si="8"/>
        <v/>
      </c>
    </row>
    <row r="48" spans="1:33" x14ac:dyDescent="0.25">
      <c r="C48" s="1"/>
      <c r="D48" s="1"/>
      <c r="E48" s="1"/>
      <c r="V48" s="75"/>
      <c r="W48" s="57"/>
      <c r="X48" s="75"/>
      <c r="Y48" s="75"/>
      <c r="Z48" s="75"/>
      <c r="AA48" s="80"/>
      <c r="AB48" s="81"/>
      <c r="AC48" s="51">
        <f t="shared" si="6"/>
        <v>-15</v>
      </c>
      <c r="AD48" s="52">
        <f t="shared" si="5"/>
        <v>0</v>
      </c>
      <c r="AE48" s="53">
        <v>-15</v>
      </c>
      <c r="AF48" s="51" t="str">
        <f t="shared" si="7"/>
        <v/>
      </c>
      <c r="AG48" s="52" t="str">
        <f t="shared" si="8"/>
        <v/>
      </c>
    </row>
    <row r="49" spans="3:33" x14ac:dyDescent="0.25">
      <c r="C49" s="1"/>
      <c r="D49" s="1"/>
      <c r="E49" s="1"/>
      <c r="V49" s="75"/>
      <c r="W49" s="57"/>
      <c r="X49" s="75"/>
      <c r="Y49" s="75"/>
      <c r="Z49" s="75"/>
      <c r="AA49" s="80"/>
      <c r="AB49" s="81"/>
      <c r="AC49" s="51">
        <f t="shared" si="6"/>
        <v>-10</v>
      </c>
      <c r="AD49" s="52">
        <f t="shared" si="5"/>
        <v>0</v>
      </c>
      <c r="AE49" s="53">
        <v>-10</v>
      </c>
      <c r="AF49" s="51" t="str">
        <f t="shared" si="7"/>
        <v/>
      </c>
      <c r="AG49" s="52" t="str">
        <f t="shared" si="8"/>
        <v/>
      </c>
    </row>
    <row r="50" spans="3:33" x14ac:dyDescent="0.25">
      <c r="C50" s="1"/>
      <c r="D50" s="1"/>
      <c r="E50" s="1"/>
      <c r="V50" s="75"/>
      <c r="W50" s="57"/>
      <c r="X50" s="75"/>
      <c r="Y50" s="75"/>
      <c r="Z50" s="75"/>
      <c r="AA50" s="80"/>
      <c r="AB50" s="81"/>
      <c r="AC50" s="51">
        <f t="shared" si="6"/>
        <v>-5</v>
      </c>
      <c r="AD50" s="52">
        <f t="shared" si="5"/>
        <v>0</v>
      </c>
      <c r="AE50" s="53">
        <v>-5</v>
      </c>
      <c r="AF50" s="51" t="str">
        <f t="shared" si="7"/>
        <v/>
      </c>
      <c r="AG50" s="52" t="str">
        <f t="shared" si="8"/>
        <v/>
      </c>
    </row>
    <row r="51" spans="3:33" x14ac:dyDescent="0.25">
      <c r="C51" s="1"/>
      <c r="D51" s="1"/>
      <c r="E51" s="1"/>
      <c r="V51" s="75"/>
      <c r="W51" s="57"/>
      <c r="X51" s="75"/>
      <c r="Y51" s="75"/>
      <c r="Z51" s="75"/>
      <c r="AA51" s="80"/>
      <c r="AB51" s="81"/>
      <c r="AC51" s="51">
        <f t="shared" si="6"/>
        <v>0</v>
      </c>
      <c r="AD51" s="52">
        <f>IF(AC51="","",COUNTIF($V$4:$V$950,"&gt;="&amp;$AE51)-COUNTIF($V$4:$V$950,"&gt;="&amp;$AE52))</f>
        <v>12</v>
      </c>
      <c r="AE51" s="53">
        <v>0</v>
      </c>
      <c r="AF51" s="51" t="str">
        <f t="shared" si="7"/>
        <v/>
      </c>
      <c r="AG51" s="52" t="str">
        <f t="shared" si="8"/>
        <v/>
      </c>
    </row>
    <row r="52" spans="3:33" x14ac:dyDescent="0.25">
      <c r="C52" s="1"/>
      <c r="D52" s="1"/>
      <c r="E52" s="1"/>
      <c r="V52" s="75"/>
      <c r="W52" s="57"/>
      <c r="X52" s="75"/>
      <c r="Y52" s="75"/>
      <c r="Z52" s="75"/>
      <c r="AA52" s="80"/>
      <c r="AB52" s="81"/>
      <c r="AC52" s="51">
        <f t="shared" si="6"/>
        <v>5</v>
      </c>
      <c r="AD52" s="52">
        <f t="shared" si="5"/>
        <v>1</v>
      </c>
      <c r="AE52" s="53">
        <v>5</v>
      </c>
      <c r="AF52" s="51" t="str">
        <f t="shared" si="7"/>
        <v/>
      </c>
      <c r="AG52" s="52" t="str">
        <f t="shared" si="8"/>
        <v/>
      </c>
    </row>
    <row r="53" spans="3:33" x14ac:dyDescent="0.25">
      <c r="C53" s="1"/>
      <c r="D53" s="1"/>
      <c r="E53" s="1"/>
      <c r="V53" s="75"/>
      <c r="W53" s="57"/>
      <c r="X53" s="75"/>
      <c r="Y53" s="75"/>
      <c r="Z53" s="75"/>
      <c r="AA53" s="80"/>
      <c r="AB53" s="81"/>
      <c r="AC53" s="51">
        <f t="shared" si="6"/>
        <v>10</v>
      </c>
      <c r="AD53" s="52">
        <f t="shared" si="5"/>
        <v>0</v>
      </c>
      <c r="AE53" s="53">
        <v>10</v>
      </c>
      <c r="AF53" s="51" t="str">
        <f t="shared" si="7"/>
        <v/>
      </c>
      <c r="AG53" s="52" t="str">
        <f t="shared" si="8"/>
        <v/>
      </c>
    </row>
    <row r="54" spans="3:33" x14ac:dyDescent="0.25">
      <c r="C54" s="1"/>
      <c r="D54" s="1"/>
      <c r="E54" s="1"/>
      <c r="V54" s="75"/>
      <c r="W54" s="57"/>
      <c r="X54" s="75"/>
      <c r="Y54" s="75"/>
      <c r="Z54" s="75"/>
      <c r="AA54" s="80"/>
      <c r="AB54" s="81"/>
      <c r="AC54" s="51" t="str">
        <f t="shared" si="6"/>
        <v/>
      </c>
      <c r="AD54" s="52" t="str">
        <f t="shared" si="5"/>
        <v/>
      </c>
      <c r="AE54" s="53">
        <v>15</v>
      </c>
      <c r="AF54" s="51">
        <f t="shared" si="7"/>
        <v>15</v>
      </c>
      <c r="AG54" s="52">
        <f t="shared" si="8"/>
        <v>0</v>
      </c>
    </row>
    <row r="55" spans="3:33" x14ac:dyDescent="0.25">
      <c r="C55" s="1"/>
      <c r="D55" s="1"/>
      <c r="E55" s="1"/>
      <c r="V55" s="75"/>
      <c r="W55" s="57"/>
      <c r="X55" s="75"/>
      <c r="Y55" s="75"/>
      <c r="Z55" s="75"/>
      <c r="AA55" s="80"/>
      <c r="AB55" s="81"/>
      <c r="AC55" s="51" t="str">
        <f t="shared" si="6"/>
        <v/>
      </c>
      <c r="AD55" s="52" t="str">
        <f t="shared" si="5"/>
        <v/>
      </c>
      <c r="AE55" s="53">
        <v>20</v>
      </c>
      <c r="AF55" s="51">
        <f t="shared" si="7"/>
        <v>20</v>
      </c>
      <c r="AG55" s="52">
        <f t="shared" si="8"/>
        <v>0</v>
      </c>
    </row>
    <row r="56" spans="3:33" x14ac:dyDescent="0.25">
      <c r="C56" s="1"/>
      <c r="D56" s="1"/>
      <c r="E56" s="1"/>
      <c r="V56" s="75"/>
      <c r="W56" s="57"/>
      <c r="X56" s="75"/>
      <c r="Y56" s="75"/>
      <c r="Z56" s="75"/>
      <c r="AA56" s="80"/>
      <c r="AB56" s="81"/>
      <c r="AC56" s="51" t="str">
        <f t="shared" si="6"/>
        <v/>
      </c>
      <c r="AD56" s="52" t="str">
        <f t="shared" si="5"/>
        <v/>
      </c>
      <c r="AE56" s="53">
        <v>25</v>
      </c>
      <c r="AF56" s="51">
        <f t="shared" si="7"/>
        <v>25</v>
      </c>
      <c r="AG56" s="52">
        <f t="shared" si="8"/>
        <v>0</v>
      </c>
    </row>
    <row r="57" spans="3:33" x14ac:dyDescent="0.25">
      <c r="C57" s="1"/>
      <c r="D57" s="1"/>
      <c r="E57" s="1"/>
      <c r="V57" s="75"/>
      <c r="W57" s="57"/>
      <c r="X57" s="75"/>
      <c r="Y57" s="75"/>
      <c r="Z57" s="75"/>
      <c r="AA57" s="80"/>
      <c r="AB57" s="81"/>
      <c r="AC57" s="51" t="str">
        <f t="shared" si="6"/>
        <v/>
      </c>
      <c r="AD57" s="52" t="str">
        <f t="shared" si="5"/>
        <v/>
      </c>
      <c r="AE57" s="53">
        <v>30</v>
      </c>
      <c r="AF57" s="51">
        <f t="shared" si="7"/>
        <v>30</v>
      </c>
      <c r="AG57" s="52">
        <f t="shared" si="8"/>
        <v>0</v>
      </c>
    </row>
    <row r="58" spans="3:33" x14ac:dyDescent="0.25">
      <c r="C58" s="1"/>
      <c r="D58" s="1"/>
      <c r="E58" s="1"/>
      <c r="V58" s="75"/>
      <c r="W58" s="57"/>
      <c r="X58" s="75"/>
      <c r="Y58" s="75"/>
      <c r="Z58" s="75"/>
      <c r="AA58" s="80"/>
      <c r="AB58" s="81"/>
      <c r="AC58" s="51" t="str">
        <f t="shared" si="6"/>
        <v/>
      </c>
      <c r="AD58" s="52" t="str">
        <f t="shared" si="5"/>
        <v/>
      </c>
      <c r="AE58" s="53">
        <v>35</v>
      </c>
      <c r="AF58" s="51">
        <f t="shared" si="7"/>
        <v>35</v>
      </c>
      <c r="AG58" s="52">
        <f t="shared" si="8"/>
        <v>0</v>
      </c>
    </row>
    <row r="59" spans="3:33" x14ac:dyDescent="0.25">
      <c r="C59" s="1"/>
      <c r="D59" s="1"/>
      <c r="E59" s="1"/>
      <c r="V59" s="75"/>
      <c r="W59" s="57"/>
      <c r="X59" s="75"/>
      <c r="Y59" s="75"/>
      <c r="Z59" s="75"/>
      <c r="AA59" s="80"/>
      <c r="AB59" s="81"/>
      <c r="AC59" s="51" t="str">
        <f t="shared" si="6"/>
        <v/>
      </c>
      <c r="AD59" s="52" t="str">
        <f t="shared" si="5"/>
        <v/>
      </c>
      <c r="AE59" s="53">
        <v>40</v>
      </c>
      <c r="AF59" s="51">
        <f t="shared" si="7"/>
        <v>40</v>
      </c>
      <c r="AG59" s="52">
        <f t="shared" si="8"/>
        <v>0</v>
      </c>
    </row>
    <row r="60" spans="3:33" x14ac:dyDescent="0.25">
      <c r="C60" s="1"/>
      <c r="D60" s="1"/>
      <c r="E60" s="1"/>
      <c r="V60" s="75"/>
      <c r="W60" s="57"/>
      <c r="X60" s="75"/>
      <c r="Y60" s="75"/>
      <c r="Z60" s="75"/>
      <c r="AA60" s="80"/>
      <c r="AB60" s="81"/>
      <c r="AC60" s="51" t="str">
        <f t="shared" si="6"/>
        <v/>
      </c>
      <c r="AD60" s="52" t="str">
        <f t="shared" si="5"/>
        <v/>
      </c>
      <c r="AE60" s="53">
        <v>45</v>
      </c>
      <c r="AF60" s="51">
        <f t="shared" si="7"/>
        <v>45</v>
      </c>
      <c r="AG60" s="52">
        <f t="shared" si="8"/>
        <v>0</v>
      </c>
    </row>
    <row r="61" spans="3:33" x14ac:dyDescent="0.25">
      <c r="C61" s="1"/>
      <c r="D61" s="1"/>
      <c r="E61" s="1"/>
      <c r="V61" s="75"/>
      <c r="W61" s="57"/>
      <c r="X61" s="75"/>
      <c r="Y61" s="75"/>
      <c r="Z61" s="75"/>
      <c r="AA61" s="80"/>
      <c r="AB61" s="81"/>
      <c r="AC61" s="51" t="str">
        <f t="shared" si="6"/>
        <v/>
      </c>
      <c r="AD61" s="52" t="str">
        <f t="shared" si="5"/>
        <v/>
      </c>
      <c r="AE61" s="53">
        <v>50</v>
      </c>
      <c r="AF61" s="51">
        <f t="shared" si="7"/>
        <v>50</v>
      </c>
      <c r="AG61" s="52">
        <f t="shared" si="8"/>
        <v>0</v>
      </c>
    </row>
    <row r="62" spans="3:33" x14ac:dyDescent="0.25">
      <c r="C62" s="1"/>
      <c r="D62" s="1"/>
      <c r="E62" s="1"/>
      <c r="V62" s="75"/>
      <c r="W62" s="57"/>
      <c r="X62" s="75"/>
      <c r="Y62" s="75"/>
      <c r="Z62" s="75"/>
      <c r="AA62" s="80"/>
      <c r="AB62" s="81"/>
      <c r="AC62" s="51" t="str">
        <f t="shared" si="6"/>
        <v/>
      </c>
      <c r="AD62" s="52" t="str">
        <f t="shared" si="5"/>
        <v/>
      </c>
      <c r="AE62" s="53">
        <v>55</v>
      </c>
      <c r="AF62" s="51">
        <f t="shared" si="7"/>
        <v>55</v>
      </c>
      <c r="AG62" s="52">
        <f t="shared" si="8"/>
        <v>0</v>
      </c>
    </row>
    <row r="63" spans="3:33" x14ac:dyDescent="0.25">
      <c r="C63" s="1"/>
      <c r="D63" s="1"/>
      <c r="E63" s="1"/>
      <c r="V63" s="75"/>
      <c r="W63" s="57"/>
      <c r="X63" s="75"/>
      <c r="Y63" s="75"/>
      <c r="Z63" s="75"/>
      <c r="AA63" s="80"/>
      <c r="AB63" s="81"/>
      <c r="AC63" s="51" t="str">
        <f t="shared" si="6"/>
        <v/>
      </c>
      <c r="AD63" s="52" t="str">
        <f t="shared" si="5"/>
        <v/>
      </c>
      <c r="AE63" s="53">
        <v>60</v>
      </c>
      <c r="AF63" s="51">
        <f t="shared" si="7"/>
        <v>60</v>
      </c>
      <c r="AG63" s="52">
        <f t="shared" si="8"/>
        <v>0</v>
      </c>
    </row>
    <row r="64" spans="3:33" x14ac:dyDescent="0.25">
      <c r="C64" s="1"/>
      <c r="D64" s="1"/>
      <c r="E64" s="1"/>
      <c r="V64" s="75"/>
      <c r="X64" s="75"/>
      <c r="Y64" s="75"/>
      <c r="Z64" s="75"/>
      <c r="AB64" s="81"/>
      <c r="AC64" s="51" t="str">
        <f t="shared" si="6"/>
        <v/>
      </c>
      <c r="AD64" s="52" t="str">
        <f t="shared" si="5"/>
        <v/>
      </c>
      <c r="AE64" s="53">
        <v>65</v>
      </c>
      <c r="AF64" s="51">
        <f t="shared" si="7"/>
        <v>65</v>
      </c>
      <c r="AG64" s="52">
        <f t="shared" si="8"/>
        <v>0</v>
      </c>
    </row>
    <row r="65" spans="3:33" x14ac:dyDescent="0.25">
      <c r="C65" s="1"/>
      <c r="D65" s="1"/>
      <c r="E65" s="1"/>
      <c r="V65" s="75"/>
      <c r="X65" s="75"/>
      <c r="Y65" s="75"/>
      <c r="Z65" s="75"/>
      <c r="AB65" s="81"/>
      <c r="AC65" s="51" t="str">
        <f t="shared" si="6"/>
        <v/>
      </c>
      <c r="AD65" s="52" t="str">
        <f t="shared" si="5"/>
        <v/>
      </c>
      <c r="AE65" s="53">
        <v>70</v>
      </c>
      <c r="AF65" s="51">
        <f t="shared" si="7"/>
        <v>70</v>
      </c>
      <c r="AG65" s="52">
        <f t="shared" si="8"/>
        <v>0</v>
      </c>
    </row>
    <row r="66" spans="3:33" x14ac:dyDescent="0.25">
      <c r="C66" s="1"/>
      <c r="D66" s="1"/>
      <c r="E66" s="1"/>
      <c r="V66" s="75"/>
      <c r="X66" s="75"/>
      <c r="Y66" s="75"/>
      <c r="Z66" s="75"/>
      <c r="AB66" s="81"/>
      <c r="AC66" s="51" t="str">
        <f t="shared" si="6"/>
        <v/>
      </c>
      <c r="AD66" s="52" t="str">
        <f t="shared" si="5"/>
        <v/>
      </c>
      <c r="AE66" s="53">
        <v>75</v>
      </c>
      <c r="AF66" s="51">
        <f t="shared" si="7"/>
        <v>75</v>
      </c>
      <c r="AG66" s="52">
        <f t="shared" si="8"/>
        <v>0</v>
      </c>
    </row>
    <row r="67" spans="3:33" x14ac:dyDescent="0.25">
      <c r="C67" s="1"/>
      <c r="D67" s="1"/>
      <c r="E67" s="1"/>
      <c r="V67" s="75"/>
      <c r="X67" s="75"/>
      <c r="Y67" s="75"/>
      <c r="Z67" s="75"/>
      <c r="AB67" s="81"/>
      <c r="AC67" s="51" t="str">
        <f t="shared" si="6"/>
        <v/>
      </c>
      <c r="AD67" s="52" t="str">
        <f t="shared" si="5"/>
        <v/>
      </c>
      <c r="AE67" s="53">
        <v>80</v>
      </c>
      <c r="AF67" s="51">
        <f t="shared" si="7"/>
        <v>80</v>
      </c>
      <c r="AG67" s="52">
        <f t="shared" si="8"/>
        <v>0</v>
      </c>
    </row>
    <row r="68" spans="3:33" x14ac:dyDescent="0.25">
      <c r="C68" s="1"/>
      <c r="D68" s="1"/>
      <c r="E68" s="1"/>
      <c r="V68" s="75"/>
      <c r="X68" s="75"/>
      <c r="Y68" s="75"/>
      <c r="Z68" s="75"/>
      <c r="AB68" s="81"/>
      <c r="AC68" s="51" t="str">
        <f t="shared" si="6"/>
        <v/>
      </c>
      <c r="AD68" s="52" t="str">
        <f t="shared" si="5"/>
        <v/>
      </c>
      <c r="AE68" s="53">
        <v>85</v>
      </c>
      <c r="AF68" s="51">
        <f t="shared" si="7"/>
        <v>85</v>
      </c>
      <c r="AG68" s="52">
        <f t="shared" si="8"/>
        <v>0</v>
      </c>
    </row>
    <row r="69" spans="3:33" x14ac:dyDescent="0.25">
      <c r="C69" s="1"/>
      <c r="D69" s="1"/>
      <c r="E69" s="1"/>
      <c r="V69" s="75"/>
      <c r="X69" s="75"/>
      <c r="Y69" s="75"/>
      <c r="Z69" s="75"/>
      <c r="AB69" s="81"/>
      <c r="AC69" s="51" t="str">
        <f t="shared" si="6"/>
        <v/>
      </c>
      <c r="AD69" s="52" t="str">
        <f t="shared" si="5"/>
        <v/>
      </c>
      <c r="AE69" s="53">
        <v>90</v>
      </c>
      <c r="AF69" s="51">
        <f t="shared" si="7"/>
        <v>90</v>
      </c>
      <c r="AG69" s="52">
        <f t="shared" si="8"/>
        <v>0</v>
      </c>
    </row>
    <row r="70" spans="3:33" x14ac:dyDescent="0.25">
      <c r="C70" s="1"/>
      <c r="D70" s="1"/>
      <c r="E70" s="1"/>
      <c r="V70" s="75"/>
      <c r="X70" s="75"/>
      <c r="Y70" s="75"/>
      <c r="Z70" s="75"/>
      <c r="AB70" s="81"/>
      <c r="AC70" s="51" t="str">
        <f t="shared" si="6"/>
        <v/>
      </c>
      <c r="AD70" s="52" t="str">
        <f t="shared" si="5"/>
        <v/>
      </c>
      <c r="AE70" s="53">
        <v>95</v>
      </c>
      <c r="AF70" s="51">
        <f t="shared" si="7"/>
        <v>95</v>
      </c>
      <c r="AG70" s="52">
        <f t="shared" si="8"/>
        <v>0</v>
      </c>
    </row>
    <row r="71" spans="3:33" x14ac:dyDescent="0.25">
      <c r="C71" s="1"/>
      <c r="D71" s="1"/>
      <c r="E71" s="1"/>
      <c r="V71" s="75"/>
      <c r="X71" s="75"/>
      <c r="Y71" s="75"/>
      <c r="Z71" s="75"/>
      <c r="AB71" s="81"/>
      <c r="AC71" s="51" t="str">
        <f t="shared" si="6"/>
        <v/>
      </c>
      <c r="AD71" s="52" t="str">
        <f t="shared" si="5"/>
        <v/>
      </c>
      <c r="AE71" s="53">
        <v>100</v>
      </c>
      <c r="AF71" s="51">
        <f t="shared" si="7"/>
        <v>100</v>
      </c>
      <c r="AG71" s="52">
        <f t="shared" si="8"/>
        <v>0</v>
      </c>
    </row>
    <row r="72" spans="3:33" x14ac:dyDescent="0.25">
      <c r="C72" s="1"/>
      <c r="D72" s="1"/>
      <c r="E72" s="1"/>
      <c r="V72" s="75"/>
      <c r="X72" s="75"/>
      <c r="Y72" s="75"/>
      <c r="Z72" s="75"/>
    </row>
    <row r="73" spans="3:33" x14ac:dyDescent="0.25">
      <c r="C73" s="1"/>
      <c r="D73" s="1"/>
      <c r="E73" s="1"/>
      <c r="V73" s="75"/>
      <c r="X73" s="75"/>
      <c r="Y73" s="75"/>
      <c r="Z73" s="75"/>
    </row>
    <row r="74" spans="3:33" x14ac:dyDescent="0.25">
      <c r="C74" s="1"/>
      <c r="D74" s="1"/>
      <c r="E74" s="1"/>
      <c r="V74" s="75"/>
      <c r="X74" s="75"/>
      <c r="Y74" s="75"/>
      <c r="Z74" s="75"/>
    </row>
    <row r="75" spans="3:33" x14ac:dyDescent="0.25">
      <c r="C75" s="1"/>
      <c r="D75" s="1"/>
      <c r="E75" s="1"/>
      <c r="V75" s="75"/>
      <c r="X75" s="75"/>
      <c r="Y75" s="75"/>
      <c r="Z75" s="75"/>
    </row>
    <row r="76" spans="3:33" x14ac:dyDescent="0.25">
      <c r="C76" s="1"/>
      <c r="D76" s="1"/>
      <c r="E76" s="1"/>
      <c r="V76" s="75"/>
      <c r="X76" s="75"/>
      <c r="Y76" s="75"/>
      <c r="Z76" s="75"/>
    </row>
    <row r="77" spans="3:33" x14ac:dyDescent="0.25">
      <c r="C77" s="1"/>
      <c r="D77" s="1"/>
      <c r="E77" s="1"/>
      <c r="V77" s="75"/>
      <c r="X77" s="75"/>
      <c r="Y77" s="75"/>
      <c r="Z77" s="75"/>
    </row>
    <row r="78" spans="3:33" x14ac:dyDescent="0.25">
      <c r="C78" s="1"/>
      <c r="D78" s="1"/>
      <c r="E78" s="1"/>
      <c r="V78" s="75"/>
      <c r="X78" s="75"/>
      <c r="Y78" s="75"/>
      <c r="Z78" s="75"/>
    </row>
    <row r="79" spans="3:33" x14ac:dyDescent="0.25">
      <c r="C79" s="1"/>
      <c r="D79" s="1"/>
      <c r="E79" s="1"/>
      <c r="V79" s="75"/>
      <c r="X79" s="75"/>
      <c r="Y79" s="75"/>
      <c r="Z79" s="75"/>
    </row>
    <row r="80" spans="3:33" x14ac:dyDescent="0.25">
      <c r="C80" s="1"/>
      <c r="D80" s="1"/>
      <c r="E80" s="1"/>
      <c r="V80" s="75"/>
      <c r="X80" s="75"/>
      <c r="Y80" s="75"/>
      <c r="Z80" s="75"/>
    </row>
    <row r="81" spans="3:26" x14ac:dyDescent="0.25">
      <c r="C81" s="1"/>
      <c r="D81" s="1"/>
      <c r="E81" s="1"/>
      <c r="V81" s="75"/>
      <c r="X81" s="75"/>
      <c r="Y81" s="75"/>
      <c r="Z81" s="75"/>
    </row>
    <row r="82" spans="3:26" x14ac:dyDescent="0.25">
      <c r="C82" s="1"/>
      <c r="D82" s="1"/>
      <c r="E82" s="1"/>
      <c r="V82" s="75"/>
      <c r="X82" s="75"/>
      <c r="Y82" s="75"/>
      <c r="Z82" s="75"/>
    </row>
    <row r="83" spans="3:26" x14ac:dyDescent="0.25">
      <c r="C83" s="1"/>
      <c r="D83" s="1"/>
      <c r="E83" s="1"/>
      <c r="V83" s="75"/>
      <c r="X83" s="75"/>
      <c r="Y83" s="75"/>
      <c r="Z83" s="75"/>
    </row>
    <row r="84" spans="3:26" x14ac:dyDescent="0.25">
      <c r="C84" s="1"/>
      <c r="D84" s="1"/>
      <c r="E84" s="1"/>
      <c r="V84" s="75"/>
      <c r="X84" s="75"/>
      <c r="Y84" s="75"/>
      <c r="Z84" s="75"/>
    </row>
    <row r="85" spans="3:26" x14ac:dyDescent="0.25">
      <c r="C85" s="1"/>
      <c r="D85" s="1"/>
      <c r="E85" s="1"/>
      <c r="V85" s="75"/>
      <c r="X85" s="75"/>
      <c r="Y85" s="75"/>
      <c r="Z85" s="75"/>
    </row>
    <row r="86" spans="3:26" x14ac:dyDescent="0.25">
      <c r="C86" s="1"/>
      <c r="D86" s="1"/>
      <c r="E86" s="1"/>
      <c r="V86" s="75"/>
      <c r="X86" s="75"/>
      <c r="Y86" s="75"/>
      <c r="Z86" s="75"/>
    </row>
    <row r="87" spans="3:26" x14ac:dyDescent="0.25">
      <c r="C87" s="1"/>
      <c r="D87" s="1"/>
      <c r="E87" s="1"/>
      <c r="V87" s="75"/>
      <c r="X87" s="75"/>
      <c r="Y87" s="75"/>
      <c r="Z87" s="75"/>
    </row>
    <row r="88" spans="3:26" x14ac:dyDescent="0.25">
      <c r="V88" s="75"/>
      <c r="X88" s="75"/>
      <c r="Y88" s="75"/>
      <c r="Z88" s="75"/>
    </row>
    <row r="89" spans="3:26" x14ac:dyDescent="0.25">
      <c r="V89" s="75"/>
      <c r="X89" s="75"/>
      <c r="Y89" s="75"/>
      <c r="Z89" s="75"/>
    </row>
    <row r="90" spans="3:26" x14ac:dyDescent="0.25">
      <c r="V90" s="75"/>
      <c r="X90" s="75"/>
      <c r="Y90" s="75"/>
      <c r="Z90" s="75"/>
    </row>
    <row r="91" spans="3:26" x14ac:dyDescent="0.25">
      <c r="V91" s="75"/>
      <c r="X91" s="75"/>
      <c r="Y91" s="75"/>
      <c r="Z91" s="75"/>
    </row>
    <row r="92" spans="3:26" x14ac:dyDescent="0.25">
      <c r="V92" s="75"/>
      <c r="X92" s="75"/>
      <c r="Y92" s="75"/>
      <c r="Z92" s="75"/>
    </row>
    <row r="93" spans="3:26" x14ac:dyDescent="0.25">
      <c r="V93" s="75"/>
      <c r="X93" s="75"/>
      <c r="Y93" s="75"/>
      <c r="Z93" s="75"/>
    </row>
    <row r="94" spans="3:26" x14ac:dyDescent="0.25">
      <c r="V94" s="75"/>
      <c r="X94" s="75"/>
      <c r="Y94" s="75"/>
      <c r="Z94" s="75"/>
    </row>
    <row r="95" spans="3:26" x14ac:dyDescent="0.25">
      <c r="V95" s="75"/>
      <c r="X95" s="75"/>
      <c r="Y95" s="75"/>
      <c r="Z95" s="75"/>
    </row>
    <row r="96" spans="3:26" x14ac:dyDescent="0.25">
      <c r="V96" s="75"/>
      <c r="X96" s="75"/>
      <c r="Y96" s="75"/>
      <c r="Z96" s="75"/>
    </row>
    <row r="97" spans="22:26" x14ac:dyDescent="0.25">
      <c r="V97" s="75"/>
      <c r="X97" s="75"/>
      <c r="Y97" s="75"/>
      <c r="Z97" s="75"/>
    </row>
    <row r="98" spans="22:26" x14ac:dyDescent="0.25">
      <c r="V98" s="75"/>
      <c r="X98" s="75"/>
      <c r="Y98" s="75"/>
      <c r="Z98" s="75"/>
    </row>
    <row r="99" spans="22:26" x14ac:dyDescent="0.25">
      <c r="V99" s="75"/>
      <c r="X99" s="75"/>
      <c r="Y99" s="75"/>
      <c r="Z99" s="75"/>
    </row>
    <row r="100" spans="22:26" x14ac:dyDescent="0.25">
      <c r="V100" s="75"/>
      <c r="X100" s="75"/>
      <c r="Y100" s="75"/>
      <c r="Z100" s="75"/>
    </row>
    <row r="101" spans="22:26" x14ac:dyDescent="0.25">
      <c r="V101" s="75"/>
      <c r="X101" s="75"/>
      <c r="Y101" s="75"/>
      <c r="Z101" s="75"/>
    </row>
    <row r="102" spans="22:26" x14ac:dyDescent="0.25">
      <c r="V102" s="75"/>
      <c r="X102" s="75"/>
      <c r="Y102" s="75"/>
      <c r="Z102" s="75"/>
    </row>
    <row r="103" spans="22:26" x14ac:dyDescent="0.25">
      <c r="V103" s="75"/>
      <c r="X103" s="75"/>
      <c r="Y103" s="75"/>
      <c r="Z103" s="75"/>
    </row>
    <row r="104" spans="22:26" x14ac:dyDescent="0.25">
      <c r="V104" s="75"/>
      <c r="X104" s="75"/>
      <c r="Y104" s="75"/>
      <c r="Z104" s="75"/>
    </row>
    <row r="105" spans="22:26" x14ac:dyDescent="0.25">
      <c r="V105" s="75"/>
      <c r="X105" s="75"/>
      <c r="Y105" s="75"/>
      <c r="Z105" s="75"/>
    </row>
    <row r="106" spans="22:26" x14ac:dyDescent="0.25">
      <c r="V106" s="75"/>
      <c r="X106" s="75"/>
      <c r="Y106" s="75"/>
      <c r="Z106" s="75"/>
    </row>
    <row r="107" spans="22:26" x14ac:dyDescent="0.25">
      <c r="V107" s="75"/>
      <c r="X107" s="75"/>
      <c r="Y107" s="75"/>
      <c r="Z107" s="75"/>
    </row>
    <row r="108" spans="22:26" x14ac:dyDescent="0.25">
      <c r="V108" s="75"/>
      <c r="X108" s="75"/>
      <c r="Y108" s="75"/>
      <c r="Z108" s="75"/>
    </row>
    <row r="109" spans="22:26" x14ac:dyDescent="0.25">
      <c r="V109" s="75"/>
      <c r="X109" s="75"/>
      <c r="Y109" s="75"/>
      <c r="Z109" s="75"/>
    </row>
    <row r="110" spans="22:26" x14ac:dyDescent="0.25">
      <c r="V110" s="75"/>
      <c r="X110" s="75"/>
      <c r="Y110" s="75"/>
      <c r="Z110" s="75"/>
    </row>
    <row r="111" spans="22:26" x14ac:dyDescent="0.25">
      <c r="V111" s="75"/>
      <c r="X111" s="75"/>
      <c r="Y111" s="75"/>
      <c r="Z111" s="75"/>
    </row>
    <row r="112" spans="22:26" x14ac:dyDescent="0.25">
      <c r="V112" s="75"/>
      <c r="X112" s="75"/>
      <c r="Y112" s="75"/>
      <c r="Z112" s="75"/>
    </row>
    <row r="113" spans="22:26" x14ac:dyDescent="0.25">
      <c r="V113" s="75"/>
      <c r="X113" s="75"/>
      <c r="Y113" s="75"/>
      <c r="Z113" s="75"/>
    </row>
    <row r="114" spans="22:26" x14ac:dyDescent="0.25">
      <c r="V114" s="75"/>
      <c r="X114" s="75"/>
      <c r="Y114" s="75"/>
      <c r="Z114" s="75"/>
    </row>
    <row r="115" spans="22:26" x14ac:dyDescent="0.25">
      <c r="V115" s="75"/>
      <c r="X115" s="75"/>
      <c r="Y115" s="75"/>
      <c r="Z115" s="75"/>
    </row>
    <row r="116" spans="22:26" x14ac:dyDescent="0.25">
      <c r="V116" s="75"/>
      <c r="X116" s="75"/>
      <c r="Y116" s="75"/>
      <c r="Z116" s="75"/>
    </row>
    <row r="117" spans="22:26" x14ac:dyDescent="0.25">
      <c r="V117" s="75"/>
      <c r="X117" s="75"/>
      <c r="Y117" s="75"/>
      <c r="Z117" s="75"/>
    </row>
    <row r="118" spans="22:26" x14ac:dyDescent="0.25">
      <c r="V118" s="75"/>
      <c r="X118" s="75"/>
      <c r="Y118" s="75"/>
      <c r="Z118" s="75"/>
    </row>
    <row r="119" spans="22:26" x14ac:dyDescent="0.25">
      <c r="V119" s="75"/>
      <c r="X119" s="75"/>
      <c r="Y119" s="75"/>
      <c r="Z119" s="75"/>
    </row>
    <row r="120" spans="22:26" x14ac:dyDescent="0.25">
      <c r="V120" s="75"/>
      <c r="X120" s="75"/>
      <c r="Y120" s="75"/>
      <c r="Z120" s="75"/>
    </row>
    <row r="121" spans="22:26" x14ac:dyDescent="0.25">
      <c r="V121" s="75"/>
      <c r="X121" s="75"/>
      <c r="Y121" s="75"/>
      <c r="Z121" s="75"/>
    </row>
    <row r="122" spans="22:26" x14ac:dyDescent="0.25">
      <c r="V122" s="75"/>
      <c r="X122" s="75"/>
      <c r="Y122" s="75"/>
      <c r="Z122" s="75"/>
    </row>
    <row r="123" spans="22:26" x14ac:dyDescent="0.25">
      <c r="V123" s="75"/>
      <c r="X123" s="75"/>
      <c r="Y123" s="75"/>
      <c r="Z123" s="75"/>
    </row>
    <row r="124" spans="22:26" x14ac:dyDescent="0.25">
      <c r="V124" s="75"/>
      <c r="X124" s="75"/>
      <c r="Y124" s="75"/>
      <c r="Z124" s="75"/>
    </row>
    <row r="125" spans="22:26" x14ac:dyDescent="0.25">
      <c r="V125" s="75"/>
      <c r="X125" s="75"/>
      <c r="Y125" s="75"/>
      <c r="Z125" s="75"/>
    </row>
    <row r="126" spans="22:26" x14ac:dyDescent="0.25">
      <c r="V126" s="75"/>
      <c r="X126" s="75"/>
      <c r="Y126" s="75"/>
      <c r="Z126" s="75"/>
    </row>
    <row r="127" spans="22:26" x14ac:dyDescent="0.25">
      <c r="V127" s="75"/>
      <c r="X127" s="75"/>
      <c r="Y127" s="75"/>
      <c r="Z127" s="75"/>
    </row>
    <row r="128" spans="22:26" x14ac:dyDescent="0.25">
      <c r="V128" s="75"/>
      <c r="X128" s="75"/>
      <c r="Y128" s="75"/>
      <c r="Z128" s="75"/>
    </row>
    <row r="129" spans="22:26" x14ac:dyDescent="0.25">
      <c r="V129" s="75"/>
      <c r="X129" s="75"/>
      <c r="Y129" s="75"/>
      <c r="Z129" s="75"/>
    </row>
    <row r="130" spans="22:26" x14ac:dyDescent="0.25">
      <c r="V130" s="75"/>
      <c r="X130" s="75"/>
      <c r="Y130" s="75"/>
      <c r="Z130" s="75"/>
    </row>
    <row r="131" spans="22:26" x14ac:dyDescent="0.25">
      <c r="V131" s="75"/>
      <c r="X131" s="75"/>
      <c r="Y131" s="75"/>
      <c r="Z131" s="75"/>
    </row>
    <row r="132" spans="22:26" x14ac:dyDescent="0.25">
      <c r="V132" s="75"/>
      <c r="X132" s="75"/>
      <c r="Y132" s="75"/>
      <c r="Z132" s="75"/>
    </row>
    <row r="133" spans="22:26" x14ac:dyDescent="0.25">
      <c r="V133" s="75"/>
      <c r="X133" s="75"/>
      <c r="Y133" s="75"/>
      <c r="Z133" s="75"/>
    </row>
    <row r="134" spans="22:26" x14ac:dyDescent="0.25">
      <c r="V134" s="75"/>
      <c r="X134" s="75"/>
      <c r="Y134" s="75"/>
      <c r="Z134" s="75"/>
    </row>
    <row r="135" spans="22:26" x14ac:dyDescent="0.25">
      <c r="V135" s="75"/>
      <c r="X135" s="75"/>
      <c r="Y135" s="75"/>
      <c r="Z135" s="75"/>
    </row>
    <row r="136" spans="22:26" x14ac:dyDescent="0.25">
      <c r="V136" s="75"/>
      <c r="X136" s="75"/>
      <c r="Y136" s="75"/>
      <c r="Z136" s="75"/>
    </row>
    <row r="137" spans="22:26" x14ac:dyDescent="0.25">
      <c r="V137" s="75"/>
      <c r="X137" s="75"/>
      <c r="Y137" s="75"/>
      <c r="Z137" s="75"/>
    </row>
    <row r="138" spans="22:26" x14ac:dyDescent="0.25">
      <c r="V138" s="75"/>
      <c r="X138" s="75"/>
      <c r="Y138" s="75"/>
      <c r="Z138" s="75"/>
    </row>
    <row r="139" spans="22:26" x14ac:dyDescent="0.25">
      <c r="V139" s="75"/>
      <c r="X139" s="75"/>
      <c r="Y139" s="75"/>
      <c r="Z139" s="75"/>
    </row>
    <row r="140" spans="22:26" x14ac:dyDescent="0.25">
      <c r="V140" s="75"/>
      <c r="X140" s="75"/>
      <c r="Y140" s="75"/>
      <c r="Z140" s="75"/>
    </row>
    <row r="141" spans="22:26" x14ac:dyDescent="0.25">
      <c r="V141" s="75"/>
      <c r="X141" s="75"/>
      <c r="Y141" s="75"/>
      <c r="Z141" s="75"/>
    </row>
    <row r="142" spans="22:26" x14ac:dyDescent="0.25">
      <c r="V142" s="75"/>
      <c r="X142" s="75"/>
      <c r="Y142" s="75"/>
      <c r="Z142" s="75"/>
    </row>
    <row r="143" spans="22:26" x14ac:dyDescent="0.25">
      <c r="V143" s="75"/>
      <c r="X143" s="75"/>
      <c r="Y143" s="75"/>
      <c r="Z143" s="75"/>
    </row>
    <row r="144" spans="22:26" x14ac:dyDescent="0.25">
      <c r="V144" s="75"/>
      <c r="X144" s="75"/>
      <c r="Y144" s="75"/>
      <c r="Z144" s="75"/>
    </row>
    <row r="145" spans="22:26" x14ac:dyDescent="0.25">
      <c r="V145" s="75"/>
      <c r="X145" s="75"/>
      <c r="Y145" s="75"/>
      <c r="Z145" s="75"/>
    </row>
    <row r="146" spans="22:26" x14ac:dyDescent="0.25">
      <c r="V146" s="75"/>
      <c r="X146" s="75"/>
      <c r="Y146" s="75"/>
      <c r="Z146" s="75"/>
    </row>
    <row r="147" spans="22:26" x14ac:dyDescent="0.25">
      <c r="V147" s="75"/>
      <c r="X147" s="75"/>
      <c r="Y147" s="75"/>
      <c r="Z147" s="75"/>
    </row>
    <row r="148" spans="22:26" x14ac:dyDescent="0.25">
      <c r="V148" s="75"/>
      <c r="X148" s="75"/>
      <c r="Y148" s="75"/>
      <c r="Z148" s="75"/>
    </row>
    <row r="149" spans="22:26" x14ac:dyDescent="0.25">
      <c r="V149" s="75"/>
      <c r="X149" s="75"/>
      <c r="Y149" s="75"/>
      <c r="Z149" s="75"/>
    </row>
    <row r="150" spans="22:26" x14ac:dyDescent="0.25">
      <c r="V150" s="75"/>
      <c r="X150" s="75"/>
      <c r="Y150" s="75"/>
      <c r="Z150" s="75"/>
    </row>
    <row r="151" spans="22:26" x14ac:dyDescent="0.25">
      <c r="V151" s="75"/>
      <c r="X151" s="75"/>
      <c r="Y151" s="75"/>
      <c r="Z151" s="75"/>
    </row>
    <row r="152" spans="22:26" x14ac:dyDescent="0.25">
      <c r="V152" s="75"/>
      <c r="X152" s="75"/>
      <c r="Y152" s="75"/>
      <c r="Z152" s="75"/>
    </row>
    <row r="153" spans="22:26" x14ac:dyDescent="0.25">
      <c r="V153" s="75"/>
      <c r="X153" s="75"/>
      <c r="Y153" s="75"/>
      <c r="Z153" s="75"/>
    </row>
    <row r="154" spans="22:26" x14ac:dyDescent="0.25">
      <c r="V154" s="75"/>
      <c r="X154" s="75"/>
      <c r="Y154" s="75"/>
      <c r="Z154" s="75"/>
    </row>
    <row r="155" spans="22:26" x14ac:dyDescent="0.25">
      <c r="V155" s="75"/>
      <c r="X155" s="75"/>
      <c r="Y155" s="75"/>
      <c r="Z155" s="75"/>
    </row>
    <row r="156" spans="22:26" x14ac:dyDescent="0.25">
      <c r="V156" s="75"/>
      <c r="X156" s="75"/>
      <c r="Y156" s="75"/>
      <c r="Z156" s="75"/>
    </row>
    <row r="157" spans="22:26" x14ac:dyDescent="0.25">
      <c r="V157" s="75"/>
      <c r="X157" s="75"/>
      <c r="Y157" s="75"/>
      <c r="Z157" s="75"/>
    </row>
    <row r="158" spans="22:26" x14ac:dyDescent="0.25">
      <c r="V158" s="75"/>
      <c r="X158" s="75"/>
      <c r="Y158" s="75"/>
      <c r="Z158" s="75"/>
    </row>
    <row r="159" spans="22:26" x14ac:dyDescent="0.25">
      <c r="V159" s="75"/>
      <c r="X159" s="75"/>
      <c r="Y159" s="75"/>
      <c r="Z159" s="75"/>
    </row>
    <row r="160" spans="22:26" x14ac:dyDescent="0.25">
      <c r="V160" s="75"/>
      <c r="X160" s="75"/>
      <c r="Y160" s="75"/>
      <c r="Z160" s="75"/>
    </row>
    <row r="161" spans="22:26" x14ac:dyDescent="0.25">
      <c r="V161" s="75"/>
      <c r="X161" s="75"/>
      <c r="Y161" s="75"/>
      <c r="Z161" s="75"/>
    </row>
    <row r="162" spans="22:26" x14ac:dyDescent="0.25">
      <c r="V162" s="75"/>
      <c r="X162" s="75"/>
      <c r="Y162" s="75"/>
      <c r="Z162" s="75"/>
    </row>
    <row r="163" spans="22:26" x14ac:dyDescent="0.25">
      <c r="V163" s="75"/>
      <c r="X163" s="75"/>
      <c r="Y163" s="75"/>
      <c r="Z163" s="75"/>
    </row>
    <row r="164" spans="22:26" x14ac:dyDescent="0.25">
      <c r="V164" s="75"/>
      <c r="X164" s="75"/>
      <c r="Y164" s="75"/>
      <c r="Z164" s="75"/>
    </row>
    <row r="165" spans="22:26" x14ac:dyDescent="0.25">
      <c r="V165" s="75"/>
      <c r="X165" s="75"/>
      <c r="Y165" s="75"/>
      <c r="Z165" s="75"/>
    </row>
    <row r="166" spans="22:26" x14ac:dyDescent="0.25">
      <c r="V166" s="75"/>
      <c r="X166" s="75"/>
      <c r="Y166" s="75"/>
      <c r="Z166" s="75"/>
    </row>
    <row r="167" spans="22:26" x14ac:dyDescent="0.25">
      <c r="V167" s="75"/>
      <c r="X167" s="75"/>
      <c r="Y167" s="75"/>
      <c r="Z167" s="75"/>
    </row>
    <row r="168" spans="22:26" x14ac:dyDescent="0.25">
      <c r="V168" s="75"/>
      <c r="X168" s="75"/>
      <c r="Y168" s="75"/>
      <c r="Z168" s="75"/>
    </row>
    <row r="169" spans="22:26" x14ac:dyDescent="0.25">
      <c r="V169" s="75"/>
      <c r="X169" s="75"/>
      <c r="Y169" s="75"/>
      <c r="Z169" s="75"/>
    </row>
    <row r="170" spans="22:26" x14ac:dyDescent="0.25">
      <c r="V170" s="75"/>
      <c r="X170" s="75"/>
      <c r="Y170" s="75"/>
      <c r="Z170" s="75"/>
    </row>
    <row r="171" spans="22:26" x14ac:dyDescent="0.25">
      <c r="V171" s="75"/>
      <c r="X171" s="75"/>
      <c r="Y171" s="75"/>
      <c r="Z171" s="75"/>
    </row>
    <row r="172" spans="22:26" x14ac:dyDescent="0.25">
      <c r="V172" s="75"/>
      <c r="X172" s="75"/>
      <c r="Y172" s="75"/>
      <c r="Z172" s="75"/>
    </row>
    <row r="173" spans="22:26" x14ac:dyDescent="0.25">
      <c r="V173" s="75"/>
      <c r="X173" s="75"/>
      <c r="Y173" s="75"/>
      <c r="Z173" s="75"/>
    </row>
    <row r="174" spans="22:26" x14ac:dyDescent="0.25">
      <c r="V174" s="75"/>
      <c r="X174" s="75"/>
      <c r="Y174" s="75"/>
      <c r="Z174" s="75"/>
    </row>
    <row r="175" spans="22:26" x14ac:dyDescent="0.25">
      <c r="V175" s="75"/>
      <c r="X175" s="75"/>
      <c r="Y175" s="75"/>
      <c r="Z175" s="75"/>
    </row>
    <row r="176" spans="22:26" x14ac:dyDescent="0.25">
      <c r="V176" s="75"/>
      <c r="X176" s="75"/>
      <c r="Y176" s="75"/>
      <c r="Z176" s="75"/>
    </row>
    <row r="177" spans="22:26" x14ac:dyDescent="0.25">
      <c r="V177" s="75"/>
      <c r="X177" s="75"/>
      <c r="Y177" s="75"/>
      <c r="Z177" s="75"/>
    </row>
    <row r="178" spans="22:26" x14ac:dyDescent="0.25">
      <c r="V178" s="75"/>
      <c r="X178" s="75"/>
      <c r="Y178" s="75"/>
      <c r="Z178" s="75"/>
    </row>
    <row r="179" spans="22:26" x14ac:dyDescent="0.25">
      <c r="V179" s="75"/>
      <c r="X179" s="75"/>
      <c r="Y179" s="75"/>
      <c r="Z179" s="75"/>
    </row>
    <row r="180" spans="22:26" x14ac:dyDescent="0.25">
      <c r="V180" s="75"/>
      <c r="X180" s="75"/>
      <c r="Y180" s="75"/>
      <c r="Z180" s="75"/>
    </row>
    <row r="181" spans="22:26" x14ac:dyDescent="0.25">
      <c r="V181" s="75"/>
      <c r="X181" s="75"/>
      <c r="Y181" s="75"/>
      <c r="Z181" s="75"/>
    </row>
    <row r="182" spans="22:26" x14ac:dyDescent="0.25">
      <c r="V182" s="75"/>
      <c r="X182" s="75"/>
      <c r="Y182" s="75"/>
      <c r="Z182" s="75"/>
    </row>
    <row r="183" spans="22:26" x14ac:dyDescent="0.25">
      <c r="V183" s="75"/>
      <c r="X183" s="75"/>
      <c r="Y183" s="75"/>
      <c r="Z183" s="75"/>
    </row>
    <row r="184" spans="22:26" x14ac:dyDescent="0.25">
      <c r="V184" s="75"/>
      <c r="X184" s="75"/>
      <c r="Y184" s="75"/>
      <c r="Z184" s="75"/>
    </row>
    <row r="185" spans="22:26" x14ac:dyDescent="0.25">
      <c r="V185" s="75"/>
      <c r="X185" s="75"/>
      <c r="Y185" s="75"/>
      <c r="Z185" s="75"/>
    </row>
    <row r="186" spans="22:26" x14ac:dyDescent="0.25">
      <c r="V186" s="75"/>
      <c r="X186" s="75"/>
      <c r="Y186" s="75"/>
      <c r="Z186" s="75"/>
    </row>
    <row r="187" spans="22:26" x14ac:dyDescent="0.25">
      <c r="V187" s="75"/>
      <c r="X187" s="75"/>
      <c r="Y187" s="75"/>
      <c r="Z187" s="75"/>
    </row>
    <row r="188" spans="22:26" x14ac:dyDescent="0.25">
      <c r="V188" s="75"/>
      <c r="X188" s="75"/>
      <c r="Y188" s="75"/>
      <c r="Z188" s="75"/>
    </row>
    <row r="189" spans="22:26" x14ac:dyDescent="0.25">
      <c r="V189" s="75"/>
      <c r="X189" s="75"/>
      <c r="Y189" s="75"/>
      <c r="Z189" s="75"/>
    </row>
    <row r="190" spans="22:26" x14ac:dyDescent="0.25">
      <c r="V190" s="75"/>
      <c r="X190" s="75"/>
      <c r="Y190" s="75"/>
      <c r="Z190" s="75"/>
    </row>
    <row r="191" spans="22:26" x14ac:dyDescent="0.25">
      <c r="V191" s="75"/>
      <c r="X191" s="75"/>
      <c r="Y191" s="75"/>
      <c r="Z191" s="75"/>
    </row>
    <row r="192" spans="22:26" x14ac:dyDescent="0.25">
      <c r="V192" s="75"/>
      <c r="X192" s="75"/>
      <c r="Y192" s="75"/>
      <c r="Z192" s="75"/>
    </row>
    <row r="193" spans="22:26" x14ac:dyDescent="0.25">
      <c r="V193" s="75"/>
      <c r="X193" s="75"/>
      <c r="Y193" s="75"/>
      <c r="Z193" s="75"/>
    </row>
    <row r="194" spans="22:26" x14ac:dyDescent="0.25">
      <c r="V194" s="75"/>
      <c r="X194" s="75"/>
      <c r="Y194" s="75"/>
      <c r="Z194" s="75"/>
    </row>
    <row r="195" spans="22:26" x14ac:dyDescent="0.25">
      <c r="V195" s="75"/>
      <c r="X195" s="75"/>
      <c r="Y195" s="75"/>
      <c r="Z195" s="75"/>
    </row>
    <row r="196" spans="22:26" x14ac:dyDescent="0.25">
      <c r="V196" s="75"/>
      <c r="X196" s="75"/>
      <c r="Y196" s="75"/>
      <c r="Z196" s="75"/>
    </row>
    <row r="197" spans="22:26" x14ac:dyDescent="0.25">
      <c r="V197" s="75"/>
      <c r="X197" s="75"/>
      <c r="Y197" s="75"/>
      <c r="Z197" s="75"/>
    </row>
    <row r="198" spans="22:26" x14ac:dyDescent="0.25">
      <c r="V198" s="75"/>
      <c r="X198" s="75"/>
      <c r="Y198" s="75"/>
      <c r="Z198" s="75"/>
    </row>
    <row r="199" spans="22:26" x14ac:dyDescent="0.25">
      <c r="V199" s="75"/>
      <c r="X199" s="75"/>
      <c r="Y199" s="75"/>
      <c r="Z199" s="75"/>
    </row>
    <row r="200" spans="22:26" x14ac:dyDescent="0.25">
      <c r="V200" s="75"/>
      <c r="X200" s="75"/>
      <c r="Y200" s="75"/>
      <c r="Z200" s="75"/>
    </row>
    <row r="201" spans="22:26" x14ac:dyDescent="0.25">
      <c r="V201" s="75"/>
      <c r="X201" s="75"/>
      <c r="Y201" s="75"/>
      <c r="Z201" s="75"/>
    </row>
    <row r="202" spans="22:26" x14ac:dyDescent="0.25">
      <c r="V202" s="75"/>
      <c r="X202" s="75"/>
      <c r="Y202" s="75"/>
      <c r="Z202" s="75"/>
    </row>
    <row r="203" spans="22:26" x14ac:dyDescent="0.25">
      <c r="V203" s="75"/>
      <c r="X203" s="75"/>
      <c r="Y203" s="75"/>
      <c r="Z203" s="75"/>
    </row>
    <row r="204" spans="22:26" x14ac:dyDescent="0.25">
      <c r="V204" s="75"/>
      <c r="X204" s="75"/>
      <c r="Y204" s="75"/>
      <c r="Z204" s="75"/>
    </row>
    <row r="205" spans="22:26" x14ac:dyDescent="0.25">
      <c r="V205" s="75"/>
      <c r="X205" s="75"/>
      <c r="Y205" s="75"/>
      <c r="Z205" s="75"/>
    </row>
    <row r="206" spans="22:26" x14ac:dyDescent="0.25">
      <c r="V206" s="75"/>
      <c r="X206" s="75"/>
      <c r="Y206" s="75"/>
      <c r="Z206" s="75"/>
    </row>
    <row r="207" spans="22:26" x14ac:dyDescent="0.25">
      <c r="V207" s="75"/>
      <c r="X207" s="75"/>
      <c r="Y207" s="75"/>
      <c r="Z207" s="75"/>
    </row>
    <row r="208" spans="22:26" x14ac:dyDescent="0.25">
      <c r="V208" s="75"/>
      <c r="X208" s="75"/>
      <c r="Y208" s="75"/>
      <c r="Z208" s="75"/>
    </row>
    <row r="209" spans="22:26" x14ac:dyDescent="0.25">
      <c r="V209" s="75"/>
      <c r="X209" s="75"/>
      <c r="Y209" s="75"/>
      <c r="Z209" s="75"/>
    </row>
    <row r="210" spans="22:26" x14ac:dyDescent="0.25">
      <c r="V210" s="75"/>
      <c r="X210" s="75"/>
      <c r="Y210" s="75"/>
      <c r="Z210" s="75"/>
    </row>
    <row r="211" spans="22:26" x14ac:dyDescent="0.25">
      <c r="V211" s="75"/>
      <c r="X211" s="75"/>
      <c r="Y211" s="75"/>
      <c r="Z211" s="75"/>
    </row>
    <row r="212" spans="22:26" x14ac:dyDescent="0.25">
      <c r="V212" s="75"/>
      <c r="X212" s="75"/>
      <c r="Y212" s="75"/>
      <c r="Z212" s="75"/>
    </row>
    <row r="213" spans="22:26" x14ac:dyDescent="0.25">
      <c r="V213" s="75"/>
      <c r="X213" s="75"/>
      <c r="Y213" s="75"/>
      <c r="Z213" s="75"/>
    </row>
    <row r="214" spans="22:26" x14ac:dyDescent="0.25">
      <c r="V214" s="75"/>
      <c r="X214" s="75"/>
      <c r="Y214" s="75"/>
      <c r="Z214" s="75"/>
    </row>
    <row r="215" spans="22:26" x14ac:dyDescent="0.25">
      <c r="V215" s="75"/>
      <c r="X215" s="75"/>
      <c r="Y215" s="75"/>
      <c r="Z215" s="75"/>
    </row>
    <row r="216" spans="22:26" x14ac:dyDescent="0.25">
      <c r="V216" s="75"/>
      <c r="X216" s="75"/>
      <c r="Y216" s="75"/>
      <c r="Z216" s="75"/>
    </row>
    <row r="217" spans="22:26" x14ac:dyDescent="0.25">
      <c r="V217" s="75"/>
      <c r="X217" s="75"/>
      <c r="Y217" s="75"/>
      <c r="Z217" s="75"/>
    </row>
    <row r="218" spans="22:26" x14ac:dyDescent="0.25">
      <c r="V218" s="75"/>
      <c r="X218" s="75"/>
      <c r="Y218" s="75"/>
      <c r="Z218" s="75"/>
    </row>
    <row r="219" spans="22:26" x14ac:dyDescent="0.25">
      <c r="V219" s="75"/>
      <c r="X219" s="75"/>
      <c r="Y219" s="75"/>
      <c r="Z219" s="75"/>
    </row>
    <row r="220" spans="22:26" x14ac:dyDescent="0.25">
      <c r="V220" s="75"/>
      <c r="X220" s="75"/>
      <c r="Y220" s="75"/>
      <c r="Z220" s="75"/>
    </row>
    <row r="221" spans="22:26" x14ac:dyDescent="0.25">
      <c r="V221" s="75"/>
      <c r="X221" s="75"/>
      <c r="Y221" s="75"/>
      <c r="Z221" s="75"/>
    </row>
    <row r="222" spans="22:26" x14ac:dyDescent="0.25">
      <c r="V222" s="75"/>
      <c r="X222" s="75"/>
      <c r="Y222" s="75"/>
      <c r="Z222" s="75"/>
    </row>
    <row r="223" spans="22:26" x14ac:dyDescent="0.25">
      <c r="V223" s="75"/>
      <c r="X223" s="75"/>
      <c r="Y223" s="75"/>
      <c r="Z223" s="75"/>
    </row>
    <row r="224" spans="22:26" x14ac:dyDescent="0.25">
      <c r="V224" s="75"/>
      <c r="X224" s="75"/>
      <c r="Y224" s="75"/>
      <c r="Z224" s="75"/>
    </row>
    <row r="225" spans="22:26" x14ac:dyDescent="0.25">
      <c r="V225" s="75"/>
      <c r="X225" s="75"/>
      <c r="Y225" s="75"/>
      <c r="Z225" s="75"/>
    </row>
    <row r="226" spans="22:26" x14ac:dyDescent="0.25">
      <c r="V226" s="75"/>
      <c r="X226" s="75"/>
      <c r="Y226" s="75"/>
      <c r="Z226" s="75"/>
    </row>
    <row r="227" spans="22:26" x14ac:dyDescent="0.25">
      <c r="V227" s="75"/>
      <c r="X227" s="75"/>
      <c r="Y227" s="75"/>
      <c r="Z227" s="75"/>
    </row>
    <row r="228" spans="22:26" x14ac:dyDescent="0.25">
      <c r="V228" s="75"/>
      <c r="X228" s="75"/>
      <c r="Y228" s="75"/>
      <c r="Z228" s="75"/>
    </row>
    <row r="229" spans="22:26" x14ac:dyDescent="0.25">
      <c r="V229" s="75"/>
      <c r="X229" s="75"/>
      <c r="Y229" s="75"/>
      <c r="Z229" s="75"/>
    </row>
    <row r="230" spans="22:26" x14ac:dyDescent="0.25">
      <c r="V230" s="75"/>
      <c r="X230" s="75"/>
      <c r="Y230" s="75"/>
      <c r="Z230" s="75"/>
    </row>
    <row r="231" spans="22:26" x14ac:dyDescent="0.25">
      <c r="V231" s="75"/>
      <c r="X231" s="75"/>
      <c r="Y231" s="75"/>
      <c r="Z231" s="75"/>
    </row>
    <row r="232" spans="22:26" x14ac:dyDescent="0.25">
      <c r="V232" s="75"/>
      <c r="X232" s="75"/>
      <c r="Y232" s="75"/>
      <c r="Z232" s="75"/>
    </row>
    <row r="233" spans="22:26" x14ac:dyDescent="0.25">
      <c r="V233" s="75"/>
      <c r="X233" s="75"/>
      <c r="Y233" s="75"/>
      <c r="Z233" s="75"/>
    </row>
    <row r="234" spans="22:26" x14ac:dyDescent="0.25">
      <c r="V234" s="75"/>
      <c r="X234" s="75"/>
      <c r="Y234" s="75"/>
      <c r="Z234" s="75"/>
    </row>
    <row r="235" spans="22:26" x14ac:dyDescent="0.25">
      <c r="V235" s="75"/>
      <c r="X235" s="75"/>
      <c r="Y235" s="75"/>
      <c r="Z235" s="75"/>
    </row>
    <row r="236" spans="22:26" x14ac:dyDescent="0.25">
      <c r="V236" s="75"/>
      <c r="X236" s="75"/>
      <c r="Y236" s="75"/>
      <c r="Z236" s="75"/>
    </row>
    <row r="237" spans="22:26" x14ac:dyDescent="0.25">
      <c r="V237" s="75"/>
      <c r="X237" s="75"/>
      <c r="Y237" s="75"/>
      <c r="Z237" s="75"/>
    </row>
    <row r="238" spans="22:26" x14ac:dyDescent="0.25">
      <c r="V238" s="75"/>
      <c r="X238" s="75"/>
      <c r="Y238" s="75"/>
      <c r="Z238" s="75"/>
    </row>
    <row r="239" spans="22:26" x14ac:dyDescent="0.25">
      <c r="V239" s="75"/>
      <c r="X239" s="75"/>
      <c r="Y239" s="75"/>
      <c r="Z239" s="75"/>
    </row>
    <row r="240" spans="22:26" x14ac:dyDescent="0.25">
      <c r="V240" s="75"/>
      <c r="X240" s="75"/>
      <c r="Y240" s="75"/>
      <c r="Z240" s="75"/>
    </row>
    <row r="241" spans="22:26" x14ac:dyDescent="0.25">
      <c r="V241" s="75"/>
      <c r="X241" s="75"/>
      <c r="Y241" s="75"/>
      <c r="Z241" s="75"/>
    </row>
    <row r="242" spans="22:26" x14ac:dyDescent="0.25">
      <c r="V242" s="75"/>
      <c r="X242" s="75"/>
      <c r="Y242" s="75"/>
      <c r="Z242" s="75"/>
    </row>
    <row r="243" spans="22:26" x14ac:dyDescent="0.25">
      <c r="V243" s="75"/>
      <c r="X243" s="75"/>
      <c r="Y243" s="75"/>
      <c r="Z243" s="75"/>
    </row>
    <row r="244" spans="22:26" x14ac:dyDescent="0.25">
      <c r="V244" s="75"/>
      <c r="X244" s="75"/>
      <c r="Y244" s="75"/>
      <c r="Z244" s="75"/>
    </row>
    <row r="245" spans="22:26" x14ac:dyDescent="0.25">
      <c r="V245" s="75"/>
      <c r="X245" s="75"/>
      <c r="Y245" s="75"/>
      <c r="Z245" s="75"/>
    </row>
    <row r="246" spans="22:26" x14ac:dyDescent="0.25">
      <c r="V246" s="75"/>
      <c r="X246" s="75"/>
      <c r="Y246" s="75"/>
      <c r="Z246" s="75"/>
    </row>
    <row r="247" spans="22:26" x14ac:dyDescent="0.25">
      <c r="V247" s="75"/>
      <c r="X247" s="75"/>
      <c r="Y247" s="75"/>
      <c r="Z247" s="75"/>
    </row>
    <row r="248" spans="22:26" x14ac:dyDescent="0.25">
      <c r="V248" s="75"/>
      <c r="X248" s="75"/>
      <c r="Y248" s="75"/>
      <c r="Z248" s="75"/>
    </row>
    <row r="249" spans="22:26" x14ac:dyDescent="0.25">
      <c r="V249" s="75"/>
      <c r="X249" s="75"/>
      <c r="Y249" s="75"/>
      <c r="Z249" s="75"/>
    </row>
    <row r="250" spans="22:26" x14ac:dyDescent="0.25">
      <c r="V250" s="75"/>
      <c r="X250" s="75"/>
      <c r="Y250" s="75"/>
      <c r="Z250" s="75"/>
    </row>
    <row r="251" spans="22:26" x14ac:dyDescent="0.25">
      <c r="V251" s="75"/>
      <c r="X251" s="75"/>
      <c r="Y251" s="75"/>
      <c r="Z251" s="75"/>
    </row>
    <row r="252" spans="22:26" x14ac:dyDescent="0.25">
      <c r="V252" s="75"/>
      <c r="X252" s="75"/>
      <c r="Y252" s="75"/>
      <c r="Z252" s="75"/>
    </row>
    <row r="253" spans="22:26" x14ac:dyDescent="0.25">
      <c r="V253" s="75"/>
      <c r="X253" s="75"/>
      <c r="Y253" s="75"/>
      <c r="Z253" s="75"/>
    </row>
    <row r="254" spans="22:26" x14ac:dyDescent="0.25">
      <c r="V254" s="75"/>
      <c r="X254" s="75"/>
      <c r="Y254" s="75"/>
      <c r="Z254" s="75"/>
    </row>
    <row r="255" spans="22:26" x14ac:dyDescent="0.25">
      <c r="V255" s="75"/>
      <c r="X255" s="75"/>
      <c r="Y255" s="75"/>
      <c r="Z255" s="75"/>
    </row>
    <row r="256" spans="22:26" x14ac:dyDescent="0.25">
      <c r="V256" s="75"/>
      <c r="X256" s="75"/>
      <c r="Y256" s="75"/>
      <c r="Z256" s="75"/>
    </row>
    <row r="257" spans="22:26" x14ac:dyDescent="0.25">
      <c r="V257" s="75"/>
      <c r="X257" s="75"/>
      <c r="Y257" s="75"/>
      <c r="Z257" s="75"/>
    </row>
    <row r="258" spans="22:26" x14ac:dyDescent="0.25">
      <c r="V258" s="75"/>
      <c r="X258" s="75"/>
      <c r="Y258" s="75"/>
      <c r="Z258" s="75"/>
    </row>
    <row r="259" spans="22:26" x14ac:dyDescent="0.25">
      <c r="V259" s="75"/>
      <c r="X259" s="75"/>
      <c r="Y259" s="75"/>
      <c r="Z259" s="75"/>
    </row>
    <row r="260" spans="22:26" x14ac:dyDescent="0.25">
      <c r="V260" s="75"/>
      <c r="X260" s="75"/>
      <c r="Y260" s="75"/>
      <c r="Z260" s="75"/>
    </row>
    <row r="261" spans="22:26" x14ac:dyDescent="0.25">
      <c r="V261" s="75"/>
      <c r="X261" s="75"/>
      <c r="Y261" s="75"/>
      <c r="Z261" s="75"/>
    </row>
    <row r="262" spans="22:26" x14ac:dyDescent="0.25">
      <c r="V262" s="75"/>
      <c r="X262" s="75"/>
      <c r="Y262" s="75"/>
      <c r="Z262" s="75"/>
    </row>
    <row r="263" spans="22:26" x14ac:dyDescent="0.25">
      <c r="V263" s="75"/>
      <c r="X263" s="75"/>
      <c r="Y263" s="75"/>
      <c r="Z263" s="75"/>
    </row>
    <row r="264" spans="22:26" x14ac:dyDescent="0.25">
      <c r="V264" s="75"/>
      <c r="X264" s="75"/>
      <c r="Y264" s="75"/>
      <c r="Z264" s="75"/>
    </row>
    <row r="265" spans="22:26" x14ac:dyDescent="0.25">
      <c r="V265" s="75"/>
      <c r="X265" s="75"/>
      <c r="Y265" s="75"/>
      <c r="Z265" s="75"/>
    </row>
    <row r="266" spans="22:26" x14ac:dyDescent="0.25">
      <c r="V266" s="75"/>
      <c r="X266" s="75"/>
      <c r="Y266" s="75"/>
      <c r="Z266" s="75"/>
    </row>
    <row r="267" spans="22:26" x14ac:dyDescent="0.25">
      <c r="V267" s="75"/>
      <c r="X267" s="75"/>
      <c r="Y267" s="75"/>
      <c r="Z267" s="75"/>
    </row>
    <row r="268" spans="22:26" x14ac:dyDescent="0.25">
      <c r="V268" s="75"/>
      <c r="X268" s="75"/>
      <c r="Y268" s="75"/>
      <c r="Z268" s="75"/>
    </row>
    <row r="269" spans="22:26" x14ac:dyDescent="0.25">
      <c r="V269" s="75"/>
      <c r="X269" s="75"/>
      <c r="Y269" s="75"/>
      <c r="Z269" s="75"/>
    </row>
    <row r="270" spans="22:26" x14ac:dyDescent="0.25">
      <c r="V270" s="75"/>
      <c r="X270" s="75"/>
      <c r="Y270" s="75"/>
      <c r="Z270" s="75"/>
    </row>
    <row r="271" spans="22:26" x14ac:dyDescent="0.25">
      <c r="V271" s="75"/>
      <c r="X271" s="75"/>
      <c r="Y271" s="75"/>
      <c r="Z271" s="75"/>
    </row>
    <row r="272" spans="22:26" x14ac:dyDescent="0.25">
      <c r="V272" s="75"/>
      <c r="X272" s="75"/>
      <c r="Y272" s="75"/>
      <c r="Z272" s="75"/>
    </row>
    <row r="273" spans="22:26" x14ac:dyDescent="0.25">
      <c r="V273" s="75"/>
      <c r="X273" s="75"/>
      <c r="Y273" s="75"/>
      <c r="Z273" s="75"/>
    </row>
    <row r="274" spans="22:26" x14ac:dyDescent="0.25">
      <c r="V274" s="75"/>
      <c r="X274" s="75"/>
      <c r="Y274" s="75"/>
      <c r="Z274" s="75"/>
    </row>
    <row r="275" spans="22:26" x14ac:dyDescent="0.25">
      <c r="V275" s="75"/>
      <c r="X275" s="75"/>
      <c r="Y275" s="75"/>
      <c r="Z275" s="75"/>
    </row>
    <row r="276" spans="22:26" x14ac:dyDescent="0.25">
      <c r="V276" s="75"/>
      <c r="X276" s="75"/>
      <c r="Y276" s="75"/>
      <c r="Z276" s="75"/>
    </row>
    <row r="277" spans="22:26" x14ac:dyDescent="0.25">
      <c r="V277" s="75"/>
      <c r="X277" s="75"/>
      <c r="Y277" s="75"/>
      <c r="Z277" s="75"/>
    </row>
    <row r="278" spans="22:26" x14ac:dyDescent="0.25">
      <c r="V278" s="75"/>
      <c r="X278" s="75"/>
      <c r="Y278" s="75"/>
      <c r="Z278" s="75"/>
    </row>
    <row r="279" spans="22:26" x14ac:dyDescent="0.25">
      <c r="V279" s="75"/>
      <c r="X279" s="75"/>
      <c r="Y279" s="75"/>
      <c r="Z279" s="75"/>
    </row>
    <row r="280" spans="22:26" x14ac:dyDescent="0.25">
      <c r="V280" s="75"/>
      <c r="X280" s="75"/>
      <c r="Y280" s="75"/>
      <c r="Z280" s="75"/>
    </row>
    <row r="281" spans="22:26" x14ac:dyDescent="0.25">
      <c r="V281" s="75"/>
      <c r="X281" s="75"/>
      <c r="Y281" s="75"/>
      <c r="Z281" s="75"/>
    </row>
    <row r="282" spans="22:26" x14ac:dyDescent="0.25">
      <c r="V282" s="75"/>
      <c r="X282" s="75"/>
      <c r="Y282" s="75"/>
      <c r="Z282" s="75"/>
    </row>
    <row r="283" spans="22:26" x14ac:dyDescent="0.25">
      <c r="V283" s="75"/>
      <c r="X283" s="75"/>
      <c r="Y283" s="75"/>
      <c r="Z283" s="75"/>
    </row>
    <row r="284" spans="22:26" x14ac:dyDescent="0.25">
      <c r="V284" s="75"/>
      <c r="X284" s="75"/>
      <c r="Y284" s="75"/>
      <c r="Z284" s="75"/>
    </row>
    <row r="285" spans="22:26" x14ac:dyDescent="0.25">
      <c r="V285" s="75"/>
      <c r="X285" s="75"/>
      <c r="Y285" s="75"/>
      <c r="Z285" s="75"/>
    </row>
  </sheetData>
  <mergeCells count="15">
    <mergeCell ref="I6:K6"/>
    <mergeCell ref="N6:P6"/>
    <mergeCell ref="D21:D22"/>
    <mergeCell ref="AC29:AD29"/>
    <mergeCell ref="AF29:AG29"/>
    <mergeCell ref="A2:B2"/>
    <mergeCell ref="F2:G2"/>
    <mergeCell ref="I2:Q2"/>
    <mergeCell ref="I3:K3"/>
    <mergeCell ref="N3:P3"/>
    <mergeCell ref="D4:D19"/>
    <mergeCell ref="I4:K4"/>
    <mergeCell ref="N4:P4"/>
    <mergeCell ref="I5:K5"/>
    <mergeCell ref="N5:P5"/>
  </mergeCells>
  <conditionalFormatting sqref="A2">
    <cfRule type="containsErrors" dxfId="28" priority="17">
      <formula>ISERROR(A2)</formula>
    </cfRule>
  </conditionalFormatting>
  <conditionalFormatting sqref="A4:A34">
    <cfRule type="containsErrors" dxfId="27" priority="1">
      <formula>ISERROR(A4)</formula>
    </cfRule>
  </conditionalFormatting>
  <conditionalFormatting sqref="A35:A176">
    <cfRule type="duplicateValues" dxfId="26" priority="6"/>
  </conditionalFormatting>
  <conditionalFormatting sqref="A3:B3">
    <cfRule type="containsErrors" dxfId="25" priority="12">
      <formula>ISERROR(A3)</formula>
    </cfRule>
  </conditionalFormatting>
  <conditionalFormatting sqref="B4:B87">
    <cfRule type="containsErrors" dxfId="24" priority="2">
      <formula>ISERROR(B4)</formula>
    </cfRule>
  </conditionalFormatting>
  <conditionalFormatting sqref="F2:F34">
    <cfRule type="containsErrors" dxfId="23" priority="3">
      <formula>ISERROR(F2)</formula>
    </cfRule>
  </conditionalFormatting>
  <conditionalFormatting sqref="F35:F176">
    <cfRule type="duplicateValues" dxfId="22" priority="5"/>
  </conditionalFormatting>
  <conditionalFormatting sqref="G3:G87">
    <cfRule type="containsErrors" dxfId="21" priority="4">
      <formula>ISERROR(G3)</formula>
    </cfRule>
  </conditionalFormatting>
  <conditionalFormatting sqref="I2">
    <cfRule type="containsErrors" dxfId="20" priority="16">
      <formula>ISERROR(I2)</formula>
    </cfRule>
  </conditionalFormatting>
  <conditionalFormatting sqref="Q4:Q5">
    <cfRule type="containsErrors" dxfId="19" priority="15">
      <formula>ISERROR(Q4)</formula>
    </cfRule>
  </conditionalFormatting>
  <conditionalFormatting sqref="AA25:AA63">
    <cfRule type="containsErrors" dxfId="18" priority="14">
      <formula>ISERROR(AA25)</formula>
    </cfRule>
  </conditionalFormatting>
  <conditionalFormatting sqref="AB27:AB71">
    <cfRule type="containsErrors" dxfId="17" priority="11">
      <formula>ISERROR(AB27)</formula>
    </cfRule>
  </conditionalFormatting>
  <conditionalFormatting sqref="AB25:AC26">
    <cfRule type="containsErrors" dxfId="16" priority="13">
      <formula>ISERROR(AB25)</formula>
    </cfRule>
  </conditionalFormatting>
  <conditionalFormatting sqref="AC27:AC28">
    <cfRule type="containsErrors" dxfId="15" priority="10">
      <formula>ISERROR(AC27)</formula>
    </cfRule>
  </conditionalFormatting>
  <conditionalFormatting sqref="AC29:AD71">
    <cfRule type="containsErrors" dxfId="14" priority="9">
      <formula>ISERROR(AC29)</formula>
    </cfRule>
  </conditionalFormatting>
  <conditionalFormatting sqref="AE31:AE71">
    <cfRule type="containsErrors" dxfId="13" priority="8">
      <formula>ISERROR(AE31)</formula>
    </cfRule>
  </conditionalFormatting>
  <conditionalFormatting sqref="AF29:AG71">
    <cfRule type="containsErrors" dxfId="12" priority="7">
      <formula>ISERROR(AF29)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0DF4-B5AC-47D3-B6DC-4C43ED9260B4}">
  <dimension ref="A1:AJ151"/>
  <sheetViews>
    <sheetView tabSelected="1" workbookViewId="0">
      <selection activeCell="C19" sqref="C19"/>
    </sheetView>
  </sheetViews>
  <sheetFormatPr defaultColWidth="8" defaultRowHeight="15.75" x14ac:dyDescent="0.25"/>
  <cols>
    <col min="2" max="2" width="13.75" customWidth="1"/>
    <col min="7" max="7" width="14.375" customWidth="1"/>
    <col min="11" max="11" width="11.125" customWidth="1"/>
    <col min="12" max="12" width="9.625" customWidth="1"/>
    <col min="16" max="16" width="7.875" customWidth="1"/>
    <col min="17" max="17" width="16.375" customWidth="1"/>
    <col min="23" max="23" width="14.375" customWidth="1"/>
    <col min="24" max="24" width="14.5" customWidth="1"/>
    <col min="25" max="25" width="11" bestFit="1" customWidth="1"/>
    <col min="31" max="31" width="14.375" bestFit="1" customWidth="1"/>
    <col min="32" max="32" width="13.75" bestFit="1" customWidth="1"/>
    <col min="33" max="33" width="13.125" bestFit="1" customWidth="1"/>
    <col min="34" max="34" width="12.125" bestFit="1" customWidth="1"/>
    <col min="35" max="35" width="9.625" bestFit="1" customWidth="1"/>
  </cols>
  <sheetData>
    <row r="1" spans="1:36" ht="16.5" thickBot="1" x14ac:dyDescent="0.3"/>
    <row r="2" spans="1:36" ht="45.75" thickBot="1" x14ac:dyDescent="0.3">
      <c r="A2" s="13" t="s">
        <v>2</v>
      </c>
      <c r="B2" s="14"/>
      <c r="C2" s="1"/>
      <c r="D2" s="1"/>
      <c r="E2" s="1"/>
      <c r="F2" s="13" t="s">
        <v>3</v>
      </c>
      <c r="G2" s="14"/>
      <c r="I2" s="56" t="s">
        <v>70</v>
      </c>
      <c r="J2" s="56"/>
      <c r="K2" s="56"/>
      <c r="L2" s="56"/>
      <c r="M2" s="56"/>
      <c r="N2" s="56"/>
      <c r="O2" s="56"/>
      <c r="P2" s="56"/>
      <c r="Q2" s="56"/>
      <c r="V2" s="87"/>
      <c r="W2" s="88"/>
      <c r="X2" s="88"/>
      <c r="Y2" s="88"/>
      <c r="Z2" s="58"/>
      <c r="AA2" s="59"/>
      <c r="AB2" s="59"/>
      <c r="AC2" s="57"/>
      <c r="AE2" s="88"/>
      <c r="AF2" s="88"/>
      <c r="AG2" s="88" t="s">
        <v>71</v>
      </c>
      <c r="AH2" s="88" t="s">
        <v>72</v>
      </c>
      <c r="AI2" t="s">
        <v>73</v>
      </c>
    </row>
    <row r="3" spans="1:36" ht="32.25" thickBot="1" x14ac:dyDescent="0.3">
      <c r="A3" s="61" t="s">
        <v>9</v>
      </c>
      <c r="B3" s="62" t="s">
        <v>74</v>
      </c>
      <c r="C3" s="1"/>
      <c r="D3" s="1"/>
      <c r="E3" s="1"/>
      <c r="F3" s="26" t="s">
        <v>9</v>
      </c>
      <c r="G3" s="62" t="s">
        <v>74</v>
      </c>
      <c r="I3" s="63" t="s">
        <v>4</v>
      </c>
      <c r="J3" s="63"/>
      <c r="K3" s="63"/>
      <c r="L3" s="89">
        <f>AD17</f>
        <v>11</v>
      </c>
      <c r="M3" s="1"/>
      <c r="N3" s="63" t="s">
        <v>5</v>
      </c>
      <c r="O3" s="63"/>
      <c r="P3" s="63"/>
      <c r="Q3" s="90">
        <f>AA4</f>
        <v>0.5</v>
      </c>
      <c r="V3" s="66" t="s">
        <v>46</v>
      </c>
      <c r="W3" s="66"/>
      <c r="X3" s="67" t="s">
        <v>75</v>
      </c>
      <c r="Y3" s="67" t="s">
        <v>76</v>
      </c>
      <c r="Z3" s="67" t="s">
        <v>49</v>
      </c>
      <c r="AA3" s="68" t="s">
        <v>19</v>
      </c>
      <c r="AB3" s="69"/>
      <c r="AC3" s="25" t="s">
        <v>8</v>
      </c>
      <c r="AD3" s="25"/>
      <c r="AE3" s="70"/>
      <c r="AF3" s="71"/>
      <c r="AG3" s="71" t="s">
        <v>75</v>
      </c>
      <c r="AH3" s="71" t="s">
        <v>76</v>
      </c>
      <c r="AI3" s="71" t="s">
        <v>50</v>
      </c>
    </row>
    <row r="4" spans="1:36" ht="33" customHeight="1" x14ac:dyDescent="0.25">
      <c r="A4" s="72">
        <v>1</v>
      </c>
      <c r="B4" s="72">
        <v>3.5</v>
      </c>
      <c r="C4" s="1"/>
      <c r="D4" s="29" t="s">
        <v>13</v>
      </c>
      <c r="E4" s="1"/>
      <c r="F4" s="72">
        <v>1</v>
      </c>
      <c r="G4" s="72">
        <v>3.4</v>
      </c>
      <c r="I4" s="91" t="s">
        <v>77</v>
      </c>
      <c r="J4" s="91"/>
      <c r="K4" s="91"/>
      <c r="L4" s="89">
        <f>AD15</f>
        <v>0.8</v>
      </c>
      <c r="M4" s="1"/>
      <c r="N4" s="63" t="s">
        <v>78</v>
      </c>
      <c r="O4" s="63"/>
      <c r="P4" s="63"/>
      <c r="Q4" s="90" t="str">
        <f>AG4 &amp; " скважин"</f>
        <v>1 скважин</v>
      </c>
      <c r="V4" s="74">
        <f>ROUND(G4-B4,1)</f>
        <v>-0.1</v>
      </c>
      <c r="W4" s="75">
        <f>SUMIF(V4:V125,"&gt;0.5",V4:V125)</f>
        <v>0</v>
      </c>
      <c r="X4" s="75">
        <f>IF($V4&lt;-$AA$4,1,0)</f>
        <v>0</v>
      </c>
      <c r="Y4" s="75">
        <f>IF($V4&gt;$AA$4,1,0)</f>
        <v>0</v>
      </c>
      <c r="Z4" s="75">
        <f>IF($V4&gt;=-$AA$4,IF(V4&lt;=$AA$4,1,""),"")</f>
        <v>1</v>
      </c>
      <c r="AA4" s="76">
        <v>0.5</v>
      </c>
      <c r="AB4" s="69"/>
      <c r="AE4" s="71"/>
      <c r="AF4" s="71" t="s">
        <v>52</v>
      </c>
      <c r="AG4" s="71">
        <f>SUM(X:X)</f>
        <v>1</v>
      </c>
      <c r="AH4" s="71">
        <f>SUM(Y:Y)</f>
        <v>3</v>
      </c>
      <c r="AI4" s="71">
        <f>SUM(Z:Z)</f>
        <v>7</v>
      </c>
      <c r="AJ4">
        <f>SUM(AG4:AI4)</f>
        <v>11</v>
      </c>
    </row>
    <row r="5" spans="1:36" ht="36.75" customHeight="1" x14ac:dyDescent="0.25">
      <c r="A5" s="72">
        <v>2</v>
      </c>
      <c r="B5" s="72">
        <v>3.5</v>
      </c>
      <c r="C5" s="1"/>
      <c r="D5" s="29"/>
      <c r="E5" s="1"/>
      <c r="F5" s="72">
        <v>2</v>
      </c>
      <c r="G5" s="72">
        <v>4.0999999999999996</v>
      </c>
      <c r="I5" s="91" t="s">
        <v>79</v>
      </c>
      <c r="J5" s="91"/>
      <c r="K5" s="91"/>
      <c r="L5" s="89">
        <f>AD14</f>
        <v>-2</v>
      </c>
      <c r="M5" s="1"/>
      <c r="N5" s="63" t="s">
        <v>80</v>
      </c>
      <c r="O5" s="63"/>
      <c r="P5" s="63"/>
      <c r="Q5" s="90" t="str">
        <f>AH4 &amp; " скважин"</f>
        <v>3 скважин</v>
      </c>
      <c r="V5" s="74">
        <f t="shared" ref="V5:V14" si="0">ROUND(G5-B5,1)</f>
        <v>0.6</v>
      </c>
      <c r="W5" s="75"/>
      <c r="X5" s="75">
        <f t="shared" ref="X5:X14" si="1">IF($V5&lt;-$AA$4,1,0)</f>
        <v>0</v>
      </c>
      <c r="Y5" s="75">
        <f t="shared" ref="Y5:Y14" si="2">IF($V5&gt;$AA$4,1,0)</f>
        <v>1</v>
      </c>
      <c r="Z5" s="75" t="str">
        <f t="shared" ref="Z5:Z14" si="3">IF($V5&gt;=-$AA$4,IF(V5&lt;=$AA$4,1,""),"")</f>
        <v/>
      </c>
      <c r="AA5" s="69"/>
      <c r="AB5" s="69"/>
      <c r="AC5" t="s">
        <v>23</v>
      </c>
      <c r="AD5">
        <v>-4.5454545454545442E-2</v>
      </c>
      <c r="AE5" s="71"/>
      <c r="AF5" s="71" t="s">
        <v>55</v>
      </c>
      <c r="AG5" s="71">
        <f>AG4/$AJ$4</f>
        <v>9.0909090909090912E-2</v>
      </c>
      <c r="AH5" s="71">
        <f t="shared" ref="AH5:AI5" si="4">AH4/$AJ$4</f>
        <v>0.27272727272727271</v>
      </c>
      <c r="AI5" s="71">
        <f t="shared" si="4"/>
        <v>0.63636363636363635</v>
      </c>
    </row>
    <row r="6" spans="1:36" x14ac:dyDescent="0.25">
      <c r="A6" s="72">
        <v>3</v>
      </c>
      <c r="B6" s="72">
        <v>3.5</v>
      </c>
      <c r="C6" s="1"/>
      <c r="D6" s="29"/>
      <c r="E6" s="1"/>
      <c r="F6" s="72">
        <v>3</v>
      </c>
      <c r="G6" s="72">
        <v>3.3</v>
      </c>
      <c r="I6" s="1"/>
      <c r="J6" s="1"/>
      <c r="K6" s="1"/>
      <c r="L6" s="1"/>
      <c r="M6" s="1"/>
      <c r="N6" s="63" t="s">
        <v>81</v>
      </c>
      <c r="O6" s="63"/>
      <c r="P6" s="63"/>
      <c r="Q6" s="90" t="str">
        <f>AI4 &amp; " скважин"</f>
        <v>7 скважин</v>
      </c>
      <c r="V6" s="74">
        <f t="shared" si="0"/>
        <v>-0.2</v>
      </c>
      <c r="W6" s="75"/>
      <c r="X6" s="75">
        <f t="shared" si="1"/>
        <v>0</v>
      </c>
      <c r="Y6" s="75">
        <f t="shared" si="2"/>
        <v>0</v>
      </c>
      <c r="Z6" s="75">
        <f t="shared" si="3"/>
        <v>1</v>
      </c>
      <c r="AA6" s="69"/>
      <c r="AB6" s="69"/>
      <c r="AC6" t="s">
        <v>24</v>
      </c>
      <c r="AD6">
        <v>0.23754947288115735</v>
      </c>
      <c r="AE6" s="71"/>
      <c r="AF6" s="71"/>
      <c r="AG6" s="71"/>
      <c r="AH6" s="71"/>
      <c r="AI6" s="69"/>
    </row>
    <row r="7" spans="1:36" x14ac:dyDescent="0.25">
      <c r="A7" s="72">
        <v>4</v>
      </c>
      <c r="B7" s="72">
        <v>3.5</v>
      </c>
      <c r="C7" s="1"/>
      <c r="D7" s="29"/>
      <c r="E7" s="1"/>
      <c r="F7" s="72">
        <v>4</v>
      </c>
      <c r="G7" s="72">
        <v>4.3</v>
      </c>
      <c r="V7" s="74">
        <f t="shared" si="0"/>
        <v>0.8</v>
      </c>
      <c r="W7" s="75"/>
      <c r="X7" s="75">
        <f t="shared" si="1"/>
        <v>0</v>
      </c>
      <c r="Y7" s="75">
        <f t="shared" si="2"/>
        <v>1</v>
      </c>
      <c r="Z7" s="75" t="str">
        <f t="shared" si="3"/>
        <v/>
      </c>
      <c r="AA7" s="69"/>
      <c r="AB7" s="69"/>
      <c r="AC7" t="s">
        <v>25</v>
      </c>
      <c r="AD7">
        <v>-0.1</v>
      </c>
      <c r="AE7" s="71"/>
      <c r="AF7" s="71"/>
      <c r="AG7" s="71"/>
      <c r="AH7" s="71"/>
      <c r="AI7" s="69"/>
    </row>
    <row r="8" spans="1:36" x14ac:dyDescent="0.25">
      <c r="A8" s="72">
        <v>5</v>
      </c>
      <c r="B8" s="72">
        <v>3.5</v>
      </c>
      <c r="C8" s="1"/>
      <c r="D8" s="29"/>
      <c r="E8" s="1"/>
      <c r="F8" s="72">
        <v>5</v>
      </c>
      <c r="G8" s="72">
        <v>4.3</v>
      </c>
      <c r="V8" s="74">
        <f t="shared" si="0"/>
        <v>0.8</v>
      </c>
      <c r="W8" s="75"/>
      <c r="X8" s="75">
        <f t="shared" si="1"/>
        <v>0</v>
      </c>
      <c r="Y8" s="75">
        <f t="shared" si="2"/>
        <v>1</v>
      </c>
      <c r="Z8" s="75" t="str">
        <f t="shared" si="3"/>
        <v/>
      </c>
      <c r="AA8" s="69"/>
      <c r="AB8" s="69"/>
      <c r="AC8" t="s">
        <v>26</v>
      </c>
      <c r="AD8">
        <v>-0.2</v>
      </c>
      <c r="AE8" s="71"/>
      <c r="AF8" s="71"/>
      <c r="AG8" s="71"/>
      <c r="AH8" s="71"/>
      <c r="AI8" s="69"/>
    </row>
    <row r="9" spans="1:36" x14ac:dyDescent="0.25">
      <c r="A9" s="72">
        <v>6</v>
      </c>
      <c r="B9" s="72">
        <v>3.5</v>
      </c>
      <c r="C9" s="1"/>
      <c r="D9" s="29"/>
      <c r="E9" s="1"/>
      <c r="F9" s="72">
        <v>6</v>
      </c>
      <c r="G9" s="72">
        <v>3.3</v>
      </c>
      <c r="V9" s="74">
        <f t="shared" si="0"/>
        <v>-0.2</v>
      </c>
      <c r="W9" s="75"/>
      <c r="X9" s="75">
        <f t="shared" si="1"/>
        <v>0</v>
      </c>
      <c r="Y9" s="75">
        <f t="shared" si="2"/>
        <v>0</v>
      </c>
      <c r="Z9" s="75">
        <f t="shared" si="3"/>
        <v>1</v>
      </c>
      <c r="AA9" s="69"/>
      <c r="AB9" s="69"/>
      <c r="AC9" t="s">
        <v>27</v>
      </c>
      <c r="AD9">
        <v>0.78786247069350424</v>
      </c>
      <c r="AE9" s="71"/>
      <c r="AF9" s="71"/>
      <c r="AG9" s="71"/>
      <c r="AH9" s="71"/>
      <c r="AI9" s="69"/>
    </row>
    <row r="10" spans="1:36" x14ac:dyDescent="0.25">
      <c r="A10" s="72">
        <v>7</v>
      </c>
      <c r="B10" s="72">
        <v>3.5</v>
      </c>
      <c r="C10" s="1"/>
      <c r="D10" s="29"/>
      <c r="E10" s="1"/>
      <c r="F10" s="72">
        <v>7</v>
      </c>
      <c r="G10" s="72">
        <v>1.5</v>
      </c>
      <c r="V10" s="74">
        <f t="shared" si="0"/>
        <v>-2</v>
      </c>
      <c r="W10" s="75"/>
      <c r="X10" s="75">
        <f t="shared" si="1"/>
        <v>1</v>
      </c>
      <c r="Y10" s="75">
        <f t="shared" si="2"/>
        <v>0</v>
      </c>
      <c r="Z10" s="75" t="str">
        <f t="shared" si="3"/>
        <v/>
      </c>
      <c r="AA10" s="69"/>
      <c r="AB10" s="69"/>
      <c r="AC10" t="s">
        <v>28</v>
      </c>
      <c r="AD10">
        <v>0.62072727272727279</v>
      </c>
      <c r="AE10" s="71"/>
      <c r="AF10" s="71"/>
      <c r="AG10" s="71"/>
      <c r="AH10" s="71"/>
      <c r="AI10" s="69"/>
    </row>
    <row r="11" spans="1:36" x14ac:dyDescent="0.25">
      <c r="A11" s="72">
        <v>8</v>
      </c>
      <c r="B11" s="72">
        <v>3.5</v>
      </c>
      <c r="C11" s="1"/>
      <c r="D11" s="29"/>
      <c r="E11" s="1"/>
      <c r="F11" s="72">
        <v>8</v>
      </c>
      <c r="G11" s="72">
        <v>4</v>
      </c>
      <c r="V11" s="74">
        <f t="shared" si="0"/>
        <v>0.5</v>
      </c>
      <c r="W11" s="75"/>
      <c r="X11" s="75">
        <f t="shared" si="1"/>
        <v>0</v>
      </c>
      <c r="Y11" s="75">
        <f t="shared" si="2"/>
        <v>0</v>
      </c>
      <c r="Z11" s="75">
        <f t="shared" si="3"/>
        <v>1</v>
      </c>
      <c r="AA11" s="69"/>
      <c r="AB11" s="69"/>
      <c r="AC11" t="s">
        <v>29</v>
      </c>
      <c r="AD11">
        <v>3.3985306033359981</v>
      </c>
      <c r="AE11" s="71"/>
      <c r="AF11" s="71"/>
      <c r="AG11" s="71"/>
      <c r="AH11" s="71"/>
      <c r="AI11" s="69"/>
    </row>
    <row r="12" spans="1:36" x14ac:dyDescent="0.25">
      <c r="A12" s="72">
        <v>9</v>
      </c>
      <c r="B12" s="72">
        <v>3.5</v>
      </c>
      <c r="C12" s="1"/>
      <c r="D12" s="29"/>
      <c r="E12" s="1"/>
      <c r="F12" s="72">
        <v>9</v>
      </c>
      <c r="G12" s="72">
        <v>3.5</v>
      </c>
      <c r="V12" s="74">
        <f t="shared" si="0"/>
        <v>0</v>
      </c>
      <c r="W12" s="75"/>
      <c r="X12" s="75">
        <f t="shared" si="1"/>
        <v>0</v>
      </c>
      <c r="Y12" s="75">
        <f t="shared" si="2"/>
        <v>0</v>
      </c>
      <c r="Z12" s="75">
        <f t="shared" si="3"/>
        <v>1</v>
      </c>
      <c r="AA12" s="69"/>
      <c r="AB12" s="69"/>
      <c r="AC12" t="s">
        <v>30</v>
      </c>
      <c r="AD12">
        <v>-1.473401475748215</v>
      </c>
      <c r="AE12" s="71"/>
      <c r="AF12" s="71"/>
      <c r="AG12" s="71"/>
      <c r="AH12" s="71"/>
      <c r="AI12" s="69"/>
    </row>
    <row r="13" spans="1:36" x14ac:dyDescent="0.25">
      <c r="A13" s="72">
        <v>10</v>
      </c>
      <c r="B13" s="72">
        <v>3.5</v>
      </c>
      <c r="C13" s="1"/>
      <c r="D13" s="29"/>
      <c r="E13" s="1"/>
      <c r="F13" s="72">
        <v>10</v>
      </c>
      <c r="G13" s="72">
        <v>3.1</v>
      </c>
      <c r="V13" s="74">
        <f t="shared" si="0"/>
        <v>-0.4</v>
      </c>
      <c r="W13" s="75"/>
      <c r="X13" s="75">
        <f t="shared" si="1"/>
        <v>0</v>
      </c>
      <c r="Y13" s="75">
        <f t="shared" si="2"/>
        <v>0</v>
      </c>
      <c r="Z13" s="75">
        <f t="shared" si="3"/>
        <v>1</v>
      </c>
      <c r="AA13" s="69"/>
      <c r="AB13" s="69"/>
      <c r="AC13" t="s">
        <v>31</v>
      </c>
      <c r="AD13">
        <v>2.8</v>
      </c>
      <c r="AE13" s="71"/>
      <c r="AF13" s="71"/>
      <c r="AG13" s="71"/>
      <c r="AH13" s="71"/>
      <c r="AI13" s="69"/>
    </row>
    <row r="14" spans="1:36" x14ac:dyDescent="0.25">
      <c r="A14" s="72">
        <v>11</v>
      </c>
      <c r="B14" s="72">
        <v>3.5</v>
      </c>
      <c r="C14" s="1"/>
      <c r="D14" s="29"/>
      <c r="E14" s="1"/>
      <c r="F14" s="72">
        <v>11</v>
      </c>
      <c r="G14" s="72">
        <v>3.2</v>
      </c>
      <c r="V14" s="74">
        <f t="shared" si="0"/>
        <v>-0.3</v>
      </c>
      <c r="W14" s="75"/>
      <c r="X14" s="75">
        <f t="shared" si="1"/>
        <v>0</v>
      </c>
      <c r="Y14" s="75">
        <f t="shared" si="2"/>
        <v>0</v>
      </c>
      <c r="Z14" s="75">
        <f t="shared" si="3"/>
        <v>1</v>
      </c>
      <c r="AA14" s="69"/>
      <c r="AB14" s="69"/>
      <c r="AC14" t="s">
        <v>32</v>
      </c>
      <c r="AD14">
        <v>-2</v>
      </c>
      <c r="AE14" s="71"/>
      <c r="AF14" s="71"/>
      <c r="AG14" s="71"/>
      <c r="AH14" s="71"/>
      <c r="AI14" s="69"/>
    </row>
    <row r="15" spans="1:36" x14ac:dyDescent="0.25">
      <c r="A15" s="72"/>
      <c r="B15" s="72"/>
      <c r="C15" s="1"/>
      <c r="D15" s="29"/>
      <c r="E15" s="1"/>
      <c r="F15" s="72"/>
      <c r="G15" s="72"/>
      <c r="V15" s="74"/>
      <c r="W15" s="75"/>
      <c r="X15" s="75"/>
      <c r="Y15" s="75"/>
      <c r="Z15" s="75"/>
      <c r="AA15" s="69"/>
      <c r="AB15" s="69"/>
      <c r="AC15" t="s">
        <v>33</v>
      </c>
      <c r="AD15">
        <v>0.8</v>
      </c>
      <c r="AE15" s="71"/>
      <c r="AF15" s="71"/>
      <c r="AG15" s="71"/>
      <c r="AH15" s="71"/>
      <c r="AI15" s="69"/>
    </row>
    <row r="16" spans="1:36" x14ac:dyDescent="0.25">
      <c r="A16" s="72"/>
      <c r="B16" s="72"/>
      <c r="C16" s="1"/>
      <c r="D16" s="29"/>
      <c r="E16" s="1"/>
      <c r="F16" s="72"/>
      <c r="G16" s="72"/>
      <c r="V16" s="75"/>
      <c r="W16" s="75"/>
      <c r="X16" s="75"/>
      <c r="Y16" s="75"/>
      <c r="Z16" s="75"/>
      <c r="AA16" s="69"/>
      <c r="AB16" s="69"/>
      <c r="AC16" t="s">
        <v>34</v>
      </c>
      <c r="AD16">
        <v>-0.49999999999999983</v>
      </c>
      <c r="AE16" s="71"/>
      <c r="AF16" s="71"/>
      <c r="AG16" s="71"/>
      <c r="AH16" s="71"/>
      <c r="AI16" s="69"/>
    </row>
    <row r="17" spans="1:35" ht="16.5" thickBot="1" x14ac:dyDescent="0.3">
      <c r="A17" s="72"/>
      <c r="B17" s="72"/>
      <c r="C17" s="1"/>
      <c r="D17" s="29"/>
      <c r="E17" s="1"/>
      <c r="F17" s="72"/>
      <c r="G17" s="72"/>
      <c r="V17" s="75"/>
      <c r="W17" s="75"/>
      <c r="X17" s="75"/>
      <c r="Y17" s="75"/>
      <c r="Z17" s="75"/>
      <c r="AA17" s="69"/>
      <c r="AB17" s="69"/>
      <c r="AC17" s="42" t="s">
        <v>35</v>
      </c>
      <c r="AD17" s="42">
        <v>11</v>
      </c>
      <c r="AE17" s="71"/>
      <c r="AF17" s="71"/>
      <c r="AG17" s="71"/>
      <c r="AH17" s="71"/>
      <c r="AI17" s="69"/>
    </row>
    <row r="18" spans="1:35" ht="16.5" thickBot="1" x14ac:dyDescent="0.3">
      <c r="A18" s="72"/>
      <c r="B18" s="72"/>
      <c r="C18" s="1"/>
      <c r="D18" s="29"/>
      <c r="E18" s="1"/>
      <c r="F18" s="72"/>
      <c r="G18" s="72"/>
      <c r="V18" s="75"/>
      <c r="W18" s="75"/>
      <c r="X18" s="75"/>
      <c r="Y18" s="75"/>
      <c r="Z18" s="75"/>
      <c r="AA18" s="69"/>
      <c r="AB18" s="69"/>
      <c r="AC18" s="79"/>
      <c r="AD18" s="79"/>
      <c r="AE18" s="71"/>
      <c r="AF18" s="71"/>
      <c r="AG18" s="71"/>
      <c r="AH18" s="71"/>
      <c r="AI18" s="69"/>
    </row>
    <row r="19" spans="1:35" x14ac:dyDescent="0.25">
      <c r="A19" s="72"/>
      <c r="B19" s="72"/>
      <c r="C19" s="1"/>
      <c r="D19" s="29"/>
      <c r="E19" s="1"/>
      <c r="F19" s="72"/>
      <c r="G19" s="72"/>
      <c r="V19" s="75"/>
      <c r="W19" s="75"/>
      <c r="X19" s="75"/>
      <c r="Y19" s="75"/>
      <c r="Z19" s="75"/>
      <c r="AA19" s="69"/>
      <c r="AB19" s="69"/>
      <c r="AC19" s="69"/>
      <c r="AD19" s="69"/>
      <c r="AE19" s="69"/>
      <c r="AF19" s="69"/>
      <c r="AG19" s="69"/>
      <c r="AH19" s="69"/>
      <c r="AI19" s="69"/>
    </row>
    <row r="20" spans="1:35" ht="16.5" x14ac:dyDescent="0.25">
      <c r="A20" s="72"/>
      <c r="B20" s="72"/>
      <c r="C20" s="1"/>
      <c r="D20" s="43" t="s">
        <v>36</v>
      </c>
      <c r="E20" s="1"/>
      <c r="F20" s="72"/>
      <c r="G20" s="72"/>
      <c r="V20" s="75"/>
      <c r="W20" s="75"/>
      <c r="X20" s="75"/>
      <c r="Y20" s="75"/>
      <c r="Z20" s="75"/>
      <c r="AA20" s="69"/>
      <c r="AB20" s="69"/>
      <c r="AC20" s="69"/>
      <c r="AD20" s="69"/>
      <c r="AE20" s="69"/>
      <c r="AF20" s="69"/>
      <c r="AG20" s="69"/>
      <c r="AH20" s="69"/>
      <c r="AI20" s="69"/>
    </row>
    <row r="21" spans="1:35" x14ac:dyDescent="0.25">
      <c r="A21" s="72"/>
      <c r="B21" s="72"/>
      <c r="C21" s="1"/>
      <c r="D21" s="44"/>
      <c r="E21" s="1"/>
      <c r="F21" s="72"/>
      <c r="G21" s="72"/>
      <c r="V21" s="75"/>
      <c r="W21" s="75"/>
      <c r="X21" s="75"/>
      <c r="Y21" s="75"/>
      <c r="Z21" s="75"/>
      <c r="AA21" s="69"/>
      <c r="AB21" s="69"/>
      <c r="AC21" s="69"/>
      <c r="AD21" s="69"/>
      <c r="AE21" s="69"/>
      <c r="AF21" s="69"/>
      <c r="AG21" s="69"/>
      <c r="AH21" s="69"/>
      <c r="AI21" s="69"/>
    </row>
    <row r="22" spans="1:35" x14ac:dyDescent="0.25">
      <c r="A22" s="72"/>
      <c r="B22" s="72"/>
      <c r="C22" s="1"/>
      <c r="D22" s="44"/>
      <c r="E22" s="1"/>
      <c r="F22" s="72"/>
      <c r="G22" s="72"/>
      <c r="V22" s="75"/>
      <c r="W22" s="75"/>
      <c r="X22" s="75"/>
      <c r="Y22" s="75"/>
      <c r="Z22" s="75"/>
      <c r="AA22" s="69"/>
      <c r="AB22" s="69"/>
      <c r="AC22" s="69"/>
      <c r="AD22" s="69"/>
      <c r="AE22" s="69"/>
      <c r="AF22" s="69"/>
      <c r="AG22" s="69"/>
      <c r="AH22" s="69"/>
      <c r="AI22" s="69"/>
    </row>
    <row r="23" spans="1:35" x14ac:dyDescent="0.25">
      <c r="A23" s="72"/>
      <c r="B23" s="72"/>
      <c r="C23" s="1"/>
      <c r="D23" s="1"/>
      <c r="E23" s="1"/>
      <c r="F23" s="72"/>
      <c r="G23" s="72"/>
      <c r="V23" s="75"/>
      <c r="W23" s="75"/>
      <c r="X23" s="75"/>
      <c r="Y23" s="75"/>
      <c r="Z23" s="75"/>
      <c r="AA23" s="69"/>
      <c r="AB23" s="69"/>
      <c r="AC23" s="69"/>
      <c r="AD23" s="69"/>
      <c r="AE23" s="69"/>
      <c r="AF23" s="69"/>
      <c r="AG23" s="69"/>
      <c r="AH23" s="69"/>
      <c r="AI23" s="69"/>
    </row>
    <row r="24" spans="1:35" x14ac:dyDescent="0.25">
      <c r="A24" s="72"/>
      <c r="B24" s="72"/>
      <c r="C24" s="1"/>
      <c r="D24" s="1"/>
      <c r="E24" s="1"/>
      <c r="F24" s="72"/>
      <c r="G24" s="72"/>
      <c r="V24" s="75"/>
      <c r="W24" s="75"/>
      <c r="X24" s="75"/>
      <c r="Y24" s="75"/>
      <c r="Z24" s="75"/>
      <c r="AA24" s="69"/>
      <c r="AB24" s="69"/>
      <c r="AC24" s="69"/>
      <c r="AD24" s="69"/>
      <c r="AE24" s="69"/>
      <c r="AF24" s="69"/>
      <c r="AG24" s="69"/>
      <c r="AH24" s="69"/>
      <c r="AI24" s="69"/>
    </row>
    <row r="25" spans="1:35" x14ac:dyDescent="0.25">
      <c r="A25" s="72"/>
      <c r="B25" s="72"/>
      <c r="C25" s="1"/>
      <c r="D25" s="1"/>
      <c r="E25" s="1"/>
      <c r="F25" s="72"/>
      <c r="G25" s="72"/>
      <c r="V25" s="75"/>
      <c r="W25" s="75"/>
      <c r="X25" s="75"/>
      <c r="Y25" s="75"/>
      <c r="Z25" s="75"/>
      <c r="AA25" s="69"/>
      <c r="AB25" s="69"/>
      <c r="AC25" s="69"/>
      <c r="AD25" s="69"/>
      <c r="AE25" s="69"/>
      <c r="AF25" s="69"/>
      <c r="AG25" s="69"/>
      <c r="AH25" s="69"/>
      <c r="AI25" s="69"/>
    </row>
    <row r="26" spans="1:35" x14ac:dyDescent="0.25">
      <c r="A26" s="72"/>
      <c r="B26" s="72"/>
      <c r="C26" s="1"/>
      <c r="D26" s="1"/>
      <c r="E26" s="1"/>
      <c r="F26" s="72"/>
      <c r="G26" s="72"/>
      <c r="V26" s="75"/>
      <c r="W26" s="57"/>
      <c r="X26" s="75"/>
      <c r="Y26" s="75"/>
      <c r="Z26" s="75"/>
      <c r="AA26" s="80"/>
      <c r="AB26" s="81"/>
      <c r="AC26" s="81"/>
      <c r="AD26" s="57"/>
      <c r="AE26" s="57"/>
    </row>
    <row r="27" spans="1:35" x14ac:dyDescent="0.25">
      <c r="A27" s="72"/>
      <c r="B27" s="72"/>
      <c r="C27" s="1"/>
      <c r="D27" s="1"/>
      <c r="E27" s="1"/>
      <c r="F27" s="72"/>
      <c r="G27" s="72"/>
      <c r="V27" s="75"/>
      <c r="W27" s="57"/>
      <c r="X27" s="75"/>
      <c r="Y27" s="75"/>
      <c r="Z27" s="75"/>
      <c r="AA27" s="80"/>
      <c r="AB27" s="81"/>
      <c r="AC27" s="81"/>
      <c r="AD27" s="82">
        <f>SUM(AD31:AD85)</f>
        <v>8</v>
      </c>
      <c r="AE27" s="57"/>
      <c r="AG27" s="82">
        <f>SUM(AG31:AG85)</f>
        <v>3</v>
      </c>
    </row>
    <row r="28" spans="1:35" x14ac:dyDescent="0.25">
      <c r="A28" s="72"/>
      <c r="B28" s="72"/>
      <c r="C28" s="1"/>
      <c r="D28" s="1"/>
      <c r="E28" s="1"/>
      <c r="F28" s="72"/>
      <c r="G28" s="72"/>
      <c r="V28" s="75"/>
      <c r="W28" s="57"/>
      <c r="X28" s="75"/>
      <c r="Y28" s="75"/>
      <c r="Z28" s="75"/>
      <c r="AA28" s="80"/>
      <c r="AB28" s="81"/>
      <c r="AC28" s="81"/>
      <c r="AD28" s="57"/>
      <c r="AE28" s="57"/>
    </row>
    <row r="29" spans="1:35" x14ac:dyDescent="0.25">
      <c r="A29" s="72"/>
      <c r="B29" s="72"/>
      <c r="C29" s="1"/>
      <c r="D29" s="1"/>
      <c r="E29" s="1"/>
      <c r="F29" s="72"/>
      <c r="G29" s="72"/>
      <c r="V29" s="75"/>
      <c r="W29" s="57"/>
      <c r="X29" s="75"/>
      <c r="Y29" s="75"/>
      <c r="Z29" s="75"/>
      <c r="AA29" s="80"/>
      <c r="AB29" s="81"/>
      <c r="AC29" s="83" t="s">
        <v>37</v>
      </c>
      <c r="AD29" s="84"/>
      <c r="AE29" s="57"/>
      <c r="AF29" s="83" t="s">
        <v>38</v>
      </c>
      <c r="AG29" s="84"/>
    </row>
    <row r="30" spans="1:35" x14ac:dyDescent="0.25">
      <c r="A30" s="72"/>
      <c r="B30" s="72"/>
      <c r="C30" s="1"/>
      <c r="D30" s="1"/>
      <c r="E30" s="1"/>
      <c r="F30" s="72"/>
      <c r="G30" s="72"/>
      <c r="V30" s="75"/>
      <c r="W30" s="57"/>
      <c r="X30" s="75"/>
      <c r="Y30" s="75"/>
      <c r="Z30" s="75"/>
      <c r="AA30" s="80"/>
      <c r="AB30" s="81"/>
      <c r="AC30" s="49" t="s">
        <v>39</v>
      </c>
      <c r="AD30" s="50" t="s">
        <v>40</v>
      </c>
      <c r="AE30" s="57"/>
      <c r="AF30" s="49" t="s">
        <v>39</v>
      </c>
      <c r="AG30" s="50" t="s">
        <v>40</v>
      </c>
    </row>
    <row r="31" spans="1:35" x14ac:dyDescent="0.25">
      <c r="A31" s="72"/>
      <c r="B31" s="72"/>
      <c r="C31" s="1"/>
      <c r="D31" s="1"/>
      <c r="E31" s="1"/>
      <c r="F31" s="72"/>
      <c r="G31" s="72"/>
      <c r="V31" s="75"/>
      <c r="W31" s="57"/>
      <c r="X31" s="75"/>
      <c r="Y31" s="75"/>
      <c r="Z31" s="75"/>
      <c r="AA31" s="80"/>
      <c r="AB31" s="81"/>
      <c r="AC31" s="51">
        <f>IF($AE31&lt;=$AA$4,$AE31,"")</f>
        <v>-3</v>
      </c>
      <c r="AD31" s="52">
        <f>IF(AC31="","",COUNTIF($V$4:$V$999,"&gt;="&amp;$AE31)-COUNTIF($V$4:$V$999,"&gt;="&amp;$AE32))</f>
        <v>0</v>
      </c>
      <c r="AE31" s="53">
        <v>-3</v>
      </c>
      <c r="AF31" s="51" t="str">
        <f>IF($AE31&gt;$AA$4,$AE31,"")</f>
        <v/>
      </c>
      <c r="AG31" s="52" t="str">
        <f t="shared" ref="AG31:AG35" si="5">IF(AF31="","",COUNTIF($V$5:$V$1000,"&gt;="&amp;$AH31)-COUNTIF($V$5:$V$1000,"&gt;="&amp;$AH32))</f>
        <v/>
      </c>
    </row>
    <row r="32" spans="1:35" x14ac:dyDescent="0.25">
      <c r="A32" s="72"/>
      <c r="B32" s="72"/>
      <c r="C32" s="1"/>
      <c r="D32" s="1"/>
      <c r="E32" s="1"/>
      <c r="F32" s="72"/>
      <c r="G32" s="72"/>
      <c r="V32" s="75"/>
      <c r="W32" s="57"/>
      <c r="X32" s="75"/>
      <c r="Y32" s="75"/>
      <c r="Z32" s="75"/>
      <c r="AA32" s="80"/>
      <c r="AB32" s="81"/>
      <c r="AC32" s="51">
        <f t="shared" ref="AC32:AC85" si="6">IF($AE32&lt;=$AA$4,$AE32,"")</f>
        <v>-2.9</v>
      </c>
      <c r="AD32" s="52">
        <f t="shared" ref="AD32:AD85" si="7">IF(AC32="","",COUNTIF($V$4:$V$999,"&gt;="&amp;$AE32)-COUNTIF($V$4:$V$999,"&gt;="&amp;$AE33))</f>
        <v>0</v>
      </c>
      <c r="AE32" s="53">
        <v>-2.9</v>
      </c>
      <c r="AF32" s="51" t="str">
        <f t="shared" ref="AF32:AF85" si="8">IF($AE32&gt;$AA$4,$AE32,"")</f>
        <v/>
      </c>
      <c r="AG32" s="52" t="str">
        <f t="shared" si="5"/>
        <v/>
      </c>
    </row>
    <row r="33" spans="1:33" x14ac:dyDescent="0.25">
      <c r="A33" s="72"/>
      <c r="B33" s="72"/>
      <c r="C33" s="1"/>
      <c r="D33" s="1"/>
      <c r="E33" s="1"/>
      <c r="F33" s="72"/>
      <c r="G33" s="72"/>
      <c r="V33" s="75"/>
      <c r="W33" s="57"/>
      <c r="X33" s="75"/>
      <c r="Y33" s="75"/>
      <c r="Z33" s="75"/>
      <c r="AA33" s="80"/>
      <c r="AB33" s="81"/>
      <c r="AC33" s="51">
        <f t="shared" si="6"/>
        <v>-2.8</v>
      </c>
      <c r="AD33" s="52">
        <f t="shared" si="7"/>
        <v>0</v>
      </c>
      <c r="AE33" s="53">
        <v>-2.8</v>
      </c>
      <c r="AF33" s="51" t="str">
        <f t="shared" si="8"/>
        <v/>
      </c>
      <c r="AG33" s="52" t="str">
        <f t="shared" si="5"/>
        <v/>
      </c>
    </row>
    <row r="34" spans="1:33" x14ac:dyDescent="0.25">
      <c r="A34" s="72"/>
      <c r="B34" s="72"/>
      <c r="C34" s="1"/>
      <c r="D34" s="1"/>
      <c r="E34" s="1"/>
      <c r="F34" s="72"/>
      <c r="G34" s="72"/>
      <c r="V34" s="75"/>
      <c r="W34" s="57"/>
      <c r="X34" s="75"/>
      <c r="Y34" s="75"/>
      <c r="Z34" s="75"/>
      <c r="AA34" s="80"/>
      <c r="AB34" s="81"/>
      <c r="AC34" s="51">
        <f t="shared" si="6"/>
        <v>-2.7</v>
      </c>
      <c r="AD34" s="52">
        <f t="shared" si="7"/>
        <v>0</v>
      </c>
      <c r="AE34" s="53">
        <v>-2.7</v>
      </c>
      <c r="AF34" s="51" t="str">
        <f t="shared" si="8"/>
        <v/>
      </c>
      <c r="AG34" s="52" t="str">
        <f t="shared" si="5"/>
        <v/>
      </c>
    </row>
    <row r="35" spans="1:33" x14ac:dyDescent="0.25">
      <c r="A35" s="72"/>
      <c r="B35" s="72"/>
      <c r="C35" s="1"/>
      <c r="D35" s="1"/>
      <c r="E35" s="1"/>
      <c r="F35" s="72"/>
      <c r="G35" s="72"/>
      <c r="V35" s="75"/>
      <c r="W35" s="57"/>
      <c r="X35" s="75"/>
      <c r="Y35" s="75"/>
      <c r="Z35" s="75"/>
      <c r="AA35" s="80"/>
      <c r="AB35" s="81"/>
      <c r="AC35" s="51">
        <f t="shared" si="6"/>
        <v>-2.6</v>
      </c>
      <c r="AD35" s="52">
        <f t="shared" si="7"/>
        <v>0</v>
      </c>
      <c r="AE35" s="53">
        <v>-2.6</v>
      </c>
      <c r="AF35" s="51" t="str">
        <f t="shared" si="8"/>
        <v/>
      </c>
      <c r="AG35" s="52" t="str">
        <f t="shared" si="5"/>
        <v/>
      </c>
    </row>
    <row r="36" spans="1:33" x14ac:dyDescent="0.25">
      <c r="A36" s="72"/>
      <c r="B36" s="72"/>
      <c r="C36" s="1"/>
      <c r="D36" s="1"/>
      <c r="E36" s="1"/>
      <c r="F36" s="72"/>
      <c r="G36" s="72"/>
      <c r="V36" s="75"/>
      <c r="W36" s="57"/>
      <c r="X36" s="75"/>
      <c r="Y36" s="75"/>
      <c r="Z36" s="75"/>
      <c r="AA36" s="80"/>
      <c r="AB36" s="81"/>
      <c r="AC36" s="51">
        <f t="shared" si="6"/>
        <v>-2.5</v>
      </c>
      <c r="AD36" s="52">
        <f t="shared" si="7"/>
        <v>0</v>
      </c>
      <c r="AE36" s="53">
        <v>-2.5</v>
      </c>
      <c r="AF36" s="51" t="str">
        <f t="shared" si="8"/>
        <v/>
      </c>
      <c r="AG36" s="52" t="str">
        <f>IF(AF36="","",COUNTIF($V$5:$V$1000,"&gt;="&amp;$AF36)-COUNTIF($V$5:$V$1000,"&gt;="&amp;$AF37))</f>
        <v/>
      </c>
    </row>
    <row r="37" spans="1:33" x14ac:dyDescent="0.25">
      <c r="C37" s="1"/>
      <c r="D37" s="1"/>
      <c r="E37" s="1"/>
      <c r="V37" s="75"/>
      <c r="W37" s="57"/>
      <c r="X37" s="75"/>
      <c r="Y37" s="75"/>
      <c r="Z37" s="75"/>
      <c r="AA37" s="80"/>
      <c r="AB37" s="81"/>
      <c r="AC37" s="51">
        <f t="shared" si="6"/>
        <v>-2.4</v>
      </c>
      <c r="AD37" s="52">
        <f t="shared" si="7"/>
        <v>0</v>
      </c>
      <c r="AE37" s="53">
        <v>-2.4</v>
      </c>
      <c r="AF37" s="51" t="str">
        <f t="shared" si="8"/>
        <v/>
      </c>
      <c r="AG37" s="52" t="str">
        <f t="shared" ref="AG37:AG85" si="9">IF(AF37="","",COUNTIF($V$5:$V$1000,"&gt;="&amp;$AF37)-COUNTIF($V$5:$V$1000,"&gt;="&amp;$AF38))</f>
        <v/>
      </c>
    </row>
    <row r="38" spans="1:33" x14ac:dyDescent="0.25">
      <c r="C38" s="1"/>
      <c r="D38" s="1"/>
      <c r="E38" s="1"/>
      <c r="V38" s="75"/>
      <c r="W38" s="57"/>
      <c r="X38" s="75"/>
      <c r="Y38" s="75"/>
      <c r="Z38" s="75"/>
      <c r="AA38" s="80"/>
      <c r="AB38" s="81"/>
      <c r="AC38" s="51">
        <f t="shared" si="6"/>
        <v>-2.2999999999999998</v>
      </c>
      <c r="AD38" s="52">
        <f t="shared" si="7"/>
        <v>0</v>
      </c>
      <c r="AE38" s="53">
        <v>-2.2999999999999998</v>
      </c>
      <c r="AF38" s="51" t="str">
        <f t="shared" si="8"/>
        <v/>
      </c>
      <c r="AG38" s="52" t="str">
        <f t="shared" si="9"/>
        <v/>
      </c>
    </row>
    <row r="39" spans="1:33" x14ac:dyDescent="0.25">
      <c r="C39" s="1"/>
      <c r="D39" s="1"/>
      <c r="E39" s="1"/>
      <c r="V39" s="75"/>
      <c r="W39" s="57"/>
      <c r="X39" s="75"/>
      <c r="Y39" s="75"/>
      <c r="Z39" s="75"/>
      <c r="AA39" s="80"/>
      <c r="AB39" s="81"/>
      <c r="AC39" s="51">
        <f t="shared" si="6"/>
        <v>-2.2000000000000002</v>
      </c>
      <c r="AD39" s="52">
        <f t="shared" si="7"/>
        <v>0</v>
      </c>
      <c r="AE39" s="53">
        <v>-2.2000000000000002</v>
      </c>
      <c r="AF39" s="51" t="str">
        <f t="shared" si="8"/>
        <v/>
      </c>
      <c r="AG39" s="52" t="str">
        <f t="shared" si="9"/>
        <v/>
      </c>
    </row>
    <row r="40" spans="1:33" x14ac:dyDescent="0.25">
      <c r="C40" s="1"/>
      <c r="D40" s="1"/>
      <c r="E40" s="1"/>
      <c r="V40" s="75"/>
      <c r="W40" s="57"/>
      <c r="X40" s="75"/>
      <c r="Y40" s="75"/>
      <c r="Z40" s="75"/>
      <c r="AA40" s="80"/>
      <c r="AB40" s="81"/>
      <c r="AC40" s="51">
        <f t="shared" si="6"/>
        <v>-2.1</v>
      </c>
      <c r="AD40" s="52">
        <f t="shared" si="7"/>
        <v>0</v>
      </c>
      <c r="AE40" s="53">
        <v>-2.1</v>
      </c>
      <c r="AF40" s="51" t="str">
        <f t="shared" si="8"/>
        <v/>
      </c>
      <c r="AG40" s="52" t="str">
        <f t="shared" si="9"/>
        <v/>
      </c>
    </row>
    <row r="41" spans="1:33" x14ac:dyDescent="0.25">
      <c r="C41" s="1"/>
      <c r="D41" s="1"/>
      <c r="E41" s="1"/>
      <c r="V41" s="75"/>
      <c r="W41" s="57"/>
      <c r="X41" s="75"/>
      <c r="Y41" s="75"/>
      <c r="Z41" s="75"/>
      <c r="AA41" s="80"/>
      <c r="AB41" s="81"/>
      <c r="AC41" s="51">
        <f t="shared" si="6"/>
        <v>-2</v>
      </c>
      <c r="AD41" s="52">
        <f t="shared" si="7"/>
        <v>1</v>
      </c>
      <c r="AE41" s="53">
        <v>-2</v>
      </c>
      <c r="AF41" s="51" t="str">
        <f t="shared" si="8"/>
        <v/>
      </c>
      <c r="AG41" s="52" t="str">
        <f t="shared" si="9"/>
        <v/>
      </c>
    </row>
    <row r="42" spans="1:33" x14ac:dyDescent="0.25">
      <c r="C42" s="1"/>
      <c r="D42" s="1"/>
      <c r="E42" s="1"/>
      <c r="V42" s="75"/>
      <c r="W42" s="57"/>
      <c r="X42" s="75"/>
      <c r="Y42" s="75"/>
      <c r="Z42" s="75"/>
      <c r="AA42" s="80"/>
      <c r="AB42" s="81"/>
      <c r="AC42" s="51">
        <f t="shared" si="6"/>
        <v>-1.9</v>
      </c>
      <c r="AD42" s="52">
        <f t="shared" si="7"/>
        <v>0</v>
      </c>
      <c r="AE42" s="53">
        <v>-1.9</v>
      </c>
      <c r="AF42" s="51" t="str">
        <f t="shared" si="8"/>
        <v/>
      </c>
      <c r="AG42" s="52" t="str">
        <f t="shared" si="9"/>
        <v/>
      </c>
    </row>
    <row r="43" spans="1:33" x14ac:dyDescent="0.25">
      <c r="C43" s="1"/>
      <c r="D43" s="1"/>
      <c r="E43" s="1"/>
      <c r="V43" s="75"/>
      <c r="W43" s="57"/>
      <c r="X43" s="75"/>
      <c r="Y43" s="75"/>
      <c r="Z43" s="75"/>
      <c r="AA43" s="80"/>
      <c r="AB43" s="81"/>
      <c r="AC43" s="51">
        <f t="shared" si="6"/>
        <v>-1.8</v>
      </c>
      <c r="AD43" s="52">
        <f t="shared" si="7"/>
        <v>0</v>
      </c>
      <c r="AE43" s="53">
        <v>-1.8</v>
      </c>
      <c r="AF43" s="51" t="str">
        <f t="shared" si="8"/>
        <v/>
      </c>
      <c r="AG43" s="52" t="str">
        <f t="shared" si="9"/>
        <v/>
      </c>
    </row>
    <row r="44" spans="1:33" x14ac:dyDescent="0.25">
      <c r="C44" s="1"/>
      <c r="D44" s="1"/>
      <c r="E44" s="1"/>
      <c r="V44" s="75"/>
      <c r="W44" s="57"/>
      <c r="X44" s="75"/>
      <c r="Y44" s="75"/>
      <c r="Z44" s="75"/>
      <c r="AA44" s="80"/>
      <c r="AB44" s="81"/>
      <c r="AC44" s="51">
        <f t="shared" si="6"/>
        <v>-1.7</v>
      </c>
      <c r="AD44" s="52">
        <f t="shared" si="7"/>
        <v>0</v>
      </c>
      <c r="AE44" s="53">
        <v>-1.7</v>
      </c>
      <c r="AF44" s="51" t="str">
        <f t="shared" si="8"/>
        <v/>
      </c>
      <c r="AG44" s="52" t="str">
        <f t="shared" si="9"/>
        <v/>
      </c>
    </row>
    <row r="45" spans="1:33" x14ac:dyDescent="0.25">
      <c r="C45" s="1"/>
      <c r="D45" s="1"/>
      <c r="E45" s="1"/>
      <c r="V45" s="75"/>
      <c r="W45" s="57"/>
      <c r="X45" s="75"/>
      <c r="Y45" s="75"/>
      <c r="Z45" s="75"/>
      <c r="AA45" s="80"/>
      <c r="AB45" s="81"/>
      <c r="AC45" s="51">
        <f t="shared" si="6"/>
        <v>-1.6</v>
      </c>
      <c r="AD45" s="52">
        <f t="shared" si="7"/>
        <v>0</v>
      </c>
      <c r="AE45" s="53">
        <v>-1.6</v>
      </c>
      <c r="AF45" s="51" t="str">
        <f t="shared" si="8"/>
        <v/>
      </c>
      <c r="AG45" s="52" t="str">
        <f t="shared" si="9"/>
        <v/>
      </c>
    </row>
    <row r="46" spans="1:33" x14ac:dyDescent="0.25">
      <c r="C46" s="1"/>
      <c r="D46" s="1"/>
      <c r="E46" s="1"/>
      <c r="V46" s="75"/>
      <c r="W46" s="57"/>
      <c r="X46" s="75"/>
      <c r="Y46" s="75"/>
      <c r="Z46" s="75"/>
      <c r="AA46" s="80"/>
      <c r="AB46" s="81"/>
      <c r="AC46" s="51">
        <f t="shared" si="6"/>
        <v>-1.5</v>
      </c>
      <c r="AD46" s="52">
        <f t="shared" si="7"/>
        <v>0</v>
      </c>
      <c r="AE46" s="53">
        <v>-1.5</v>
      </c>
      <c r="AF46" s="51" t="str">
        <f t="shared" si="8"/>
        <v/>
      </c>
      <c r="AG46" s="52" t="str">
        <f t="shared" si="9"/>
        <v/>
      </c>
    </row>
    <row r="47" spans="1:33" x14ac:dyDescent="0.25">
      <c r="C47" s="1"/>
      <c r="D47" s="1"/>
      <c r="E47" s="1"/>
      <c r="V47" s="75"/>
      <c r="W47" s="57"/>
      <c r="X47" s="75"/>
      <c r="Y47" s="75"/>
      <c r="Z47" s="75"/>
      <c r="AA47" s="80"/>
      <c r="AB47" s="81"/>
      <c r="AC47" s="51">
        <f t="shared" si="6"/>
        <v>-1.4</v>
      </c>
      <c r="AD47" s="52">
        <f t="shared" si="7"/>
        <v>0</v>
      </c>
      <c r="AE47" s="53">
        <v>-1.4</v>
      </c>
      <c r="AF47" s="51" t="str">
        <f t="shared" si="8"/>
        <v/>
      </c>
      <c r="AG47" s="52" t="str">
        <f t="shared" si="9"/>
        <v/>
      </c>
    </row>
    <row r="48" spans="1:33" x14ac:dyDescent="0.25">
      <c r="C48" s="1"/>
      <c r="D48" s="1"/>
      <c r="E48" s="1"/>
      <c r="V48" s="75"/>
      <c r="W48" s="57"/>
      <c r="X48" s="75"/>
      <c r="Y48" s="75"/>
      <c r="Z48" s="75"/>
      <c r="AA48" s="80"/>
      <c r="AB48" s="81"/>
      <c r="AC48" s="51">
        <f t="shared" si="6"/>
        <v>-1.3</v>
      </c>
      <c r="AD48" s="52">
        <f t="shared" si="7"/>
        <v>0</v>
      </c>
      <c r="AE48" s="53">
        <v>-1.3</v>
      </c>
      <c r="AF48" s="51" t="str">
        <f t="shared" si="8"/>
        <v/>
      </c>
      <c r="AG48" s="52" t="str">
        <f t="shared" si="9"/>
        <v/>
      </c>
    </row>
    <row r="49" spans="3:33" x14ac:dyDescent="0.25">
      <c r="C49" s="1"/>
      <c r="D49" s="1"/>
      <c r="E49" s="1"/>
      <c r="V49" s="75"/>
      <c r="W49" s="57"/>
      <c r="X49" s="75"/>
      <c r="Y49" s="75"/>
      <c r="Z49" s="75"/>
      <c r="AA49" s="80"/>
      <c r="AB49" s="81"/>
      <c r="AC49" s="51">
        <f t="shared" si="6"/>
        <v>-1.2</v>
      </c>
      <c r="AD49" s="52">
        <f t="shared" si="7"/>
        <v>0</v>
      </c>
      <c r="AE49" s="53">
        <v>-1.2</v>
      </c>
      <c r="AF49" s="51" t="str">
        <f t="shared" si="8"/>
        <v/>
      </c>
      <c r="AG49" s="52" t="str">
        <f t="shared" si="9"/>
        <v/>
      </c>
    </row>
    <row r="50" spans="3:33" x14ac:dyDescent="0.25">
      <c r="C50" s="1"/>
      <c r="D50" s="1"/>
      <c r="E50" s="1"/>
      <c r="V50" s="75"/>
      <c r="W50" s="57"/>
      <c r="X50" s="75"/>
      <c r="Y50" s="75"/>
      <c r="Z50" s="75"/>
      <c r="AA50" s="80"/>
      <c r="AB50" s="81"/>
      <c r="AC50" s="51">
        <f t="shared" si="6"/>
        <v>-1.1000000000000001</v>
      </c>
      <c r="AD50" s="52">
        <f t="shared" si="7"/>
        <v>0</v>
      </c>
      <c r="AE50" s="53">
        <v>-1.1000000000000001</v>
      </c>
      <c r="AF50" s="51" t="str">
        <f t="shared" si="8"/>
        <v/>
      </c>
      <c r="AG50" s="52" t="str">
        <f t="shared" si="9"/>
        <v/>
      </c>
    </row>
    <row r="51" spans="3:33" x14ac:dyDescent="0.25">
      <c r="C51" s="1"/>
      <c r="D51" s="1"/>
      <c r="E51" s="1"/>
      <c r="V51" s="75"/>
      <c r="W51" s="57"/>
      <c r="X51" s="75"/>
      <c r="Y51" s="75"/>
      <c r="Z51" s="75"/>
      <c r="AA51" s="80"/>
      <c r="AB51" s="81"/>
      <c r="AC51" s="51">
        <f t="shared" si="6"/>
        <v>-1</v>
      </c>
      <c r="AD51" s="52">
        <f t="shared" si="7"/>
        <v>0</v>
      </c>
      <c r="AE51" s="53">
        <v>-1</v>
      </c>
      <c r="AF51" s="51" t="str">
        <f t="shared" si="8"/>
        <v/>
      </c>
      <c r="AG51" s="52" t="str">
        <f t="shared" si="9"/>
        <v/>
      </c>
    </row>
    <row r="52" spans="3:33" x14ac:dyDescent="0.25">
      <c r="C52" s="1"/>
      <c r="D52" s="1"/>
      <c r="E52" s="1"/>
      <c r="V52" s="75"/>
      <c r="W52" s="57"/>
      <c r="X52" s="75"/>
      <c r="Y52" s="75"/>
      <c r="Z52" s="75"/>
      <c r="AA52" s="80"/>
      <c r="AB52" s="81"/>
      <c r="AC52" s="51">
        <f t="shared" si="6"/>
        <v>-0.9</v>
      </c>
      <c r="AD52" s="52">
        <f t="shared" si="7"/>
        <v>0</v>
      </c>
      <c r="AE52" s="53">
        <v>-0.9</v>
      </c>
      <c r="AF52" s="51" t="str">
        <f t="shared" si="8"/>
        <v/>
      </c>
      <c r="AG52" s="52" t="str">
        <f t="shared" si="9"/>
        <v/>
      </c>
    </row>
    <row r="53" spans="3:33" x14ac:dyDescent="0.25">
      <c r="C53" s="1"/>
      <c r="D53" s="1"/>
      <c r="E53" s="1"/>
      <c r="V53" s="75"/>
      <c r="W53" s="57"/>
      <c r="X53" s="75"/>
      <c r="Y53" s="75"/>
      <c r="Z53" s="75"/>
      <c r="AA53" s="80"/>
      <c r="AB53" s="81"/>
      <c r="AC53" s="51">
        <f t="shared" si="6"/>
        <v>-0.8</v>
      </c>
      <c r="AD53" s="52">
        <f t="shared" si="7"/>
        <v>0</v>
      </c>
      <c r="AE53" s="53">
        <v>-0.8</v>
      </c>
      <c r="AF53" s="51" t="str">
        <f t="shared" si="8"/>
        <v/>
      </c>
      <c r="AG53" s="52" t="str">
        <f t="shared" si="9"/>
        <v/>
      </c>
    </row>
    <row r="54" spans="3:33" x14ac:dyDescent="0.25">
      <c r="C54" s="1"/>
      <c r="D54" s="1"/>
      <c r="E54" s="1"/>
      <c r="V54" s="75"/>
      <c r="W54" s="57"/>
      <c r="X54" s="75"/>
      <c r="Y54" s="75"/>
      <c r="Z54" s="75"/>
      <c r="AA54" s="80"/>
      <c r="AB54" s="81"/>
      <c r="AC54" s="51">
        <f t="shared" si="6"/>
        <v>-0.7</v>
      </c>
      <c r="AD54" s="52">
        <f t="shared" si="7"/>
        <v>0</v>
      </c>
      <c r="AE54" s="53">
        <v>-0.7</v>
      </c>
      <c r="AF54" s="51" t="str">
        <f t="shared" si="8"/>
        <v/>
      </c>
      <c r="AG54" s="52" t="str">
        <f t="shared" si="9"/>
        <v/>
      </c>
    </row>
    <row r="55" spans="3:33" x14ac:dyDescent="0.25">
      <c r="C55" s="1"/>
      <c r="D55" s="1"/>
      <c r="E55" s="1"/>
      <c r="V55" s="75"/>
      <c r="W55" s="57"/>
      <c r="X55" s="75"/>
      <c r="Y55" s="75"/>
      <c r="Z55" s="75"/>
      <c r="AA55" s="80"/>
      <c r="AB55" s="81"/>
      <c r="AC55" s="51">
        <f t="shared" si="6"/>
        <v>-0.6</v>
      </c>
      <c r="AD55" s="52">
        <f t="shared" si="7"/>
        <v>0</v>
      </c>
      <c r="AE55" s="53">
        <v>-0.6</v>
      </c>
      <c r="AF55" s="51" t="str">
        <f t="shared" si="8"/>
        <v/>
      </c>
      <c r="AG55" s="52" t="str">
        <f t="shared" si="9"/>
        <v/>
      </c>
    </row>
    <row r="56" spans="3:33" x14ac:dyDescent="0.25">
      <c r="C56" s="1"/>
      <c r="D56" s="1"/>
      <c r="E56" s="1"/>
      <c r="V56" s="75"/>
      <c r="W56" s="57"/>
      <c r="X56" s="75"/>
      <c r="Y56" s="75"/>
      <c r="Z56" s="75"/>
      <c r="AA56" s="80"/>
      <c r="AB56" s="81"/>
      <c r="AC56" s="51">
        <f t="shared" si="6"/>
        <v>-0.5</v>
      </c>
      <c r="AD56" s="52">
        <f t="shared" si="7"/>
        <v>0</v>
      </c>
      <c r="AE56" s="53">
        <v>-0.5</v>
      </c>
      <c r="AF56" s="51" t="str">
        <f t="shared" si="8"/>
        <v/>
      </c>
      <c r="AG56" s="52" t="str">
        <f t="shared" si="9"/>
        <v/>
      </c>
    </row>
    <row r="57" spans="3:33" x14ac:dyDescent="0.25">
      <c r="C57" s="1"/>
      <c r="D57" s="1"/>
      <c r="E57" s="1"/>
      <c r="V57" s="75"/>
      <c r="W57" s="57"/>
      <c r="X57" s="75"/>
      <c r="Y57" s="75"/>
      <c r="Z57" s="75"/>
      <c r="AA57" s="80"/>
      <c r="AB57" s="81"/>
      <c r="AC57" s="51">
        <f t="shared" si="6"/>
        <v>-0.4</v>
      </c>
      <c r="AD57" s="52">
        <f t="shared" si="7"/>
        <v>1</v>
      </c>
      <c r="AE57" s="53">
        <v>-0.4</v>
      </c>
      <c r="AF57" s="51" t="str">
        <f t="shared" si="8"/>
        <v/>
      </c>
      <c r="AG57" s="52" t="str">
        <f t="shared" si="9"/>
        <v/>
      </c>
    </row>
    <row r="58" spans="3:33" x14ac:dyDescent="0.25">
      <c r="C58" s="1"/>
      <c r="D58" s="1"/>
      <c r="E58" s="1"/>
      <c r="V58" s="75"/>
      <c r="W58" s="57"/>
      <c r="X58" s="75"/>
      <c r="Y58" s="75"/>
      <c r="Z58" s="75"/>
      <c r="AA58" s="80"/>
      <c r="AB58" s="81"/>
      <c r="AC58" s="51">
        <f t="shared" si="6"/>
        <v>-0.3</v>
      </c>
      <c r="AD58" s="52">
        <f t="shared" si="7"/>
        <v>1</v>
      </c>
      <c r="AE58" s="53">
        <v>-0.3</v>
      </c>
      <c r="AF58" s="51" t="str">
        <f t="shared" si="8"/>
        <v/>
      </c>
      <c r="AG58" s="52" t="str">
        <f t="shared" si="9"/>
        <v/>
      </c>
    </row>
    <row r="59" spans="3:33" x14ac:dyDescent="0.25">
      <c r="C59" s="1"/>
      <c r="D59" s="1"/>
      <c r="E59" s="1"/>
      <c r="V59" s="75"/>
      <c r="W59" s="57"/>
      <c r="X59" s="75"/>
      <c r="Y59" s="75"/>
      <c r="Z59" s="75"/>
      <c r="AA59" s="80"/>
      <c r="AB59" s="81"/>
      <c r="AC59" s="51">
        <f t="shared" si="6"/>
        <v>-0.2</v>
      </c>
      <c r="AD59" s="52">
        <f t="shared" si="7"/>
        <v>2</v>
      </c>
      <c r="AE59" s="53">
        <v>-0.2</v>
      </c>
      <c r="AF59" s="51" t="str">
        <f t="shared" si="8"/>
        <v/>
      </c>
      <c r="AG59" s="52" t="str">
        <f t="shared" si="9"/>
        <v/>
      </c>
    </row>
    <row r="60" spans="3:33" x14ac:dyDescent="0.25">
      <c r="C60" s="1"/>
      <c r="D60" s="1"/>
      <c r="E60" s="1"/>
      <c r="V60" s="75"/>
      <c r="W60" s="57"/>
      <c r="X60" s="75"/>
      <c r="Y60" s="75"/>
      <c r="Z60" s="75"/>
      <c r="AA60" s="80"/>
      <c r="AB60" s="81"/>
      <c r="AC60" s="51">
        <f t="shared" si="6"/>
        <v>-0.1</v>
      </c>
      <c r="AD60" s="52">
        <f t="shared" si="7"/>
        <v>1</v>
      </c>
      <c r="AE60" s="53">
        <v>-0.1</v>
      </c>
      <c r="AF60" s="51" t="str">
        <f t="shared" si="8"/>
        <v/>
      </c>
      <c r="AG60" s="52" t="str">
        <f t="shared" si="9"/>
        <v/>
      </c>
    </row>
    <row r="61" spans="3:33" x14ac:dyDescent="0.25">
      <c r="C61" s="1"/>
      <c r="D61" s="1"/>
      <c r="E61" s="1"/>
      <c r="V61" s="75"/>
      <c r="W61" s="57"/>
      <c r="X61" s="75"/>
      <c r="Y61" s="75"/>
      <c r="Z61" s="75"/>
      <c r="AA61" s="80"/>
      <c r="AB61" s="81"/>
      <c r="AC61" s="51">
        <f t="shared" si="6"/>
        <v>0</v>
      </c>
      <c r="AD61" s="52">
        <f t="shared" si="7"/>
        <v>1</v>
      </c>
      <c r="AE61" s="53">
        <v>0</v>
      </c>
      <c r="AF61" s="51" t="str">
        <f t="shared" si="8"/>
        <v/>
      </c>
      <c r="AG61" s="52" t="str">
        <f t="shared" si="9"/>
        <v/>
      </c>
    </row>
    <row r="62" spans="3:33" x14ac:dyDescent="0.25">
      <c r="C62" s="1"/>
      <c r="D62" s="1"/>
      <c r="E62" s="1"/>
      <c r="V62" s="75"/>
      <c r="W62" s="57"/>
      <c r="X62" s="75"/>
      <c r="Y62" s="75"/>
      <c r="Z62" s="75"/>
      <c r="AA62" s="80"/>
      <c r="AB62" s="81"/>
      <c r="AC62" s="51">
        <f t="shared" si="6"/>
        <v>0.1</v>
      </c>
      <c r="AD62" s="52">
        <f t="shared" si="7"/>
        <v>0</v>
      </c>
      <c r="AE62" s="53">
        <v>0.1</v>
      </c>
      <c r="AF62" s="51" t="str">
        <f t="shared" si="8"/>
        <v/>
      </c>
      <c r="AG62" s="52" t="str">
        <f t="shared" si="9"/>
        <v/>
      </c>
    </row>
    <row r="63" spans="3:33" x14ac:dyDescent="0.25">
      <c r="C63" s="1"/>
      <c r="D63" s="1"/>
      <c r="E63" s="1"/>
      <c r="V63" s="75"/>
      <c r="W63" s="57"/>
      <c r="X63" s="75"/>
      <c r="Y63" s="75"/>
      <c r="Z63" s="75"/>
      <c r="AA63" s="80"/>
      <c r="AB63" s="81"/>
      <c r="AC63" s="51">
        <f t="shared" si="6"/>
        <v>0.2</v>
      </c>
      <c r="AD63" s="52">
        <f t="shared" si="7"/>
        <v>0</v>
      </c>
      <c r="AE63" s="53">
        <v>0.2</v>
      </c>
      <c r="AF63" s="51" t="str">
        <f t="shared" si="8"/>
        <v/>
      </c>
      <c r="AG63" s="52" t="str">
        <f t="shared" si="9"/>
        <v/>
      </c>
    </row>
    <row r="64" spans="3:33" x14ac:dyDescent="0.25">
      <c r="C64" s="1"/>
      <c r="D64" s="1"/>
      <c r="E64" s="1"/>
      <c r="V64" s="75"/>
      <c r="W64" s="57"/>
      <c r="X64" s="75"/>
      <c r="Y64" s="75"/>
      <c r="Z64" s="75"/>
      <c r="AC64" s="51">
        <f t="shared" si="6"/>
        <v>0.3</v>
      </c>
      <c r="AD64" s="52">
        <f t="shared" si="7"/>
        <v>0</v>
      </c>
      <c r="AE64" s="53">
        <v>0.3</v>
      </c>
      <c r="AF64" s="51" t="str">
        <f t="shared" si="8"/>
        <v/>
      </c>
      <c r="AG64" s="52" t="str">
        <f t="shared" si="9"/>
        <v/>
      </c>
    </row>
    <row r="65" spans="3:33" x14ac:dyDescent="0.25">
      <c r="C65" s="1"/>
      <c r="D65" s="1"/>
      <c r="E65" s="1"/>
      <c r="V65" s="75"/>
      <c r="W65" s="57"/>
      <c r="X65" s="75"/>
      <c r="Y65" s="75"/>
      <c r="Z65" s="75"/>
      <c r="AC65" s="51">
        <f t="shared" si="6"/>
        <v>0.4</v>
      </c>
      <c r="AD65" s="52">
        <f t="shared" si="7"/>
        <v>0</v>
      </c>
      <c r="AE65" s="53">
        <v>0.4</v>
      </c>
      <c r="AF65" s="51" t="str">
        <f t="shared" si="8"/>
        <v/>
      </c>
      <c r="AG65" s="52" t="str">
        <f t="shared" si="9"/>
        <v/>
      </c>
    </row>
    <row r="66" spans="3:33" x14ac:dyDescent="0.25">
      <c r="C66" s="1"/>
      <c r="D66" s="1"/>
      <c r="E66" s="1"/>
      <c r="V66" s="75"/>
      <c r="W66" s="57"/>
      <c r="X66" s="75"/>
      <c r="Y66" s="75"/>
      <c r="Z66" s="75"/>
      <c r="AC66" s="51">
        <f t="shared" si="6"/>
        <v>0.5</v>
      </c>
      <c r="AD66" s="52">
        <f t="shared" si="7"/>
        <v>1</v>
      </c>
      <c r="AE66" s="53">
        <v>0.5</v>
      </c>
      <c r="AF66" s="51" t="str">
        <f t="shared" si="8"/>
        <v/>
      </c>
      <c r="AG66" s="52" t="str">
        <f t="shared" si="9"/>
        <v/>
      </c>
    </row>
    <row r="67" spans="3:33" x14ac:dyDescent="0.25">
      <c r="C67" s="1"/>
      <c r="D67" s="1"/>
      <c r="E67" s="1"/>
      <c r="V67" s="75"/>
      <c r="W67" s="57"/>
      <c r="X67" s="75"/>
      <c r="Y67" s="75"/>
      <c r="Z67" s="75"/>
      <c r="AC67" s="51" t="str">
        <f t="shared" si="6"/>
        <v/>
      </c>
      <c r="AD67" s="52" t="str">
        <f t="shared" si="7"/>
        <v/>
      </c>
      <c r="AE67" s="53">
        <v>0.6</v>
      </c>
      <c r="AF67" s="51">
        <f t="shared" si="8"/>
        <v>0.6</v>
      </c>
      <c r="AG67" s="52">
        <f t="shared" si="9"/>
        <v>1</v>
      </c>
    </row>
    <row r="68" spans="3:33" x14ac:dyDescent="0.25">
      <c r="C68" s="1"/>
      <c r="D68" s="1"/>
      <c r="E68" s="1"/>
      <c r="V68" s="75"/>
      <c r="W68" s="57"/>
      <c r="X68" s="75"/>
      <c r="Y68" s="75"/>
      <c r="Z68" s="75"/>
      <c r="AC68" s="51" t="str">
        <f t="shared" si="6"/>
        <v/>
      </c>
      <c r="AD68" s="52" t="str">
        <f t="shared" si="7"/>
        <v/>
      </c>
      <c r="AE68" s="53">
        <v>0.7</v>
      </c>
      <c r="AF68" s="51">
        <f t="shared" si="8"/>
        <v>0.7</v>
      </c>
      <c r="AG68" s="52">
        <f t="shared" si="9"/>
        <v>0</v>
      </c>
    </row>
    <row r="69" spans="3:33" x14ac:dyDescent="0.25">
      <c r="C69" s="1"/>
      <c r="D69" s="1"/>
      <c r="E69" s="1"/>
      <c r="V69" s="75"/>
      <c r="W69" s="57"/>
      <c r="X69" s="75"/>
      <c r="Y69" s="75"/>
      <c r="Z69" s="75"/>
      <c r="AC69" s="51" t="str">
        <f t="shared" si="6"/>
        <v/>
      </c>
      <c r="AD69" s="52" t="str">
        <f t="shared" si="7"/>
        <v/>
      </c>
      <c r="AE69" s="53">
        <v>0.8</v>
      </c>
      <c r="AF69" s="51">
        <f t="shared" si="8"/>
        <v>0.8</v>
      </c>
      <c r="AG69" s="52">
        <f t="shared" si="9"/>
        <v>2</v>
      </c>
    </row>
    <row r="70" spans="3:33" x14ac:dyDescent="0.25">
      <c r="C70" s="1"/>
      <c r="D70" s="1"/>
      <c r="E70" s="1"/>
      <c r="V70" s="75"/>
      <c r="W70" s="57"/>
      <c r="X70" s="75"/>
      <c r="Y70" s="75"/>
      <c r="Z70" s="75"/>
      <c r="AC70" s="51" t="str">
        <f t="shared" si="6"/>
        <v/>
      </c>
      <c r="AD70" s="52" t="str">
        <f t="shared" si="7"/>
        <v/>
      </c>
      <c r="AE70" s="53">
        <v>0.9</v>
      </c>
      <c r="AF70" s="51">
        <f t="shared" si="8"/>
        <v>0.9</v>
      </c>
      <c r="AG70" s="52">
        <f t="shared" si="9"/>
        <v>0</v>
      </c>
    </row>
    <row r="71" spans="3:33" x14ac:dyDescent="0.25">
      <c r="C71" s="1"/>
      <c r="D71" s="1"/>
      <c r="E71" s="1"/>
      <c r="V71" s="75"/>
      <c r="W71" s="57"/>
      <c r="X71" s="75"/>
      <c r="Y71" s="75"/>
      <c r="Z71" s="75"/>
      <c r="AC71" s="51" t="str">
        <f t="shared" si="6"/>
        <v/>
      </c>
      <c r="AD71" s="52" t="str">
        <f t="shared" si="7"/>
        <v/>
      </c>
      <c r="AE71" s="53">
        <v>1</v>
      </c>
      <c r="AF71" s="51">
        <f t="shared" si="8"/>
        <v>1</v>
      </c>
      <c r="AG71" s="52">
        <f t="shared" si="9"/>
        <v>0</v>
      </c>
    </row>
    <row r="72" spans="3:33" x14ac:dyDescent="0.25">
      <c r="C72" s="1"/>
      <c r="D72" s="1"/>
      <c r="E72" s="1"/>
      <c r="V72" s="75"/>
      <c r="W72" s="57"/>
      <c r="X72" s="75"/>
      <c r="Y72" s="75"/>
      <c r="Z72" s="75"/>
      <c r="AC72" s="51" t="str">
        <f t="shared" si="6"/>
        <v/>
      </c>
      <c r="AD72" s="52" t="str">
        <f t="shared" si="7"/>
        <v/>
      </c>
      <c r="AE72" s="53">
        <v>1.1000000000000001</v>
      </c>
      <c r="AF72" s="51">
        <f t="shared" si="8"/>
        <v>1.1000000000000001</v>
      </c>
      <c r="AG72" s="52">
        <f t="shared" si="9"/>
        <v>0</v>
      </c>
    </row>
    <row r="73" spans="3:33" x14ac:dyDescent="0.25">
      <c r="C73" s="1"/>
      <c r="D73" s="1"/>
      <c r="E73" s="1"/>
      <c r="V73" s="75"/>
      <c r="W73" s="57"/>
      <c r="X73" s="75"/>
      <c r="Y73" s="75"/>
      <c r="Z73" s="75"/>
      <c r="AC73" s="51" t="str">
        <f t="shared" si="6"/>
        <v/>
      </c>
      <c r="AD73" s="52" t="str">
        <f t="shared" si="7"/>
        <v/>
      </c>
      <c r="AE73" s="53">
        <v>1.2</v>
      </c>
      <c r="AF73" s="51">
        <f t="shared" si="8"/>
        <v>1.2</v>
      </c>
      <c r="AG73" s="52">
        <f t="shared" si="9"/>
        <v>0</v>
      </c>
    </row>
    <row r="74" spans="3:33" x14ac:dyDescent="0.25">
      <c r="C74" s="1"/>
      <c r="D74" s="1"/>
      <c r="E74" s="1"/>
      <c r="V74" s="75"/>
      <c r="W74" s="57"/>
      <c r="X74" s="75"/>
      <c r="Y74" s="75"/>
      <c r="Z74" s="75"/>
      <c r="AC74" s="51" t="str">
        <f t="shared" si="6"/>
        <v/>
      </c>
      <c r="AD74" s="52" t="str">
        <f t="shared" si="7"/>
        <v/>
      </c>
      <c r="AE74" s="53">
        <v>1.3</v>
      </c>
      <c r="AF74" s="51">
        <f t="shared" si="8"/>
        <v>1.3</v>
      </c>
      <c r="AG74" s="52">
        <f t="shared" si="9"/>
        <v>0</v>
      </c>
    </row>
    <row r="75" spans="3:33" x14ac:dyDescent="0.25">
      <c r="C75" s="1"/>
      <c r="D75" s="1"/>
      <c r="E75" s="1"/>
      <c r="V75" s="75"/>
      <c r="W75" s="57"/>
      <c r="X75" s="75"/>
      <c r="Y75" s="75"/>
      <c r="Z75" s="75"/>
      <c r="AC75" s="51" t="str">
        <f t="shared" si="6"/>
        <v/>
      </c>
      <c r="AD75" s="52" t="str">
        <f t="shared" si="7"/>
        <v/>
      </c>
      <c r="AE75" s="53">
        <v>1.4</v>
      </c>
      <c r="AF75" s="51">
        <f t="shared" si="8"/>
        <v>1.4</v>
      </c>
      <c r="AG75" s="52">
        <f t="shared" si="9"/>
        <v>0</v>
      </c>
    </row>
    <row r="76" spans="3:33" x14ac:dyDescent="0.25">
      <c r="C76" s="1"/>
      <c r="D76" s="1"/>
      <c r="E76" s="1"/>
      <c r="V76" s="75"/>
      <c r="W76" s="57"/>
      <c r="X76" s="75"/>
      <c r="Y76" s="75"/>
      <c r="Z76" s="75"/>
      <c r="AC76" s="51" t="str">
        <f t="shared" si="6"/>
        <v/>
      </c>
      <c r="AD76" s="52" t="str">
        <f t="shared" si="7"/>
        <v/>
      </c>
      <c r="AE76" s="53">
        <v>1.5</v>
      </c>
      <c r="AF76" s="51">
        <f t="shared" si="8"/>
        <v>1.5</v>
      </c>
      <c r="AG76" s="52">
        <f t="shared" si="9"/>
        <v>0</v>
      </c>
    </row>
    <row r="77" spans="3:33" x14ac:dyDescent="0.25">
      <c r="C77" s="1"/>
      <c r="D77" s="1"/>
      <c r="E77" s="1"/>
      <c r="V77" s="75"/>
      <c r="W77" s="57"/>
      <c r="X77" s="75"/>
      <c r="Y77" s="75"/>
      <c r="Z77" s="75"/>
      <c r="AC77" s="51" t="str">
        <f t="shared" si="6"/>
        <v/>
      </c>
      <c r="AD77" s="52" t="str">
        <f t="shared" si="7"/>
        <v/>
      </c>
      <c r="AE77" s="53">
        <v>1.6</v>
      </c>
      <c r="AF77" s="51">
        <f t="shared" si="8"/>
        <v>1.6</v>
      </c>
      <c r="AG77" s="52">
        <f t="shared" si="9"/>
        <v>0</v>
      </c>
    </row>
    <row r="78" spans="3:33" x14ac:dyDescent="0.25">
      <c r="C78" s="1"/>
      <c r="D78" s="1"/>
      <c r="E78" s="1"/>
      <c r="V78" s="75"/>
      <c r="W78" s="57"/>
      <c r="X78" s="75"/>
      <c r="Y78" s="75"/>
      <c r="Z78" s="75"/>
      <c r="AC78" s="51" t="str">
        <f t="shared" si="6"/>
        <v/>
      </c>
      <c r="AD78" s="52" t="str">
        <f t="shared" si="7"/>
        <v/>
      </c>
      <c r="AE78" s="53">
        <v>1.7</v>
      </c>
      <c r="AF78" s="51">
        <f t="shared" si="8"/>
        <v>1.7</v>
      </c>
      <c r="AG78" s="52">
        <f t="shared" si="9"/>
        <v>0</v>
      </c>
    </row>
    <row r="79" spans="3:33" x14ac:dyDescent="0.25">
      <c r="C79" s="1"/>
      <c r="D79" s="1"/>
      <c r="E79" s="1"/>
      <c r="V79" s="75"/>
      <c r="W79" s="57"/>
      <c r="X79" s="75"/>
      <c r="Y79" s="75"/>
      <c r="Z79" s="75"/>
      <c r="AC79" s="51" t="str">
        <f t="shared" si="6"/>
        <v/>
      </c>
      <c r="AD79" s="52" t="str">
        <f t="shared" si="7"/>
        <v/>
      </c>
      <c r="AE79" s="53">
        <v>1.8</v>
      </c>
      <c r="AF79" s="51">
        <f t="shared" si="8"/>
        <v>1.8</v>
      </c>
      <c r="AG79" s="52">
        <f t="shared" si="9"/>
        <v>0</v>
      </c>
    </row>
    <row r="80" spans="3:33" x14ac:dyDescent="0.25">
      <c r="C80" s="1"/>
      <c r="D80" s="1"/>
      <c r="E80" s="1"/>
      <c r="V80" s="75"/>
      <c r="W80" s="57"/>
      <c r="X80" s="75"/>
      <c r="Y80" s="75"/>
      <c r="Z80" s="75"/>
      <c r="AC80" s="51" t="str">
        <f t="shared" si="6"/>
        <v/>
      </c>
      <c r="AD80" s="52" t="str">
        <f t="shared" si="7"/>
        <v/>
      </c>
      <c r="AE80" s="53">
        <v>1.9</v>
      </c>
      <c r="AF80" s="51">
        <f t="shared" si="8"/>
        <v>1.9</v>
      </c>
      <c r="AG80" s="52">
        <f t="shared" si="9"/>
        <v>0</v>
      </c>
    </row>
    <row r="81" spans="3:33" x14ac:dyDescent="0.25">
      <c r="C81" s="1"/>
      <c r="D81" s="1"/>
      <c r="E81" s="1"/>
      <c r="V81" s="75"/>
      <c r="W81" s="57"/>
      <c r="X81" s="75"/>
      <c r="Y81" s="75"/>
      <c r="Z81" s="75"/>
      <c r="AC81" s="51" t="str">
        <f t="shared" si="6"/>
        <v/>
      </c>
      <c r="AD81" s="52" t="str">
        <f t="shared" si="7"/>
        <v/>
      </c>
      <c r="AE81" s="53">
        <v>2</v>
      </c>
      <c r="AF81" s="51">
        <f t="shared" si="8"/>
        <v>2</v>
      </c>
      <c r="AG81" s="52">
        <f t="shared" si="9"/>
        <v>0</v>
      </c>
    </row>
    <row r="82" spans="3:33" x14ac:dyDescent="0.25">
      <c r="C82" s="1"/>
      <c r="D82" s="1"/>
      <c r="E82" s="1"/>
      <c r="V82" s="75"/>
      <c r="W82" s="57"/>
      <c r="X82" s="75"/>
      <c r="Y82" s="75"/>
      <c r="Z82" s="75"/>
      <c r="AC82" s="51" t="str">
        <f t="shared" si="6"/>
        <v/>
      </c>
      <c r="AD82" s="52" t="str">
        <f t="shared" si="7"/>
        <v/>
      </c>
      <c r="AE82" s="53">
        <v>2.1</v>
      </c>
      <c r="AF82" s="51">
        <f t="shared" si="8"/>
        <v>2.1</v>
      </c>
      <c r="AG82" s="52">
        <f t="shared" si="9"/>
        <v>0</v>
      </c>
    </row>
    <row r="83" spans="3:33" x14ac:dyDescent="0.25">
      <c r="C83" s="1"/>
      <c r="D83" s="1"/>
      <c r="E83" s="1"/>
      <c r="V83" s="75"/>
      <c r="W83" s="57"/>
      <c r="X83" s="75"/>
      <c r="Y83" s="75"/>
      <c r="Z83" s="75"/>
      <c r="AC83" s="51" t="str">
        <f t="shared" si="6"/>
        <v/>
      </c>
      <c r="AD83" s="52" t="str">
        <f t="shared" si="7"/>
        <v/>
      </c>
      <c r="AE83" s="53">
        <v>2.2000000000000002</v>
      </c>
      <c r="AF83" s="51">
        <f t="shared" si="8"/>
        <v>2.2000000000000002</v>
      </c>
      <c r="AG83" s="52">
        <f t="shared" si="9"/>
        <v>0</v>
      </c>
    </row>
    <row r="84" spans="3:33" x14ac:dyDescent="0.25">
      <c r="C84" s="1"/>
      <c r="D84" s="1"/>
      <c r="E84" s="1"/>
      <c r="V84" s="75"/>
      <c r="W84" s="57"/>
      <c r="X84" s="75"/>
      <c r="Y84" s="75"/>
      <c r="Z84" s="75"/>
      <c r="AC84" s="51" t="str">
        <f t="shared" si="6"/>
        <v/>
      </c>
      <c r="AD84" s="52" t="str">
        <f t="shared" si="7"/>
        <v/>
      </c>
      <c r="AE84" s="53">
        <v>2.2999999999999998</v>
      </c>
      <c r="AF84" s="51">
        <f t="shared" si="8"/>
        <v>2.2999999999999998</v>
      </c>
      <c r="AG84" s="52">
        <f t="shared" si="9"/>
        <v>0</v>
      </c>
    </row>
    <row r="85" spans="3:33" x14ac:dyDescent="0.25">
      <c r="C85" s="1"/>
      <c r="D85" s="1"/>
      <c r="E85" s="1"/>
      <c r="V85" s="75"/>
      <c r="W85" s="57"/>
      <c r="X85" s="75"/>
      <c r="Y85" s="75"/>
      <c r="Z85" s="75"/>
      <c r="AC85" s="51" t="str">
        <f t="shared" si="6"/>
        <v/>
      </c>
      <c r="AD85" s="52" t="str">
        <f t="shared" si="7"/>
        <v/>
      </c>
      <c r="AE85" s="53">
        <v>2.4</v>
      </c>
      <c r="AF85" s="51">
        <f t="shared" si="8"/>
        <v>2.4</v>
      </c>
      <c r="AG85" s="52">
        <f t="shared" si="9"/>
        <v>0</v>
      </c>
    </row>
    <row r="86" spans="3:33" x14ac:dyDescent="0.25">
      <c r="C86" s="1"/>
      <c r="D86" s="1"/>
      <c r="E86" s="1"/>
      <c r="V86" s="75"/>
      <c r="W86" s="57"/>
      <c r="X86" s="75"/>
      <c r="Y86" s="75"/>
      <c r="Z86" s="75"/>
    </row>
    <row r="87" spans="3:33" x14ac:dyDescent="0.25">
      <c r="C87" s="1"/>
      <c r="D87" s="1"/>
      <c r="E87" s="1"/>
      <c r="V87" s="75"/>
      <c r="W87" s="57"/>
      <c r="X87" s="75"/>
      <c r="Y87" s="75"/>
      <c r="Z87" s="75"/>
    </row>
    <row r="88" spans="3:33" x14ac:dyDescent="0.25">
      <c r="C88" s="1"/>
      <c r="D88" s="1"/>
      <c r="E88" s="1"/>
      <c r="V88" s="75"/>
      <c r="W88" s="57"/>
      <c r="X88" s="75"/>
      <c r="Y88" s="75"/>
      <c r="Z88" s="75"/>
    </row>
    <row r="89" spans="3:33" x14ac:dyDescent="0.25">
      <c r="C89" s="1"/>
      <c r="D89" s="1"/>
      <c r="E89" s="1"/>
      <c r="V89" s="75"/>
      <c r="W89" s="57"/>
      <c r="X89" s="75"/>
      <c r="Y89" s="75"/>
      <c r="Z89" s="75"/>
    </row>
    <row r="90" spans="3:33" x14ac:dyDescent="0.25">
      <c r="C90" s="1"/>
      <c r="D90" s="1"/>
      <c r="E90" s="1"/>
      <c r="V90" s="75"/>
      <c r="W90" s="57"/>
      <c r="X90" s="75"/>
      <c r="Y90" s="75"/>
      <c r="Z90" s="75"/>
    </row>
    <row r="91" spans="3:33" x14ac:dyDescent="0.25">
      <c r="C91" s="1"/>
      <c r="D91" s="1"/>
      <c r="E91" s="1"/>
      <c r="V91" s="75"/>
      <c r="W91" s="57"/>
      <c r="X91" s="75"/>
      <c r="Y91" s="75"/>
      <c r="Z91" s="75"/>
    </row>
    <row r="92" spans="3:33" x14ac:dyDescent="0.25">
      <c r="C92" s="1"/>
      <c r="D92" s="1"/>
      <c r="E92" s="1"/>
      <c r="V92" s="75"/>
      <c r="W92" s="57"/>
      <c r="X92" s="75"/>
      <c r="Y92" s="75"/>
      <c r="Z92" s="75"/>
    </row>
    <row r="93" spans="3:33" x14ac:dyDescent="0.25">
      <c r="C93" s="1"/>
      <c r="D93" s="1"/>
      <c r="E93" s="1"/>
      <c r="V93" s="75"/>
      <c r="W93" s="57"/>
      <c r="X93" s="75"/>
      <c r="Y93" s="75"/>
      <c r="Z93" s="75"/>
    </row>
    <row r="94" spans="3:33" x14ac:dyDescent="0.25">
      <c r="C94" s="1"/>
      <c r="D94" s="1"/>
      <c r="E94" s="1"/>
      <c r="V94" s="75"/>
      <c r="W94" s="57"/>
      <c r="X94" s="75"/>
      <c r="Y94" s="75"/>
      <c r="Z94" s="75"/>
    </row>
    <row r="95" spans="3:33" x14ac:dyDescent="0.25">
      <c r="C95" s="1"/>
      <c r="D95" s="1"/>
      <c r="E95" s="1"/>
      <c r="V95" s="75"/>
      <c r="W95" s="57"/>
      <c r="X95" s="75"/>
      <c r="Y95" s="75"/>
      <c r="Z95" s="75"/>
    </row>
    <row r="96" spans="3:33" x14ac:dyDescent="0.25">
      <c r="C96" s="1"/>
      <c r="D96" s="1"/>
      <c r="E96" s="1"/>
      <c r="V96" s="75"/>
      <c r="W96" s="57"/>
      <c r="X96" s="75"/>
      <c r="Y96" s="75"/>
      <c r="Z96" s="75"/>
    </row>
    <row r="97" spans="3:26" x14ac:dyDescent="0.25">
      <c r="C97" s="1"/>
      <c r="D97" s="1"/>
      <c r="E97" s="1"/>
      <c r="V97" s="75"/>
      <c r="W97" s="57"/>
      <c r="X97" s="75"/>
      <c r="Y97" s="75"/>
      <c r="Z97" s="75"/>
    </row>
    <row r="98" spans="3:26" x14ac:dyDescent="0.25">
      <c r="C98" s="1"/>
      <c r="D98" s="1"/>
      <c r="E98" s="1"/>
      <c r="V98" s="75"/>
      <c r="W98" s="57"/>
      <c r="X98" s="75"/>
      <c r="Y98" s="75"/>
      <c r="Z98" s="75"/>
    </row>
    <row r="99" spans="3:26" x14ac:dyDescent="0.25">
      <c r="C99" s="1"/>
      <c r="D99" s="1"/>
      <c r="E99" s="1"/>
      <c r="V99" s="75"/>
      <c r="W99" s="57"/>
      <c r="X99" s="75"/>
      <c r="Y99" s="75"/>
      <c r="Z99" s="75"/>
    </row>
    <row r="100" spans="3:26" x14ac:dyDescent="0.25">
      <c r="C100" s="1"/>
      <c r="D100" s="1"/>
      <c r="E100" s="1"/>
      <c r="V100" s="75"/>
      <c r="W100" s="57"/>
      <c r="X100" s="75"/>
      <c r="Y100" s="75"/>
      <c r="Z100" s="75"/>
    </row>
    <row r="101" spans="3:26" x14ac:dyDescent="0.25">
      <c r="C101" s="1"/>
      <c r="D101" s="1"/>
      <c r="E101" s="1"/>
      <c r="V101" s="75"/>
      <c r="W101" s="57"/>
      <c r="X101" s="75"/>
      <c r="Y101" s="75"/>
      <c r="Z101" s="75"/>
    </row>
    <row r="102" spans="3:26" x14ac:dyDescent="0.25">
      <c r="C102" s="1"/>
      <c r="D102" s="1"/>
      <c r="E102" s="1"/>
      <c r="V102" s="75"/>
      <c r="W102" s="57"/>
      <c r="X102" s="75"/>
      <c r="Y102" s="75"/>
      <c r="Z102" s="75"/>
    </row>
    <row r="103" spans="3:26" x14ac:dyDescent="0.25">
      <c r="C103" s="1"/>
      <c r="D103" s="1"/>
      <c r="E103" s="1"/>
      <c r="V103" s="75"/>
      <c r="W103" s="57"/>
      <c r="X103" s="75"/>
      <c r="Y103" s="75"/>
      <c r="Z103" s="75"/>
    </row>
    <row r="104" spans="3:26" x14ac:dyDescent="0.25">
      <c r="C104" s="1"/>
      <c r="D104" s="1"/>
      <c r="E104" s="1"/>
      <c r="V104" s="75"/>
      <c r="W104" s="57"/>
      <c r="X104" s="75"/>
      <c r="Y104" s="75"/>
      <c r="Z104" s="75"/>
    </row>
    <row r="105" spans="3:26" x14ac:dyDescent="0.25">
      <c r="C105" s="1"/>
      <c r="D105" s="1"/>
      <c r="E105" s="1"/>
      <c r="V105" s="75"/>
      <c r="W105" s="57"/>
      <c r="X105" s="75"/>
      <c r="Y105" s="75"/>
      <c r="Z105" s="75"/>
    </row>
    <row r="106" spans="3:26" x14ac:dyDescent="0.25">
      <c r="C106" s="1"/>
      <c r="D106" s="1"/>
      <c r="E106" s="1"/>
      <c r="V106" s="75"/>
      <c r="W106" s="57"/>
      <c r="X106" s="75"/>
      <c r="Y106" s="75"/>
      <c r="Z106" s="75"/>
    </row>
    <row r="107" spans="3:26" x14ac:dyDescent="0.25">
      <c r="C107" s="1"/>
      <c r="D107" s="1"/>
      <c r="E107" s="1"/>
      <c r="V107" s="75"/>
      <c r="W107" s="57"/>
      <c r="X107" s="75"/>
      <c r="Y107" s="75"/>
      <c r="Z107" s="75"/>
    </row>
    <row r="108" spans="3:26" x14ac:dyDescent="0.25">
      <c r="C108" s="1"/>
      <c r="D108" s="1"/>
      <c r="E108" s="1"/>
      <c r="V108" s="75"/>
      <c r="W108" s="57"/>
      <c r="X108" s="75"/>
      <c r="Y108" s="75"/>
      <c r="Z108" s="75"/>
    </row>
    <row r="109" spans="3:26" x14ac:dyDescent="0.25">
      <c r="C109" s="1"/>
      <c r="D109" s="1"/>
      <c r="E109" s="1"/>
      <c r="V109" s="75"/>
      <c r="W109" s="57"/>
      <c r="X109" s="75"/>
      <c r="Y109" s="75"/>
      <c r="Z109" s="75"/>
    </row>
    <row r="110" spans="3:26" x14ac:dyDescent="0.25">
      <c r="C110" s="1"/>
      <c r="D110" s="1"/>
      <c r="E110" s="1"/>
      <c r="V110" s="75"/>
      <c r="W110" s="57"/>
      <c r="X110" s="75"/>
      <c r="Y110" s="75"/>
      <c r="Z110" s="75"/>
    </row>
    <row r="111" spans="3:26" x14ac:dyDescent="0.25">
      <c r="C111" s="1"/>
      <c r="D111" s="1"/>
      <c r="E111" s="1"/>
      <c r="V111" s="75"/>
      <c r="W111" s="57"/>
      <c r="X111" s="75"/>
      <c r="Y111" s="75"/>
      <c r="Z111" s="75"/>
    </row>
    <row r="112" spans="3:26" x14ac:dyDescent="0.25">
      <c r="C112" s="1"/>
      <c r="D112" s="1"/>
      <c r="E112" s="1"/>
      <c r="V112" s="75"/>
      <c r="W112" s="57"/>
      <c r="X112" s="75"/>
      <c r="Y112" s="75"/>
      <c r="Z112" s="75"/>
    </row>
    <row r="113" spans="3:26" x14ac:dyDescent="0.25">
      <c r="C113" s="1"/>
      <c r="D113" s="1"/>
      <c r="E113" s="1"/>
      <c r="V113" s="75"/>
      <c r="W113" s="57"/>
      <c r="X113" s="75"/>
      <c r="Y113" s="75"/>
      <c r="Z113" s="75"/>
    </row>
    <row r="114" spans="3:26" x14ac:dyDescent="0.25">
      <c r="C114" s="1"/>
      <c r="D114" s="1"/>
      <c r="E114" s="1"/>
      <c r="V114" s="75"/>
      <c r="W114" s="57"/>
      <c r="X114" s="75"/>
      <c r="Y114" s="75"/>
      <c r="Z114" s="75"/>
    </row>
    <row r="115" spans="3:26" x14ac:dyDescent="0.25">
      <c r="C115" s="1"/>
      <c r="D115" s="1"/>
      <c r="E115" s="1"/>
      <c r="V115" s="75"/>
      <c r="W115" s="57"/>
      <c r="X115" s="75"/>
      <c r="Y115" s="75"/>
      <c r="Z115" s="75"/>
    </row>
    <row r="116" spans="3:26" x14ac:dyDescent="0.25">
      <c r="C116" s="1"/>
      <c r="D116" s="1"/>
      <c r="E116" s="1"/>
      <c r="V116" s="75"/>
      <c r="W116" s="57"/>
      <c r="X116" s="75"/>
      <c r="Y116" s="75"/>
      <c r="Z116" s="75"/>
    </row>
    <row r="117" spans="3:26" x14ac:dyDescent="0.25">
      <c r="C117" s="1"/>
      <c r="D117" s="1"/>
      <c r="E117" s="1"/>
      <c r="V117" s="75"/>
      <c r="W117" s="57"/>
      <c r="X117" s="75"/>
      <c r="Y117" s="75"/>
      <c r="Z117" s="75"/>
    </row>
    <row r="118" spans="3:26" x14ac:dyDescent="0.25">
      <c r="C118" s="1"/>
      <c r="D118" s="1"/>
      <c r="E118" s="1"/>
      <c r="V118" s="75"/>
      <c r="W118" s="57"/>
      <c r="X118" s="75"/>
      <c r="Y118" s="75"/>
      <c r="Z118" s="75"/>
    </row>
    <row r="119" spans="3:26" x14ac:dyDescent="0.25">
      <c r="C119" s="1"/>
      <c r="D119" s="1"/>
      <c r="E119" s="1"/>
      <c r="V119" s="75"/>
      <c r="W119" s="57"/>
      <c r="X119" s="75"/>
      <c r="Y119" s="75"/>
      <c r="Z119" s="75"/>
    </row>
    <row r="120" spans="3:26" x14ac:dyDescent="0.25">
      <c r="C120" s="1"/>
      <c r="D120" s="1"/>
      <c r="E120" s="1"/>
      <c r="V120" s="75"/>
      <c r="W120" s="57"/>
      <c r="X120" s="75"/>
      <c r="Y120" s="75"/>
      <c r="Z120" s="75"/>
    </row>
    <row r="121" spans="3:26" x14ac:dyDescent="0.25">
      <c r="C121" s="1"/>
      <c r="D121" s="1"/>
      <c r="E121" s="1"/>
      <c r="V121" s="75"/>
      <c r="W121" s="57"/>
      <c r="X121" s="75"/>
      <c r="Y121" s="75"/>
      <c r="Z121" s="75"/>
    </row>
    <row r="122" spans="3:26" x14ac:dyDescent="0.25">
      <c r="C122" s="1"/>
      <c r="D122" s="1"/>
      <c r="E122" s="1"/>
      <c r="V122" s="75"/>
      <c r="W122" s="57"/>
      <c r="X122" s="75"/>
      <c r="Y122" s="75"/>
      <c r="Z122" s="75"/>
    </row>
    <row r="123" spans="3:26" x14ac:dyDescent="0.25">
      <c r="C123" s="1"/>
      <c r="D123" s="1"/>
      <c r="E123" s="1"/>
      <c r="V123" s="75"/>
      <c r="W123" s="57"/>
      <c r="X123" s="75"/>
      <c r="Y123" s="75"/>
      <c r="Z123" s="75"/>
    </row>
    <row r="124" spans="3:26" x14ac:dyDescent="0.25">
      <c r="C124" s="1"/>
      <c r="D124" s="1"/>
      <c r="E124" s="1"/>
      <c r="V124" s="75"/>
      <c r="W124" s="57"/>
      <c r="X124" s="75"/>
      <c r="Y124" s="75"/>
      <c r="Z124" s="75"/>
    </row>
    <row r="125" spans="3:26" x14ac:dyDescent="0.25">
      <c r="V125" s="75"/>
      <c r="W125" s="57"/>
      <c r="X125" s="75"/>
      <c r="Y125" s="75"/>
      <c r="Z125" s="75"/>
    </row>
    <row r="126" spans="3:26" x14ac:dyDescent="0.25">
      <c r="V126" s="75"/>
      <c r="W126" s="57"/>
      <c r="X126" s="75"/>
      <c r="Y126" s="75"/>
      <c r="Z126" s="75"/>
    </row>
    <row r="127" spans="3:26" x14ac:dyDescent="0.25">
      <c r="V127" s="75"/>
      <c r="W127" s="57"/>
      <c r="X127" s="75"/>
      <c r="Y127" s="75"/>
      <c r="Z127" s="75"/>
    </row>
    <row r="128" spans="3:26" x14ac:dyDescent="0.25">
      <c r="V128" s="75"/>
      <c r="W128" s="57"/>
      <c r="X128" s="75"/>
      <c r="Y128" s="75"/>
      <c r="Z128" s="75"/>
    </row>
    <row r="129" spans="22:26" x14ac:dyDescent="0.25">
      <c r="V129" s="75"/>
      <c r="W129" s="57"/>
      <c r="X129" s="75"/>
      <c r="Y129" s="75"/>
      <c r="Z129" s="75"/>
    </row>
    <row r="130" spans="22:26" x14ac:dyDescent="0.25">
      <c r="V130" s="75"/>
      <c r="W130" s="57"/>
      <c r="X130" s="75"/>
      <c r="Y130" s="75"/>
      <c r="Z130" s="75"/>
    </row>
    <row r="131" spans="22:26" x14ac:dyDescent="0.25">
      <c r="V131" s="75"/>
      <c r="W131" s="57"/>
      <c r="X131" s="75"/>
      <c r="Y131" s="75"/>
      <c r="Z131" s="75"/>
    </row>
    <row r="132" spans="22:26" x14ac:dyDescent="0.25">
      <c r="V132" s="75"/>
      <c r="W132" s="57"/>
      <c r="X132" s="75"/>
      <c r="Y132" s="75"/>
      <c r="Z132" s="75"/>
    </row>
    <row r="133" spans="22:26" x14ac:dyDescent="0.25">
      <c r="V133" s="75"/>
      <c r="W133" s="57"/>
      <c r="X133" s="75"/>
      <c r="Y133" s="75"/>
      <c r="Z133" s="75"/>
    </row>
    <row r="134" spans="22:26" x14ac:dyDescent="0.25">
      <c r="V134" s="75"/>
      <c r="W134" s="57"/>
      <c r="X134" s="75"/>
      <c r="Y134" s="75"/>
      <c r="Z134" s="75"/>
    </row>
    <row r="135" spans="22:26" x14ac:dyDescent="0.25">
      <c r="V135" s="75"/>
      <c r="W135" s="57"/>
      <c r="X135" s="75"/>
      <c r="Y135" s="75"/>
      <c r="Z135" s="75"/>
    </row>
    <row r="136" spans="22:26" x14ac:dyDescent="0.25">
      <c r="V136" s="75"/>
      <c r="W136" s="57"/>
      <c r="X136" s="75"/>
      <c r="Y136" s="75"/>
      <c r="Z136" s="75"/>
    </row>
    <row r="137" spans="22:26" x14ac:dyDescent="0.25">
      <c r="V137" s="75"/>
      <c r="W137" s="57"/>
      <c r="X137" s="75"/>
      <c r="Y137" s="75"/>
      <c r="Z137" s="75"/>
    </row>
    <row r="138" spans="22:26" x14ac:dyDescent="0.25">
      <c r="V138" s="75"/>
      <c r="W138" s="57"/>
      <c r="X138" s="75"/>
      <c r="Y138" s="75"/>
      <c r="Z138" s="75"/>
    </row>
    <row r="139" spans="22:26" x14ac:dyDescent="0.25">
      <c r="V139" s="75"/>
      <c r="W139" s="57"/>
      <c r="X139" s="75"/>
      <c r="Y139" s="75"/>
      <c r="Z139" s="75"/>
    </row>
    <row r="140" spans="22:26" x14ac:dyDescent="0.25">
      <c r="V140" s="75"/>
      <c r="W140" s="57"/>
      <c r="X140" s="75"/>
      <c r="Y140" s="75"/>
      <c r="Z140" s="75"/>
    </row>
    <row r="141" spans="22:26" x14ac:dyDescent="0.25">
      <c r="V141" s="75"/>
      <c r="W141" s="57"/>
      <c r="X141" s="75"/>
      <c r="Y141" s="75"/>
      <c r="Z141" s="75"/>
    </row>
    <row r="142" spans="22:26" x14ac:dyDescent="0.25">
      <c r="V142" s="75"/>
      <c r="W142" s="57"/>
      <c r="X142" s="75"/>
      <c r="Y142" s="75"/>
      <c r="Z142" s="75"/>
    </row>
    <row r="143" spans="22:26" x14ac:dyDescent="0.25">
      <c r="V143" s="75"/>
      <c r="W143" s="57"/>
      <c r="X143" s="75"/>
      <c r="Y143" s="75"/>
      <c r="Z143" s="75"/>
    </row>
    <row r="144" spans="22:26" x14ac:dyDescent="0.25">
      <c r="V144" s="75"/>
      <c r="W144" s="57"/>
      <c r="X144" s="75"/>
      <c r="Y144" s="75"/>
      <c r="Z144" s="75"/>
    </row>
    <row r="145" spans="22:26" x14ac:dyDescent="0.25">
      <c r="V145" s="75"/>
      <c r="W145" s="57"/>
      <c r="X145" s="75"/>
      <c r="Y145" s="75"/>
      <c r="Z145" s="75"/>
    </row>
    <row r="146" spans="22:26" x14ac:dyDescent="0.25">
      <c r="V146" s="75"/>
      <c r="W146" s="57"/>
      <c r="X146" s="75"/>
      <c r="Y146" s="75"/>
      <c r="Z146" s="75"/>
    </row>
    <row r="147" spans="22:26" x14ac:dyDescent="0.25">
      <c r="V147" s="75"/>
      <c r="W147" s="57"/>
      <c r="X147" s="75"/>
      <c r="Y147" s="75"/>
      <c r="Z147" s="75"/>
    </row>
    <row r="148" spans="22:26" x14ac:dyDescent="0.25">
      <c r="V148" s="75"/>
      <c r="W148" s="57"/>
      <c r="X148" s="75"/>
      <c r="Y148" s="75"/>
      <c r="Z148" s="75"/>
    </row>
    <row r="149" spans="22:26" x14ac:dyDescent="0.25">
      <c r="V149" s="75"/>
      <c r="W149" s="57"/>
      <c r="X149" s="75"/>
      <c r="Y149" s="75"/>
      <c r="Z149" s="75"/>
    </row>
    <row r="150" spans="22:26" x14ac:dyDescent="0.25">
      <c r="V150" s="75"/>
      <c r="W150" s="57"/>
      <c r="X150" s="75"/>
      <c r="Y150" s="75"/>
      <c r="Z150" s="75"/>
    </row>
    <row r="151" spans="22:26" x14ac:dyDescent="0.25">
      <c r="V151" s="75"/>
      <c r="W151" s="57"/>
      <c r="X151" s="75"/>
      <c r="Y151" s="75"/>
      <c r="Z151" s="75"/>
    </row>
  </sheetData>
  <mergeCells count="14">
    <mergeCell ref="N6:P6"/>
    <mergeCell ref="D21:D22"/>
    <mergeCell ref="AC29:AD29"/>
    <mergeCell ref="AF29:AG29"/>
    <mergeCell ref="A2:B2"/>
    <mergeCell ref="F2:G2"/>
    <mergeCell ref="I2:Q2"/>
    <mergeCell ref="I3:K3"/>
    <mergeCell ref="N3:P3"/>
    <mergeCell ref="D4:D19"/>
    <mergeCell ref="I4:K4"/>
    <mergeCell ref="N4:P4"/>
    <mergeCell ref="I5:K5"/>
    <mergeCell ref="N5:P5"/>
  </mergeCells>
  <conditionalFormatting sqref="A2">
    <cfRule type="containsErrors" dxfId="11" priority="12">
      <formula>ISERROR(A2)</formula>
    </cfRule>
  </conditionalFormatting>
  <conditionalFormatting sqref="A3:B124">
    <cfRule type="containsErrors" dxfId="10" priority="3">
      <formula>ISERROR(A3)</formula>
    </cfRule>
  </conditionalFormatting>
  <conditionalFormatting sqref="B125">
    <cfRule type="containsErrors" dxfId="9" priority="8">
      <formula>ISERROR(B125)</formula>
    </cfRule>
  </conditionalFormatting>
  <conditionalFormatting sqref="F2:F16">
    <cfRule type="containsErrors" dxfId="8" priority="1">
      <formula>ISERROR(F2)</formula>
    </cfRule>
  </conditionalFormatting>
  <conditionalFormatting sqref="G3:G16 F17:G124">
    <cfRule type="containsErrors" dxfId="7" priority="2">
      <formula>ISERROR(F3)</formula>
    </cfRule>
  </conditionalFormatting>
  <conditionalFormatting sqref="I2">
    <cfRule type="containsErrors" dxfId="6" priority="11">
      <formula>ISERROR(I2)</formula>
    </cfRule>
  </conditionalFormatting>
  <conditionalFormatting sqref="AA25:AA63">
    <cfRule type="containsErrors" dxfId="5" priority="10">
      <formula>ISERROR(AA25)</formula>
    </cfRule>
  </conditionalFormatting>
  <conditionalFormatting sqref="AB25:AC26 AB27:AB63">
    <cfRule type="containsErrors" dxfId="4" priority="9">
      <formula>ISERROR(AB25)</formula>
    </cfRule>
  </conditionalFormatting>
  <conditionalFormatting sqref="AC27:AC28">
    <cfRule type="containsErrors" dxfId="3" priority="7">
      <formula>ISERROR(AC27)</formula>
    </cfRule>
  </conditionalFormatting>
  <conditionalFormatting sqref="AC29:AD85">
    <cfRule type="containsErrors" dxfId="2" priority="6">
      <formula>ISERROR(AC29)</formula>
    </cfRule>
  </conditionalFormatting>
  <conditionalFormatting sqref="AE31:AE85">
    <cfRule type="containsErrors" dxfId="1" priority="5">
      <formula>ISERROR(AE31)</formula>
    </cfRule>
  </conditionalFormatting>
  <conditionalFormatting sqref="AF29:AG85">
    <cfRule type="containsErrors" dxfId="0" priority="4">
      <formula>ISERROR(AF29)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296C-B1A4-447C-BF44-384E4FCFCD13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2C6-2B53-479C-850F-C83FE5F0DE0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F3B2-C0FE-4F55-8B43-C7BC3A27090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9D30-8707-48C0-A776-5F1EE3D4DD8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970A-57C3-46B2-BAA3-9242BF66F1D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Adil</cp:lastModifiedBy>
  <dcterms:created xsi:type="dcterms:W3CDTF">2026-06-03T06:18:33Z</dcterms:created>
  <dcterms:modified xsi:type="dcterms:W3CDTF">2026-06-03T06:19:28Z</dcterms:modified>
</cp:coreProperties>
</file>