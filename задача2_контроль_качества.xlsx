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l\Downloads\"/>
    </mc:Choice>
  </mc:AlternateContent>
  <xr:revisionPtr revIDLastSave="0" documentId="8_{1AB57073-F304-4F4D-8073-29E41404EB30}" xr6:coauthVersionLast="47" xr6:coauthVersionMax="47" xr10:uidLastSave="{00000000-0000-0000-0000-000000000000}"/>
  <bookViews>
    <workbookView xWindow="0" yWindow="0" windowWidth="14400" windowHeight="15600" activeTab="4" xr2:uid="{69C35BD5-1825-4790-9FED-3AEC493FC8B5}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  <sheet name="Лист6" sheetId="6" r:id="rId6"/>
    <sheet name="Лист7" sheetId="7" r:id="rId7"/>
    <sheet name="Лист8" sheetId="8" r:id="rId8"/>
    <sheet name="Лист9" sheetId="9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40" i="5" l="1"/>
  <c r="V239" i="5"/>
  <c r="V238" i="5"/>
  <c r="V237" i="5"/>
  <c r="V236" i="5"/>
  <c r="V235" i="5"/>
  <c r="V234" i="5"/>
  <c r="V233" i="5"/>
  <c r="V232" i="5"/>
  <c r="V231" i="5"/>
  <c r="V230" i="5"/>
  <c r="V229" i="5"/>
  <c r="Y228" i="5"/>
  <c r="X228" i="5"/>
  <c r="V228" i="5"/>
  <c r="V227" i="5"/>
  <c r="V226" i="5"/>
  <c r="Y225" i="5"/>
  <c r="X225" i="5"/>
  <c r="V225" i="5"/>
  <c r="V224" i="5"/>
  <c r="V223" i="5"/>
  <c r="Z222" i="5"/>
  <c r="V222" i="5"/>
  <c r="V221" i="5"/>
  <c r="V220" i="5"/>
  <c r="V219" i="5"/>
  <c r="V218" i="5"/>
  <c r="V217" i="5"/>
  <c r="V216" i="5"/>
  <c r="X215" i="5"/>
  <c r="V215" i="5"/>
  <c r="V214" i="5"/>
  <c r="V213" i="5"/>
  <c r="V212" i="5"/>
  <c r="V211" i="5"/>
  <c r="V210" i="5"/>
  <c r="V209" i="5"/>
  <c r="V208" i="5"/>
  <c r="V207" i="5"/>
  <c r="V206" i="5"/>
  <c r="V205" i="5"/>
  <c r="V204" i="5"/>
  <c r="V203" i="5"/>
  <c r="V202" i="5"/>
  <c r="V201" i="5"/>
  <c r="V200" i="5"/>
  <c r="V199" i="5"/>
  <c r="V198" i="5"/>
  <c r="V197" i="5"/>
  <c r="V196" i="5"/>
  <c r="V195" i="5"/>
  <c r="V194" i="5"/>
  <c r="V193" i="5"/>
  <c r="V192" i="5"/>
  <c r="V191" i="5"/>
  <c r="V190" i="5"/>
  <c r="V189" i="5"/>
  <c r="X188" i="5"/>
  <c r="V188" i="5"/>
  <c r="V187" i="5"/>
  <c r="V186" i="5"/>
  <c r="V185" i="5"/>
  <c r="V184" i="5"/>
  <c r="V183" i="5"/>
  <c r="V182" i="5"/>
  <c r="V181" i="5"/>
  <c r="V180" i="5"/>
  <c r="V179" i="5"/>
  <c r="V178" i="5"/>
  <c r="Z177" i="5"/>
  <c r="Y177" i="5"/>
  <c r="V177" i="5"/>
  <c r="V176" i="5"/>
  <c r="V175" i="5"/>
  <c r="V174" i="5"/>
  <c r="V173" i="5"/>
  <c r="V172" i="5"/>
  <c r="V171" i="5"/>
  <c r="V170" i="5"/>
  <c r="V169" i="5"/>
  <c r="V168" i="5"/>
  <c r="V167" i="5"/>
  <c r="V166" i="5"/>
  <c r="V165" i="5"/>
  <c r="V164" i="5"/>
  <c r="V163" i="5"/>
  <c r="V162" i="5"/>
  <c r="V161" i="5"/>
  <c r="V160" i="5"/>
  <c r="V159" i="5"/>
  <c r="V158" i="5"/>
  <c r="V157" i="5"/>
  <c r="X156" i="5"/>
  <c r="V156" i="5"/>
  <c r="V155" i="5"/>
  <c r="V154" i="5"/>
  <c r="V153" i="5"/>
  <c r="V152" i="5"/>
  <c r="V151" i="5"/>
  <c r="V150" i="5"/>
  <c r="X149" i="5"/>
  <c r="V149" i="5"/>
  <c r="V148" i="5"/>
  <c r="X147" i="5"/>
  <c r="V147" i="5"/>
  <c r="V146" i="5"/>
  <c r="V145" i="5"/>
  <c r="V144" i="5"/>
  <c r="V143" i="5"/>
  <c r="V142" i="5"/>
  <c r="V141" i="5"/>
  <c r="V140" i="5"/>
  <c r="V139" i="5"/>
  <c r="V138" i="5"/>
  <c r="V137" i="5"/>
  <c r="V136" i="5"/>
  <c r="V135" i="5"/>
  <c r="V134" i="5"/>
  <c r="V133" i="5"/>
  <c r="V132" i="5"/>
  <c r="V131" i="5"/>
  <c r="V130" i="5"/>
  <c r="V129" i="5"/>
  <c r="V128" i="5"/>
  <c r="V127" i="5"/>
  <c r="V126" i="5"/>
  <c r="V125" i="5"/>
  <c r="V124" i="5"/>
  <c r="V123" i="5"/>
  <c r="V122" i="5"/>
  <c r="V121" i="5"/>
  <c r="V120" i="5"/>
  <c r="V119" i="5"/>
  <c r="V118" i="5"/>
  <c r="V117" i="5"/>
  <c r="V116" i="5"/>
  <c r="V115" i="5"/>
  <c r="V114" i="5"/>
  <c r="V113" i="5"/>
  <c r="V112" i="5"/>
  <c r="V111" i="5"/>
  <c r="V110" i="5"/>
  <c r="V109" i="5"/>
  <c r="V108" i="5"/>
  <c r="V107" i="5"/>
  <c r="V106" i="5"/>
  <c r="V105" i="5"/>
  <c r="V104" i="5"/>
  <c r="V103" i="5"/>
  <c r="V102" i="5"/>
  <c r="V101" i="5"/>
  <c r="V100" i="5"/>
  <c r="V99" i="5"/>
  <c r="V98" i="5"/>
  <c r="V97" i="5"/>
  <c r="V96" i="5"/>
  <c r="V95" i="5"/>
  <c r="V94" i="5"/>
  <c r="V93" i="5"/>
  <c r="V92" i="5"/>
  <c r="AF91" i="5"/>
  <c r="AC91" i="5"/>
  <c r="V91" i="5"/>
  <c r="AF90" i="5"/>
  <c r="AC90" i="5"/>
  <c r="V90" i="5"/>
  <c r="AF89" i="5"/>
  <c r="AC89" i="5"/>
  <c r="V89" i="5"/>
  <c r="AF88" i="5"/>
  <c r="AC88" i="5"/>
  <c r="V88" i="5"/>
  <c r="AF87" i="5"/>
  <c r="AC87" i="5"/>
  <c r="V87" i="5"/>
  <c r="AF86" i="5"/>
  <c r="AC86" i="5"/>
  <c r="V86" i="5"/>
  <c r="AF85" i="5"/>
  <c r="AC85" i="5"/>
  <c r="V85" i="5"/>
  <c r="AF84" i="5"/>
  <c r="AC84" i="5"/>
  <c r="V84" i="5"/>
  <c r="AF83" i="5"/>
  <c r="AC83" i="5"/>
  <c r="V83" i="5"/>
  <c r="AF82" i="5"/>
  <c r="AC82" i="5"/>
  <c r="V82" i="5"/>
  <c r="AF81" i="5"/>
  <c r="AC81" i="5"/>
  <c r="V81" i="5"/>
  <c r="AF80" i="5"/>
  <c r="AC80" i="5"/>
  <c r="V80" i="5"/>
  <c r="AF79" i="5"/>
  <c r="AC79" i="5"/>
  <c r="V79" i="5"/>
  <c r="AF78" i="5"/>
  <c r="AC78" i="5"/>
  <c r="V78" i="5"/>
  <c r="AF77" i="5"/>
  <c r="AC77" i="5"/>
  <c r="V77" i="5"/>
  <c r="AF76" i="5"/>
  <c r="AC76" i="5"/>
  <c r="V76" i="5"/>
  <c r="AF75" i="5"/>
  <c r="AC75" i="5"/>
  <c r="V75" i="5"/>
  <c r="AF74" i="5"/>
  <c r="AC74" i="5"/>
  <c r="V74" i="5"/>
  <c r="AF73" i="5"/>
  <c r="AC73" i="5"/>
  <c r="V73" i="5"/>
  <c r="AF72" i="5"/>
  <c r="AC72" i="5"/>
  <c r="V72" i="5"/>
  <c r="AF71" i="5"/>
  <c r="AC71" i="5"/>
  <c r="V71" i="5"/>
  <c r="AF70" i="5"/>
  <c r="AC70" i="5"/>
  <c r="V70" i="5"/>
  <c r="AF69" i="5"/>
  <c r="AC69" i="5"/>
  <c r="V69" i="5"/>
  <c r="AF68" i="5"/>
  <c r="AC68" i="5"/>
  <c r="V68" i="5"/>
  <c r="AF67" i="5"/>
  <c r="AC67" i="5"/>
  <c r="V67" i="5"/>
  <c r="AF66" i="5"/>
  <c r="AC66" i="5"/>
  <c r="V66" i="5"/>
  <c r="AF65" i="5"/>
  <c r="AC65" i="5"/>
  <c r="V65" i="5"/>
  <c r="AF64" i="5"/>
  <c r="AC64" i="5"/>
  <c r="V64" i="5"/>
  <c r="AF63" i="5"/>
  <c r="AC63" i="5"/>
  <c r="V63" i="5"/>
  <c r="AF62" i="5"/>
  <c r="AC62" i="5"/>
  <c r="V62" i="5"/>
  <c r="AF61" i="5"/>
  <c r="AC61" i="5"/>
  <c r="V61" i="5"/>
  <c r="AF60" i="5"/>
  <c r="AC60" i="5"/>
  <c r="V60" i="5"/>
  <c r="AF59" i="5"/>
  <c r="AC59" i="5"/>
  <c r="V59" i="5"/>
  <c r="AF58" i="5"/>
  <c r="AC58" i="5"/>
  <c r="V58" i="5"/>
  <c r="AF57" i="5"/>
  <c r="AC57" i="5"/>
  <c r="V57" i="5"/>
  <c r="AF56" i="5"/>
  <c r="AC56" i="5"/>
  <c r="V56" i="5"/>
  <c r="AF55" i="5"/>
  <c r="AC55" i="5"/>
  <c r="V55" i="5"/>
  <c r="AF54" i="5"/>
  <c r="AC54" i="5"/>
  <c r="V54" i="5"/>
  <c r="AF53" i="5"/>
  <c r="AC53" i="5"/>
  <c r="V53" i="5"/>
  <c r="AF52" i="5"/>
  <c r="AC52" i="5"/>
  <c r="V52" i="5"/>
  <c r="AG51" i="5"/>
  <c r="AF51" i="5"/>
  <c r="AC51" i="5"/>
  <c r="V51" i="5"/>
  <c r="AF50" i="5"/>
  <c r="AC50" i="5"/>
  <c r="V50" i="5"/>
  <c r="AF49" i="5"/>
  <c r="AC49" i="5"/>
  <c r="V49" i="5"/>
  <c r="AF48" i="5"/>
  <c r="AC48" i="5"/>
  <c r="V48" i="5"/>
  <c r="AF47" i="5"/>
  <c r="AC47" i="5"/>
  <c r="V47" i="5"/>
  <c r="AF46" i="5"/>
  <c r="AC46" i="5"/>
  <c r="V46" i="5"/>
  <c r="AF45" i="5"/>
  <c r="AC45" i="5"/>
  <c r="V45" i="5"/>
  <c r="AF44" i="5"/>
  <c r="AC44" i="5"/>
  <c r="V44" i="5"/>
  <c r="AF43" i="5"/>
  <c r="AC43" i="5"/>
  <c r="V43" i="5"/>
  <c r="AF42" i="5"/>
  <c r="AC42" i="5"/>
  <c r="V42" i="5"/>
  <c r="AF41" i="5"/>
  <c r="AC41" i="5"/>
  <c r="V41" i="5"/>
  <c r="AF40" i="5"/>
  <c r="AC40" i="5"/>
  <c r="V40" i="5"/>
  <c r="AF39" i="5"/>
  <c r="AC39" i="5"/>
  <c r="V39" i="5"/>
  <c r="AF38" i="5"/>
  <c r="AC38" i="5"/>
  <c r="V38" i="5"/>
  <c r="AF37" i="5"/>
  <c r="AC37" i="5"/>
  <c r="V37" i="5"/>
  <c r="AF36" i="5"/>
  <c r="AC36" i="5"/>
  <c r="V36" i="5"/>
  <c r="AF35" i="5"/>
  <c r="AC35" i="5"/>
  <c r="V35" i="5"/>
  <c r="AF34" i="5"/>
  <c r="AC34" i="5"/>
  <c r="V34" i="5"/>
  <c r="AF33" i="5"/>
  <c r="AC33" i="5"/>
  <c r="V33" i="5"/>
  <c r="AF32" i="5"/>
  <c r="AC32" i="5"/>
  <c r="V32" i="5"/>
  <c r="AF31" i="5"/>
  <c r="AC31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L5" i="5"/>
  <c r="V4" i="5"/>
  <c r="L4" i="5"/>
  <c r="Q3" i="5"/>
  <c r="L3" i="5"/>
  <c r="V240" i="4"/>
  <c r="V239" i="4"/>
  <c r="V238" i="4"/>
  <c r="V237" i="4"/>
  <c r="V236" i="4"/>
  <c r="V235" i="4"/>
  <c r="V234" i="4"/>
  <c r="V233" i="4"/>
  <c r="V232" i="4"/>
  <c r="V231" i="4"/>
  <c r="V230" i="4"/>
  <c r="V229" i="4"/>
  <c r="V228" i="4"/>
  <c r="V227" i="4"/>
  <c r="V226" i="4"/>
  <c r="V225" i="4"/>
  <c r="V224" i="4"/>
  <c r="V223" i="4"/>
  <c r="V222" i="4"/>
  <c r="V221" i="4"/>
  <c r="V220" i="4"/>
  <c r="X219" i="4"/>
  <c r="V219" i="4"/>
  <c r="V218" i="4"/>
  <c r="V217" i="4"/>
  <c r="V216" i="4"/>
  <c r="V215" i="4"/>
  <c r="Z214" i="4"/>
  <c r="Y214" i="4"/>
  <c r="V214" i="4"/>
  <c r="V213" i="4"/>
  <c r="V212" i="4"/>
  <c r="V211" i="4"/>
  <c r="V210" i="4"/>
  <c r="Y209" i="4"/>
  <c r="V209" i="4"/>
  <c r="V208" i="4"/>
  <c r="V207" i="4"/>
  <c r="V206" i="4"/>
  <c r="V205" i="4"/>
  <c r="V204" i="4"/>
  <c r="V203" i="4"/>
  <c r="X202" i="4"/>
  <c r="V202" i="4"/>
  <c r="V201" i="4"/>
  <c r="V200" i="4"/>
  <c r="V199" i="4"/>
  <c r="X198" i="4"/>
  <c r="V198" i="4"/>
  <c r="V197" i="4"/>
  <c r="V196" i="4"/>
  <c r="V195" i="4"/>
  <c r="V194" i="4"/>
  <c r="V193" i="4"/>
  <c r="V192" i="4"/>
  <c r="V191" i="4"/>
  <c r="V190" i="4"/>
  <c r="V189" i="4"/>
  <c r="V188" i="4"/>
  <c r="V187" i="4"/>
  <c r="V186" i="4"/>
  <c r="V185" i="4"/>
  <c r="V184" i="4"/>
  <c r="V183" i="4"/>
  <c r="V182" i="4"/>
  <c r="V181" i="4"/>
  <c r="V180" i="4"/>
  <c r="V179" i="4"/>
  <c r="V178" i="4"/>
  <c r="V177" i="4"/>
  <c r="V176" i="4"/>
  <c r="V175" i="4"/>
  <c r="V174" i="4"/>
  <c r="V173" i="4"/>
  <c r="V172" i="4"/>
  <c r="V171" i="4"/>
  <c r="V170" i="4"/>
  <c r="V169" i="4"/>
  <c r="V168" i="4"/>
  <c r="V167" i="4"/>
  <c r="V166" i="4"/>
  <c r="V165" i="4"/>
  <c r="V164" i="4"/>
  <c r="V163" i="4"/>
  <c r="V162" i="4"/>
  <c r="V161" i="4"/>
  <c r="V160" i="4"/>
  <c r="V159" i="4"/>
  <c r="V158" i="4"/>
  <c r="V157" i="4"/>
  <c r="Y156" i="4"/>
  <c r="V156" i="4"/>
  <c r="V155" i="4"/>
  <c r="V154" i="4"/>
  <c r="V153" i="4"/>
  <c r="V152" i="4"/>
  <c r="V151" i="4"/>
  <c r="V150" i="4"/>
  <c r="V149" i="4"/>
  <c r="V148" i="4"/>
  <c r="V147" i="4"/>
  <c r="V146" i="4"/>
  <c r="V145" i="4"/>
  <c r="V144" i="4"/>
  <c r="V143" i="4"/>
  <c r="V142" i="4"/>
  <c r="V141" i="4"/>
  <c r="V140" i="4"/>
  <c r="V139" i="4"/>
  <c r="V138" i="4"/>
  <c r="V137" i="4"/>
  <c r="V136" i="4"/>
  <c r="V135" i="4"/>
  <c r="V134" i="4"/>
  <c r="V133" i="4"/>
  <c r="V132" i="4"/>
  <c r="V131" i="4"/>
  <c r="V130" i="4"/>
  <c r="V129" i="4"/>
  <c r="V128" i="4"/>
  <c r="V127" i="4"/>
  <c r="V126" i="4"/>
  <c r="V125" i="4"/>
  <c r="V124" i="4"/>
  <c r="V123" i="4"/>
  <c r="V122" i="4"/>
  <c r="V121" i="4"/>
  <c r="V120" i="4"/>
  <c r="V119" i="4"/>
  <c r="V118" i="4"/>
  <c r="V117" i="4"/>
  <c r="V116" i="4"/>
  <c r="V115" i="4"/>
  <c r="V114" i="4"/>
  <c r="V113" i="4"/>
  <c r="V112" i="4"/>
  <c r="V111" i="4"/>
  <c r="V110" i="4"/>
  <c r="V109" i="4"/>
  <c r="V108" i="4"/>
  <c r="V107" i="4"/>
  <c r="V106" i="4"/>
  <c r="V105" i="4"/>
  <c r="V104" i="4"/>
  <c r="V103" i="4"/>
  <c r="V102" i="4"/>
  <c r="V101" i="4"/>
  <c r="V100" i="4"/>
  <c r="V99" i="4"/>
  <c r="V98" i="4"/>
  <c r="V97" i="4"/>
  <c r="V96" i="4"/>
  <c r="V95" i="4"/>
  <c r="V94" i="4"/>
  <c r="V93" i="4"/>
  <c r="V92" i="4"/>
  <c r="V91" i="4"/>
  <c r="V90" i="4"/>
  <c r="V89" i="4"/>
  <c r="V88" i="4"/>
  <c r="V87" i="4"/>
  <c r="V86" i="4"/>
  <c r="V85" i="4"/>
  <c r="V84" i="4"/>
  <c r="V83" i="4"/>
  <c r="V82" i="4"/>
  <c r="V81" i="4"/>
  <c r="V80" i="4"/>
  <c r="V79" i="4"/>
  <c r="Z78" i="4"/>
  <c r="V78" i="4"/>
  <c r="AF77" i="4"/>
  <c r="AC77" i="4"/>
  <c r="V77" i="4"/>
  <c r="AF76" i="4"/>
  <c r="AC76" i="4"/>
  <c r="V76" i="4"/>
  <c r="AF75" i="4"/>
  <c r="AC75" i="4"/>
  <c r="V75" i="4"/>
  <c r="AF74" i="4"/>
  <c r="AC74" i="4"/>
  <c r="V74" i="4"/>
  <c r="AF73" i="4"/>
  <c r="AC73" i="4"/>
  <c r="V73" i="4"/>
  <c r="AF72" i="4"/>
  <c r="AC72" i="4"/>
  <c r="V72" i="4"/>
  <c r="AF71" i="4"/>
  <c r="AC71" i="4"/>
  <c r="V71" i="4"/>
  <c r="AF70" i="4"/>
  <c r="AC70" i="4"/>
  <c r="V70" i="4"/>
  <c r="AF69" i="4"/>
  <c r="AC69" i="4"/>
  <c r="V69" i="4"/>
  <c r="AF68" i="4"/>
  <c r="AC68" i="4"/>
  <c r="V68" i="4"/>
  <c r="AF67" i="4"/>
  <c r="AC67" i="4"/>
  <c r="V67" i="4"/>
  <c r="AF66" i="4"/>
  <c r="AC66" i="4"/>
  <c r="V66" i="4"/>
  <c r="AF65" i="4"/>
  <c r="AC65" i="4"/>
  <c r="V65" i="4"/>
  <c r="AF64" i="4"/>
  <c r="AC64" i="4"/>
  <c r="V64" i="4"/>
  <c r="AF63" i="4"/>
  <c r="AC63" i="4"/>
  <c r="V63" i="4"/>
  <c r="AF62" i="4"/>
  <c r="AC62" i="4"/>
  <c r="V62" i="4"/>
  <c r="AF61" i="4"/>
  <c r="AC61" i="4"/>
  <c r="V61" i="4"/>
  <c r="AF60" i="4"/>
  <c r="AC60" i="4"/>
  <c r="V60" i="4"/>
  <c r="AF59" i="4"/>
  <c r="AC59" i="4"/>
  <c r="V59" i="4"/>
  <c r="AF58" i="4"/>
  <c r="AC58" i="4"/>
  <c r="V58" i="4"/>
  <c r="AF57" i="4"/>
  <c r="AC57" i="4"/>
  <c r="V57" i="4"/>
  <c r="AF56" i="4"/>
  <c r="AC56" i="4"/>
  <c r="V56" i="4"/>
  <c r="AF55" i="4"/>
  <c r="AC55" i="4"/>
  <c r="V55" i="4"/>
  <c r="AF54" i="4"/>
  <c r="AC54" i="4"/>
  <c r="V54" i="4"/>
  <c r="AF53" i="4"/>
  <c r="AC53" i="4"/>
  <c r="V53" i="4"/>
  <c r="AF52" i="4"/>
  <c r="AC52" i="4"/>
  <c r="V52" i="4"/>
  <c r="AF51" i="4"/>
  <c r="AC51" i="4"/>
  <c r="V51" i="4"/>
  <c r="AF50" i="4"/>
  <c r="AC50" i="4"/>
  <c r="V50" i="4"/>
  <c r="AF49" i="4"/>
  <c r="AC49" i="4"/>
  <c r="Z49" i="4"/>
  <c r="Y49" i="4"/>
  <c r="X49" i="4"/>
  <c r="V49" i="4"/>
  <c r="AF48" i="4"/>
  <c r="AC48" i="4"/>
  <c r="V48" i="4"/>
  <c r="AF47" i="4"/>
  <c r="AC47" i="4"/>
  <c r="V47" i="4"/>
  <c r="AF46" i="4"/>
  <c r="AC46" i="4"/>
  <c r="V46" i="4"/>
  <c r="AF45" i="4"/>
  <c r="AC45" i="4"/>
  <c r="V45" i="4"/>
  <c r="AF44" i="4"/>
  <c r="AC44" i="4"/>
  <c r="V44" i="4"/>
  <c r="AF43" i="4"/>
  <c r="AC43" i="4"/>
  <c r="V43" i="4"/>
  <c r="AF42" i="4"/>
  <c r="AC42" i="4"/>
  <c r="V42" i="4"/>
  <c r="AF41" i="4"/>
  <c r="AC41" i="4"/>
  <c r="V41" i="4"/>
  <c r="AF40" i="4"/>
  <c r="AC40" i="4"/>
  <c r="V40" i="4"/>
  <c r="AF39" i="4"/>
  <c r="AC39" i="4"/>
  <c r="V39" i="4"/>
  <c r="AF38" i="4"/>
  <c r="AC38" i="4"/>
  <c r="V38" i="4"/>
  <c r="AF37" i="4"/>
  <c r="AC37" i="4"/>
  <c r="V37" i="4"/>
  <c r="AF36" i="4"/>
  <c r="AC36" i="4"/>
  <c r="V36" i="4"/>
  <c r="AF35" i="4"/>
  <c r="AC35" i="4"/>
  <c r="V35" i="4"/>
  <c r="AF34" i="4"/>
  <c r="AC34" i="4"/>
  <c r="V34" i="4"/>
  <c r="AF33" i="4"/>
  <c r="AC33" i="4"/>
  <c r="V33" i="4"/>
  <c r="AF32" i="4"/>
  <c r="AC32" i="4"/>
  <c r="V32" i="4"/>
  <c r="AF31" i="4"/>
  <c r="AC31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L5" i="4"/>
  <c r="V4" i="4"/>
  <c r="L4" i="4"/>
  <c r="Q3" i="4"/>
  <c r="L3" i="4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Z216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X84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AF71" i="3"/>
  <c r="AC71" i="3"/>
  <c r="V71" i="3"/>
  <c r="AF70" i="3"/>
  <c r="AC70" i="3"/>
  <c r="V70" i="3"/>
  <c r="AF69" i="3"/>
  <c r="AC69" i="3"/>
  <c r="V69" i="3"/>
  <c r="AF68" i="3"/>
  <c r="AC68" i="3"/>
  <c r="V68" i="3"/>
  <c r="AF67" i="3"/>
  <c r="AC67" i="3"/>
  <c r="V67" i="3"/>
  <c r="AF66" i="3"/>
  <c r="AC66" i="3"/>
  <c r="V66" i="3"/>
  <c r="AF65" i="3"/>
  <c r="AC65" i="3"/>
  <c r="V65" i="3"/>
  <c r="AF64" i="3"/>
  <c r="AC64" i="3"/>
  <c r="V64" i="3"/>
  <c r="AF63" i="3"/>
  <c r="AC63" i="3"/>
  <c r="V63" i="3"/>
  <c r="AF62" i="3"/>
  <c r="AC62" i="3"/>
  <c r="V62" i="3"/>
  <c r="AF61" i="3"/>
  <c r="AC61" i="3"/>
  <c r="V61" i="3"/>
  <c r="AF60" i="3"/>
  <c r="AC60" i="3"/>
  <c r="V60" i="3"/>
  <c r="AF59" i="3"/>
  <c r="AC59" i="3"/>
  <c r="V59" i="3"/>
  <c r="AF58" i="3"/>
  <c r="AC58" i="3"/>
  <c r="V58" i="3"/>
  <c r="AF57" i="3"/>
  <c r="AC57" i="3"/>
  <c r="V57" i="3"/>
  <c r="AF56" i="3"/>
  <c r="AC56" i="3"/>
  <c r="V56" i="3"/>
  <c r="AF55" i="3"/>
  <c r="AC55" i="3"/>
  <c r="V55" i="3"/>
  <c r="AF54" i="3"/>
  <c r="AC54" i="3"/>
  <c r="V54" i="3"/>
  <c r="AF53" i="3"/>
  <c r="AC53" i="3"/>
  <c r="V53" i="3"/>
  <c r="AF52" i="3"/>
  <c r="AC52" i="3"/>
  <c r="V52" i="3"/>
  <c r="AF51" i="3"/>
  <c r="AC51" i="3"/>
  <c r="V51" i="3"/>
  <c r="AF50" i="3"/>
  <c r="AC50" i="3"/>
  <c r="V50" i="3"/>
  <c r="AF49" i="3"/>
  <c r="AC49" i="3"/>
  <c r="V49" i="3"/>
  <c r="AF48" i="3"/>
  <c r="AC48" i="3"/>
  <c r="V48" i="3"/>
  <c r="AF47" i="3"/>
  <c r="AC47" i="3"/>
  <c r="V47" i="3"/>
  <c r="AF46" i="3"/>
  <c r="AC46" i="3"/>
  <c r="V46" i="3"/>
  <c r="AF45" i="3"/>
  <c r="AC45" i="3"/>
  <c r="V45" i="3"/>
  <c r="AF44" i="3"/>
  <c r="AC44" i="3"/>
  <c r="V44" i="3"/>
  <c r="AF43" i="3"/>
  <c r="AC43" i="3"/>
  <c r="V43" i="3"/>
  <c r="AF42" i="3"/>
  <c r="AC42" i="3"/>
  <c r="V42" i="3"/>
  <c r="AF41" i="3"/>
  <c r="AC41" i="3"/>
  <c r="V41" i="3"/>
  <c r="AF40" i="3"/>
  <c r="AC40" i="3"/>
  <c r="V40" i="3"/>
  <c r="AF39" i="3"/>
  <c r="AC39" i="3"/>
  <c r="V39" i="3"/>
  <c r="AF38" i="3"/>
  <c r="AC38" i="3"/>
  <c r="V38" i="3"/>
  <c r="AF37" i="3"/>
  <c r="AC37" i="3"/>
  <c r="V37" i="3"/>
  <c r="AF36" i="3"/>
  <c r="AC36" i="3"/>
  <c r="V36" i="3"/>
  <c r="AF35" i="3"/>
  <c r="AC35" i="3"/>
  <c r="V35" i="3"/>
  <c r="AF34" i="3"/>
  <c r="AC34" i="3"/>
  <c r="V34" i="3"/>
  <c r="AF33" i="3"/>
  <c r="AC33" i="3"/>
  <c r="V33" i="3"/>
  <c r="AF32" i="3"/>
  <c r="AC32" i="3"/>
  <c r="V32" i="3"/>
  <c r="AF31" i="3"/>
  <c r="AC31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L5" i="3"/>
  <c r="V4" i="3"/>
  <c r="L4" i="3"/>
  <c r="Q3" i="3"/>
  <c r="L3" i="3"/>
  <c r="J850" i="2"/>
  <c r="I850" i="2"/>
  <c r="H850" i="2"/>
  <c r="G850" i="2"/>
  <c r="D850" i="2"/>
  <c r="C850" i="2"/>
  <c r="B850" i="2"/>
  <c r="A850" i="2"/>
  <c r="J849" i="2"/>
  <c r="I849" i="2"/>
  <c r="H849" i="2"/>
  <c r="G849" i="2"/>
  <c r="D849" i="2"/>
  <c r="C849" i="2"/>
  <c r="B849" i="2"/>
  <c r="A849" i="2"/>
  <c r="J848" i="2"/>
  <c r="I848" i="2"/>
  <c r="H848" i="2"/>
  <c r="G848" i="2"/>
  <c r="D848" i="2"/>
  <c r="C848" i="2"/>
  <c r="B848" i="2"/>
  <c r="A848" i="2"/>
  <c r="J847" i="2"/>
  <c r="I847" i="2"/>
  <c r="H847" i="2"/>
  <c r="G847" i="2"/>
  <c r="D847" i="2"/>
  <c r="C847" i="2"/>
  <c r="B847" i="2"/>
  <c r="A847" i="2"/>
  <c r="J846" i="2"/>
  <c r="I846" i="2"/>
  <c r="H846" i="2"/>
  <c r="G846" i="2"/>
  <c r="D846" i="2"/>
  <c r="C846" i="2"/>
  <c r="B846" i="2"/>
  <c r="A846" i="2"/>
  <c r="J845" i="2"/>
  <c r="I845" i="2"/>
  <c r="H845" i="2"/>
  <c r="G845" i="2"/>
  <c r="D845" i="2"/>
  <c r="C845" i="2"/>
  <c r="B845" i="2"/>
  <c r="A845" i="2"/>
  <c r="J844" i="2"/>
  <c r="I844" i="2"/>
  <c r="H844" i="2"/>
  <c r="G844" i="2"/>
  <c r="D844" i="2"/>
  <c r="C844" i="2"/>
  <c r="B844" i="2"/>
  <c r="A844" i="2"/>
  <c r="J843" i="2"/>
  <c r="I843" i="2"/>
  <c r="H843" i="2"/>
  <c r="G843" i="2"/>
  <c r="D843" i="2"/>
  <c r="C843" i="2"/>
  <c r="B843" i="2"/>
  <c r="A843" i="2"/>
  <c r="J842" i="2"/>
  <c r="I842" i="2"/>
  <c r="H842" i="2"/>
  <c r="G842" i="2"/>
  <c r="D842" i="2"/>
  <c r="C842" i="2"/>
  <c r="B842" i="2"/>
  <c r="A842" i="2"/>
  <c r="J841" i="2"/>
  <c r="I841" i="2"/>
  <c r="H841" i="2"/>
  <c r="G841" i="2"/>
  <c r="D841" i="2"/>
  <c r="C841" i="2"/>
  <c r="B841" i="2"/>
  <c r="A841" i="2"/>
  <c r="J840" i="2"/>
  <c r="I840" i="2"/>
  <c r="H840" i="2"/>
  <c r="G840" i="2"/>
  <c r="D840" i="2"/>
  <c r="C840" i="2"/>
  <c r="B840" i="2"/>
  <c r="A840" i="2"/>
  <c r="J839" i="2"/>
  <c r="I839" i="2"/>
  <c r="H839" i="2"/>
  <c r="G839" i="2"/>
  <c r="D839" i="2"/>
  <c r="C839" i="2"/>
  <c r="B839" i="2"/>
  <c r="A839" i="2"/>
  <c r="J838" i="2"/>
  <c r="I838" i="2"/>
  <c r="H838" i="2"/>
  <c r="G838" i="2"/>
  <c r="D838" i="2"/>
  <c r="C838" i="2"/>
  <c r="B838" i="2"/>
  <c r="A838" i="2"/>
  <c r="J837" i="2"/>
  <c r="I837" i="2"/>
  <c r="H837" i="2"/>
  <c r="G837" i="2"/>
  <c r="D837" i="2"/>
  <c r="C837" i="2"/>
  <c r="B837" i="2"/>
  <c r="A837" i="2"/>
  <c r="J836" i="2"/>
  <c r="I836" i="2"/>
  <c r="H836" i="2"/>
  <c r="G836" i="2"/>
  <c r="D836" i="2"/>
  <c r="C836" i="2"/>
  <c r="B836" i="2"/>
  <c r="A836" i="2"/>
  <c r="J835" i="2"/>
  <c r="I835" i="2"/>
  <c r="H835" i="2"/>
  <c r="G835" i="2"/>
  <c r="D835" i="2"/>
  <c r="C835" i="2"/>
  <c r="B835" i="2"/>
  <c r="A835" i="2"/>
  <c r="J834" i="2"/>
  <c r="I834" i="2"/>
  <c r="H834" i="2"/>
  <c r="G834" i="2"/>
  <c r="D834" i="2"/>
  <c r="C834" i="2"/>
  <c r="B834" i="2"/>
  <c r="A834" i="2"/>
  <c r="J833" i="2"/>
  <c r="I833" i="2"/>
  <c r="H833" i="2"/>
  <c r="G833" i="2"/>
  <c r="D833" i="2"/>
  <c r="C833" i="2"/>
  <c r="B833" i="2"/>
  <c r="A833" i="2"/>
  <c r="J832" i="2"/>
  <c r="I832" i="2"/>
  <c r="H832" i="2"/>
  <c r="G832" i="2"/>
  <c r="D832" i="2"/>
  <c r="C832" i="2"/>
  <c r="B832" i="2"/>
  <c r="A832" i="2"/>
  <c r="J831" i="2"/>
  <c r="I831" i="2"/>
  <c r="H831" i="2"/>
  <c r="G831" i="2"/>
  <c r="D831" i="2"/>
  <c r="C831" i="2"/>
  <c r="B831" i="2"/>
  <c r="A831" i="2"/>
  <c r="J830" i="2"/>
  <c r="I830" i="2"/>
  <c r="H830" i="2"/>
  <c r="G830" i="2"/>
  <c r="D830" i="2"/>
  <c r="C830" i="2"/>
  <c r="B830" i="2"/>
  <c r="A830" i="2"/>
  <c r="J829" i="2"/>
  <c r="I829" i="2"/>
  <c r="H829" i="2"/>
  <c r="G829" i="2"/>
  <c r="D829" i="2"/>
  <c r="C829" i="2"/>
  <c r="B829" i="2"/>
  <c r="A829" i="2"/>
  <c r="J828" i="2"/>
  <c r="I828" i="2"/>
  <c r="H828" i="2"/>
  <c r="G828" i="2"/>
  <c r="D828" i="2"/>
  <c r="C828" i="2"/>
  <c r="B828" i="2"/>
  <c r="A828" i="2"/>
  <c r="J827" i="2"/>
  <c r="I827" i="2"/>
  <c r="H827" i="2"/>
  <c r="G827" i="2"/>
  <c r="D827" i="2"/>
  <c r="C827" i="2"/>
  <c r="B827" i="2"/>
  <c r="A827" i="2"/>
  <c r="J826" i="2"/>
  <c r="I826" i="2"/>
  <c r="H826" i="2"/>
  <c r="G826" i="2"/>
  <c r="D826" i="2"/>
  <c r="C826" i="2"/>
  <c r="B826" i="2"/>
  <c r="A826" i="2"/>
  <c r="J825" i="2"/>
  <c r="I825" i="2"/>
  <c r="H825" i="2"/>
  <c r="G825" i="2"/>
  <c r="D825" i="2"/>
  <c r="C825" i="2"/>
  <c r="B825" i="2"/>
  <c r="A825" i="2"/>
  <c r="J824" i="2"/>
  <c r="I824" i="2"/>
  <c r="H824" i="2"/>
  <c r="G824" i="2"/>
  <c r="D824" i="2"/>
  <c r="C824" i="2"/>
  <c r="B824" i="2"/>
  <c r="A824" i="2"/>
  <c r="J823" i="2"/>
  <c r="I823" i="2"/>
  <c r="H823" i="2"/>
  <c r="G823" i="2"/>
  <c r="D823" i="2"/>
  <c r="C823" i="2"/>
  <c r="B823" i="2"/>
  <c r="A823" i="2"/>
  <c r="J822" i="2"/>
  <c r="I822" i="2"/>
  <c r="H822" i="2"/>
  <c r="G822" i="2"/>
  <c r="D822" i="2"/>
  <c r="C822" i="2"/>
  <c r="B822" i="2"/>
  <c r="A822" i="2"/>
  <c r="J821" i="2"/>
  <c r="I821" i="2"/>
  <c r="H821" i="2"/>
  <c r="G821" i="2"/>
  <c r="D821" i="2"/>
  <c r="C821" i="2"/>
  <c r="B821" i="2"/>
  <c r="A821" i="2"/>
  <c r="J820" i="2"/>
  <c r="I820" i="2"/>
  <c r="H820" i="2"/>
  <c r="G820" i="2"/>
  <c r="D820" i="2"/>
  <c r="C820" i="2"/>
  <c r="B820" i="2"/>
  <c r="A820" i="2"/>
  <c r="J819" i="2"/>
  <c r="I819" i="2"/>
  <c r="H819" i="2"/>
  <c r="G819" i="2"/>
  <c r="D819" i="2"/>
  <c r="C819" i="2"/>
  <c r="B819" i="2"/>
  <c r="A819" i="2"/>
  <c r="J818" i="2"/>
  <c r="I818" i="2"/>
  <c r="H818" i="2"/>
  <c r="G818" i="2"/>
  <c r="D818" i="2"/>
  <c r="C818" i="2"/>
  <c r="B818" i="2"/>
  <c r="A818" i="2"/>
  <c r="J817" i="2"/>
  <c r="I817" i="2"/>
  <c r="H817" i="2"/>
  <c r="G817" i="2"/>
  <c r="D817" i="2"/>
  <c r="C817" i="2"/>
  <c r="B817" i="2"/>
  <c r="A817" i="2"/>
  <c r="J816" i="2"/>
  <c r="I816" i="2"/>
  <c r="H816" i="2"/>
  <c r="G816" i="2"/>
  <c r="D816" i="2"/>
  <c r="C816" i="2"/>
  <c r="B816" i="2"/>
  <c r="A816" i="2"/>
  <c r="J815" i="2"/>
  <c r="I815" i="2"/>
  <c r="H815" i="2"/>
  <c r="G815" i="2"/>
  <c r="D815" i="2"/>
  <c r="C815" i="2"/>
  <c r="B815" i="2"/>
  <c r="A815" i="2"/>
  <c r="J814" i="2"/>
  <c r="I814" i="2"/>
  <c r="H814" i="2"/>
  <c r="G814" i="2"/>
  <c r="D814" i="2"/>
  <c r="C814" i="2"/>
  <c r="B814" i="2"/>
  <c r="A814" i="2"/>
  <c r="J813" i="2"/>
  <c r="I813" i="2"/>
  <c r="H813" i="2"/>
  <c r="G813" i="2"/>
  <c r="D813" i="2"/>
  <c r="C813" i="2"/>
  <c r="B813" i="2"/>
  <c r="A813" i="2"/>
  <c r="J812" i="2"/>
  <c r="I812" i="2"/>
  <c r="H812" i="2"/>
  <c r="G812" i="2"/>
  <c r="D812" i="2"/>
  <c r="C812" i="2"/>
  <c r="B812" i="2"/>
  <c r="A812" i="2"/>
  <c r="J811" i="2"/>
  <c r="I811" i="2"/>
  <c r="H811" i="2"/>
  <c r="G811" i="2"/>
  <c r="D811" i="2"/>
  <c r="C811" i="2"/>
  <c r="B811" i="2"/>
  <c r="A811" i="2"/>
  <c r="J810" i="2"/>
  <c r="I810" i="2"/>
  <c r="H810" i="2"/>
  <c r="G810" i="2"/>
  <c r="D810" i="2"/>
  <c r="C810" i="2"/>
  <c r="B810" i="2"/>
  <c r="A810" i="2"/>
  <c r="J809" i="2"/>
  <c r="I809" i="2"/>
  <c r="H809" i="2"/>
  <c r="G809" i="2"/>
  <c r="D809" i="2"/>
  <c r="C809" i="2"/>
  <c r="B809" i="2"/>
  <c r="A809" i="2"/>
  <c r="J808" i="2"/>
  <c r="I808" i="2"/>
  <c r="H808" i="2"/>
  <c r="G808" i="2"/>
  <c r="D808" i="2"/>
  <c r="C808" i="2"/>
  <c r="B808" i="2"/>
  <c r="A808" i="2"/>
  <c r="J807" i="2"/>
  <c r="I807" i="2"/>
  <c r="H807" i="2"/>
  <c r="G807" i="2"/>
  <c r="D807" i="2"/>
  <c r="C807" i="2"/>
  <c r="B807" i="2"/>
  <c r="A807" i="2"/>
  <c r="J806" i="2"/>
  <c r="I806" i="2"/>
  <c r="H806" i="2"/>
  <c r="G806" i="2"/>
  <c r="D806" i="2"/>
  <c r="C806" i="2"/>
  <c r="B806" i="2"/>
  <c r="A806" i="2"/>
  <c r="J805" i="2"/>
  <c r="I805" i="2"/>
  <c r="H805" i="2"/>
  <c r="G805" i="2"/>
  <c r="D805" i="2"/>
  <c r="C805" i="2"/>
  <c r="B805" i="2"/>
  <c r="A805" i="2"/>
  <c r="J804" i="2"/>
  <c r="I804" i="2"/>
  <c r="H804" i="2"/>
  <c r="G804" i="2"/>
  <c r="D804" i="2"/>
  <c r="C804" i="2"/>
  <c r="B804" i="2"/>
  <c r="A804" i="2"/>
  <c r="J803" i="2"/>
  <c r="I803" i="2"/>
  <c r="H803" i="2"/>
  <c r="G803" i="2"/>
  <c r="D803" i="2"/>
  <c r="C803" i="2"/>
  <c r="B803" i="2"/>
  <c r="A803" i="2"/>
  <c r="J802" i="2"/>
  <c r="I802" i="2"/>
  <c r="H802" i="2"/>
  <c r="G802" i="2"/>
  <c r="D802" i="2"/>
  <c r="C802" i="2"/>
  <c r="B802" i="2"/>
  <c r="A802" i="2"/>
  <c r="J801" i="2"/>
  <c r="I801" i="2"/>
  <c r="H801" i="2"/>
  <c r="G801" i="2"/>
  <c r="D801" i="2"/>
  <c r="C801" i="2"/>
  <c r="B801" i="2"/>
  <c r="A801" i="2"/>
  <c r="J800" i="2"/>
  <c r="I800" i="2"/>
  <c r="H800" i="2"/>
  <c r="G800" i="2"/>
  <c r="D800" i="2"/>
  <c r="C800" i="2"/>
  <c r="B800" i="2"/>
  <c r="A800" i="2"/>
  <c r="J799" i="2"/>
  <c r="I799" i="2"/>
  <c r="H799" i="2"/>
  <c r="G799" i="2"/>
  <c r="D799" i="2"/>
  <c r="C799" i="2"/>
  <c r="B799" i="2"/>
  <c r="A799" i="2"/>
  <c r="J798" i="2"/>
  <c r="I798" i="2"/>
  <c r="H798" i="2"/>
  <c r="G798" i="2"/>
  <c r="D798" i="2"/>
  <c r="C798" i="2"/>
  <c r="B798" i="2"/>
  <c r="A798" i="2"/>
  <c r="J797" i="2"/>
  <c r="I797" i="2"/>
  <c r="H797" i="2"/>
  <c r="G797" i="2"/>
  <c r="D797" i="2"/>
  <c r="C797" i="2"/>
  <c r="B797" i="2"/>
  <c r="A797" i="2"/>
  <c r="J796" i="2"/>
  <c r="I796" i="2"/>
  <c r="H796" i="2"/>
  <c r="G796" i="2"/>
  <c r="D796" i="2"/>
  <c r="C796" i="2"/>
  <c r="B796" i="2"/>
  <c r="A796" i="2"/>
  <c r="J795" i="2"/>
  <c r="I795" i="2"/>
  <c r="H795" i="2"/>
  <c r="G795" i="2"/>
  <c r="D795" i="2"/>
  <c r="C795" i="2"/>
  <c r="B795" i="2"/>
  <c r="A795" i="2"/>
  <c r="J794" i="2"/>
  <c r="I794" i="2"/>
  <c r="H794" i="2"/>
  <c r="G794" i="2"/>
  <c r="D794" i="2"/>
  <c r="C794" i="2"/>
  <c r="B794" i="2"/>
  <c r="A794" i="2"/>
  <c r="J793" i="2"/>
  <c r="I793" i="2"/>
  <c r="H793" i="2"/>
  <c r="G793" i="2"/>
  <c r="D793" i="2"/>
  <c r="C793" i="2"/>
  <c r="B793" i="2"/>
  <c r="A793" i="2"/>
  <c r="J792" i="2"/>
  <c r="I792" i="2"/>
  <c r="H792" i="2"/>
  <c r="G792" i="2"/>
  <c r="D792" i="2"/>
  <c r="C792" i="2"/>
  <c r="B792" i="2"/>
  <c r="A792" i="2"/>
  <c r="J791" i="2"/>
  <c r="I791" i="2"/>
  <c r="H791" i="2"/>
  <c r="G791" i="2"/>
  <c r="D791" i="2"/>
  <c r="C791" i="2"/>
  <c r="B791" i="2"/>
  <c r="A791" i="2"/>
  <c r="J790" i="2"/>
  <c r="I790" i="2"/>
  <c r="H790" i="2"/>
  <c r="G790" i="2"/>
  <c r="D790" i="2"/>
  <c r="C790" i="2"/>
  <c r="B790" i="2"/>
  <c r="A790" i="2"/>
  <c r="J789" i="2"/>
  <c r="I789" i="2"/>
  <c r="H789" i="2"/>
  <c r="G789" i="2"/>
  <c r="D789" i="2"/>
  <c r="C789" i="2"/>
  <c r="B789" i="2"/>
  <c r="A789" i="2"/>
  <c r="J788" i="2"/>
  <c r="I788" i="2"/>
  <c r="H788" i="2"/>
  <c r="G788" i="2"/>
  <c r="D788" i="2"/>
  <c r="C788" i="2"/>
  <c r="B788" i="2"/>
  <c r="A788" i="2"/>
  <c r="J787" i="2"/>
  <c r="I787" i="2"/>
  <c r="H787" i="2"/>
  <c r="G787" i="2"/>
  <c r="D787" i="2"/>
  <c r="C787" i="2"/>
  <c r="B787" i="2"/>
  <c r="A787" i="2"/>
  <c r="J786" i="2"/>
  <c r="I786" i="2"/>
  <c r="H786" i="2"/>
  <c r="G786" i="2"/>
  <c r="D786" i="2"/>
  <c r="C786" i="2"/>
  <c r="B786" i="2"/>
  <c r="A786" i="2"/>
  <c r="J785" i="2"/>
  <c r="I785" i="2"/>
  <c r="H785" i="2"/>
  <c r="G785" i="2"/>
  <c r="D785" i="2"/>
  <c r="C785" i="2"/>
  <c r="B785" i="2"/>
  <c r="A785" i="2"/>
  <c r="J784" i="2"/>
  <c r="I784" i="2"/>
  <c r="H784" i="2"/>
  <c r="G784" i="2"/>
  <c r="D784" i="2"/>
  <c r="C784" i="2"/>
  <c r="B784" i="2"/>
  <c r="A784" i="2"/>
  <c r="J783" i="2"/>
  <c r="I783" i="2"/>
  <c r="H783" i="2"/>
  <c r="G783" i="2"/>
  <c r="D783" i="2"/>
  <c r="C783" i="2"/>
  <c r="B783" i="2"/>
  <c r="A783" i="2"/>
  <c r="J782" i="2"/>
  <c r="I782" i="2"/>
  <c r="H782" i="2"/>
  <c r="G782" i="2"/>
  <c r="D782" i="2"/>
  <c r="C782" i="2"/>
  <c r="B782" i="2"/>
  <c r="A782" i="2"/>
  <c r="J781" i="2"/>
  <c r="I781" i="2"/>
  <c r="H781" i="2"/>
  <c r="G781" i="2"/>
  <c r="D781" i="2"/>
  <c r="C781" i="2"/>
  <c r="B781" i="2"/>
  <c r="A781" i="2"/>
  <c r="J780" i="2"/>
  <c r="I780" i="2"/>
  <c r="H780" i="2"/>
  <c r="G780" i="2"/>
  <c r="D780" i="2"/>
  <c r="C780" i="2"/>
  <c r="B780" i="2"/>
  <c r="A780" i="2"/>
  <c r="J779" i="2"/>
  <c r="I779" i="2"/>
  <c r="H779" i="2"/>
  <c r="G779" i="2"/>
  <c r="D779" i="2"/>
  <c r="C779" i="2"/>
  <c r="B779" i="2"/>
  <c r="A779" i="2"/>
  <c r="J778" i="2"/>
  <c r="I778" i="2"/>
  <c r="H778" i="2"/>
  <c r="G778" i="2"/>
  <c r="D778" i="2"/>
  <c r="C778" i="2"/>
  <c r="B778" i="2"/>
  <c r="A778" i="2"/>
  <c r="J777" i="2"/>
  <c r="I777" i="2"/>
  <c r="H777" i="2"/>
  <c r="G777" i="2"/>
  <c r="D777" i="2"/>
  <c r="C777" i="2"/>
  <c r="B777" i="2"/>
  <c r="A777" i="2"/>
  <c r="J776" i="2"/>
  <c r="I776" i="2"/>
  <c r="H776" i="2"/>
  <c r="G776" i="2"/>
  <c r="D776" i="2"/>
  <c r="C776" i="2"/>
  <c r="B776" i="2"/>
  <c r="A776" i="2"/>
  <c r="J775" i="2"/>
  <c r="I775" i="2"/>
  <c r="H775" i="2"/>
  <c r="G775" i="2"/>
  <c r="D775" i="2"/>
  <c r="C775" i="2"/>
  <c r="B775" i="2"/>
  <c r="A775" i="2"/>
  <c r="J774" i="2"/>
  <c r="I774" i="2"/>
  <c r="H774" i="2"/>
  <c r="G774" i="2"/>
  <c r="D774" i="2"/>
  <c r="C774" i="2"/>
  <c r="B774" i="2"/>
  <c r="A774" i="2"/>
  <c r="J773" i="2"/>
  <c r="I773" i="2"/>
  <c r="H773" i="2"/>
  <c r="G773" i="2"/>
  <c r="D773" i="2"/>
  <c r="C773" i="2"/>
  <c r="B773" i="2"/>
  <c r="A773" i="2"/>
  <c r="J772" i="2"/>
  <c r="I772" i="2"/>
  <c r="H772" i="2"/>
  <c r="G772" i="2"/>
  <c r="D772" i="2"/>
  <c r="C772" i="2"/>
  <c r="B772" i="2"/>
  <c r="A772" i="2"/>
  <c r="L771" i="2"/>
  <c r="J771" i="2"/>
  <c r="I771" i="2"/>
  <c r="H771" i="2"/>
  <c r="G771" i="2"/>
  <c r="D771" i="2"/>
  <c r="C771" i="2"/>
  <c r="B771" i="2"/>
  <c r="A771" i="2"/>
  <c r="J770" i="2"/>
  <c r="I770" i="2"/>
  <c r="H770" i="2"/>
  <c r="G770" i="2"/>
  <c r="D770" i="2"/>
  <c r="C770" i="2"/>
  <c r="B770" i="2"/>
  <c r="A770" i="2"/>
  <c r="J769" i="2"/>
  <c r="I769" i="2"/>
  <c r="H769" i="2"/>
  <c r="G769" i="2"/>
  <c r="D769" i="2"/>
  <c r="C769" i="2"/>
  <c r="B769" i="2"/>
  <c r="A769" i="2"/>
  <c r="J768" i="2"/>
  <c r="I768" i="2"/>
  <c r="H768" i="2"/>
  <c r="G768" i="2"/>
  <c r="D768" i="2"/>
  <c r="C768" i="2"/>
  <c r="B768" i="2"/>
  <c r="A768" i="2"/>
  <c r="J767" i="2"/>
  <c r="I767" i="2"/>
  <c r="H767" i="2"/>
  <c r="G767" i="2"/>
  <c r="D767" i="2"/>
  <c r="C767" i="2"/>
  <c r="B767" i="2"/>
  <c r="A767" i="2"/>
  <c r="J766" i="2"/>
  <c r="I766" i="2"/>
  <c r="H766" i="2"/>
  <c r="G766" i="2"/>
  <c r="D766" i="2"/>
  <c r="C766" i="2"/>
  <c r="B766" i="2"/>
  <c r="A766" i="2"/>
  <c r="J765" i="2"/>
  <c r="I765" i="2"/>
  <c r="H765" i="2"/>
  <c r="G765" i="2"/>
  <c r="D765" i="2"/>
  <c r="C765" i="2"/>
  <c r="B765" i="2"/>
  <c r="A765" i="2"/>
  <c r="J764" i="2"/>
  <c r="I764" i="2"/>
  <c r="H764" i="2"/>
  <c r="G764" i="2"/>
  <c r="D764" i="2"/>
  <c r="C764" i="2"/>
  <c r="B764" i="2"/>
  <c r="A764" i="2"/>
  <c r="J763" i="2"/>
  <c r="I763" i="2"/>
  <c r="H763" i="2"/>
  <c r="G763" i="2"/>
  <c r="D763" i="2"/>
  <c r="C763" i="2"/>
  <c r="B763" i="2"/>
  <c r="A763" i="2"/>
  <c r="J762" i="2"/>
  <c r="I762" i="2"/>
  <c r="H762" i="2"/>
  <c r="G762" i="2"/>
  <c r="D762" i="2"/>
  <c r="C762" i="2"/>
  <c r="B762" i="2"/>
  <c r="A762" i="2"/>
  <c r="J761" i="2"/>
  <c r="I761" i="2"/>
  <c r="H761" i="2"/>
  <c r="G761" i="2"/>
  <c r="D761" i="2"/>
  <c r="C761" i="2"/>
  <c r="B761" i="2"/>
  <c r="A761" i="2"/>
  <c r="J760" i="2"/>
  <c r="I760" i="2"/>
  <c r="H760" i="2"/>
  <c r="G760" i="2"/>
  <c r="D760" i="2"/>
  <c r="C760" i="2"/>
  <c r="B760" i="2"/>
  <c r="A760" i="2"/>
  <c r="J759" i="2"/>
  <c r="I759" i="2"/>
  <c r="H759" i="2"/>
  <c r="G759" i="2"/>
  <c r="D759" i="2"/>
  <c r="C759" i="2"/>
  <c r="B759" i="2"/>
  <c r="A759" i="2"/>
  <c r="J758" i="2"/>
  <c r="I758" i="2"/>
  <c r="H758" i="2"/>
  <c r="G758" i="2"/>
  <c r="D758" i="2"/>
  <c r="C758" i="2"/>
  <c r="B758" i="2"/>
  <c r="A758" i="2"/>
  <c r="J757" i="2"/>
  <c r="I757" i="2"/>
  <c r="H757" i="2"/>
  <c r="G757" i="2"/>
  <c r="D757" i="2"/>
  <c r="C757" i="2"/>
  <c r="B757" i="2"/>
  <c r="A757" i="2"/>
  <c r="J756" i="2"/>
  <c r="I756" i="2"/>
  <c r="H756" i="2"/>
  <c r="G756" i="2"/>
  <c r="D756" i="2"/>
  <c r="C756" i="2"/>
  <c r="B756" i="2"/>
  <c r="A756" i="2"/>
  <c r="J755" i="2"/>
  <c r="I755" i="2"/>
  <c r="H755" i="2"/>
  <c r="G755" i="2"/>
  <c r="D755" i="2"/>
  <c r="C755" i="2"/>
  <c r="B755" i="2"/>
  <c r="A755" i="2"/>
  <c r="J754" i="2"/>
  <c r="I754" i="2"/>
  <c r="H754" i="2"/>
  <c r="G754" i="2"/>
  <c r="D754" i="2"/>
  <c r="C754" i="2"/>
  <c r="B754" i="2"/>
  <c r="A754" i="2"/>
  <c r="J753" i="2"/>
  <c r="I753" i="2"/>
  <c r="H753" i="2"/>
  <c r="G753" i="2"/>
  <c r="D753" i="2"/>
  <c r="C753" i="2"/>
  <c r="B753" i="2"/>
  <c r="A753" i="2"/>
  <c r="J752" i="2"/>
  <c r="I752" i="2"/>
  <c r="H752" i="2"/>
  <c r="G752" i="2"/>
  <c r="D752" i="2"/>
  <c r="C752" i="2"/>
  <c r="B752" i="2"/>
  <c r="A752" i="2"/>
  <c r="J751" i="2"/>
  <c r="I751" i="2"/>
  <c r="H751" i="2"/>
  <c r="G751" i="2"/>
  <c r="D751" i="2"/>
  <c r="C751" i="2"/>
  <c r="B751" i="2"/>
  <c r="A751" i="2"/>
  <c r="J750" i="2"/>
  <c r="I750" i="2"/>
  <c r="H750" i="2"/>
  <c r="G750" i="2"/>
  <c r="D750" i="2"/>
  <c r="C750" i="2"/>
  <c r="B750" i="2"/>
  <c r="A750" i="2"/>
  <c r="J749" i="2"/>
  <c r="I749" i="2"/>
  <c r="H749" i="2"/>
  <c r="G749" i="2"/>
  <c r="D749" i="2"/>
  <c r="C749" i="2"/>
  <c r="B749" i="2"/>
  <c r="A749" i="2"/>
  <c r="J748" i="2"/>
  <c r="I748" i="2"/>
  <c r="H748" i="2"/>
  <c r="G748" i="2"/>
  <c r="D748" i="2"/>
  <c r="C748" i="2"/>
  <c r="B748" i="2"/>
  <c r="A748" i="2"/>
  <c r="J747" i="2"/>
  <c r="I747" i="2"/>
  <c r="H747" i="2"/>
  <c r="G747" i="2"/>
  <c r="D747" i="2"/>
  <c r="C747" i="2"/>
  <c r="B747" i="2"/>
  <c r="A747" i="2"/>
  <c r="J746" i="2"/>
  <c r="I746" i="2"/>
  <c r="H746" i="2"/>
  <c r="G746" i="2"/>
  <c r="D746" i="2"/>
  <c r="C746" i="2"/>
  <c r="B746" i="2"/>
  <c r="A746" i="2"/>
  <c r="J745" i="2"/>
  <c r="I745" i="2"/>
  <c r="H745" i="2"/>
  <c r="G745" i="2"/>
  <c r="D745" i="2"/>
  <c r="C745" i="2"/>
  <c r="B745" i="2"/>
  <c r="A745" i="2"/>
  <c r="J744" i="2"/>
  <c r="I744" i="2"/>
  <c r="H744" i="2"/>
  <c r="G744" i="2"/>
  <c r="D744" i="2"/>
  <c r="C744" i="2"/>
  <c r="B744" i="2"/>
  <c r="A744" i="2"/>
  <c r="J743" i="2"/>
  <c r="I743" i="2"/>
  <c r="H743" i="2"/>
  <c r="G743" i="2"/>
  <c r="D743" i="2"/>
  <c r="C743" i="2"/>
  <c r="B743" i="2"/>
  <c r="A743" i="2"/>
  <c r="J742" i="2"/>
  <c r="I742" i="2"/>
  <c r="H742" i="2"/>
  <c r="G742" i="2"/>
  <c r="D742" i="2"/>
  <c r="C742" i="2"/>
  <c r="B742" i="2"/>
  <c r="A742" i="2"/>
  <c r="J741" i="2"/>
  <c r="I741" i="2"/>
  <c r="H741" i="2"/>
  <c r="G741" i="2"/>
  <c r="D741" i="2"/>
  <c r="C741" i="2"/>
  <c r="B741" i="2"/>
  <c r="A741" i="2"/>
  <c r="J740" i="2"/>
  <c r="I740" i="2"/>
  <c r="H740" i="2"/>
  <c r="G740" i="2"/>
  <c r="D740" i="2"/>
  <c r="C740" i="2"/>
  <c r="B740" i="2"/>
  <c r="A740" i="2"/>
  <c r="J739" i="2"/>
  <c r="I739" i="2"/>
  <c r="H739" i="2"/>
  <c r="G739" i="2"/>
  <c r="D739" i="2"/>
  <c r="C739" i="2"/>
  <c r="B739" i="2"/>
  <c r="A739" i="2"/>
  <c r="J738" i="2"/>
  <c r="I738" i="2"/>
  <c r="H738" i="2"/>
  <c r="G738" i="2"/>
  <c r="D738" i="2"/>
  <c r="C738" i="2"/>
  <c r="B738" i="2"/>
  <c r="A738" i="2"/>
  <c r="J737" i="2"/>
  <c r="I737" i="2"/>
  <c r="H737" i="2"/>
  <c r="G737" i="2"/>
  <c r="D737" i="2"/>
  <c r="C737" i="2"/>
  <c r="B737" i="2"/>
  <c r="A737" i="2"/>
  <c r="J736" i="2"/>
  <c r="I736" i="2"/>
  <c r="H736" i="2"/>
  <c r="G736" i="2"/>
  <c r="D736" i="2"/>
  <c r="C736" i="2"/>
  <c r="B736" i="2"/>
  <c r="A736" i="2"/>
  <c r="J735" i="2"/>
  <c r="I735" i="2"/>
  <c r="H735" i="2"/>
  <c r="G735" i="2"/>
  <c r="D735" i="2"/>
  <c r="C735" i="2"/>
  <c r="B735" i="2"/>
  <c r="A735" i="2"/>
  <c r="J734" i="2"/>
  <c r="I734" i="2"/>
  <c r="H734" i="2"/>
  <c r="G734" i="2"/>
  <c r="D734" i="2"/>
  <c r="C734" i="2"/>
  <c r="B734" i="2"/>
  <c r="A734" i="2"/>
  <c r="J733" i="2"/>
  <c r="I733" i="2"/>
  <c r="H733" i="2"/>
  <c r="G733" i="2"/>
  <c r="D733" i="2"/>
  <c r="C733" i="2"/>
  <c r="B733" i="2"/>
  <c r="A733" i="2"/>
  <c r="J732" i="2"/>
  <c r="I732" i="2"/>
  <c r="H732" i="2"/>
  <c r="G732" i="2"/>
  <c r="D732" i="2"/>
  <c r="C732" i="2"/>
  <c r="B732" i="2"/>
  <c r="A732" i="2"/>
  <c r="J731" i="2"/>
  <c r="I731" i="2"/>
  <c r="H731" i="2"/>
  <c r="G731" i="2"/>
  <c r="D731" i="2"/>
  <c r="C731" i="2"/>
  <c r="B731" i="2"/>
  <c r="A731" i="2"/>
  <c r="J730" i="2"/>
  <c r="I730" i="2"/>
  <c r="H730" i="2"/>
  <c r="G730" i="2"/>
  <c r="D730" i="2"/>
  <c r="C730" i="2"/>
  <c r="B730" i="2"/>
  <c r="A730" i="2"/>
  <c r="J729" i="2"/>
  <c r="I729" i="2"/>
  <c r="H729" i="2"/>
  <c r="G729" i="2"/>
  <c r="D729" i="2"/>
  <c r="C729" i="2"/>
  <c r="B729" i="2"/>
  <c r="A729" i="2"/>
  <c r="J728" i="2"/>
  <c r="I728" i="2"/>
  <c r="H728" i="2"/>
  <c r="G728" i="2"/>
  <c r="D728" i="2"/>
  <c r="C728" i="2"/>
  <c r="B728" i="2"/>
  <c r="A728" i="2"/>
  <c r="J727" i="2"/>
  <c r="I727" i="2"/>
  <c r="H727" i="2"/>
  <c r="G727" i="2"/>
  <c r="D727" i="2"/>
  <c r="C727" i="2"/>
  <c r="B727" i="2"/>
  <c r="A727" i="2"/>
  <c r="J726" i="2"/>
  <c r="I726" i="2"/>
  <c r="H726" i="2"/>
  <c r="G726" i="2"/>
  <c r="D726" i="2"/>
  <c r="C726" i="2"/>
  <c r="B726" i="2"/>
  <c r="A726" i="2"/>
  <c r="J725" i="2"/>
  <c r="I725" i="2"/>
  <c r="H725" i="2"/>
  <c r="G725" i="2"/>
  <c r="D725" i="2"/>
  <c r="C725" i="2"/>
  <c r="B725" i="2"/>
  <c r="A725" i="2"/>
  <c r="J724" i="2"/>
  <c r="I724" i="2"/>
  <c r="H724" i="2"/>
  <c r="G724" i="2"/>
  <c r="D724" i="2"/>
  <c r="C724" i="2"/>
  <c r="B724" i="2"/>
  <c r="A724" i="2"/>
  <c r="J723" i="2"/>
  <c r="I723" i="2"/>
  <c r="H723" i="2"/>
  <c r="G723" i="2"/>
  <c r="D723" i="2"/>
  <c r="C723" i="2"/>
  <c r="B723" i="2"/>
  <c r="A723" i="2"/>
  <c r="J722" i="2"/>
  <c r="I722" i="2"/>
  <c r="H722" i="2"/>
  <c r="G722" i="2"/>
  <c r="D722" i="2"/>
  <c r="C722" i="2"/>
  <c r="B722" i="2"/>
  <c r="A722" i="2"/>
  <c r="J721" i="2"/>
  <c r="I721" i="2"/>
  <c r="H721" i="2"/>
  <c r="G721" i="2"/>
  <c r="D721" i="2"/>
  <c r="C721" i="2"/>
  <c r="B721" i="2"/>
  <c r="A721" i="2"/>
  <c r="J720" i="2"/>
  <c r="I720" i="2"/>
  <c r="H720" i="2"/>
  <c r="G720" i="2"/>
  <c r="D720" i="2"/>
  <c r="C720" i="2"/>
  <c r="B720" i="2"/>
  <c r="A720" i="2"/>
  <c r="J719" i="2"/>
  <c r="I719" i="2"/>
  <c r="H719" i="2"/>
  <c r="G719" i="2"/>
  <c r="D719" i="2"/>
  <c r="C719" i="2"/>
  <c r="B719" i="2"/>
  <c r="A719" i="2"/>
  <c r="J718" i="2"/>
  <c r="I718" i="2"/>
  <c r="H718" i="2"/>
  <c r="G718" i="2"/>
  <c r="D718" i="2"/>
  <c r="C718" i="2"/>
  <c r="B718" i="2"/>
  <c r="A718" i="2"/>
  <c r="J717" i="2"/>
  <c r="I717" i="2"/>
  <c r="H717" i="2"/>
  <c r="G717" i="2"/>
  <c r="D717" i="2"/>
  <c r="C717" i="2"/>
  <c r="B717" i="2"/>
  <c r="A717" i="2"/>
  <c r="J716" i="2"/>
  <c r="I716" i="2"/>
  <c r="H716" i="2"/>
  <c r="G716" i="2"/>
  <c r="D716" i="2"/>
  <c r="C716" i="2"/>
  <c r="B716" i="2"/>
  <c r="A716" i="2"/>
  <c r="J715" i="2"/>
  <c r="I715" i="2"/>
  <c r="H715" i="2"/>
  <c r="G715" i="2"/>
  <c r="D715" i="2"/>
  <c r="C715" i="2"/>
  <c r="B715" i="2"/>
  <c r="A715" i="2"/>
  <c r="J714" i="2"/>
  <c r="I714" i="2"/>
  <c r="H714" i="2"/>
  <c r="G714" i="2"/>
  <c r="D714" i="2"/>
  <c r="C714" i="2"/>
  <c r="B714" i="2"/>
  <c r="A714" i="2"/>
  <c r="J713" i="2"/>
  <c r="I713" i="2"/>
  <c r="H713" i="2"/>
  <c r="G713" i="2"/>
  <c r="D713" i="2"/>
  <c r="C713" i="2"/>
  <c r="B713" i="2"/>
  <c r="A713" i="2"/>
  <c r="J712" i="2"/>
  <c r="I712" i="2"/>
  <c r="H712" i="2"/>
  <c r="G712" i="2"/>
  <c r="D712" i="2"/>
  <c r="C712" i="2"/>
  <c r="B712" i="2"/>
  <c r="A712" i="2"/>
  <c r="J711" i="2"/>
  <c r="I711" i="2"/>
  <c r="H711" i="2"/>
  <c r="G711" i="2"/>
  <c r="D711" i="2"/>
  <c r="C711" i="2"/>
  <c r="B711" i="2"/>
  <c r="A711" i="2"/>
  <c r="J710" i="2"/>
  <c r="I710" i="2"/>
  <c r="H710" i="2"/>
  <c r="G710" i="2"/>
  <c r="D710" i="2"/>
  <c r="C710" i="2"/>
  <c r="B710" i="2"/>
  <c r="A710" i="2"/>
  <c r="J709" i="2"/>
  <c r="I709" i="2"/>
  <c r="H709" i="2"/>
  <c r="G709" i="2"/>
  <c r="D709" i="2"/>
  <c r="C709" i="2"/>
  <c r="B709" i="2"/>
  <c r="A709" i="2"/>
  <c r="J708" i="2"/>
  <c r="I708" i="2"/>
  <c r="H708" i="2"/>
  <c r="G708" i="2"/>
  <c r="D708" i="2"/>
  <c r="C708" i="2"/>
  <c r="B708" i="2"/>
  <c r="A708" i="2"/>
  <c r="J707" i="2"/>
  <c r="I707" i="2"/>
  <c r="H707" i="2"/>
  <c r="G707" i="2"/>
  <c r="D707" i="2"/>
  <c r="C707" i="2"/>
  <c r="B707" i="2"/>
  <c r="A707" i="2"/>
  <c r="J706" i="2"/>
  <c r="I706" i="2"/>
  <c r="H706" i="2"/>
  <c r="G706" i="2"/>
  <c r="D706" i="2"/>
  <c r="C706" i="2"/>
  <c r="B706" i="2"/>
  <c r="A706" i="2"/>
  <c r="J705" i="2"/>
  <c r="I705" i="2"/>
  <c r="H705" i="2"/>
  <c r="G705" i="2"/>
  <c r="D705" i="2"/>
  <c r="C705" i="2"/>
  <c r="B705" i="2"/>
  <c r="A705" i="2"/>
  <c r="J704" i="2"/>
  <c r="I704" i="2"/>
  <c r="H704" i="2"/>
  <c r="G704" i="2"/>
  <c r="D704" i="2"/>
  <c r="C704" i="2"/>
  <c r="B704" i="2"/>
  <c r="A704" i="2"/>
  <c r="J703" i="2"/>
  <c r="I703" i="2"/>
  <c r="H703" i="2"/>
  <c r="G703" i="2"/>
  <c r="D703" i="2"/>
  <c r="C703" i="2"/>
  <c r="B703" i="2"/>
  <c r="A703" i="2"/>
  <c r="J702" i="2"/>
  <c r="I702" i="2"/>
  <c r="H702" i="2"/>
  <c r="G702" i="2"/>
  <c r="D702" i="2"/>
  <c r="C702" i="2"/>
  <c r="B702" i="2"/>
  <c r="A702" i="2"/>
  <c r="J701" i="2"/>
  <c r="I701" i="2"/>
  <c r="H701" i="2"/>
  <c r="G701" i="2"/>
  <c r="D701" i="2"/>
  <c r="C701" i="2"/>
  <c r="B701" i="2"/>
  <c r="A701" i="2"/>
  <c r="J700" i="2"/>
  <c r="I700" i="2"/>
  <c r="H700" i="2"/>
  <c r="G700" i="2"/>
  <c r="D700" i="2"/>
  <c r="C700" i="2"/>
  <c r="B700" i="2"/>
  <c r="A700" i="2"/>
  <c r="J699" i="2"/>
  <c r="I699" i="2"/>
  <c r="H699" i="2"/>
  <c r="G699" i="2"/>
  <c r="D699" i="2"/>
  <c r="C699" i="2"/>
  <c r="B699" i="2"/>
  <c r="A699" i="2"/>
  <c r="J698" i="2"/>
  <c r="I698" i="2"/>
  <c r="H698" i="2"/>
  <c r="G698" i="2"/>
  <c r="D698" i="2"/>
  <c r="C698" i="2"/>
  <c r="B698" i="2"/>
  <c r="A698" i="2"/>
  <c r="J697" i="2"/>
  <c r="I697" i="2"/>
  <c r="H697" i="2"/>
  <c r="G697" i="2"/>
  <c r="D697" i="2"/>
  <c r="C697" i="2"/>
  <c r="B697" i="2"/>
  <c r="A697" i="2"/>
  <c r="J696" i="2"/>
  <c r="I696" i="2"/>
  <c r="H696" i="2"/>
  <c r="G696" i="2"/>
  <c r="D696" i="2"/>
  <c r="C696" i="2"/>
  <c r="B696" i="2"/>
  <c r="A696" i="2"/>
  <c r="J695" i="2"/>
  <c r="I695" i="2"/>
  <c r="H695" i="2"/>
  <c r="G695" i="2"/>
  <c r="D695" i="2"/>
  <c r="C695" i="2"/>
  <c r="B695" i="2"/>
  <c r="A695" i="2"/>
  <c r="J694" i="2"/>
  <c r="I694" i="2"/>
  <c r="H694" i="2"/>
  <c r="G694" i="2"/>
  <c r="D694" i="2"/>
  <c r="C694" i="2"/>
  <c r="B694" i="2"/>
  <c r="A694" i="2"/>
  <c r="J693" i="2"/>
  <c r="I693" i="2"/>
  <c r="H693" i="2"/>
  <c r="G693" i="2"/>
  <c r="D693" i="2"/>
  <c r="C693" i="2"/>
  <c r="B693" i="2"/>
  <c r="A693" i="2"/>
  <c r="J692" i="2"/>
  <c r="I692" i="2"/>
  <c r="H692" i="2"/>
  <c r="G692" i="2"/>
  <c r="D692" i="2"/>
  <c r="C692" i="2"/>
  <c r="B692" i="2"/>
  <c r="A692" i="2"/>
  <c r="L691" i="2"/>
  <c r="J691" i="2"/>
  <c r="I691" i="2"/>
  <c r="H691" i="2"/>
  <c r="G691" i="2"/>
  <c r="D691" i="2"/>
  <c r="C691" i="2"/>
  <c r="B691" i="2"/>
  <c r="A691" i="2"/>
  <c r="J690" i="2"/>
  <c r="I690" i="2"/>
  <c r="H690" i="2"/>
  <c r="G690" i="2"/>
  <c r="D690" i="2"/>
  <c r="C690" i="2"/>
  <c r="B690" i="2"/>
  <c r="A690" i="2"/>
  <c r="J689" i="2"/>
  <c r="I689" i="2"/>
  <c r="H689" i="2"/>
  <c r="G689" i="2"/>
  <c r="D689" i="2"/>
  <c r="C689" i="2"/>
  <c r="B689" i="2"/>
  <c r="A689" i="2"/>
  <c r="J688" i="2"/>
  <c r="I688" i="2"/>
  <c r="H688" i="2"/>
  <c r="G688" i="2"/>
  <c r="D688" i="2"/>
  <c r="C688" i="2"/>
  <c r="B688" i="2"/>
  <c r="A688" i="2"/>
  <c r="J687" i="2"/>
  <c r="I687" i="2"/>
  <c r="H687" i="2"/>
  <c r="G687" i="2"/>
  <c r="D687" i="2"/>
  <c r="C687" i="2"/>
  <c r="B687" i="2"/>
  <c r="A687" i="2"/>
  <c r="J686" i="2"/>
  <c r="I686" i="2"/>
  <c r="H686" i="2"/>
  <c r="G686" i="2"/>
  <c r="D686" i="2"/>
  <c r="C686" i="2"/>
  <c r="B686" i="2"/>
  <c r="A686" i="2"/>
  <c r="J685" i="2"/>
  <c r="I685" i="2"/>
  <c r="H685" i="2"/>
  <c r="G685" i="2"/>
  <c r="D685" i="2"/>
  <c r="C685" i="2"/>
  <c r="B685" i="2"/>
  <c r="A685" i="2"/>
  <c r="J684" i="2"/>
  <c r="I684" i="2"/>
  <c r="H684" i="2"/>
  <c r="G684" i="2"/>
  <c r="D684" i="2"/>
  <c r="C684" i="2"/>
  <c r="B684" i="2"/>
  <c r="A684" i="2"/>
  <c r="J683" i="2"/>
  <c r="I683" i="2"/>
  <c r="H683" i="2"/>
  <c r="G683" i="2"/>
  <c r="D683" i="2"/>
  <c r="C683" i="2"/>
  <c r="B683" i="2"/>
  <c r="A683" i="2"/>
  <c r="J682" i="2"/>
  <c r="I682" i="2"/>
  <c r="H682" i="2"/>
  <c r="G682" i="2"/>
  <c r="D682" i="2"/>
  <c r="C682" i="2"/>
  <c r="B682" i="2"/>
  <c r="A682" i="2"/>
  <c r="J681" i="2"/>
  <c r="I681" i="2"/>
  <c r="H681" i="2"/>
  <c r="G681" i="2"/>
  <c r="D681" i="2"/>
  <c r="C681" i="2"/>
  <c r="B681" i="2"/>
  <c r="A681" i="2"/>
  <c r="J680" i="2"/>
  <c r="I680" i="2"/>
  <c r="H680" i="2"/>
  <c r="G680" i="2"/>
  <c r="D680" i="2"/>
  <c r="C680" i="2"/>
  <c r="B680" i="2"/>
  <c r="A680" i="2"/>
  <c r="J679" i="2"/>
  <c r="I679" i="2"/>
  <c r="H679" i="2"/>
  <c r="G679" i="2"/>
  <c r="D679" i="2"/>
  <c r="C679" i="2"/>
  <c r="B679" i="2"/>
  <c r="A679" i="2"/>
  <c r="J678" i="2"/>
  <c r="I678" i="2"/>
  <c r="H678" i="2"/>
  <c r="G678" i="2"/>
  <c r="D678" i="2"/>
  <c r="C678" i="2"/>
  <c r="B678" i="2"/>
  <c r="A678" i="2"/>
  <c r="J677" i="2"/>
  <c r="I677" i="2"/>
  <c r="H677" i="2"/>
  <c r="G677" i="2"/>
  <c r="D677" i="2"/>
  <c r="C677" i="2"/>
  <c r="B677" i="2"/>
  <c r="A677" i="2"/>
  <c r="J676" i="2"/>
  <c r="I676" i="2"/>
  <c r="H676" i="2"/>
  <c r="G676" i="2"/>
  <c r="D676" i="2"/>
  <c r="C676" i="2"/>
  <c r="B676" i="2"/>
  <c r="A676" i="2"/>
  <c r="J675" i="2"/>
  <c r="I675" i="2"/>
  <c r="H675" i="2"/>
  <c r="G675" i="2"/>
  <c r="D675" i="2"/>
  <c r="C675" i="2"/>
  <c r="B675" i="2"/>
  <c r="A675" i="2"/>
  <c r="J674" i="2"/>
  <c r="I674" i="2"/>
  <c r="H674" i="2"/>
  <c r="G674" i="2"/>
  <c r="D674" i="2"/>
  <c r="C674" i="2"/>
  <c r="B674" i="2"/>
  <c r="A674" i="2"/>
  <c r="J673" i="2"/>
  <c r="I673" i="2"/>
  <c r="H673" i="2"/>
  <c r="G673" i="2"/>
  <c r="D673" i="2"/>
  <c r="C673" i="2"/>
  <c r="B673" i="2"/>
  <c r="A673" i="2"/>
  <c r="J672" i="2"/>
  <c r="I672" i="2"/>
  <c r="H672" i="2"/>
  <c r="G672" i="2"/>
  <c r="D672" i="2"/>
  <c r="C672" i="2"/>
  <c r="B672" i="2"/>
  <c r="A672" i="2"/>
  <c r="J671" i="2"/>
  <c r="I671" i="2"/>
  <c r="H671" i="2"/>
  <c r="G671" i="2"/>
  <c r="D671" i="2"/>
  <c r="C671" i="2"/>
  <c r="B671" i="2"/>
  <c r="A671" i="2"/>
  <c r="J670" i="2"/>
  <c r="I670" i="2"/>
  <c r="H670" i="2"/>
  <c r="G670" i="2"/>
  <c r="D670" i="2"/>
  <c r="C670" i="2"/>
  <c r="B670" i="2"/>
  <c r="A670" i="2"/>
  <c r="J669" i="2"/>
  <c r="I669" i="2"/>
  <c r="H669" i="2"/>
  <c r="G669" i="2"/>
  <c r="D669" i="2"/>
  <c r="C669" i="2"/>
  <c r="B669" i="2"/>
  <c r="A669" i="2"/>
  <c r="J668" i="2"/>
  <c r="I668" i="2"/>
  <c r="H668" i="2"/>
  <c r="G668" i="2"/>
  <c r="D668" i="2"/>
  <c r="C668" i="2"/>
  <c r="B668" i="2"/>
  <c r="A668" i="2"/>
  <c r="J667" i="2"/>
  <c r="I667" i="2"/>
  <c r="H667" i="2"/>
  <c r="G667" i="2"/>
  <c r="D667" i="2"/>
  <c r="C667" i="2"/>
  <c r="B667" i="2"/>
  <c r="A667" i="2"/>
  <c r="J666" i="2"/>
  <c r="I666" i="2"/>
  <c r="H666" i="2"/>
  <c r="G666" i="2"/>
  <c r="D666" i="2"/>
  <c r="C666" i="2"/>
  <c r="B666" i="2"/>
  <c r="A666" i="2"/>
  <c r="J665" i="2"/>
  <c r="I665" i="2"/>
  <c r="H665" i="2"/>
  <c r="G665" i="2"/>
  <c r="D665" i="2"/>
  <c r="C665" i="2"/>
  <c r="B665" i="2"/>
  <c r="A665" i="2"/>
  <c r="J664" i="2"/>
  <c r="I664" i="2"/>
  <c r="H664" i="2"/>
  <c r="G664" i="2"/>
  <c r="D664" i="2"/>
  <c r="C664" i="2"/>
  <c r="B664" i="2"/>
  <c r="A664" i="2"/>
  <c r="J663" i="2"/>
  <c r="I663" i="2"/>
  <c r="H663" i="2"/>
  <c r="G663" i="2"/>
  <c r="D663" i="2"/>
  <c r="C663" i="2"/>
  <c r="B663" i="2"/>
  <c r="A663" i="2"/>
  <c r="J662" i="2"/>
  <c r="I662" i="2"/>
  <c r="H662" i="2"/>
  <c r="G662" i="2"/>
  <c r="D662" i="2"/>
  <c r="C662" i="2"/>
  <c r="B662" i="2"/>
  <c r="A662" i="2"/>
  <c r="J661" i="2"/>
  <c r="I661" i="2"/>
  <c r="H661" i="2"/>
  <c r="G661" i="2"/>
  <c r="D661" i="2"/>
  <c r="C661" i="2"/>
  <c r="B661" i="2"/>
  <c r="A661" i="2"/>
  <c r="J660" i="2"/>
  <c r="I660" i="2"/>
  <c r="H660" i="2"/>
  <c r="G660" i="2"/>
  <c r="D660" i="2"/>
  <c r="C660" i="2"/>
  <c r="B660" i="2"/>
  <c r="A660" i="2"/>
  <c r="J659" i="2"/>
  <c r="I659" i="2"/>
  <c r="H659" i="2"/>
  <c r="G659" i="2"/>
  <c r="D659" i="2"/>
  <c r="C659" i="2"/>
  <c r="B659" i="2"/>
  <c r="A659" i="2"/>
  <c r="J658" i="2"/>
  <c r="I658" i="2"/>
  <c r="H658" i="2"/>
  <c r="G658" i="2"/>
  <c r="D658" i="2"/>
  <c r="C658" i="2"/>
  <c r="B658" i="2"/>
  <c r="A658" i="2"/>
  <c r="J657" i="2"/>
  <c r="I657" i="2"/>
  <c r="H657" i="2"/>
  <c r="G657" i="2"/>
  <c r="D657" i="2"/>
  <c r="C657" i="2"/>
  <c r="B657" i="2"/>
  <c r="A657" i="2"/>
  <c r="J656" i="2"/>
  <c r="I656" i="2"/>
  <c r="H656" i="2"/>
  <c r="G656" i="2"/>
  <c r="D656" i="2"/>
  <c r="C656" i="2"/>
  <c r="B656" i="2"/>
  <c r="A656" i="2"/>
  <c r="J655" i="2"/>
  <c r="I655" i="2"/>
  <c r="H655" i="2"/>
  <c r="G655" i="2"/>
  <c r="D655" i="2"/>
  <c r="C655" i="2"/>
  <c r="B655" i="2"/>
  <c r="A655" i="2"/>
  <c r="J654" i="2"/>
  <c r="I654" i="2"/>
  <c r="H654" i="2"/>
  <c r="G654" i="2"/>
  <c r="D654" i="2"/>
  <c r="C654" i="2"/>
  <c r="B654" i="2"/>
  <c r="A654" i="2"/>
  <c r="J653" i="2"/>
  <c r="I653" i="2"/>
  <c r="H653" i="2"/>
  <c r="G653" i="2"/>
  <c r="D653" i="2"/>
  <c r="C653" i="2"/>
  <c r="B653" i="2"/>
  <c r="A653" i="2"/>
  <c r="J652" i="2"/>
  <c r="I652" i="2"/>
  <c r="H652" i="2"/>
  <c r="G652" i="2"/>
  <c r="D652" i="2"/>
  <c r="C652" i="2"/>
  <c r="B652" i="2"/>
  <c r="A652" i="2"/>
  <c r="J651" i="2"/>
  <c r="I651" i="2"/>
  <c r="H651" i="2"/>
  <c r="G651" i="2"/>
  <c r="D651" i="2"/>
  <c r="C651" i="2"/>
  <c r="B651" i="2"/>
  <c r="A651" i="2"/>
  <c r="J650" i="2"/>
  <c r="I650" i="2"/>
  <c r="H650" i="2"/>
  <c r="G650" i="2"/>
  <c r="D650" i="2"/>
  <c r="C650" i="2"/>
  <c r="B650" i="2"/>
  <c r="A650" i="2"/>
  <c r="J649" i="2"/>
  <c r="I649" i="2"/>
  <c r="H649" i="2"/>
  <c r="G649" i="2"/>
  <c r="D649" i="2"/>
  <c r="C649" i="2"/>
  <c r="B649" i="2"/>
  <c r="A649" i="2"/>
  <c r="J648" i="2"/>
  <c r="I648" i="2"/>
  <c r="H648" i="2"/>
  <c r="G648" i="2"/>
  <c r="D648" i="2"/>
  <c r="C648" i="2"/>
  <c r="B648" i="2"/>
  <c r="A648" i="2"/>
  <c r="J647" i="2"/>
  <c r="I647" i="2"/>
  <c r="H647" i="2"/>
  <c r="G647" i="2"/>
  <c r="D647" i="2"/>
  <c r="C647" i="2"/>
  <c r="B647" i="2"/>
  <c r="A647" i="2"/>
  <c r="J646" i="2"/>
  <c r="I646" i="2"/>
  <c r="H646" i="2"/>
  <c r="G646" i="2"/>
  <c r="D646" i="2"/>
  <c r="C646" i="2"/>
  <c r="B646" i="2"/>
  <c r="A646" i="2"/>
  <c r="J645" i="2"/>
  <c r="I645" i="2"/>
  <c r="H645" i="2"/>
  <c r="G645" i="2"/>
  <c r="D645" i="2"/>
  <c r="C645" i="2"/>
  <c r="B645" i="2"/>
  <c r="A645" i="2"/>
  <c r="J644" i="2"/>
  <c r="I644" i="2"/>
  <c r="H644" i="2"/>
  <c r="G644" i="2"/>
  <c r="D644" i="2"/>
  <c r="C644" i="2"/>
  <c r="B644" i="2"/>
  <c r="A644" i="2"/>
  <c r="J643" i="2"/>
  <c r="I643" i="2"/>
  <c r="H643" i="2"/>
  <c r="G643" i="2"/>
  <c r="D643" i="2"/>
  <c r="C643" i="2"/>
  <c r="B643" i="2"/>
  <c r="A643" i="2"/>
  <c r="J642" i="2"/>
  <c r="I642" i="2"/>
  <c r="H642" i="2"/>
  <c r="G642" i="2"/>
  <c r="D642" i="2"/>
  <c r="C642" i="2"/>
  <c r="B642" i="2"/>
  <c r="A642" i="2"/>
  <c r="J641" i="2"/>
  <c r="I641" i="2"/>
  <c r="H641" i="2"/>
  <c r="G641" i="2"/>
  <c r="D641" i="2"/>
  <c r="C641" i="2"/>
  <c r="B641" i="2"/>
  <c r="A641" i="2"/>
  <c r="J640" i="2"/>
  <c r="I640" i="2"/>
  <c r="H640" i="2"/>
  <c r="G640" i="2"/>
  <c r="D640" i="2"/>
  <c r="C640" i="2"/>
  <c r="B640" i="2"/>
  <c r="A640" i="2"/>
  <c r="J639" i="2"/>
  <c r="I639" i="2"/>
  <c r="H639" i="2"/>
  <c r="G639" i="2"/>
  <c r="D639" i="2"/>
  <c r="C639" i="2"/>
  <c r="B639" i="2"/>
  <c r="A639" i="2"/>
  <c r="J638" i="2"/>
  <c r="I638" i="2"/>
  <c r="H638" i="2"/>
  <c r="G638" i="2"/>
  <c r="D638" i="2"/>
  <c r="C638" i="2"/>
  <c r="B638" i="2"/>
  <c r="A638" i="2"/>
  <c r="J637" i="2"/>
  <c r="I637" i="2"/>
  <c r="H637" i="2"/>
  <c r="G637" i="2"/>
  <c r="D637" i="2"/>
  <c r="C637" i="2"/>
  <c r="B637" i="2"/>
  <c r="A637" i="2"/>
  <c r="J636" i="2"/>
  <c r="I636" i="2"/>
  <c r="H636" i="2"/>
  <c r="G636" i="2"/>
  <c r="D636" i="2"/>
  <c r="C636" i="2"/>
  <c r="B636" i="2"/>
  <c r="A636" i="2"/>
  <c r="J635" i="2"/>
  <c r="I635" i="2"/>
  <c r="H635" i="2"/>
  <c r="G635" i="2"/>
  <c r="D635" i="2"/>
  <c r="C635" i="2"/>
  <c r="B635" i="2"/>
  <c r="A635" i="2"/>
  <c r="J634" i="2"/>
  <c r="I634" i="2"/>
  <c r="H634" i="2"/>
  <c r="G634" i="2"/>
  <c r="D634" i="2"/>
  <c r="C634" i="2"/>
  <c r="B634" i="2"/>
  <c r="A634" i="2"/>
  <c r="J633" i="2"/>
  <c r="I633" i="2"/>
  <c r="H633" i="2"/>
  <c r="G633" i="2"/>
  <c r="D633" i="2"/>
  <c r="C633" i="2"/>
  <c r="B633" i="2"/>
  <c r="A633" i="2"/>
  <c r="J632" i="2"/>
  <c r="I632" i="2"/>
  <c r="H632" i="2"/>
  <c r="G632" i="2"/>
  <c r="D632" i="2"/>
  <c r="C632" i="2"/>
  <c r="B632" i="2"/>
  <c r="A632" i="2"/>
  <c r="J631" i="2"/>
  <c r="I631" i="2"/>
  <c r="H631" i="2"/>
  <c r="G631" i="2"/>
  <c r="D631" i="2"/>
  <c r="C631" i="2"/>
  <c r="B631" i="2"/>
  <c r="A631" i="2"/>
  <c r="J630" i="2"/>
  <c r="I630" i="2"/>
  <c r="H630" i="2"/>
  <c r="G630" i="2"/>
  <c r="D630" i="2"/>
  <c r="C630" i="2"/>
  <c r="B630" i="2"/>
  <c r="A630" i="2"/>
  <c r="J629" i="2"/>
  <c r="I629" i="2"/>
  <c r="H629" i="2"/>
  <c r="G629" i="2"/>
  <c r="D629" i="2"/>
  <c r="C629" i="2"/>
  <c r="B629" i="2"/>
  <c r="A629" i="2"/>
  <c r="J628" i="2"/>
  <c r="I628" i="2"/>
  <c r="H628" i="2"/>
  <c r="G628" i="2"/>
  <c r="D628" i="2"/>
  <c r="C628" i="2"/>
  <c r="B628" i="2"/>
  <c r="A628" i="2"/>
  <c r="J627" i="2"/>
  <c r="I627" i="2"/>
  <c r="H627" i="2"/>
  <c r="G627" i="2"/>
  <c r="D627" i="2"/>
  <c r="C627" i="2"/>
  <c r="B627" i="2"/>
  <c r="A627" i="2"/>
  <c r="J626" i="2"/>
  <c r="I626" i="2"/>
  <c r="H626" i="2"/>
  <c r="G626" i="2"/>
  <c r="D626" i="2"/>
  <c r="C626" i="2"/>
  <c r="B626" i="2"/>
  <c r="A626" i="2"/>
  <c r="J625" i="2"/>
  <c r="I625" i="2"/>
  <c r="H625" i="2"/>
  <c r="G625" i="2"/>
  <c r="D625" i="2"/>
  <c r="C625" i="2"/>
  <c r="B625" i="2"/>
  <c r="A625" i="2"/>
  <c r="J624" i="2"/>
  <c r="I624" i="2"/>
  <c r="H624" i="2"/>
  <c r="G624" i="2"/>
  <c r="D624" i="2"/>
  <c r="C624" i="2"/>
  <c r="B624" i="2"/>
  <c r="A624" i="2"/>
  <c r="J623" i="2"/>
  <c r="I623" i="2"/>
  <c r="H623" i="2"/>
  <c r="G623" i="2"/>
  <c r="D623" i="2"/>
  <c r="C623" i="2"/>
  <c r="B623" i="2"/>
  <c r="A623" i="2"/>
  <c r="J622" i="2"/>
  <c r="I622" i="2"/>
  <c r="H622" i="2"/>
  <c r="G622" i="2"/>
  <c r="D622" i="2"/>
  <c r="C622" i="2"/>
  <c r="B622" i="2"/>
  <c r="A622" i="2"/>
  <c r="J621" i="2"/>
  <c r="I621" i="2"/>
  <c r="H621" i="2"/>
  <c r="G621" i="2"/>
  <c r="D621" i="2"/>
  <c r="C621" i="2"/>
  <c r="B621" i="2"/>
  <c r="A621" i="2"/>
  <c r="J620" i="2"/>
  <c r="I620" i="2"/>
  <c r="H620" i="2"/>
  <c r="G620" i="2"/>
  <c r="D620" i="2"/>
  <c r="C620" i="2"/>
  <c r="B620" i="2"/>
  <c r="A620" i="2"/>
  <c r="J619" i="2"/>
  <c r="I619" i="2"/>
  <c r="H619" i="2"/>
  <c r="G619" i="2"/>
  <c r="D619" i="2"/>
  <c r="C619" i="2"/>
  <c r="B619" i="2"/>
  <c r="A619" i="2"/>
  <c r="J618" i="2"/>
  <c r="I618" i="2"/>
  <c r="H618" i="2"/>
  <c r="G618" i="2"/>
  <c r="D618" i="2"/>
  <c r="C618" i="2"/>
  <c r="B618" i="2"/>
  <c r="A618" i="2"/>
  <c r="J617" i="2"/>
  <c r="I617" i="2"/>
  <c r="H617" i="2"/>
  <c r="G617" i="2"/>
  <c r="D617" i="2"/>
  <c r="C617" i="2"/>
  <c r="B617" i="2"/>
  <c r="A617" i="2"/>
  <c r="J616" i="2"/>
  <c r="I616" i="2"/>
  <c r="H616" i="2"/>
  <c r="G616" i="2"/>
  <c r="D616" i="2"/>
  <c r="C616" i="2"/>
  <c r="B616" i="2"/>
  <c r="A616" i="2"/>
  <c r="J615" i="2"/>
  <c r="I615" i="2"/>
  <c r="H615" i="2"/>
  <c r="G615" i="2"/>
  <c r="D615" i="2"/>
  <c r="C615" i="2"/>
  <c r="B615" i="2"/>
  <c r="A615" i="2"/>
  <c r="J614" i="2"/>
  <c r="I614" i="2"/>
  <c r="H614" i="2"/>
  <c r="G614" i="2"/>
  <c r="D614" i="2"/>
  <c r="C614" i="2"/>
  <c r="B614" i="2"/>
  <c r="A614" i="2"/>
  <c r="J613" i="2"/>
  <c r="I613" i="2"/>
  <c r="H613" i="2"/>
  <c r="G613" i="2"/>
  <c r="D613" i="2"/>
  <c r="C613" i="2"/>
  <c r="B613" i="2"/>
  <c r="A613" i="2"/>
  <c r="J612" i="2"/>
  <c r="I612" i="2"/>
  <c r="H612" i="2"/>
  <c r="G612" i="2"/>
  <c r="D612" i="2"/>
  <c r="C612" i="2"/>
  <c r="B612" i="2"/>
  <c r="A612" i="2"/>
  <c r="L611" i="2"/>
  <c r="J611" i="2"/>
  <c r="I611" i="2"/>
  <c r="H611" i="2"/>
  <c r="G611" i="2"/>
  <c r="D611" i="2"/>
  <c r="C611" i="2"/>
  <c r="B611" i="2"/>
  <c r="A611" i="2"/>
  <c r="J610" i="2"/>
  <c r="I610" i="2"/>
  <c r="H610" i="2"/>
  <c r="G610" i="2"/>
  <c r="D610" i="2"/>
  <c r="C610" i="2"/>
  <c r="B610" i="2"/>
  <c r="A610" i="2"/>
  <c r="J609" i="2"/>
  <c r="I609" i="2"/>
  <c r="H609" i="2"/>
  <c r="G609" i="2"/>
  <c r="D609" i="2"/>
  <c r="C609" i="2"/>
  <c r="B609" i="2"/>
  <c r="A609" i="2"/>
  <c r="J608" i="2"/>
  <c r="I608" i="2"/>
  <c r="H608" i="2"/>
  <c r="G608" i="2"/>
  <c r="D608" i="2"/>
  <c r="C608" i="2"/>
  <c r="B608" i="2"/>
  <c r="A608" i="2"/>
  <c r="J607" i="2"/>
  <c r="I607" i="2"/>
  <c r="H607" i="2"/>
  <c r="G607" i="2"/>
  <c r="D607" i="2"/>
  <c r="C607" i="2"/>
  <c r="B607" i="2"/>
  <c r="A607" i="2"/>
  <c r="J606" i="2"/>
  <c r="I606" i="2"/>
  <c r="H606" i="2"/>
  <c r="G606" i="2"/>
  <c r="D606" i="2"/>
  <c r="C606" i="2"/>
  <c r="B606" i="2"/>
  <c r="A606" i="2"/>
  <c r="J605" i="2"/>
  <c r="I605" i="2"/>
  <c r="H605" i="2"/>
  <c r="G605" i="2"/>
  <c r="D605" i="2"/>
  <c r="C605" i="2"/>
  <c r="B605" i="2"/>
  <c r="A605" i="2"/>
  <c r="J604" i="2"/>
  <c r="I604" i="2"/>
  <c r="H604" i="2"/>
  <c r="G604" i="2"/>
  <c r="D604" i="2"/>
  <c r="C604" i="2"/>
  <c r="B604" i="2"/>
  <c r="A604" i="2"/>
  <c r="J603" i="2"/>
  <c r="I603" i="2"/>
  <c r="H603" i="2"/>
  <c r="G603" i="2"/>
  <c r="D603" i="2"/>
  <c r="C603" i="2"/>
  <c r="B603" i="2"/>
  <c r="A603" i="2"/>
  <c r="J602" i="2"/>
  <c r="I602" i="2"/>
  <c r="H602" i="2"/>
  <c r="G602" i="2"/>
  <c r="D602" i="2"/>
  <c r="C602" i="2"/>
  <c r="B602" i="2"/>
  <c r="A602" i="2"/>
  <c r="J601" i="2"/>
  <c r="I601" i="2"/>
  <c r="H601" i="2"/>
  <c r="G601" i="2"/>
  <c r="D601" i="2"/>
  <c r="C601" i="2"/>
  <c r="B601" i="2"/>
  <c r="A601" i="2"/>
  <c r="J600" i="2"/>
  <c r="I600" i="2"/>
  <c r="H600" i="2"/>
  <c r="G600" i="2"/>
  <c r="D600" i="2"/>
  <c r="C600" i="2"/>
  <c r="B600" i="2"/>
  <c r="A600" i="2"/>
  <c r="J599" i="2"/>
  <c r="I599" i="2"/>
  <c r="H599" i="2"/>
  <c r="G599" i="2"/>
  <c r="D599" i="2"/>
  <c r="C599" i="2"/>
  <c r="B599" i="2"/>
  <c r="A599" i="2"/>
  <c r="J598" i="2"/>
  <c r="I598" i="2"/>
  <c r="H598" i="2"/>
  <c r="G598" i="2"/>
  <c r="D598" i="2"/>
  <c r="C598" i="2"/>
  <c r="B598" i="2"/>
  <c r="A598" i="2"/>
  <c r="J597" i="2"/>
  <c r="I597" i="2"/>
  <c r="H597" i="2"/>
  <c r="G597" i="2"/>
  <c r="D597" i="2"/>
  <c r="C597" i="2"/>
  <c r="B597" i="2"/>
  <c r="A597" i="2"/>
  <c r="J596" i="2"/>
  <c r="I596" i="2"/>
  <c r="H596" i="2"/>
  <c r="G596" i="2"/>
  <c r="D596" i="2"/>
  <c r="C596" i="2"/>
  <c r="B596" i="2"/>
  <c r="A596" i="2"/>
  <c r="J595" i="2"/>
  <c r="I595" i="2"/>
  <c r="H595" i="2"/>
  <c r="G595" i="2"/>
  <c r="D595" i="2"/>
  <c r="C595" i="2"/>
  <c r="B595" i="2"/>
  <c r="A595" i="2"/>
  <c r="J594" i="2"/>
  <c r="I594" i="2"/>
  <c r="H594" i="2"/>
  <c r="G594" i="2"/>
  <c r="D594" i="2"/>
  <c r="C594" i="2"/>
  <c r="B594" i="2"/>
  <c r="A594" i="2"/>
  <c r="J593" i="2"/>
  <c r="I593" i="2"/>
  <c r="H593" i="2"/>
  <c r="G593" i="2"/>
  <c r="D593" i="2"/>
  <c r="C593" i="2"/>
  <c r="B593" i="2"/>
  <c r="A593" i="2"/>
  <c r="J592" i="2"/>
  <c r="I592" i="2"/>
  <c r="H592" i="2"/>
  <c r="G592" i="2"/>
  <c r="D592" i="2"/>
  <c r="C592" i="2"/>
  <c r="B592" i="2"/>
  <c r="A592" i="2"/>
  <c r="J591" i="2"/>
  <c r="I591" i="2"/>
  <c r="H591" i="2"/>
  <c r="G591" i="2"/>
  <c r="D591" i="2"/>
  <c r="C591" i="2"/>
  <c r="B591" i="2"/>
  <c r="A591" i="2"/>
  <c r="J590" i="2"/>
  <c r="I590" i="2"/>
  <c r="H590" i="2"/>
  <c r="G590" i="2"/>
  <c r="D590" i="2"/>
  <c r="C590" i="2"/>
  <c r="B590" i="2"/>
  <c r="A590" i="2"/>
  <c r="J589" i="2"/>
  <c r="I589" i="2"/>
  <c r="H589" i="2"/>
  <c r="G589" i="2"/>
  <c r="D589" i="2"/>
  <c r="C589" i="2"/>
  <c r="B589" i="2"/>
  <c r="A589" i="2"/>
  <c r="J588" i="2"/>
  <c r="I588" i="2"/>
  <c r="H588" i="2"/>
  <c r="G588" i="2"/>
  <c r="D588" i="2"/>
  <c r="C588" i="2"/>
  <c r="B588" i="2"/>
  <c r="A588" i="2"/>
  <c r="J587" i="2"/>
  <c r="I587" i="2"/>
  <c r="H587" i="2"/>
  <c r="G587" i="2"/>
  <c r="D587" i="2"/>
  <c r="C587" i="2"/>
  <c r="B587" i="2"/>
  <c r="A587" i="2"/>
  <c r="J586" i="2"/>
  <c r="I586" i="2"/>
  <c r="H586" i="2"/>
  <c r="G586" i="2"/>
  <c r="D586" i="2"/>
  <c r="C586" i="2"/>
  <c r="B586" i="2"/>
  <c r="A586" i="2"/>
  <c r="J585" i="2"/>
  <c r="I585" i="2"/>
  <c r="H585" i="2"/>
  <c r="G585" i="2"/>
  <c r="D585" i="2"/>
  <c r="C585" i="2"/>
  <c r="B585" i="2"/>
  <c r="A585" i="2"/>
  <c r="J584" i="2"/>
  <c r="I584" i="2"/>
  <c r="H584" i="2"/>
  <c r="G584" i="2"/>
  <c r="D584" i="2"/>
  <c r="C584" i="2"/>
  <c r="B584" i="2"/>
  <c r="A584" i="2"/>
  <c r="J583" i="2"/>
  <c r="I583" i="2"/>
  <c r="H583" i="2"/>
  <c r="G583" i="2"/>
  <c r="D583" i="2"/>
  <c r="C583" i="2"/>
  <c r="B583" i="2"/>
  <c r="A583" i="2"/>
  <c r="J582" i="2"/>
  <c r="I582" i="2"/>
  <c r="H582" i="2"/>
  <c r="G582" i="2"/>
  <c r="D582" i="2"/>
  <c r="C582" i="2"/>
  <c r="B582" i="2"/>
  <c r="A582" i="2"/>
  <c r="J581" i="2"/>
  <c r="I581" i="2"/>
  <c r="H581" i="2"/>
  <c r="G581" i="2"/>
  <c r="D581" i="2"/>
  <c r="C581" i="2"/>
  <c r="B581" i="2"/>
  <c r="A581" i="2"/>
  <c r="J580" i="2"/>
  <c r="I580" i="2"/>
  <c r="H580" i="2"/>
  <c r="G580" i="2"/>
  <c r="D580" i="2"/>
  <c r="C580" i="2"/>
  <c r="B580" i="2"/>
  <c r="A580" i="2"/>
  <c r="J579" i="2"/>
  <c r="I579" i="2"/>
  <c r="H579" i="2"/>
  <c r="G579" i="2"/>
  <c r="D579" i="2"/>
  <c r="C579" i="2"/>
  <c r="B579" i="2"/>
  <c r="A579" i="2"/>
  <c r="J578" i="2"/>
  <c r="I578" i="2"/>
  <c r="H578" i="2"/>
  <c r="G578" i="2"/>
  <c r="D578" i="2"/>
  <c r="C578" i="2"/>
  <c r="B578" i="2"/>
  <c r="A578" i="2"/>
  <c r="J577" i="2"/>
  <c r="I577" i="2"/>
  <c r="H577" i="2"/>
  <c r="G577" i="2"/>
  <c r="D577" i="2"/>
  <c r="C577" i="2"/>
  <c r="B577" i="2"/>
  <c r="A577" i="2"/>
  <c r="J576" i="2"/>
  <c r="I576" i="2"/>
  <c r="H576" i="2"/>
  <c r="G576" i="2"/>
  <c r="D576" i="2"/>
  <c r="C576" i="2"/>
  <c r="B576" i="2"/>
  <c r="A576" i="2"/>
  <c r="J575" i="2"/>
  <c r="I575" i="2"/>
  <c r="H575" i="2"/>
  <c r="G575" i="2"/>
  <c r="D575" i="2"/>
  <c r="C575" i="2"/>
  <c r="B575" i="2"/>
  <c r="A575" i="2"/>
  <c r="J574" i="2"/>
  <c r="I574" i="2"/>
  <c r="H574" i="2"/>
  <c r="G574" i="2"/>
  <c r="D574" i="2"/>
  <c r="C574" i="2"/>
  <c r="B574" i="2"/>
  <c r="A574" i="2"/>
  <c r="J573" i="2"/>
  <c r="I573" i="2"/>
  <c r="H573" i="2"/>
  <c r="G573" i="2"/>
  <c r="D573" i="2"/>
  <c r="C573" i="2"/>
  <c r="B573" i="2"/>
  <c r="A573" i="2"/>
  <c r="J572" i="2"/>
  <c r="I572" i="2"/>
  <c r="H572" i="2"/>
  <c r="G572" i="2"/>
  <c r="D572" i="2"/>
  <c r="C572" i="2"/>
  <c r="B572" i="2"/>
  <c r="A572" i="2"/>
  <c r="J571" i="2"/>
  <c r="I571" i="2"/>
  <c r="H571" i="2"/>
  <c r="G571" i="2"/>
  <c r="D571" i="2"/>
  <c r="C571" i="2"/>
  <c r="B571" i="2"/>
  <c r="A571" i="2"/>
  <c r="J570" i="2"/>
  <c r="I570" i="2"/>
  <c r="H570" i="2"/>
  <c r="G570" i="2"/>
  <c r="D570" i="2"/>
  <c r="C570" i="2"/>
  <c r="B570" i="2"/>
  <c r="A570" i="2"/>
  <c r="J569" i="2"/>
  <c r="I569" i="2"/>
  <c r="H569" i="2"/>
  <c r="G569" i="2"/>
  <c r="D569" i="2"/>
  <c r="C569" i="2"/>
  <c r="B569" i="2"/>
  <c r="A569" i="2"/>
  <c r="J568" i="2"/>
  <c r="I568" i="2"/>
  <c r="H568" i="2"/>
  <c r="G568" i="2"/>
  <c r="D568" i="2"/>
  <c r="C568" i="2"/>
  <c r="B568" i="2"/>
  <c r="A568" i="2"/>
  <c r="J567" i="2"/>
  <c r="I567" i="2"/>
  <c r="H567" i="2"/>
  <c r="G567" i="2"/>
  <c r="D567" i="2"/>
  <c r="C567" i="2"/>
  <c r="B567" i="2"/>
  <c r="A567" i="2"/>
  <c r="J566" i="2"/>
  <c r="I566" i="2"/>
  <c r="H566" i="2"/>
  <c r="G566" i="2"/>
  <c r="D566" i="2"/>
  <c r="C566" i="2"/>
  <c r="B566" i="2"/>
  <c r="A566" i="2"/>
  <c r="J565" i="2"/>
  <c r="I565" i="2"/>
  <c r="H565" i="2"/>
  <c r="G565" i="2"/>
  <c r="D565" i="2"/>
  <c r="C565" i="2"/>
  <c r="B565" i="2"/>
  <c r="A565" i="2"/>
  <c r="J564" i="2"/>
  <c r="I564" i="2"/>
  <c r="H564" i="2"/>
  <c r="G564" i="2"/>
  <c r="D564" i="2"/>
  <c r="C564" i="2"/>
  <c r="B564" i="2"/>
  <c r="A564" i="2"/>
  <c r="J563" i="2"/>
  <c r="I563" i="2"/>
  <c r="H563" i="2"/>
  <c r="G563" i="2"/>
  <c r="D563" i="2"/>
  <c r="C563" i="2"/>
  <c r="B563" i="2"/>
  <c r="A563" i="2"/>
  <c r="J562" i="2"/>
  <c r="I562" i="2"/>
  <c r="H562" i="2"/>
  <c r="G562" i="2"/>
  <c r="D562" i="2"/>
  <c r="C562" i="2"/>
  <c r="B562" i="2"/>
  <c r="A562" i="2"/>
  <c r="J561" i="2"/>
  <c r="I561" i="2"/>
  <c r="H561" i="2"/>
  <c r="G561" i="2"/>
  <c r="D561" i="2"/>
  <c r="C561" i="2"/>
  <c r="B561" i="2"/>
  <c r="A561" i="2"/>
  <c r="J560" i="2"/>
  <c r="I560" i="2"/>
  <c r="H560" i="2"/>
  <c r="G560" i="2"/>
  <c r="D560" i="2"/>
  <c r="C560" i="2"/>
  <c r="B560" i="2"/>
  <c r="A560" i="2"/>
  <c r="J559" i="2"/>
  <c r="I559" i="2"/>
  <c r="H559" i="2"/>
  <c r="G559" i="2"/>
  <c r="D559" i="2"/>
  <c r="C559" i="2"/>
  <c r="B559" i="2"/>
  <c r="A559" i="2"/>
  <c r="J558" i="2"/>
  <c r="I558" i="2"/>
  <c r="H558" i="2"/>
  <c r="G558" i="2"/>
  <c r="D558" i="2"/>
  <c r="C558" i="2"/>
  <c r="B558" i="2"/>
  <c r="A558" i="2"/>
  <c r="J557" i="2"/>
  <c r="I557" i="2"/>
  <c r="H557" i="2"/>
  <c r="G557" i="2"/>
  <c r="D557" i="2"/>
  <c r="C557" i="2"/>
  <c r="B557" i="2"/>
  <c r="A557" i="2"/>
  <c r="J556" i="2"/>
  <c r="I556" i="2"/>
  <c r="H556" i="2"/>
  <c r="G556" i="2"/>
  <c r="D556" i="2"/>
  <c r="C556" i="2"/>
  <c r="B556" i="2"/>
  <c r="A556" i="2"/>
  <c r="J555" i="2"/>
  <c r="I555" i="2"/>
  <c r="H555" i="2"/>
  <c r="G555" i="2"/>
  <c r="D555" i="2"/>
  <c r="C555" i="2"/>
  <c r="B555" i="2"/>
  <c r="A555" i="2"/>
  <c r="J554" i="2"/>
  <c r="I554" i="2"/>
  <c r="H554" i="2"/>
  <c r="G554" i="2"/>
  <c r="D554" i="2"/>
  <c r="C554" i="2"/>
  <c r="B554" i="2"/>
  <c r="A554" i="2"/>
  <c r="J553" i="2"/>
  <c r="I553" i="2"/>
  <c r="H553" i="2"/>
  <c r="G553" i="2"/>
  <c r="D553" i="2"/>
  <c r="C553" i="2"/>
  <c r="B553" i="2"/>
  <c r="A553" i="2"/>
  <c r="J552" i="2"/>
  <c r="I552" i="2"/>
  <c r="H552" i="2"/>
  <c r="G552" i="2"/>
  <c r="D552" i="2"/>
  <c r="C552" i="2"/>
  <c r="B552" i="2"/>
  <c r="A552" i="2"/>
  <c r="J551" i="2"/>
  <c r="I551" i="2"/>
  <c r="H551" i="2"/>
  <c r="G551" i="2"/>
  <c r="D551" i="2"/>
  <c r="C551" i="2"/>
  <c r="B551" i="2"/>
  <c r="A551" i="2"/>
  <c r="J550" i="2"/>
  <c r="I550" i="2"/>
  <c r="H550" i="2"/>
  <c r="G550" i="2"/>
  <c r="D550" i="2"/>
  <c r="C550" i="2"/>
  <c r="B550" i="2"/>
  <c r="A550" i="2"/>
  <c r="J549" i="2"/>
  <c r="I549" i="2"/>
  <c r="H549" i="2"/>
  <c r="G549" i="2"/>
  <c r="D549" i="2"/>
  <c r="C549" i="2"/>
  <c r="B549" i="2"/>
  <c r="A549" i="2"/>
  <c r="J548" i="2"/>
  <c r="I548" i="2"/>
  <c r="H548" i="2"/>
  <c r="G548" i="2"/>
  <c r="D548" i="2"/>
  <c r="C548" i="2"/>
  <c r="B548" i="2"/>
  <c r="A548" i="2"/>
  <c r="J547" i="2"/>
  <c r="I547" i="2"/>
  <c r="H547" i="2"/>
  <c r="G547" i="2"/>
  <c r="D547" i="2"/>
  <c r="C547" i="2"/>
  <c r="B547" i="2"/>
  <c r="A547" i="2"/>
  <c r="J546" i="2"/>
  <c r="I546" i="2"/>
  <c r="H546" i="2"/>
  <c r="G546" i="2"/>
  <c r="D546" i="2"/>
  <c r="C546" i="2"/>
  <c r="B546" i="2"/>
  <c r="A546" i="2"/>
  <c r="J545" i="2"/>
  <c r="I545" i="2"/>
  <c r="H545" i="2"/>
  <c r="G545" i="2"/>
  <c r="D545" i="2"/>
  <c r="C545" i="2"/>
  <c r="B545" i="2"/>
  <c r="A545" i="2"/>
  <c r="J544" i="2"/>
  <c r="I544" i="2"/>
  <c r="H544" i="2"/>
  <c r="G544" i="2"/>
  <c r="D544" i="2"/>
  <c r="C544" i="2"/>
  <c r="B544" i="2"/>
  <c r="A544" i="2"/>
  <c r="J543" i="2"/>
  <c r="I543" i="2"/>
  <c r="H543" i="2"/>
  <c r="G543" i="2"/>
  <c r="D543" i="2"/>
  <c r="C543" i="2"/>
  <c r="B543" i="2"/>
  <c r="A543" i="2"/>
  <c r="J542" i="2"/>
  <c r="I542" i="2"/>
  <c r="H542" i="2"/>
  <c r="G542" i="2"/>
  <c r="D542" i="2"/>
  <c r="C542" i="2"/>
  <c r="B542" i="2"/>
  <c r="A542" i="2"/>
  <c r="J541" i="2"/>
  <c r="I541" i="2"/>
  <c r="H541" i="2"/>
  <c r="G541" i="2"/>
  <c r="D541" i="2"/>
  <c r="C541" i="2"/>
  <c r="B541" i="2"/>
  <c r="A541" i="2"/>
  <c r="J540" i="2"/>
  <c r="I540" i="2"/>
  <c r="H540" i="2"/>
  <c r="G540" i="2"/>
  <c r="D540" i="2"/>
  <c r="C540" i="2"/>
  <c r="B540" i="2"/>
  <c r="A540" i="2"/>
  <c r="J539" i="2"/>
  <c r="I539" i="2"/>
  <c r="H539" i="2"/>
  <c r="G539" i="2"/>
  <c r="D539" i="2"/>
  <c r="C539" i="2"/>
  <c r="B539" i="2"/>
  <c r="A539" i="2"/>
  <c r="J538" i="2"/>
  <c r="I538" i="2"/>
  <c r="H538" i="2"/>
  <c r="G538" i="2"/>
  <c r="D538" i="2"/>
  <c r="C538" i="2"/>
  <c r="B538" i="2"/>
  <c r="A538" i="2"/>
  <c r="J537" i="2"/>
  <c r="I537" i="2"/>
  <c r="H537" i="2"/>
  <c r="G537" i="2"/>
  <c r="D537" i="2"/>
  <c r="C537" i="2"/>
  <c r="B537" i="2"/>
  <c r="A537" i="2"/>
  <c r="J536" i="2"/>
  <c r="I536" i="2"/>
  <c r="H536" i="2"/>
  <c r="G536" i="2"/>
  <c r="D536" i="2"/>
  <c r="C536" i="2"/>
  <c r="B536" i="2"/>
  <c r="A536" i="2"/>
  <c r="J535" i="2"/>
  <c r="I535" i="2"/>
  <c r="H535" i="2"/>
  <c r="G535" i="2"/>
  <c r="D535" i="2"/>
  <c r="C535" i="2"/>
  <c r="B535" i="2"/>
  <c r="A535" i="2"/>
  <c r="J534" i="2"/>
  <c r="I534" i="2"/>
  <c r="H534" i="2"/>
  <c r="G534" i="2"/>
  <c r="D534" i="2"/>
  <c r="C534" i="2"/>
  <c r="B534" i="2"/>
  <c r="A534" i="2"/>
  <c r="J533" i="2"/>
  <c r="I533" i="2"/>
  <c r="H533" i="2"/>
  <c r="G533" i="2"/>
  <c r="D533" i="2"/>
  <c r="C533" i="2"/>
  <c r="B533" i="2"/>
  <c r="A533" i="2"/>
  <c r="J532" i="2"/>
  <c r="I532" i="2"/>
  <c r="H532" i="2"/>
  <c r="G532" i="2"/>
  <c r="D532" i="2"/>
  <c r="C532" i="2"/>
  <c r="B532" i="2"/>
  <c r="A532" i="2"/>
  <c r="L531" i="2"/>
  <c r="J531" i="2"/>
  <c r="I531" i="2"/>
  <c r="H531" i="2"/>
  <c r="G531" i="2"/>
  <c r="D531" i="2"/>
  <c r="C531" i="2"/>
  <c r="B531" i="2"/>
  <c r="A531" i="2"/>
  <c r="J530" i="2"/>
  <c r="I530" i="2"/>
  <c r="H530" i="2"/>
  <c r="G530" i="2"/>
  <c r="D530" i="2"/>
  <c r="C530" i="2"/>
  <c r="B530" i="2"/>
  <c r="A530" i="2"/>
  <c r="J529" i="2"/>
  <c r="I529" i="2"/>
  <c r="H529" i="2"/>
  <c r="G529" i="2"/>
  <c r="D529" i="2"/>
  <c r="C529" i="2"/>
  <c r="B529" i="2"/>
  <c r="A529" i="2"/>
  <c r="J528" i="2"/>
  <c r="I528" i="2"/>
  <c r="H528" i="2"/>
  <c r="G528" i="2"/>
  <c r="D528" i="2"/>
  <c r="C528" i="2"/>
  <c r="B528" i="2"/>
  <c r="A528" i="2"/>
  <c r="J527" i="2"/>
  <c r="I527" i="2"/>
  <c r="H527" i="2"/>
  <c r="G527" i="2"/>
  <c r="D527" i="2"/>
  <c r="C527" i="2"/>
  <c r="B527" i="2"/>
  <c r="A527" i="2"/>
  <c r="J526" i="2"/>
  <c r="I526" i="2"/>
  <c r="H526" i="2"/>
  <c r="G526" i="2"/>
  <c r="D526" i="2"/>
  <c r="C526" i="2"/>
  <c r="B526" i="2"/>
  <c r="A526" i="2"/>
  <c r="J525" i="2"/>
  <c r="I525" i="2"/>
  <c r="H525" i="2"/>
  <c r="G525" i="2"/>
  <c r="D525" i="2"/>
  <c r="C525" i="2"/>
  <c r="B525" i="2"/>
  <c r="A525" i="2"/>
  <c r="J524" i="2"/>
  <c r="I524" i="2"/>
  <c r="H524" i="2"/>
  <c r="G524" i="2"/>
  <c r="D524" i="2"/>
  <c r="C524" i="2"/>
  <c r="B524" i="2"/>
  <c r="A524" i="2"/>
  <c r="J523" i="2"/>
  <c r="I523" i="2"/>
  <c r="H523" i="2"/>
  <c r="G523" i="2"/>
  <c r="D523" i="2"/>
  <c r="C523" i="2"/>
  <c r="B523" i="2"/>
  <c r="A523" i="2"/>
  <c r="J522" i="2"/>
  <c r="I522" i="2"/>
  <c r="H522" i="2"/>
  <c r="G522" i="2"/>
  <c r="D522" i="2"/>
  <c r="C522" i="2"/>
  <c r="B522" i="2"/>
  <c r="A522" i="2"/>
  <c r="J521" i="2"/>
  <c r="I521" i="2"/>
  <c r="H521" i="2"/>
  <c r="G521" i="2"/>
  <c r="D521" i="2"/>
  <c r="C521" i="2"/>
  <c r="B521" i="2"/>
  <c r="A521" i="2"/>
  <c r="J520" i="2"/>
  <c r="I520" i="2"/>
  <c r="H520" i="2"/>
  <c r="G520" i="2"/>
  <c r="D520" i="2"/>
  <c r="C520" i="2"/>
  <c r="B520" i="2"/>
  <c r="A520" i="2"/>
  <c r="J519" i="2"/>
  <c r="I519" i="2"/>
  <c r="H519" i="2"/>
  <c r="G519" i="2"/>
  <c r="D519" i="2"/>
  <c r="C519" i="2"/>
  <c r="B519" i="2"/>
  <c r="A519" i="2"/>
  <c r="J518" i="2"/>
  <c r="I518" i="2"/>
  <c r="H518" i="2"/>
  <c r="G518" i="2"/>
  <c r="D518" i="2"/>
  <c r="C518" i="2"/>
  <c r="B518" i="2"/>
  <c r="A518" i="2"/>
  <c r="J517" i="2"/>
  <c r="I517" i="2"/>
  <c r="H517" i="2"/>
  <c r="G517" i="2"/>
  <c r="D517" i="2"/>
  <c r="C517" i="2"/>
  <c r="B517" i="2"/>
  <c r="A517" i="2"/>
  <c r="J516" i="2"/>
  <c r="I516" i="2"/>
  <c r="H516" i="2"/>
  <c r="G516" i="2"/>
  <c r="D516" i="2"/>
  <c r="C516" i="2"/>
  <c r="B516" i="2"/>
  <c r="A516" i="2"/>
  <c r="J515" i="2"/>
  <c r="I515" i="2"/>
  <c r="H515" i="2"/>
  <c r="G515" i="2"/>
  <c r="D515" i="2"/>
  <c r="C515" i="2"/>
  <c r="B515" i="2"/>
  <c r="A515" i="2"/>
  <c r="J514" i="2"/>
  <c r="I514" i="2"/>
  <c r="H514" i="2"/>
  <c r="G514" i="2"/>
  <c r="D514" i="2"/>
  <c r="C514" i="2"/>
  <c r="B514" i="2"/>
  <c r="A514" i="2"/>
  <c r="J513" i="2"/>
  <c r="I513" i="2"/>
  <c r="H513" i="2"/>
  <c r="G513" i="2"/>
  <c r="D513" i="2"/>
  <c r="C513" i="2"/>
  <c r="B513" i="2"/>
  <c r="A513" i="2"/>
  <c r="J512" i="2"/>
  <c r="I512" i="2"/>
  <c r="H512" i="2"/>
  <c r="G512" i="2"/>
  <c r="D512" i="2"/>
  <c r="C512" i="2"/>
  <c r="B512" i="2"/>
  <c r="A512" i="2"/>
  <c r="J511" i="2"/>
  <c r="I511" i="2"/>
  <c r="H511" i="2"/>
  <c r="G511" i="2"/>
  <c r="D511" i="2"/>
  <c r="C511" i="2"/>
  <c r="B511" i="2"/>
  <c r="A511" i="2"/>
  <c r="J510" i="2"/>
  <c r="I510" i="2"/>
  <c r="H510" i="2"/>
  <c r="G510" i="2"/>
  <c r="D510" i="2"/>
  <c r="C510" i="2"/>
  <c r="B510" i="2"/>
  <c r="A510" i="2"/>
  <c r="J509" i="2"/>
  <c r="I509" i="2"/>
  <c r="H509" i="2"/>
  <c r="G509" i="2"/>
  <c r="D509" i="2"/>
  <c r="C509" i="2"/>
  <c r="B509" i="2"/>
  <c r="A509" i="2"/>
  <c r="J508" i="2"/>
  <c r="I508" i="2"/>
  <c r="H508" i="2"/>
  <c r="G508" i="2"/>
  <c r="D508" i="2"/>
  <c r="C508" i="2"/>
  <c r="B508" i="2"/>
  <c r="A508" i="2"/>
  <c r="J507" i="2"/>
  <c r="I507" i="2"/>
  <c r="H507" i="2"/>
  <c r="G507" i="2"/>
  <c r="D507" i="2"/>
  <c r="C507" i="2"/>
  <c r="B507" i="2"/>
  <c r="A507" i="2"/>
  <c r="J506" i="2"/>
  <c r="I506" i="2"/>
  <c r="H506" i="2"/>
  <c r="G506" i="2"/>
  <c r="D506" i="2"/>
  <c r="C506" i="2"/>
  <c r="B506" i="2"/>
  <c r="A506" i="2"/>
  <c r="J505" i="2"/>
  <c r="I505" i="2"/>
  <c r="H505" i="2"/>
  <c r="G505" i="2"/>
  <c r="D505" i="2"/>
  <c r="C505" i="2"/>
  <c r="B505" i="2"/>
  <c r="A505" i="2"/>
  <c r="J504" i="2"/>
  <c r="I504" i="2"/>
  <c r="H504" i="2"/>
  <c r="G504" i="2"/>
  <c r="D504" i="2"/>
  <c r="C504" i="2"/>
  <c r="B504" i="2"/>
  <c r="A504" i="2"/>
  <c r="J503" i="2"/>
  <c r="I503" i="2"/>
  <c r="H503" i="2"/>
  <c r="G503" i="2"/>
  <c r="D503" i="2"/>
  <c r="C503" i="2"/>
  <c r="B503" i="2"/>
  <c r="A503" i="2"/>
  <c r="J502" i="2"/>
  <c r="I502" i="2"/>
  <c r="H502" i="2"/>
  <c r="G502" i="2"/>
  <c r="D502" i="2"/>
  <c r="C502" i="2"/>
  <c r="B502" i="2"/>
  <c r="A502" i="2"/>
  <c r="J501" i="2"/>
  <c r="I501" i="2"/>
  <c r="H501" i="2"/>
  <c r="G501" i="2"/>
  <c r="D501" i="2"/>
  <c r="C501" i="2"/>
  <c r="B501" i="2"/>
  <c r="A501" i="2"/>
  <c r="J500" i="2"/>
  <c r="I500" i="2"/>
  <c r="H500" i="2"/>
  <c r="G500" i="2"/>
  <c r="D500" i="2"/>
  <c r="C500" i="2"/>
  <c r="B500" i="2"/>
  <c r="A500" i="2"/>
  <c r="J499" i="2"/>
  <c r="I499" i="2"/>
  <c r="H499" i="2"/>
  <c r="G499" i="2"/>
  <c r="D499" i="2"/>
  <c r="C499" i="2"/>
  <c r="B499" i="2"/>
  <c r="A499" i="2"/>
  <c r="J498" i="2"/>
  <c r="I498" i="2"/>
  <c r="H498" i="2"/>
  <c r="G498" i="2"/>
  <c r="D498" i="2"/>
  <c r="C498" i="2"/>
  <c r="B498" i="2"/>
  <c r="A498" i="2"/>
  <c r="J497" i="2"/>
  <c r="I497" i="2"/>
  <c r="H497" i="2"/>
  <c r="G497" i="2"/>
  <c r="D497" i="2"/>
  <c r="C497" i="2"/>
  <c r="B497" i="2"/>
  <c r="A497" i="2"/>
  <c r="J496" i="2"/>
  <c r="I496" i="2"/>
  <c r="H496" i="2"/>
  <c r="G496" i="2"/>
  <c r="D496" i="2"/>
  <c r="C496" i="2"/>
  <c r="B496" i="2"/>
  <c r="A496" i="2"/>
  <c r="J495" i="2"/>
  <c r="I495" i="2"/>
  <c r="H495" i="2"/>
  <c r="G495" i="2"/>
  <c r="D495" i="2"/>
  <c r="C495" i="2"/>
  <c r="B495" i="2"/>
  <c r="A495" i="2"/>
  <c r="J494" i="2"/>
  <c r="I494" i="2"/>
  <c r="H494" i="2"/>
  <c r="G494" i="2"/>
  <c r="D494" i="2"/>
  <c r="C494" i="2"/>
  <c r="B494" i="2"/>
  <c r="A494" i="2"/>
  <c r="J493" i="2"/>
  <c r="I493" i="2"/>
  <c r="H493" i="2"/>
  <c r="G493" i="2"/>
  <c r="D493" i="2"/>
  <c r="C493" i="2"/>
  <c r="B493" i="2"/>
  <c r="A493" i="2"/>
  <c r="J492" i="2"/>
  <c r="I492" i="2"/>
  <c r="H492" i="2"/>
  <c r="G492" i="2"/>
  <c r="D492" i="2"/>
  <c r="C492" i="2"/>
  <c r="B492" i="2"/>
  <c r="A492" i="2"/>
  <c r="J491" i="2"/>
  <c r="I491" i="2"/>
  <c r="H491" i="2"/>
  <c r="G491" i="2"/>
  <c r="D491" i="2"/>
  <c r="C491" i="2"/>
  <c r="B491" i="2"/>
  <c r="A491" i="2"/>
  <c r="J490" i="2"/>
  <c r="I490" i="2"/>
  <c r="H490" i="2"/>
  <c r="G490" i="2"/>
  <c r="D490" i="2"/>
  <c r="C490" i="2"/>
  <c r="B490" i="2"/>
  <c r="A490" i="2"/>
  <c r="J489" i="2"/>
  <c r="I489" i="2"/>
  <c r="H489" i="2"/>
  <c r="G489" i="2"/>
  <c r="D489" i="2"/>
  <c r="C489" i="2"/>
  <c r="B489" i="2"/>
  <c r="A489" i="2"/>
  <c r="J488" i="2"/>
  <c r="I488" i="2"/>
  <c r="H488" i="2"/>
  <c r="G488" i="2"/>
  <c r="D488" i="2"/>
  <c r="C488" i="2"/>
  <c r="B488" i="2"/>
  <c r="A488" i="2"/>
  <c r="J487" i="2"/>
  <c r="I487" i="2"/>
  <c r="H487" i="2"/>
  <c r="G487" i="2"/>
  <c r="D487" i="2"/>
  <c r="C487" i="2"/>
  <c r="B487" i="2"/>
  <c r="A487" i="2"/>
  <c r="J486" i="2"/>
  <c r="I486" i="2"/>
  <c r="H486" i="2"/>
  <c r="G486" i="2"/>
  <c r="D486" i="2"/>
  <c r="C486" i="2"/>
  <c r="B486" i="2"/>
  <c r="A486" i="2"/>
  <c r="J485" i="2"/>
  <c r="I485" i="2"/>
  <c r="H485" i="2"/>
  <c r="G485" i="2"/>
  <c r="D485" i="2"/>
  <c r="C485" i="2"/>
  <c r="B485" i="2"/>
  <c r="A485" i="2"/>
  <c r="J484" i="2"/>
  <c r="I484" i="2"/>
  <c r="H484" i="2"/>
  <c r="G484" i="2"/>
  <c r="D484" i="2"/>
  <c r="C484" i="2"/>
  <c r="B484" i="2"/>
  <c r="A484" i="2"/>
  <c r="J483" i="2"/>
  <c r="I483" i="2"/>
  <c r="H483" i="2"/>
  <c r="G483" i="2"/>
  <c r="D483" i="2"/>
  <c r="C483" i="2"/>
  <c r="B483" i="2"/>
  <c r="A483" i="2"/>
  <c r="J482" i="2"/>
  <c r="I482" i="2"/>
  <c r="H482" i="2"/>
  <c r="G482" i="2"/>
  <c r="D482" i="2"/>
  <c r="C482" i="2"/>
  <c r="B482" i="2"/>
  <c r="A482" i="2"/>
  <c r="J481" i="2"/>
  <c r="I481" i="2"/>
  <c r="H481" i="2"/>
  <c r="G481" i="2"/>
  <c r="D481" i="2"/>
  <c r="C481" i="2"/>
  <c r="B481" i="2"/>
  <c r="A481" i="2"/>
  <c r="J480" i="2"/>
  <c r="I480" i="2"/>
  <c r="H480" i="2"/>
  <c r="G480" i="2"/>
  <c r="D480" i="2"/>
  <c r="C480" i="2"/>
  <c r="B480" i="2"/>
  <c r="A480" i="2"/>
  <c r="J479" i="2"/>
  <c r="I479" i="2"/>
  <c r="H479" i="2"/>
  <c r="G479" i="2"/>
  <c r="D479" i="2"/>
  <c r="C479" i="2"/>
  <c r="B479" i="2"/>
  <c r="A479" i="2"/>
  <c r="J478" i="2"/>
  <c r="I478" i="2"/>
  <c r="H478" i="2"/>
  <c r="G478" i="2"/>
  <c r="D478" i="2"/>
  <c r="C478" i="2"/>
  <c r="B478" i="2"/>
  <c r="A478" i="2"/>
  <c r="J477" i="2"/>
  <c r="I477" i="2"/>
  <c r="H477" i="2"/>
  <c r="G477" i="2"/>
  <c r="D477" i="2"/>
  <c r="C477" i="2"/>
  <c r="B477" i="2"/>
  <c r="A477" i="2"/>
  <c r="J476" i="2"/>
  <c r="I476" i="2"/>
  <c r="H476" i="2"/>
  <c r="G476" i="2"/>
  <c r="D476" i="2"/>
  <c r="C476" i="2"/>
  <c r="B476" i="2"/>
  <c r="A476" i="2"/>
  <c r="J475" i="2"/>
  <c r="I475" i="2"/>
  <c r="H475" i="2"/>
  <c r="G475" i="2"/>
  <c r="D475" i="2"/>
  <c r="C475" i="2"/>
  <c r="B475" i="2"/>
  <c r="A475" i="2"/>
  <c r="J474" i="2"/>
  <c r="I474" i="2"/>
  <c r="H474" i="2"/>
  <c r="G474" i="2"/>
  <c r="D474" i="2"/>
  <c r="C474" i="2"/>
  <c r="B474" i="2"/>
  <c r="A474" i="2"/>
  <c r="J473" i="2"/>
  <c r="I473" i="2"/>
  <c r="H473" i="2"/>
  <c r="G473" i="2"/>
  <c r="D473" i="2"/>
  <c r="C473" i="2"/>
  <c r="B473" i="2"/>
  <c r="A473" i="2"/>
  <c r="J472" i="2"/>
  <c r="I472" i="2"/>
  <c r="H472" i="2"/>
  <c r="G472" i="2"/>
  <c r="D472" i="2"/>
  <c r="C472" i="2"/>
  <c r="B472" i="2"/>
  <c r="A472" i="2"/>
  <c r="J471" i="2"/>
  <c r="I471" i="2"/>
  <c r="H471" i="2"/>
  <c r="G471" i="2"/>
  <c r="D471" i="2"/>
  <c r="C471" i="2"/>
  <c r="B471" i="2"/>
  <c r="A471" i="2"/>
  <c r="J470" i="2"/>
  <c r="I470" i="2"/>
  <c r="H470" i="2"/>
  <c r="G470" i="2"/>
  <c r="D470" i="2"/>
  <c r="C470" i="2"/>
  <c r="B470" i="2"/>
  <c r="A470" i="2"/>
  <c r="J469" i="2"/>
  <c r="I469" i="2"/>
  <c r="H469" i="2"/>
  <c r="G469" i="2"/>
  <c r="D469" i="2"/>
  <c r="C469" i="2"/>
  <c r="B469" i="2"/>
  <c r="A469" i="2"/>
  <c r="J468" i="2"/>
  <c r="I468" i="2"/>
  <c r="H468" i="2"/>
  <c r="G468" i="2"/>
  <c r="D468" i="2"/>
  <c r="C468" i="2"/>
  <c r="B468" i="2"/>
  <c r="A468" i="2"/>
  <c r="J467" i="2"/>
  <c r="I467" i="2"/>
  <c r="H467" i="2"/>
  <c r="G467" i="2"/>
  <c r="D467" i="2"/>
  <c r="C467" i="2"/>
  <c r="B467" i="2"/>
  <c r="A467" i="2"/>
  <c r="J466" i="2"/>
  <c r="I466" i="2"/>
  <c r="H466" i="2"/>
  <c r="G466" i="2"/>
  <c r="D466" i="2"/>
  <c r="C466" i="2"/>
  <c r="B466" i="2"/>
  <c r="A466" i="2"/>
  <c r="J465" i="2"/>
  <c r="I465" i="2"/>
  <c r="H465" i="2"/>
  <c r="G465" i="2"/>
  <c r="D465" i="2"/>
  <c r="C465" i="2"/>
  <c r="B465" i="2"/>
  <c r="A465" i="2"/>
  <c r="J464" i="2"/>
  <c r="I464" i="2"/>
  <c r="H464" i="2"/>
  <c r="G464" i="2"/>
  <c r="D464" i="2"/>
  <c r="C464" i="2"/>
  <c r="B464" i="2"/>
  <c r="A464" i="2"/>
  <c r="J463" i="2"/>
  <c r="I463" i="2"/>
  <c r="H463" i="2"/>
  <c r="G463" i="2"/>
  <c r="D463" i="2"/>
  <c r="C463" i="2"/>
  <c r="B463" i="2"/>
  <c r="A463" i="2"/>
  <c r="J462" i="2"/>
  <c r="I462" i="2"/>
  <c r="H462" i="2"/>
  <c r="G462" i="2"/>
  <c r="D462" i="2"/>
  <c r="C462" i="2"/>
  <c r="B462" i="2"/>
  <c r="A462" i="2"/>
  <c r="J461" i="2"/>
  <c r="I461" i="2"/>
  <c r="H461" i="2"/>
  <c r="G461" i="2"/>
  <c r="D461" i="2"/>
  <c r="C461" i="2"/>
  <c r="B461" i="2"/>
  <c r="A461" i="2"/>
  <c r="J460" i="2"/>
  <c r="I460" i="2"/>
  <c r="H460" i="2"/>
  <c r="G460" i="2"/>
  <c r="D460" i="2"/>
  <c r="C460" i="2"/>
  <c r="B460" i="2"/>
  <c r="A460" i="2"/>
  <c r="J459" i="2"/>
  <c r="I459" i="2"/>
  <c r="H459" i="2"/>
  <c r="G459" i="2"/>
  <c r="D459" i="2"/>
  <c r="C459" i="2"/>
  <c r="B459" i="2"/>
  <c r="A459" i="2"/>
  <c r="J458" i="2"/>
  <c r="I458" i="2"/>
  <c r="H458" i="2"/>
  <c r="G458" i="2"/>
  <c r="D458" i="2"/>
  <c r="C458" i="2"/>
  <c r="B458" i="2"/>
  <c r="A458" i="2"/>
  <c r="J457" i="2"/>
  <c r="I457" i="2"/>
  <c r="H457" i="2"/>
  <c r="G457" i="2"/>
  <c r="D457" i="2"/>
  <c r="C457" i="2"/>
  <c r="B457" i="2"/>
  <c r="A457" i="2"/>
  <c r="J456" i="2"/>
  <c r="I456" i="2"/>
  <c r="H456" i="2"/>
  <c r="G456" i="2"/>
  <c r="D456" i="2"/>
  <c r="C456" i="2"/>
  <c r="B456" i="2"/>
  <c r="A456" i="2"/>
  <c r="J455" i="2"/>
  <c r="I455" i="2"/>
  <c r="H455" i="2"/>
  <c r="G455" i="2"/>
  <c r="D455" i="2"/>
  <c r="C455" i="2"/>
  <c r="B455" i="2"/>
  <c r="A455" i="2"/>
  <c r="J454" i="2"/>
  <c r="I454" i="2"/>
  <c r="H454" i="2"/>
  <c r="G454" i="2"/>
  <c r="D454" i="2"/>
  <c r="C454" i="2"/>
  <c r="B454" i="2"/>
  <c r="A454" i="2"/>
  <c r="J453" i="2"/>
  <c r="I453" i="2"/>
  <c r="H453" i="2"/>
  <c r="G453" i="2"/>
  <c r="D453" i="2"/>
  <c r="C453" i="2"/>
  <c r="B453" i="2"/>
  <c r="A453" i="2"/>
  <c r="J452" i="2"/>
  <c r="I452" i="2"/>
  <c r="H452" i="2"/>
  <c r="G452" i="2"/>
  <c r="D452" i="2"/>
  <c r="C452" i="2"/>
  <c r="B452" i="2"/>
  <c r="A452" i="2"/>
  <c r="L451" i="2"/>
  <c r="J451" i="2"/>
  <c r="I451" i="2"/>
  <c r="H451" i="2"/>
  <c r="G451" i="2"/>
  <c r="D451" i="2"/>
  <c r="C451" i="2"/>
  <c r="B451" i="2"/>
  <c r="A451" i="2"/>
  <c r="J450" i="2"/>
  <c r="I450" i="2"/>
  <c r="H450" i="2"/>
  <c r="G450" i="2"/>
  <c r="D450" i="2"/>
  <c r="C450" i="2"/>
  <c r="B450" i="2"/>
  <c r="A450" i="2"/>
  <c r="J449" i="2"/>
  <c r="I449" i="2"/>
  <c r="H449" i="2"/>
  <c r="G449" i="2"/>
  <c r="D449" i="2"/>
  <c r="C449" i="2"/>
  <c r="B449" i="2"/>
  <c r="A449" i="2"/>
  <c r="J448" i="2"/>
  <c r="I448" i="2"/>
  <c r="H448" i="2"/>
  <c r="G448" i="2"/>
  <c r="D448" i="2"/>
  <c r="C448" i="2"/>
  <c r="B448" i="2"/>
  <c r="A448" i="2"/>
  <c r="J447" i="2"/>
  <c r="I447" i="2"/>
  <c r="H447" i="2"/>
  <c r="G447" i="2"/>
  <c r="D447" i="2"/>
  <c r="C447" i="2"/>
  <c r="B447" i="2"/>
  <c r="A447" i="2"/>
  <c r="J446" i="2"/>
  <c r="I446" i="2"/>
  <c r="H446" i="2"/>
  <c r="G446" i="2"/>
  <c r="D446" i="2"/>
  <c r="C446" i="2"/>
  <c r="B446" i="2"/>
  <c r="A446" i="2"/>
  <c r="J445" i="2"/>
  <c r="I445" i="2"/>
  <c r="H445" i="2"/>
  <c r="G445" i="2"/>
  <c r="D445" i="2"/>
  <c r="C445" i="2"/>
  <c r="B445" i="2"/>
  <c r="A445" i="2"/>
  <c r="J444" i="2"/>
  <c r="I444" i="2"/>
  <c r="H444" i="2"/>
  <c r="G444" i="2"/>
  <c r="D444" i="2"/>
  <c r="C444" i="2"/>
  <c r="B444" i="2"/>
  <c r="A444" i="2"/>
  <c r="J443" i="2"/>
  <c r="I443" i="2"/>
  <c r="H443" i="2"/>
  <c r="G443" i="2"/>
  <c r="D443" i="2"/>
  <c r="C443" i="2"/>
  <c r="B443" i="2"/>
  <c r="A443" i="2"/>
  <c r="J442" i="2"/>
  <c r="I442" i="2"/>
  <c r="H442" i="2"/>
  <c r="G442" i="2"/>
  <c r="D442" i="2"/>
  <c r="C442" i="2"/>
  <c r="B442" i="2"/>
  <c r="A442" i="2"/>
  <c r="J441" i="2"/>
  <c r="I441" i="2"/>
  <c r="H441" i="2"/>
  <c r="G441" i="2"/>
  <c r="D441" i="2"/>
  <c r="C441" i="2"/>
  <c r="B441" i="2"/>
  <c r="A441" i="2"/>
  <c r="J440" i="2"/>
  <c r="I440" i="2"/>
  <c r="H440" i="2"/>
  <c r="G440" i="2"/>
  <c r="D440" i="2"/>
  <c r="C440" i="2"/>
  <c r="B440" i="2"/>
  <c r="A440" i="2"/>
  <c r="J439" i="2"/>
  <c r="I439" i="2"/>
  <c r="H439" i="2"/>
  <c r="G439" i="2"/>
  <c r="D439" i="2"/>
  <c r="C439" i="2"/>
  <c r="B439" i="2"/>
  <c r="A439" i="2"/>
  <c r="J438" i="2"/>
  <c r="I438" i="2"/>
  <c r="H438" i="2"/>
  <c r="G438" i="2"/>
  <c r="D438" i="2"/>
  <c r="C438" i="2"/>
  <c r="B438" i="2"/>
  <c r="A438" i="2"/>
  <c r="J437" i="2"/>
  <c r="I437" i="2"/>
  <c r="H437" i="2"/>
  <c r="G437" i="2"/>
  <c r="D437" i="2"/>
  <c r="C437" i="2"/>
  <c r="B437" i="2"/>
  <c r="A437" i="2"/>
  <c r="J436" i="2"/>
  <c r="I436" i="2"/>
  <c r="H436" i="2"/>
  <c r="G436" i="2"/>
  <c r="D436" i="2"/>
  <c r="C436" i="2"/>
  <c r="B436" i="2"/>
  <c r="A436" i="2"/>
  <c r="J435" i="2"/>
  <c r="I435" i="2"/>
  <c r="H435" i="2"/>
  <c r="G435" i="2"/>
  <c r="D435" i="2"/>
  <c r="C435" i="2"/>
  <c r="B435" i="2"/>
  <c r="A435" i="2"/>
  <c r="J434" i="2"/>
  <c r="I434" i="2"/>
  <c r="H434" i="2"/>
  <c r="G434" i="2"/>
  <c r="D434" i="2"/>
  <c r="C434" i="2"/>
  <c r="B434" i="2"/>
  <c r="A434" i="2"/>
  <c r="J433" i="2"/>
  <c r="I433" i="2"/>
  <c r="H433" i="2"/>
  <c r="G433" i="2"/>
  <c r="D433" i="2"/>
  <c r="C433" i="2"/>
  <c r="B433" i="2"/>
  <c r="A433" i="2"/>
  <c r="J432" i="2"/>
  <c r="I432" i="2"/>
  <c r="H432" i="2"/>
  <c r="G432" i="2"/>
  <c r="D432" i="2"/>
  <c r="C432" i="2"/>
  <c r="B432" i="2"/>
  <c r="A432" i="2"/>
  <c r="J431" i="2"/>
  <c r="I431" i="2"/>
  <c r="H431" i="2"/>
  <c r="G431" i="2"/>
  <c r="D431" i="2"/>
  <c r="C431" i="2"/>
  <c r="B431" i="2"/>
  <c r="A431" i="2"/>
  <c r="J430" i="2"/>
  <c r="I430" i="2"/>
  <c r="H430" i="2"/>
  <c r="G430" i="2"/>
  <c r="D430" i="2"/>
  <c r="C430" i="2"/>
  <c r="B430" i="2"/>
  <c r="A430" i="2"/>
  <c r="J429" i="2"/>
  <c r="I429" i="2"/>
  <c r="H429" i="2"/>
  <c r="G429" i="2"/>
  <c r="D429" i="2"/>
  <c r="C429" i="2"/>
  <c r="B429" i="2"/>
  <c r="A429" i="2"/>
  <c r="J428" i="2"/>
  <c r="I428" i="2"/>
  <c r="H428" i="2"/>
  <c r="G428" i="2"/>
  <c r="D428" i="2"/>
  <c r="C428" i="2"/>
  <c r="B428" i="2"/>
  <c r="A428" i="2"/>
  <c r="J427" i="2"/>
  <c r="I427" i="2"/>
  <c r="H427" i="2"/>
  <c r="G427" i="2"/>
  <c r="D427" i="2"/>
  <c r="C427" i="2"/>
  <c r="B427" i="2"/>
  <c r="A427" i="2"/>
  <c r="J426" i="2"/>
  <c r="I426" i="2"/>
  <c r="H426" i="2"/>
  <c r="G426" i="2"/>
  <c r="D426" i="2"/>
  <c r="C426" i="2"/>
  <c r="B426" i="2"/>
  <c r="A426" i="2"/>
  <c r="J425" i="2"/>
  <c r="I425" i="2"/>
  <c r="H425" i="2"/>
  <c r="G425" i="2"/>
  <c r="D425" i="2"/>
  <c r="C425" i="2"/>
  <c r="B425" i="2"/>
  <c r="A425" i="2"/>
  <c r="J424" i="2"/>
  <c r="I424" i="2"/>
  <c r="H424" i="2"/>
  <c r="G424" i="2"/>
  <c r="D424" i="2"/>
  <c r="C424" i="2"/>
  <c r="B424" i="2"/>
  <c r="A424" i="2"/>
  <c r="J423" i="2"/>
  <c r="I423" i="2"/>
  <c r="H423" i="2"/>
  <c r="G423" i="2"/>
  <c r="D423" i="2"/>
  <c r="C423" i="2"/>
  <c r="B423" i="2"/>
  <c r="A423" i="2"/>
  <c r="J422" i="2"/>
  <c r="I422" i="2"/>
  <c r="H422" i="2"/>
  <c r="G422" i="2"/>
  <c r="D422" i="2"/>
  <c r="C422" i="2"/>
  <c r="B422" i="2"/>
  <c r="A422" i="2"/>
  <c r="J421" i="2"/>
  <c r="I421" i="2"/>
  <c r="H421" i="2"/>
  <c r="G421" i="2"/>
  <c r="D421" i="2"/>
  <c r="C421" i="2"/>
  <c r="B421" i="2"/>
  <c r="A421" i="2"/>
  <c r="J420" i="2"/>
  <c r="I420" i="2"/>
  <c r="H420" i="2"/>
  <c r="G420" i="2"/>
  <c r="D420" i="2"/>
  <c r="C420" i="2"/>
  <c r="B420" i="2"/>
  <c r="A420" i="2"/>
  <c r="J419" i="2"/>
  <c r="I419" i="2"/>
  <c r="H419" i="2"/>
  <c r="G419" i="2"/>
  <c r="D419" i="2"/>
  <c r="C419" i="2"/>
  <c r="B419" i="2"/>
  <c r="A419" i="2"/>
  <c r="J418" i="2"/>
  <c r="I418" i="2"/>
  <c r="H418" i="2"/>
  <c r="G418" i="2"/>
  <c r="D418" i="2"/>
  <c r="C418" i="2"/>
  <c r="B418" i="2"/>
  <c r="A418" i="2"/>
  <c r="J417" i="2"/>
  <c r="I417" i="2"/>
  <c r="H417" i="2"/>
  <c r="G417" i="2"/>
  <c r="D417" i="2"/>
  <c r="C417" i="2"/>
  <c r="B417" i="2"/>
  <c r="A417" i="2"/>
  <c r="J416" i="2"/>
  <c r="I416" i="2"/>
  <c r="H416" i="2"/>
  <c r="G416" i="2"/>
  <c r="D416" i="2"/>
  <c r="C416" i="2"/>
  <c r="B416" i="2"/>
  <c r="A416" i="2"/>
  <c r="J415" i="2"/>
  <c r="I415" i="2"/>
  <c r="H415" i="2"/>
  <c r="G415" i="2"/>
  <c r="D415" i="2"/>
  <c r="C415" i="2"/>
  <c r="B415" i="2"/>
  <c r="A415" i="2"/>
  <c r="J414" i="2"/>
  <c r="I414" i="2"/>
  <c r="H414" i="2"/>
  <c r="G414" i="2"/>
  <c r="D414" i="2"/>
  <c r="C414" i="2"/>
  <c r="B414" i="2"/>
  <c r="A414" i="2"/>
  <c r="J413" i="2"/>
  <c r="I413" i="2"/>
  <c r="H413" i="2"/>
  <c r="G413" i="2"/>
  <c r="D413" i="2"/>
  <c r="C413" i="2"/>
  <c r="B413" i="2"/>
  <c r="A413" i="2"/>
  <c r="J412" i="2"/>
  <c r="I412" i="2"/>
  <c r="H412" i="2"/>
  <c r="G412" i="2"/>
  <c r="D412" i="2"/>
  <c r="C412" i="2"/>
  <c r="B412" i="2"/>
  <c r="A412" i="2"/>
  <c r="J411" i="2"/>
  <c r="I411" i="2"/>
  <c r="H411" i="2"/>
  <c r="G411" i="2"/>
  <c r="D411" i="2"/>
  <c r="C411" i="2"/>
  <c r="B411" i="2"/>
  <c r="A411" i="2"/>
  <c r="J410" i="2"/>
  <c r="I410" i="2"/>
  <c r="H410" i="2"/>
  <c r="G410" i="2"/>
  <c r="D410" i="2"/>
  <c r="C410" i="2"/>
  <c r="B410" i="2"/>
  <c r="A410" i="2"/>
  <c r="J409" i="2"/>
  <c r="I409" i="2"/>
  <c r="H409" i="2"/>
  <c r="G409" i="2"/>
  <c r="D409" i="2"/>
  <c r="C409" i="2"/>
  <c r="B409" i="2"/>
  <c r="A409" i="2"/>
  <c r="J408" i="2"/>
  <c r="I408" i="2"/>
  <c r="H408" i="2"/>
  <c r="G408" i="2"/>
  <c r="D408" i="2"/>
  <c r="C408" i="2"/>
  <c r="B408" i="2"/>
  <c r="A408" i="2"/>
  <c r="J407" i="2"/>
  <c r="I407" i="2"/>
  <c r="H407" i="2"/>
  <c r="G407" i="2"/>
  <c r="D407" i="2"/>
  <c r="C407" i="2"/>
  <c r="B407" i="2"/>
  <c r="A407" i="2"/>
  <c r="J406" i="2"/>
  <c r="I406" i="2"/>
  <c r="H406" i="2"/>
  <c r="G406" i="2"/>
  <c r="D406" i="2"/>
  <c r="C406" i="2"/>
  <c r="B406" i="2"/>
  <c r="A406" i="2"/>
  <c r="J405" i="2"/>
  <c r="I405" i="2"/>
  <c r="H405" i="2"/>
  <c r="G405" i="2"/>
  <c r="D405" i="2"/>
  <c r="C405" i="2"/>
  <c r="B405" i="2"/>
  <c r="A405" i="2"/>
  <c r="J404" i="2"/>
  <c r="I404" i="2"/>
  <c r="H404" i="2"/>
  <c r="G404" i="2"/>
  <c r="D404" i="2"/>
  <c r="C404" i="2"/>
  <c r="B404" i="2"/>
  <c r="A404" i="2"/>
  <c r="J403" i="2"/>
  <c r="I403" i="2"/>
  <c r="H403" i="2"/>
  <c r="G403" i="2"/>
  <c r="D403" i="2"/>
  <c r="C403" i="2"/>
  <c r="B403" i="2"/>
  <c r="A403" i="2"/>
  <c r="J402" i="2"/>
  <c r="I402" i="2"/>
  <c r="H402" i="2"/>
  <c r="G402" i="2"/>
  <c r="D402" i="2"/>
  <c r="C402" i="2"/>
  <c r="B402" i="2"/>
  <c r="A402" i="2"/>
  <c r="J401" i="2"/>
  <c r="I401" i="2"/>
  <c r="H401" i="2"/>
  <c r="G401" i="2"/>
  <c r="D401" i="2"/>
  <c r="C401" i="2"/>
  <c r="B401" i="2"/>
  <c r="A401" i="2"/>
  <c r="J400" i="2"/>
  <c r="I400" i="2"/>
  <c r="H400" i="2"/>
  <c r="G400" i="2"/>
  <c r="D400" i="2"/>
  <c r="C400" i="2"/>
  <c r="B400" i="2"/>
  <c r="A400" i="2"/>
  <c r="J399" i="2"/>
  <c r="I399" i="2"/>
  <c r="H399" i="2"/>
  <c r="G399" i="2"/>
  <c r="D399" i="2"/>
  <c r="C399" i="2"/>
  <c r="B399" i="2"/>
  <c r="A399" i="2"/>
  <c r="J398" i="2"/>
  <c r="I398" i="2"/>
  <c r="H398" i="2"/>
  <c r="G398" i="2"/>
  <c r="D398" i="2"/>
  <c r="C398" i="2"/>
  <c r="B398" i="2"/>
  <c r="A398" i="2"/>
  <c r="J397" i="2"/>
  <c r="I397" i="2"/>
  <c r="H397" i="2"/>
  <c r="G397" i="2"/>
  <c r="D397" i="2"/>
  <c r="C397" i="2"/>
  <c r="B397" i="2"/>
  <c r="A397" i="2"/>
  <c r="J396" i="2"/>
  <c r="I396" i="2"/>
  <c r="H396" i="2"/>
  <c r="G396" i="2"/>
  <c r="D396" i="2"/>
  <c r="C396" i="2"/>
  <c r="B396" i="2"/>
  <c r="A396" i="2"/>
  <c r="J395" i="2"/>
  <c r="I395" i="2"/>
  <c r="H395" i="2"/>
  <c r="G395" i="2"/>
  <c r="D395" i="2"/>
  <c r="C395" i="2"/>
  <c r="B395" i="2"/>
  <c r="A395" i="2"/>
  <c r="J394" i="2"/>
  <c r="I394" i="2"/>
  <c r="H394" i="2"/>
  <c r="G394" i="2"/>
  <c r="D394" i="2"/>
  <c r="C394" i="2"/>
  <c r="B394" i="2"/>
  <c r="A394" i="2"/>
  <c r="J393" i="2"/>
  <c r="I393" i="2"/>
  <c r="H393" i="2"/>
  <c r="G393" i="2"/>
  <c r="D393" i="2"/>
  <c r="C393" i="2"/>
  <c r="B393" i="2"/>
  <c r="A393" i="2"/>
  <c r="J392" i="2"/>
  <c r="I392" i="2"/>
  <c r="H392" i="2"/>
  <c r="G392" i="2"/>
  <c r="D392" i="2"/>
  <c r="C392" i="2"/>
  <c r="B392" i="2"/>
  <c r="A392" i="2"/>
  <c r="J391" i="2"/>
  <c r="I391" i="2"/>
  <c r="H391" i="2"/>
  <c r="G391" i="2"/>
  <c r="D391" i="2"/>
  <c r="C391" i="2"/>
  <c r="B391" i="2"/>
  <c r="A391" i="2"/>
  <c r="J390" i="2"/>
  <c r="I390" i="2"/>
  <c r="H390" i="2"/>
  <c r="G390" i="2"/>
  <c r="D390" i="2"/>
  <c r="C390" i="2"/>
  <c r="B390" i="2"/>
  <c r="A390" i="2"/>
  <c r="J389" i="2"/>
  <c r="I389" i="2"/>
  <c r="H389" i="2"/>
  <c r="G389" i="2"/>
  <c r="D389" i="2"/>
  <c r="C389" i="2"/>
  <c r="B389" i="2"/>
  <c r="A389" i="2"/>
  <c r="J388" i="2"/>
  <c r="I388" i="2"/>
  <c r="H388" i="2"/>
  <c r="G388" i="2"/>
  <c r="D388" i="2"/>
  <c r="C388" i="2"/>
  <c r="B388" i="2"/>
  <c r="A388" i="2"/>
  <c r="J387" i="2"/>
  <c r="I387" i="2"/>
  <c r="H387" i="2"/>
  <c r="G387" i="2"/>
  <c r="D387" i="2"/>
  <c r="C387" i="2"/>
  <c r="B387" i="2"/>
  <c r="A387" i="2"/>
  <c r="J386" i="2"/>
  <c r="I386" i="2"/>
  <c r="H386" i="2"/>
  <c r="G386" i="2"/>
  <c r="D386" i="2"/>
  <c r="C386" i="2"/>
  <c r="B386" i="2"/>
  <c r="A386" i="2"/>
  <c r="J385" i="2"/>
  <c r="I385" i="2"/>
  <c r="H385" i="2"/>
  <c r="G385" i="2"/>
  <c r="D385" i="2"/>
  <c r="C385" i="2"/>
  <c r="B385" i="2"/>
  <c r="A385" i="2"/>
  <c r="J384" i="2"/>
  <c r="I384" i="2"/>
  <c r="H384" i="2"/>
  <c r="G384" i="2"/>
  <c r="D384" i="2"/>
  <c r="C384" i="2"/>
  <c r="B384" i="2"/>
  <c r="A384" i="2"/>
  <c r="J383" i="2"/>
  <c r="I383" i="2"/>
  <c r="H383" i="2"/>
  <c r="G383" i="2"/>
  <c r="D383" i="2"/>
  <c r="C383" i="2"/>
  <c r="B383" i="2"/>
  <c r="A383" i="2"/>
  <c r="J382" i="2"/>
  <c r="I382" i="2"/>
  <c r="H382" i="2"/>
  <c r="G382" i="2"/>
  <c r="D382" i="2"/>
  <c r="C382" i="2"/>
  <c r="B382" i="2"/>
  <c r="A382" i="2"/>
  <c r="J381" i="2"/>
  <c r="I381" i="2"/>
  <c r="H381" i="2"/>
  <c r="G381" i="2"/>
  <c r="D381" i="2"/>
  <c r="C381" i="2"/>
  <c r="B381" i="2"/>
  <c r="A381" i="2"/>
  <c r="J380" i="2"/>
  <c r="I380" i="2"/>
  <c r="H380" i="2"/>
  <c r="G380" i="2"/>
  <c r="D380" i="2"/>
  <c r="C380" i="2"/>
  <c r="B380" i="2"/>
  <c r="A380" i="2"/>
  <c r="J379" i="2"/>
  <c r="I379" i="2"/>
  <c r="H379" i="2"/>
  <c r="G379" i="2"/>
  <c r="D379" i="2"/>
  <c r="C379" i="2"/>
  <c r="B379" i="2"/>
  <c r="A379" i="2"/>
  <c r="J378" i="2"/>
  <c r="I378" i="2"/>
  <c r="H378" i="2"/>
  <c r="G378" i="2"/>
  <c r="D378" i="2"/>
  <c r="C378" i="2"/>
  <c r="B378" i="2"/>
  <c r="A378" i="2"/>
  <c r="J377" i="2"/>
  <c r="I377" i="2"/>
  <c r="H377" i="2"/>
  <c r="G377" i="2"/>
  <c r="D377" i="2"/>
  <c r="C377" i="2"/>
  <c r="B377" i="2"/>
  <c r="A377" i="2"/>
  <c r="J376" i="2"/>
  <c r="I376" i="2"/>
  <c r="H376" i="2"/>
  <c r="G376" i="2"/>
  <c r="D376" i="2"/>
  <c r="C376" i="2"/>
  <c r="B376" i="2"/>
  <c r="A376" i="2"/>
  <c r="J375" i="2"/>
  <c r="I375" i="2"/>
  <c r="H375" i="2"/>
  <c r="G375" i="2"/>
  <c r="D375" i="2"/>
  <c r="C375" i="2"/>
  <c r="B375" i="2"/>
  <c r="A375" i="2"/>
  <c r="J374" i="2"/>
  <c r="I374" i="2"/>
  <c r="H374" i="2"/>
  <c r="G374" i="2"/>
  <c r="D374" i="2"/>
  <c r="C374" i="2"/>
  <c r="B374" i="2"/>
  <c r="A374" i="2"/>
  <c r="J373" i="2"/>
  <c r="I373" i="2"/>
  <c r="H373" i="2"/>
  <c r="G373" i="2"/>
  <c r="D373" i="2"/>
  <c r="C373" i="2"/>
  <c r="B373" i="2"/>
  <c r="A373" i="2"/>
  <c r="J372" i="2"/>
  <c r="I372" i="2"/>
  <c r="H372" i="2"/>
  <c r="G372" i="2"/>
  <c r="D372" i="2"/>
  <c r="C372" i="2"/>
  <c r="B372" i="2"/>
  <c r="A372" i="2"/>
  <c r="J371" i="2"/>
  <c r="I371" i="2"/>
  <c r="H371" i="2"/>
  <c r="G371" i="2"/>
  <c r="D371" i="2"/>
  <c r="C371" i="2"/>
  <c r="B371" i="2"/>
  <c r="A371" i="2"/>
  <c r="J370" i="2"/>
  <c r="I370" i="2"/>
  <c r="H370" i="2"/>
  <c r="G370" i="2"/>
  <c r="D370" i="2"/>
  <c r="C370" i="2"/>
  <c r="B370" i="2"/>
  <c r="A370" i="2"/>
  <c r="J369" i="2"/>
  <c r="I369" i="2"/>
  <c r="H369" i="2"/>
  <c r="G369" i="2"/>
  <c r="D369" i="2"/>
  <c r="C369" i="2"/>
  <c r="B369" i="2"/>
  <c r="A369" i="2"/>
  <c r="J368" i="2"/>
  <c r="I368" i="2"/>
  <c r="H368" i="2"/>
  <c r="G368" i="2"/>
  <c r="D368" i="2"/>
  <c r="C368" i="2"/>
  <c r="B368" i="2"/>
  <c r="A368" i="2"/>
  <c r="J367" i="2"/>
  <c r="I367" i="2"/>
  <c r="H367" i="2"/>
  <c r="G367" i="2"/>
  <c r="D367" i="2"/>
  <c r="C367" i="2"/>
  <c r="B367" i="2"/>
  <c r="A367" i="2"/>
  <c r="J366" i="2"/>
  <c r="I366" i="2"/>
  <c r="H366" i="2"/>
  <c r="G366" i="2"/>
  <c r="D366" i="2"/>
  <c r="C366" i="2"/>
  <c r="B366" i="2"/>
  <c r="A366" i="2"/>
  <c r="J365" i="2"/>
  <c r="I365" i="2"/>
  <c r="H365" i="2"/>
  <c r="G365" i="2"/>
  <c r="D365" i="2"/>
  <c r="C365" i="2"/>
  <c r="B365" i="2"/>
  <c r="A365" i="2"/>
  <c r="J364" i="2"/>
  <c r="I364" i="2"/>
  <c r="H364" i="2"/>
  <c r="G364" i="2"/>
  <c r="D364" i="2"/>
  <c r="C364" i="2"/>
  <c r="B364" i="2"/>
  <c r="A364" i="2"/>
  <c r="J363" i="2"/>
  <c r="I363" i="2"/>
  <c r="H363" i="2"/>
  <c r="G363" i="2"/>
  <c r="D363" i="2"/>
  <c r="C363" i="2"/>
  <c r="B363" i="2"/>
  <c r="A363" i="2"/>
  <c r="J362" i="2"/>
  <c r="I362" i="2"/>
  <c r="H362" i="2"/>
  <c r="G362" i="2"/>
  <c r="D362" i="2"/>
  <c r="C362" i="2"/>
  <c r="B362" i="2"/>
  <c r="A362" i="2"/>
  <c r="J361" i="2"/>
  <c r="I361" i="2"/>
  <c r="H361" i="2"/>
  <c r="G361" i="2"/>
  <c r="D361" i="2"/>
  <c r="C361" i="2"/>
  <c r="B361" i="2"/>
  <c r="A361" i="2"/>
  <c r="J360" i="2"/>
  <c r="I360" i="2"/>
  <c r="H360" i="2"/>
  <c r="G360" i="2"/>
  <c r="D360" i="2"/>
  <c r="C360" i="2"/>
  <c r="B360" i="2"/>
  <c r="A360" i="2"/>
  <c r="J359" i="2"/>
  <c r="I359" i="2"/>
  <c r="H359" i="2"/>
  <c r="G359" i="2"/>
  <c r="D359" i="2"/>
  <c r="C359" i="2"/>
  <c r="B359" i="2"/>
  <c r="A359" i="2"/>
  <c r="J358" i="2"/>
  <c r="I358" i="2"/>
  <c r="H358" i="2"/>
  <c r="G358" i="2"/>
  <c r="D358" i="2"/>
  <c r="C358" i="2"/>
  <c r="B358" i="2"/>
  <c r="A358" i="2"/>
  <c r="J357" i="2"/>
  <c r="I357" i="2"/>
  <c r="H357" i="2"/>
  <c r="G357" i="2"/>
  <c r="D357" i="2"/>
  <c r="C357" i="2"/>
  <c r="B357" i="2"/>
  <c r="A357" i="2"/>
  <c r="J356" i="2"/>
  <c r="I356" i="2"/>
  <c r="H356" i="2"/>
  <c r="G356" i="2"/>
  <c r="D356" i="2"/>
  <c r="C356" i="2"/>
  <c r="B356" i="2"/>
  <c r="A356" i="2"/>
  <c r="J355" i="2"/>
  <c r="I355" i="2"/>
  <c r="H355" i="2"/>
  <c r="G355" i="2"/>
  <c r="D355" i="2"/>
  <c r="C355" i="2"/>
  <c r="B355" i="2"/>
  <c r="A355" i="2"/>
  <c r="J354" i="2"/>
  <c r="I354" i="2"/>
  <c r="H354" i="2"/>
  <c r="G354" i="2"/>
  <c r="D354" i="2"/>
  <c r="C354" i="2"/>
  <c r="B354" i="2"/>
  <c r="A354" i="2"/>
  <c r="J353" i="2"/>
  <c r="I353" i="2"/>
  <c r="H353" i="2"/>
  <c r="G353" i="2"/>
  <c r="D353" i="2"/>
  <c r="C353" i="2"/>
  <c r="B353" i="2"/>
  <c r="A353" i="2"/>
  <c r="J352" i="2"/>
  <c r="I352" i="2"/>
  <c r="H352" i="2"/>
  <c r="G352" i="2"/>
  <c r="D352" i="2"/>
  <c r="C352" i="2"/>
  <c r="B352" i="2"/>
  <c r="A352" i="2"/>
  <c r="J351" i="2"/>
  <c r="I351" i="2"/>
  <c r="H351" i="2"/>
  <c r="G351" i="2"/>
  <c r="D351" i="2"/>
  <c r="C351" i="2"/>
  <c r="B351" i="2"/>
  <c r="A351" i="2"/>
  <c r="J350" i="2"/>
  <c r="I350" i="2"/>
  <c r="H350" i="2"/>
  <c r="G350" i="2"/>
  <c r="D350" i="2"/>
  <c r="C350" i="2"/>
  <c r="B350" i="2"/>
  <c r="A350" i="2"/>
  <c r="J349" i="2"/>
  <c r="I349" i="2"/>
  <c r="H349" i="2"/>
  <c r="G349" i="2"/>
  <c r="D349" i="2"/>
  <c r="C349" i="2"/>
  <c r="B349" i="2"/>
  <c r="A349" i="2"/>
  <c r="J348" i="2"/>
  <c r="I348" i="2"/>
  <c r="H348" i="2"/>
  <c r="G348" i="2"/>
  <c r="D348" i="2"/>
  <c r="C348" i="2"/>
  <c r="B348" i="2"/>
  <c r="A348" i="2"/>
  <c r="J347" i="2"/>
  <c r="I347" i="2"/>
  <c r="H347" i="2"/>
  <c r="G347" i="2"/>
  <c r="D347" i="2"/>
  <c r="C347" i="2"/>
  <c r="B347" i="2"/>
  <c r="A347" i="2"/>
  <c r="J346" i="2"/>
  <c r="I346" i="2"/>
  <c r="H346" i="2"/>
  <c r="G346" i="2"/>
  <c r="D346" i="2"/>
  <c r="C346" i="2"/>
  <c r="B346" i="2"/>
  <c r="A346" i="2"/>
  <c r="J345" i="2"/>
  <c r="I345" i="2"/>
  <c r="H345" i="2"/>
  <c r="G345" i="2"/>
  <c r="D345" i="2"/>
  <c r="C345" i="2"/>
  <c r="B345" i="2"/>
  <c r="A345" i="2"/>
  <c r="J344" i="2"/>
  <c r="I344" i="2"/>
  <c r="H344" i="2"/>
  <c r="G344" i="2"/>
  <c r="D344" i="2"/>
  <c r="C344" i="2"/>
  <c r="B344" i="2"/>
  <c r="A344" i="2"/>
  <c r="J343" i="2"/>
  <c r="I343" i="2"/>
  <c r="H343" i="2"/>
  <c r="G343" i="2"/>
  <c r="D343" i="2"/>
  <c r="C343" i="2"/>
  <c r="B343" i="2"/>
  <c r="A343" i="2"/>
  <c r="J342" i="2"/>
  <c r="I342" i="2"/>
  <c r="H342" i="2"/>
  <c r="G342" i="2"/>
  <c r="D342" i="2"/>
  <c r="C342" i="2"/>
  <c r="B342" i="2"/>
  <c r="A342" i="2"/>
  <c r="J341" i="2"/>
  <c r="I341" i="2"/>
  <c r="H341" i="2"/>
  <c r="G341" i="2"/>
  <c r="D341" i="2"/>
  <c r="C341" i="2"/>
  <c r="B341" i="2"/>
  <c r="A341" i="2"/>
  <c r="J340" i="2"/>
  <c r="I340" i="2"/>
  <c r="H340" i="2"/>
  <c r="G340" i="2"/>
  <c r="D340" i="2"/>
  <c r="C340" i="2"/>
  <c r="B340" i="2"/>
  <c r="A340" i="2"/>
  <c r="J339" i="2"/>
  <c r="I339" i="2"/>
  <c r="H339" i="2"/>
  <c r="G339" i="2"/>
  <c r="D339" i="2"/>
  <c r="C339" i="2"/>
  <c r="B339" i="2"/>
  <c r="A339" i="2"/>
  <c r="J338" i="2"/>
  <c r="I338" i="2"/>
  <c r="H338" i="2"/>
  <c r="G338" i="2"/>
  <c r="D338" i="2"/>
  <c r="C338" i="2"/>
  <c r="B338" i="2"/>
  <c r="A338" i="2"/>
  <c r="J337" i="2"/>
  <c r="I337" i="2"/>
  <c r="H337" i="2"/>
  <c r="G337" i="2"/>
  <c r="D337" i="2"/>
  <c r="C337" i="2"/>
  <c r="B337" i="2"/>
  <c r="A337" i="2"/>
  <c r="J336" i="2"/>
  <c r="I336" i="2"/>
  <c r="H336" i="2"/>
  <c r="G336" i="2"/>
  <c r="D336" i="2"/>
  <c r="C336" i="2"/>
  <c r="B336" i="2"/>
  <c r="A336" i="2"/>
  <c r="J335" i="2"/>
  <c r="I335" i="2"/>
  <c r="H335" i="2"/>
  <c r="G335" i="2"/>
  <c r="D335" i="2"/>
  <c r="C335" i="2"/>
  <c r="B335" i="2"/>
  <c r="A335" i="2"/>
  <c r="J334" i="2"/>
  <c r="I334" i="2"/>
  <c r="H334" i="2"/>
  <c r="G334" i="2"/>
  <c r="D334" i="2"/>
  <c r="C334" i="2"/>
  <c r="B334" i="2"/>
  <c r="A334" i="2"/>
  <c r="J333" i="2"/>
  <c r="I333" i="2"/>
  <c r="H333" i="2"/>
  <c r="G333" i="2"/>
  <c r="D333" i="2"/>
  <c r="C333" i="2"/>
  <c r="B333" i="2"/>
  <c r="A333" i="2"/>
  <c r="J332" i="2"/>
  <c r="I332" i="2"/>
  <c r="H332" i="2"/>
  <c r="G332" i="2"/>
  <c r="D332" i="2"/>
  <c r="C332" i="2"/>
  <c r="B332" i="2"/>
  <c r="A332" i="2"/>
  <c r="J331" i="2"/>
  <c r="I331" i="2"/>
  <c r="H331" i="2"/>
  <c r="G331" i="2"/>
  <c r="D331" i="2"/>
  <c r="C331" i="2"/>
  <c r="B331" i="2"/>
  <c r="A331" i="2"/>
  <c r="J330" i="2"/>
  <c r="I330" i="2"/>
  <c r="H330" i="2"/>
  <c r="G330" i="2"/>
  <c r="D330" i="2"/>
  <c r="C330" i="2"/>
  <c r="B330" i="2"/>
  <c r="A330" i="2"/>
  <c r="J329" i="2"/>
  <c r="I329" i="2"/>
  <c r="H329" i="2"/>
  <c r="G329" i="2"/>
  <c r="D329" i="2"/>
  <c r="C329" i="2"/>
  <c r="B329" i="2"/>
  <c r="A329" i="2"/>
  <c r="J328" i="2"/>
  <c r="I328" i="2"/>
  <c r="H328" i="2"/>
  <c r="G328" i="2"/>
  <c r="D328" i="2"/>
  <c r="C328" i="2"/>
  <c r="B328" i="2"/>
  <c r="A328" i="2"/>
  <c r="J327" i="2"/>
  <c r="I327" i="2"/>
  <c r="H327" i="2"/>
  <c r="G327" i="2"/>
  <c r="D327" i="2"/>
  <c r="C327" i="2"/>
  <c r="B327" i="2"/>
  <c r="A327" i="2"/>
  <c r="J326" i="2"/>
  <c r="I326" i="2"/>
  <c r="H326" i="2"/>
  <c r="G326" i="2"/>
  <c r="D326" i="2"/>
  <c r="C326" i="2"/>
  <c r="B326" i="2"/>
  <c r="A326" i="2"/>
  <c r="J325" i="2"/>
  <c r="I325" i="2"/>
  <c r="H325" i="2"/>
  <c r="G325" i="2"/>
  <c r="D325" i="2"/>
  <c r="C325" i="2"/>
  <c r="B325" i="2"/>
  <c r="A325" i="2"/>
  <c r="J324" i="2"/>
  <c r="I324" i="2"/>
  <c r="H324" i="2"/>
  <c r="G324" i="2"/>
  <c r="D324" i="2"/>
  <c r="C324" i="2"/>
  <c r="B324" i="2"/>
  <c r="A324" i="2"/>
  <c r="J323" i="2"/>
  <c r="I323" i="2"/>
  <c r="H323" i="2"/>
  <c r="G323" i="2"/>
  <c r="D323" i="2"/>
  <c r="C323" i="2"/>
  <c r="B323" i="2"/>
  <c r="A323" i="2"/>
  <c r="J322" i="2"/>
  <c r="I322" i="2"/>
  <c r="H322" i="2"/>
  <c r="G322" i="2"/>
  <c r="D322" i="2"/>
  <c r="C322" i="2"/>
  <c r="B322" i="2"/>
  <c r="A322" i="2"/>
  <c r="J321" i="2"/>
  <c r="I321" i="2"/>
  <c r="H321" i="2"/>
  <c r="G321" i="2"/>
  <c r="D321" i="2"/>
  <c r="C321" i="2"/>
  <c r="B321" i="2"/>
  <c r="A321" i="2"/>
  <c r="J320" i="2"/>
  <c r="I320" i="2"/>
  <c r="H320" i="2"/>
  <c r="G320" i="2"/>
  <c r="D320" i="2"/>
  <c r="C320" i="2"/>
  <c r="B320" i="2"/>
  <c r="A320" i="2"/>
  <c r="J319" i="2"/>
  <c r="I319" i="2"/>
  <c r="H319" i="2"/>
  <c r="G319" i="2"/>
  <c r="D319" i="2"/>
  <c r="C319" i="2"/>
  <c r="B319" i="2"/>
  <c r="A319" i="2"/>
  <c r="J318" i="2"/>
  <c r="I318" i="2"/>
  <c r="H318" i="2"/>
  <c r="G318" i="2"/>
  <c r="D318" i="2"/>
  <c r="C318" i="2"/>
  <c r="B318" i="2"/>
  <c r="A318" i="2"/>
  <c r="J317" i="2"/>
  <c r="I317" i="2"/>
  <c r="H317" i="2"/>
  <c r="G317" i="2"/>
  <c r="D317" i="2"/>
  <c r="C317" i="2"/>
  <c r="B317" i="2"/>
  <c r="A317" i="2"/>
  <c r="J316" i="2"/>
  <c r="I316" i="2"/>
  <c r="H316" i="2"/>
  <c r="G316" i="2"/>
  <c r="D316" i="2"/>
  <c r="C316" i="2"/>
  <c r="B316" i="2"/>
  <c r="A316" i="2"/>
  <c r="J315" i="2"/>
  <c r="I315" i="2"/>
  <c r="H315" i="2"/>
  <c r="G315" i="2"/>
  <c r="D315" i="2"/>
  <c r="C315" i="2"/>
  <c r="B315" i="2"/>
  <c r="A315" i="2"/>
  <c r="J314" i="2"/>
  <c r="I314" i="2"/>
  <c r="H314" i="2"/>
  <c r="G314" i="2"/>
  <c r="D314" i="2"/>
  <c r="C314" i="2"/>
  <c r="B314" i="2"/>
  <c r="A314" i="2"/>
  <c r="J313" i="2"/>
  <c r="I313" i="2"/>
  <c r="H313" i="2"/>
  <c r="G313" i="2"/>
  <c r="D313" i="2"/>
  <c r="C313" i="2"/>
  <c r="B313" i="2"/>
  <c r="A313" i="2"/>
  <c r="J312" i="2"/>
  <c r="I312" i="2"/>
  <c r="H312" i="2"/>
  <c r="G312" i="2"/>
  <c r="D312" i="2"/>
  <c r="C312" i="2"/>
  <c r="B312" i="2"/>
  <c r="A312" i="2"/>
  <c r="J311" i="2"/>
  <c r="I311" i="2"/>
  <c r="H311" i="2"/>
  <c r="G311" i="2"/>
  <c r="D311" i="2"/>
  <c r="C311" i="2"/>
  <c r="B311" i="2"/>
  <c r="A311" i="2"/>
  <c r="J310" i="2"/>
  <c r="I310" i="2"/>
  <c r="H310" i="2"/>
  <c r="G310" i="2"/>
  <c r="D310" i="2"/>
  <c r="C310" i="2"/>
  <c r="B310" i="2"/>
  <c r="A310" i="2"/>
  <c r="J309" i="2"/>
  <c r="I309" i="2"/>
  <c r="H309" i="2"/>
  <c r="G309" i="2"/>
  <c r="D309" i="2"/>
  <c r="C309" i="2"/>
  <c r="B309" i="2"/>
  <c r="A309" i="2"/>
  <c r="J308" i="2"/>
  <c r="I308" i="2"/>
  <c r="H308" i="2"/>
  <c r="G308" i="2"/>
  <c r="D308" i="2"/>
  <c r="C308" i="2"/>
  <c r="B308" i="2"/>
  <c r="A308" i="2"/>
  <c r="J307" i="2"/>
  <c r="I307" i="2"/>
  <c r="H307" i="2"/>
  <c r="G307" i="2"/>
  <c r="D307" i="2"/>
  <c r="C307" i="2"/>
  <c r="B307" i="2"/>
  <c r="A307" i="2"/>
  <c r="J306" i="2"/>
  <c r="I306" i="2"/>
  <c r="H306" i="2"/>
  <c r="G306" i="2"/>
  <c r="D306" i="2"/>
  <c r="C306" i="2"/>
  <c r="B306" i="2"/>
  <c r="A306" i="2"/>
  <c r="J305" i="2"/>
  <c r="I305" i="2"/>
  <c r="H305" i="2"/>
  <c r="G305" i="2"/>
  <c r="D305" i="2"/>
  <c r="C305" i="2"/>
  <c r="B305" i="2"/>
  <c r="A305" i="2"/>
  <c r="J304" i="2"/>
  <c r="I304" i="2"/>
  <c r="H304" i="2"/>
  <c r="G304" i="2"/>
  <c r="D304" i="2"/>
  <c r="C304" i="2"/>
  <c r="B304" i="2"/>
  <c r="A304" i="2"/>
  <c r="J303" i="2"/>
  <c r="I303" i="2"/>
  <c r="H303" i="2"/>
  <c r="G303" i="2"/>
  <c r="D303" i="2"/>
  <c r="C303" i="2"/>
  <c r="B303" i="2"/>
  <c r="A303" i="2"/>
  <c r="J302" i="2"/>
  <c r="I302" i="2"/>
  <c r="H302" i="2"/>
  <c r="G302" i="2"/>
  <c r="D302" i="2"/>
  <c r="C302" i="2"/>
  <c r="B302" i="2"/>
  <c r="A302" i="2"/>
  <c r="J301" i="2"/>
  <c r="I301" i="2"/>
  <c r="H301" i="2"/>
  <c r="G301" i="2"/>
  <c r="D301" i="2"/>
  <c r="C301" i="2"/>
  <c r="B301" i="2"/>
  <c r="A301" i="2"/>
  <c r="J300" i="2"/>
  <c r="I300" i="2"/>
  <c r="H300" i="2"/>
  <c r="G300" i="2"/>
  <c r="D300" i="2"/>
  <c r="C300" i="2"/>
  <c r="B300" i="2"/>
  <c r="A300" i="2"/>
  <c r="J299" i="2"/>
  <c r="I299" i="2"/>
  <c r="H299" i="2"/>
  <c r="G299" i="2"/>
  <c r="D299" i="2"/>
  <c r="C299" i="2"/>
  <c r="B299" i="2"/>
  <c r="A299" i="2"/>
  <c r="J298" i="2"/>
  <c r="I298" i="2"/>
  <c r="H298" i="2"/>
  <c r="G298" i="2"/>
  <c r="D298" i="2"/>
  <c r="C298" i="2"/>
  <c r="B298" i="2"/>
  <c r="A298" i="2"/>
  <c r="J297" i="2"/>
  <c r="I297" i="2"/>
  <c r="H297" i="2"/>
  <c r="G297" i="2"/>
  <c r="D297" i="2"/>
  <c r="C297" i="2"/>
  <c r="B297" i="2"/>
  <c r="A297" i="2"/>
  <c r="J296" i="2"/>
  <c r="I296" i="2"/>
  <c r="H296" i="2"/>
  <c r="G296" i="2"/>
  <c r="D296" i="2"/>
  <c r="C296" i="2"/>
  <c r="B296" i="2"/>
  <c r="A296" i="2"/>
  <c r="J295" i="2"/>
  <c r="I295" i="2"/>
  <c r="H295" i="2"/>
  <c r="G295" i="2"/>
  <c r="D295" i="2"/>
  <c r="C295" i="2"/>
  <c r="B295" i="2"/>
  <c r="A295" i="2"/>
  <c r="J294" i="2"/>
  <c r="I294" i="2"/>
  <c r="H294" i="2"/>
  <c r="G294" i="2"/>
  <c r="D294" i="2"/>
  <c r="C294" i="2"/>
  <c r="B294" i="2"/>
  <c r="A294" i="2"/>
  <c r="J293" i="2"/>
  <c r="I293" i="2"/>
  <c r="H293" i="2"/>
  <c r="G293" i="2"/>
  <c r="D293" i="2"/>
  <c r="C293" i="2"/>
  <c r="B293" i="2"/>
  <c r="A293" i="2"/>
  <c r="J292" i="2"/>
  <c r="I292" i="2"/>
  <c r="H292" i="2"/>
  <c r="G292" i="2"/>
  <c r="D292" i="2"/>
  <c r="C292" i="2"/>
  <c r="B292" i="2"/>
  <c r="A292" i="2"/>
  <c r="J291" i="2"/>
  <c r="I291" i="2"/>
  <c r="H291" i="2"/>
  <c r="G291" i="2"/>
  <c r="D291" i="2"/>
  <c r="C291" i="2"/>
  <c r="B291" i="2"/>
  <c r="A291" i="2"/>
  <c r="J290" i="2"/>
  <c r="I290" i="2"/>
  <c r="H290" i="2"/>
  <c r="G290" i="2"/>
  <c r="D290" i="2"/>
  <c r="C290" i="2"/>
  <c r="B290" i="2"/>
  <c r="A290" i="2"/>
  <c r="J289" i="2"/>
  <c r="I289" i="2"/>
  <c r="H289" i="2"/>
  <c r="G289" i="2"/>
  <c r="D289" i="2"/>
  <c r="C289" i="2"/>
  <c r="B289" i="2"/>
  <c r="A289" i="2"/>
  <c r="J288" i="2"/>
  <c r="I288" i="2"/>
  <c r="H288" i="2"/>
  <c r="G288" i="2"/>
  <c r="D288" i="2"/>
  <c r="C288" i="2"/>
  <c r="B288" i="2"/>
  <c r="A288" i="2"/>
  <c r="J287" i="2"/>
  <c r="I287" i="2"/>
  <c r="H287" i="2"/>
  <c r="G287" i="2"/>
  <c r="D287" i="2"/>
  <c r="C287" i="2"/>
  <c r="B287" i="2"/>
  <c r="A287" i="2"/>
  <c r="J286" i="2"/>
  <c r="I286" i="2"/>
  <c r="H286" i="2"/>
  <c r="G286" i="2"/>
  <c r="D286" i="2"/>
  <c r="C286" i="2"/>
  <c r="B286" i="2"/>
  <c r="A286" i="2"/>
  <c r="J285" i="2"/>
  <c r="I285" i="2"/>
  <c r="H285" i="2"/>
  <c r="G285" i="2"/>
  <c r="D285" i="2"/>
  <c r="C285" i="2"/>
  <c r="B285" i="2"/>
  <c r="A285" i="2"/>
  <c r="J284" i="2"/>
  <c r="I284" i="2"/>
  <c r="H284" i="2"/>
  <c r="G284" i="2"/>
  <c r="D284" i="2"/>
  <c r="C284" i="2"/>
  <c r="B284" i="2"/>
  <c r="A284" i="2"/>
  <c r="J283" i="2"/>
  <c r="I283" i="2"/>
  <c r="H283" i="2"/>
  <c r="G283" i="2"/>
  <c r="D283" i="2"/>
  <c r="C283" i="2"/>
  <c r="B283" i="2"/>
  <c r="A283" i="2"/>
  <c r="J282" i="2"/>
  <c r="I282" i="2"/>
  <c r="H282" i="2"/>
  <c r="G282" i="2"/>
  <c r="D282" i="2"/>
  <c r="C282" i="2"/>
  <c r="B282" i="2"/>
  <c r="A282" i="2"/>
  <c r="J281" i="2"/>
  <c r="I281" i="2"/>
  <c r="H281" i="2"/>
  <c r="G281" i="2"/>
  <c r="D281" i="2"/>
  <c r="C281" i="2"/>
  <c r="B281" i="2"/>
  <c r="A281" i="2"/>
  <c r="J280" i="2"/>
  <c r="I280" i="2"/>
  <c r="H280" i="2"/>
  <c r="G280" i="2"/>
  <c r="D280" i="2"/>
  <c r="C280" i="2"/>
  <c r="B280" i="2"/>
  <c r="A280" i="2"/>
  <c r="J279" i="2"/>
  <c r="I279" i="2"/>
  <c r="H279" i="2"/>
  <c r="G279" i="2"/>
  <c r="D279" i="2"/>
  <c r="C279" i="2"/>
  <c r="B279" i="2"/>
  <c r="A279" i="2"/>
  <c r="J278" i="2"/>
  <c r="I278" i="2"/>
  <c r="H278" i="2"/>
  <c r="G278" i="2"/>
  <c r="D278" i="2"/>
  <c r="C278" i="2"/>
  <c r="B278" i="2"/>
  <c r="A278" i="2"/>
  <c r="J277" i="2"/>
  <c r="I277" i="2"/>
  <c r="H277" i="2"/>
  <c r="G277" i="2"/>
  <c r="D277" i="2"/>
  <c r="C277" i="2"/>
  <c r="B277" i="2"/>
  <c r="A277" i="2"/>
  <c r="J276" i="2"/>
  <c r="I276" i="2"/>
  <c r="H276" i="2"/>
  <c r="G276" i="2"/>
  <c r="D276" i="2"/>
  <c r="C276" i="2"/>
  <c r="B276" i="2"/>
  <c r="A276" i="2"/>
  <c r="J275" i="2"/>
  <c r="I275" i="2"/>
  <c r="H275" i="2"/>
  <c r="G275" i="2"/>
  <c r="D275" i="2"/>
  <c r="C275" i="2"/>
  <c r="B275" i="2"/>
  <c r="A275" i="2"/>
  <c r="J274" i="2"/>
  <c r="I274" i="2"/>
  <c r="H274" i="2"/>
  <c r="G274" i="2"/>
  <c r="D274" i="2"/>
  <c r="C274" i="2"/>
  <c r="B274" i="2"/>
  <c r="A274" i="2"/>
  <c r="J273" i="2"/>
  <c r="I273" i="2"/>
  <c r="H273" i="2"/>
  <c r="G273" i="2"/>
  <c r="D273" i="2"/>
  <c r="C273" i="2"/>
  <c r="B273" i="2"/>
  <c r="A273" i="2"/>
  <c r="J272" i="2"/>
  <c r="I272" i="2"/>
  <c r="H272" i="2"/>
  <c r="G272" i="2"/>
  <c r="D272" i="2"/>
  <c r="C272" i="2"/>
  <c r="B272" i="2"/>
  <c r="A272" i="2"/>
  <c r="J271" i="2"/>
  <c r="I271" i="2"/>
  <c r="H271" i="2"/>
  <c r="G271" i="2"/>
  <c r="D271" i="2"/>
  <c r="C271" i="2"/>
  <c r="B271" i="2"/>
  <c r="A271" i="2"/>
  <c r="J270" i="2"/>
  <c r="I270" i="2"/>
  <c r="H270" i="2"/>
  <c r="G270" i="2"/>
  <c r="D270" i="2"/>
  <c r="C270" i="2"/>
  <c r="B270" i="2"/>
  <c r="A270" i="2"/>
  <c r="J269" i="2"/>
  <c r="I269" i="2"/>
  <c r="H269" i="2"/>
  <c r="G269" i="2"/>
  <c r="D269" i="2"/>
  <c r="C269" i="2"/>
  <c r="B269" i="2"/>
  <c r="A269" i="2"/>
  <c r="J268" i="2"/>
  <c r="I268" i="2"/>
  <c r="H268" i="2"/>
  <c r="G268" i="2"/>
  <c r="D268" i="2"/>
  <c r="C268" i="2"/>
  <c r="B268" i="2"/>
  <c r="A268" i="2"/>
  <c r="J267" i="2"/>
  <c r="I267" i="2"/>
  <c r="H267" i="2"/>
  <c r="G267" i="2"/>
  <c r="D267" i="2"/>
  <c r="C267" i="2"/>
  <c r="B267" i="2"/>
  <c r="A267" i="2"/>
  <c r="J266" i="2"/>
  <c r="I266" i="2"/>
  <c r="H266" i="2"/>
  <c r="G266" i="2"/>
  <c r="D266" i="2"/>
  <c r="C266" i="2"/>
  <c r="B266" i="2"/>
  <c r="A266" i="2"/>
  <c r="J265" i="2"/>
  <c r="I265" i="2"/>
  <c r="H265" i="2"/>
  <c r="G265" i="2"/>
  <c r="D265" i="2"/>
  <c r="C265" i="2"/>
  <c r="B265" i="2"/>
  <c r="A265" i="2"/>
  <c r="J264" i="2"/>
  <c r="I264" i="2"/>
  <c r="H264" i="2"/>
  <c r="G264" i="2"/>
  <c r="D264" i="2"/>
  <c r="C264" i="2"/>
  <c r="B264" i="2"/>
  <c r="A264" i="2"/>
  <c r="J263" i="2"/>
  <c r="I263" i="2"/>
  <c r="H263" i="2"/>
  <c r="G263" i="2"/>
  <c r="D263" i="2"/>
  <c r="C263" i="2"/>
  <c r="B263" i="2"/>
  <c r="A263" i="2"/>
  <c r="J262" i="2"/>
  <c r="I262" i="2"/>
  <c r="H262" i="2"/>
  <c r="G262" i="2"/>
  <c r="D262" i="2"/>
  <c r="C262" i="2"/>
  <c r="B262" i="2"/>
  <c r="A262" i="2"/>
  <c r="J261" i="2"/>
  <c r="I261" i="2"/>
  <c r="H261" i="2"/>
  <c r="G261" i="2"/>
  <c r="D261" i="2"/>
  <c r="C261" i="2"/>
  <c r="B261" i="2"/>
  <c r="A261" i="2"/>
  <c r="J260" i="2"/>
  <c r="I260" i="2"/>
  <c r="H260" i="2"/>
  <c r="G260" i="2"/>
  <c r="D260" i="2"/>
  <c r="C260" i="2"/>
  <c r="B260" i="2"/>
  <c r="A260" i="2"/>
  <c r="J259" i="2"/>
  <c r="I259" i="2"/>
  <c r="H259" i="2"/>
  <c r="G259" i="2"/>
  <c r="D259" i="2"/>
  <c r="C259" i="2"/>
  <c r="B259" i="2"/>
  <c r="A259" i="2"/>
  <c r="J258" i="2"/>
  <c r="I258" i="2"/>
  <c r="H258" i="2"/>
  <c r="G258" i="2"/>
  <c r="D258" i="2"/>
  <c r="C258" i="2"/>
  <c r="B258" i="2"/>
  <c r="A258" i="2"/>
  <c r="J257" i="2"/>
  <c r="I257" i="2"/>
  <c r="H257" i="2"/>
  <c r="G257" i="2"/>
  <c r="D257" i="2"/>
  <c r="C257" i="2"/>
  <c r="B257" i="2"/>
  <c r="A257" i="2"/>
  <c r="J256" i="2"/>
  <c r="I256" i="2"/>
  <c r="H256" i="2"/>
  <c r="G256" i="2"/>
  <c r="D256" i="2"/>
  <c r="C256" i="2"/>
  <c r="B256" i="2"/>
  <c r="A256" i="2"/>
  <c r="J255" i="2"/>
  <c r="I255" i="2"/>
  <c r="H255" i="2"/>
  <c r="G255" i="2"/>
  <c r="D255" i="2"/>
  <c r="C255" i="2"/>
  <c r="B255" i="2"/>
  <c r="A255" i="2"/>
  <c r="J254" i="2"/>
  <c r="I254" i="2"/>
  <c r="H254" i="2"/>
  <c r="G254" i="2"/>
  <c r="D254" i="2"/>
  <c r="C254" i="2"/>
  <c r="B254" i="2"/>
  <c r="A254" i="2"/>
  <c r="J253" i="2"/>
  <c r="I253" i="2"/>
  <c r="H253" i="2"/>
  <c r="G253" i="2"/>
  <c r="D253" i="2"/>
  <c r="C253" i="2"/>
  <c r="B253" i="2"/>
  <c r="A253" i="2"/>
  <c r="J252" i="2"/>
  <c r="I252" i="2"/>
  <c r="H252" i="2"/>
  <c r="G252" i="2"/>
  <c r="D252" i="2"/>
  <c r="C252" i="2"/>
  <c r="B252" i="2"/>
  <c r="A252" i="2"/>
  <c r="J251" i="2"/>
  <c r="I251" i="2"/>
  <c r="H251" i="2"/>
  <c r="G251" i="2"/>
  <c r="D251" i="2"/>
  <c r="C251" i="2"/>
  <c r="B251" i="2"/>
  <c r="A251" i="2"/>
  <c r="J250" i="2"/>
  <c r="I250" i="2"/>
  <c r="H250" i="2"/>
  <c r="G250" i="2"/>
  <c r="D250" i="2"/>
  <c r="C250" i="2"/>
  <c r="B250" i="2"/>
  <c r="A250" i="2"/>
  <c r="J249" i="2"/>
  <c r="I249" i="2"/>
  <c r="H249" i="2"/>
  <c r="G249" i="2"/>
  <c r="D249" i="2"/>
  <c r="C249" i="2"/>
  <c r="B249" i="2"/>
  <c r="A249" i="2"/>
  <c r="J248" i="2"/>
  <c r="I248" i="2"/>
  <c r="H248" i="2"/>
  <c r="G248" i="2"/>
  <c r="D248" i="2"/>
  <c r="C248" i="2"/>
  <c r="B248" i="2"/>
  <c r="A248" i="2"/>
  <c r="J247" i="2"/>
  <c r="I247" i="2"/>
  <c r="H247" i="2"/>
  <c r="G247" i="2"/>
  <c r="D247" i="2"/>
  <c r="C247" i="2"/>
  <c r="B247" i="2"/>
  <c r="A247" i="2"/>
  <c r="J246" i="2"/>
  <c r="I246" i="2"/>
  <c r="H246" i="2"/>
  <c r="G246" i="2"/>
  <c r="D246" i="2"/>
  <c r="C246" i="2"/>
  <c r="B246" i="2"/>
  <c r="A246" i="2"/>
  <c r="J245" i="2"/>
  <c r="I245" i="2"/>
  <c r="H245" i="2"/>
  <c r="G245" i="2"/>
  <c r="D245" i="2"/>
  <c r="C245" i="2"/>
  <c r="B245" i="2"/>
  <c r="A245" i="2"/>
  <c r="J244" i="2"/>
  <c r="I244" i="2"/>
  <c r="H244" i="2"/>
  <c r="G244" i="2"/>
  <c r="D244" i="2"/>
  <c r="C244" i="2"/>
  <c r="B244" i="2"/>
  <c r="A244" i="2"/>
  <c r="J243" i="2"/>
  <c r="I243" i="2"/>
  <c r="H243" i="2"/>
  <c r="G243" i="2"/>
  <c r="D243" i="2"/>
  <c r="C243" i="2"/>
  <c r="B243" i="2"/>
  <c r="A243" i="2"/>
  <c r="J242" i="2"/>
  <c r="I242" i="2"/>
  <c r="H242" i="2"/>
  <c r="G242" i="2"/>
  <c r="D242" i="2"/>
  <c r="C242" i="2"/>
  <c r="B242" i="2"/>
  <c r="A242" i="2"/>
  <c r="J241" i="2"/>
  <c r="I241" i="2"/>
  <c r="H241" i="2"/>
  <c r="G241" i="2"/>
  <c r="D241" i="2"/>
  <c r="C241" i="2"/>
  <c r="B241" i="2"/>
  <c r="A241" i="2"/>
  <c r="J240" i="2"/>
  <c r="I240" i="2"/>
  <c r="H240" i="2"/>
  <c r="G240" i="2"/>
  <c r="D240" i="2"/>
  <c r="C240" i="2"/>
  <c r="B240" i="2"/>
  <c r="A240" i="2"/>
  <c r="J239" i="2"/>
  <c r="I239" i="2"/>
  <c r="H239" i="2"/>
  <c r="G239" i="2"/>
  <c r="D239" i="2"/>
  <c r="C239" i="2"/>
  <c r="B239" i="2"/>
  <c r="A239" i="2"/>
  <c r="J238" i="2"/>
  <c r="I238" i="2"/>
  <c r="H238" i="2"/>
  <c r="G238" i="2"/>
  <c r="D238" i="2"/>
  <c r="C238" i="2"/>
  <c r="B238" i="2"/>
  <c r="A238" i="2"/>
  <c r="J237" i="2"/>
  <c r="I237" i="2"/>
  <c r="H237" i="2"/>
  <c r="G237" i="2"/>
  <c r="D237" i="2"/>
  <c r="C237" i="2"/>
  <c r="B237" i="2"/>
  <c r="A237" i="2"/>
  <c r="J236" i="2"/>
  <c r="I236" i="2"/>
  <c r="H236" i="2"/>
  <c r="G236" i="2"/>
  <c r="D236" i="2"/>
  <c r="C236" i="2"/>
  <c r="B236" i="2"/>
  <c r="A236" i="2"/>
  <c r="J235" i="2"/>
  <c r="I235" i="2"/>
  <c r="H235" i="2"/>
  <c r="G235" i="2"/>
  <c r="D235" i="2"/>
  <c r="C235" i="2"/>
  <c r="B235" i="2"/>
  <c r="A235" i="2"/>
  <c r="J234" i="2"/>
  <c r="I234" i="2"/>
  <c r="H234" i="2"/>
  <c r="G234" i="2"/>
  <c r="D234" i="2"/>
  <c r="C234" i="2"/>
  <c r="B234" i="2"/>
  <c r="A234" i="2"/>
  <c r="J233" i="2"/>
  <c r="I233" i="2"/>
  <c r="H233" i="2"/>
  <c r="G233" i="2"/>
  <c r="D233" i="2"/>
  <c r="C233" i="2"/>
  <c r="B233" i="2"/>
  <c r="A233" i="2"/>
  <c r="J232" i="2"/>
  <c r="I232" i="2"/>
  <c r="H232" i="2"/>
  <c r="G232" i="2"/>
  <c r="D232" i="2"/>
  <c r="C232" i="2"/>
  <c r="B232" i="2"/>
  <c r="A232" i="2"/>
  <c r="J231" i="2"/>
  <c r="I231" i="2"/>
  <c r="H231" i="2"/>
  <c r="G231" i="2"/>
  <c r="D231" i="2"/>
  <c r="C231" i="2"/>
  <c r="B231" i="2"/>
  <c r="A231" i="2"/>
  <c r="J230" i="2"/>
  <c r="I230" i="2"/>
  <c r="H230" i="2"/>
  <c r="G230" i="2"/>
  <c r="D230" i="2"/>
  <c r="C230" i="2"/>
  <c r="B230" i="2"/>
  <c r="A230" i="2"/>
  <c r="J229" i="2"/>
  <c r="I229" i="2"/>
  <c r="H229" i="2"/>
  <c r="G229" i="2"/>
  <c r="D229" i="2"/>
  <c r="C229" i="2"/>
  <c r="B229" i="2"/>
  <c r="A229" i="2"/>
  <c r="J228" i="2"/>
  <c r="I228" i="2"/>
  <c r="H228" i="2"/>
  <c r="G228" i="2"/>
  <c r="D228" i="2"/>
  <c r="C228" i="2"/>
  <c r="B228" i="2"/>
  <c r="A228" i="2"/>
  <c r="J227" i="2"/>
  <c r="I227" i="2"/>
  <c r="H227" i="2"/>
  <c r="G227" i="2"/>
  <c r="D227" i="2"/>
  <c r="C227" i="2"/>
  <c r="B227" i="2"/>
  <c r="A227" i="2"/>
  <c r="J226" i="2"/>
  <c r="I226" i="2"/>
  <c r="H226" i="2"/>
  <c r="G226" i="2"/>
  <c r="D226" i="2"/>
  <c r="C226" i="2"/>
  <c r="B226" i="2"/>
  <c r="A226" i="2"/>
  <c r="J225" i="2"/>
  <c r="I225" i="2"/>
  <c r="H225" i="2"/>
  <c r="G225" i="2"/>
  <c r="D225" i="2"/>
  <c r="C225" i="2"/>
  <c r="B225" i="2"/>
  <c r="A225" i="2"/>
  <c r="J224" i="2"/>
  <c r="I224" i="2"/>
  <c r="H224" i="2"/>
  <c r="G224" i="2"/>
  <c r="D224" i="2"/>
  <c r="C224" i="2"/>
  <c r="B224" i="2"/>
  <c r="A224" i="2"/>
  <c r="J223" i="2"/>
  <c r="I223" i="2"/>
  <c r="H223" i="2"/>
  <c r="G223" i="2"/>
  <c r="D223" i="2"/>
  <c r="C223" i="2"/>
  <c r="B223" i="2"/>
  <c r="A223" i="2"/>
  <c r="J222" i="2"/>
  <c r="I222" i="2"/>
  <c r="H222" i="2"/>
  <c r="G222" i="2"/>
  <c r="D222" i="2"/>
  <c r="C222" i="2"/>
  <c r="B222" i="2"/>
  <c r="A222" i="2"/>
  <c r="J221" i="2"/>
  <c r="I221" i="2"/>
  <c r="H221" i="2"/>
  <c r="G221" i="2"/>
  <c r="D221" i="2"/>
  <c r="C221" i="2"/>
  <c r="B221" i="2"/>
  <c r="A221" i="2"/>
  <c r="J220" i="2"/>
  <c r="I220" i="2"/>
  <c r="H220" i="2"/>
  <c r="G220" i="2"/>
  <c r="D220" i="2"/>
  <c r="C220" i="2"/>
  <c r="B220" i="2"/>
  <c r="A220" i="2"/>
  <c r="J219" i="2"/>
  <c r="I219" i="2"/>
  <c r="H219" i="2"/>
  <c r="G219" i="2"/>
  <c r="D219" i="2"/>
  <c r="C219" i="2"/>
  <c r="B219" i="2"/>
  <c r="A219" i="2"/>
  <c r="J218" i="2"/>
  <c r="I218" i="2"/>
  <c r="H218" i="2"/>
  <c r="G218" i="2"/>
  <c r="D218" i="2"/>
  <c r="C218" i="2"/>
  <c r="B218" i="2"/>
  <c r="A218" i="2"/>
  <c r="J217" i="2"/>
  <c r="I217" i="2"/>
  <c r="H217" i="2"/>
  <c r="G217" i="2"/>
  <c r="D217" i="2"/>
  <c r="C217" i="2"/>
  <c r="B217" i="2"/>
  <c r="A217" i="2"/>
  <c r="J216" i="2"/>
  <c r="I216" i="2"/>
  <c r="H216" i="2"/>
  <c r="G216" i="2"/>
  <c r="D216" i="2"/>
  <c r="C216" i="2"/>
  <c r="B216" i="2"/>
  <c r="A216" i="2"/>
  <c r="J215" i="2"/>
  <c r="I215" i="2"/>
  <c r="H215" i="2"/>
  <c r="G215" i="2"/>
  <c r="D215" i="2"/>
  <c r="C215" i="2"/>
  <c r="B215" i="2"/>
  <c r="A215" i="2"/>
  <c r="J214" i="2"/>
  <c r="I214" i="2"/>
  <c r="H214" i="2"/>
  <c r="G214" i="2"/>
  <c r="D214" i="2"/>
  <c r="C214" i="2"/>
  <c r="B214" i="2"/>
  <c r="A214" i="2"/>
  <c r="J213" i="2"/>
  <c r="I213" i="2"/>
  <c r="H213" i="2"/>
  <c r="G213" i="2"/>
  <c r="D213" i="2"/>
  <c r="C213" i="2"/>
  <c r="B213" i="2"/>
  <c r="A213" i="2"/>
  <c r="J212" i="2"/>
  <c r="I212" i="2"/>
  <c r="H212" i="2"/>
  <c r="G212" i="2"/>
  <c r="D212" i="2"/>
  <c r="C212" i="2"/>
  <c r="B212" i="2"/>
  <c r="A212" i="2"/>
  <c r="J211" i="2"/>
  <c r="I211" i="2"/>
  <c r="H211" i="2"/>
  <c r="G211" i="2"/>
  <c r="D211" i="2"/>
  <c r="C211" i="2"/>
  <c r="B211" i="2"/>
  <c r="A211" i="2"/>
  <c r="J210" i="2"/>
  <c r="I210" i="2"/>
  <c r="H210" i="2"/>
  <c r="G210" i="2"/>
  <c r="D210" i="2"/>
  <c r="C210" i="2"/>
  <c r="B210" i="2"/>
  <c r="A210" i="2"/>
  <c r="J209" i="2"/>
  <c r="I209" i="2"/>
  <c r="H209" i="2"/>
  <c r="G209" i="2"/>
  <c r="D209" i="2"/>
  <c r="C209" i="2"/>
  <c r="B209" i="2"/>
  <c r="A209" i="2"/>
  <c r="J208" i="2"/>
  <c r="I208" i="2"/>
  <c r="H208" i="2"/>
  <c r="G208" i="2"/>
  <c r="D208" i="2"/>
  <c r="C208" i="2"/>
  <c r="B208" i="2"/>
  <c r="A208" i="2"/>
  <c r="J207" i="2"/>
  <c r="I207" i="2"/>
  <c r="H207" i="2"/>
  <c r="G207" i="2"/>
  <c r="D207" i="2"/>
  <c r="C207" i="2"/>
  <c r="B207" i="2"/>
  <c r="A207" i="2"/>
  <c r="J206" i="2"/>
  <c r="I206" i="2"/>
  <c r="H206" i="2"/>
  <c r="G206" i="2"/>
  <c r="D206" i="2"/>
  <c r="C206" i="2"/>
  <c r="B206" i="2"/>
  <c r="A206" i="2"/>
  <c r="J205" i="2"/>
  <c r="I205" i="2"/>
  <c r="H205" i="2"/>
  <c r="G205" i="2"/>
  <c r="D205" i="2"/>
  <c r="C205" i="2"/>
  <c r="B205" i="2"/>
  <c r="A205" i="2"/>
  <c r="J204" i="2"/>
  <c r="I204" i="2"/>
  <c r="H204" i="2"/>
  <c r="G204" i="2"/>
  <c r="D204" i="2"/>
  <c r="C204" i="2"/>
  <c r="B204" i="2"/>
  <c r="A204" i="2"/>
  <c r="J203" i="2"/>
  <c r="I203" i="2"/>
  <c r="H203" i="2"/>
  <c r="G203" i="2"/>
  <c r="D203" i="2"/>
  <c r="C203" i="2"/>
  <c r="B203" i="2"/>
  <c r="A203" i="2"/>
  <c r="J202" i="2"/>
  <c r="I202" i="2"/>
  <c r="H202" i="2"/>
  <c r="G202" i="2"/>
  <c r="D202" i="2"/>
  <c r="C202" i="2"/>
  <c r="B202" i="2"/>
  <c r="A202" i="2"/>
  <c r="J201" i="2"/>
  <c r="I201" i="2"/>
  <c r="H201" i="2"/>
  <c r="G201" i="2"/>
  <c r="D201" i="2"/>
  <c r="C201" i="2"/>
  <c r="B201" i="2"/>
  <c r="A201" i="2"/>
  <c r="J200" i="2"/>
  <c r="I200" i="2"/>
  <c r="H200" i="2"/>
  <c r="G200" i="2"/>
  <c r="D200" i="2"/>
  <c r="C200" i="2"/>
  <c r="B200" i="2"/>
  <c r="A200" i="2"/>
  <c r="J199" i="2"/>
  <c r="I199" i="2"/>
  <c r="H199" i="2"/>
  <c r="G199" i="2"/>
  <c r="D199" i="2"/>
  <c r="C199" i="2"/>
  <c r="B199" i="2"/>
  <c r="A199" i="2"/>
  <c r="J198" i="2"/>
  <c r="I198" i="2"/>
  <c r="H198" i="2"/>
  <c r="G198" i="2"/>
  <c r="D198" i="2"/>
  <c r="C198" i="2"/>
  <c r="B198" i="2"/>
  <c r="A198" i="2"/>
  <c r="J197" i="2"/>
  <c r="I197" i="2"/>
  <c r="H197" i="2"/>
  <c r="G197" i="2"/>
  <c r="D197" i="2"/>
  <c r="C197" i="2"/>
  <c r="B197" i="2"/>
  <c r="A197" i="2"/>
  <c r="J196" i="2"/>
  <c r="I196" i="2"/>
  <c r="H196" i="2"/>
  <c r="G196" i="2"/>
  <c r="D196" i="2"/>
  <c r="C196" i="2"/>
  <c r="B196" i="2"/>
  <c r="A196" i="2"/>
  <c r="J195" i="2"/>
  <c r="I195" i="2"/>
  <c r="H195" i="2"/>
  <c r="G195" i="2"/>
  <c r="D195" i="2"/>
  <c r="C195" i="2"/>
  <c r="B195" i="2"/>
  <c r="A195" i="2"/>
  <c r="J194" i="2"/>
  <c r="I194" i="2"/>
  <c r="H194" i="2"/>
  <c r="G194" i="2"/>
  <c r="D194" i="2"/>
  <c r="C194" i="2"/>
  <c r="B194" i="2"/>
  <c r="A194" i="2"/>
  <c r="J193" i="2"/>
  <c r="I193" i="2"/>
  <c r="H193" i="2"/>
  <c r="G193" i="2"/>
  <c r="D193" i="2"/>
  <c r="C193" i="2"/>
  <c r="B193" i="2"/>
  <c r="A193" i="2"/>
  <c r="J192" i="2"/>
  <c r="I192" i="2"/>
  <c r="H192" i="2"/>
  <c r="G192" i="2"/>
  <c r="D192" i="2"/>
  <c r="C192" i="2"/>
  <c r="B192" i="2"/>
  <c r="A192" i="2"/>
  <c r="J191" i="2"/>
  <c r="I191" i="2"/>
  <c r="H191" i="2"/>
  <c r="G191" i="2"/>
  <c r="D191" i="2"/>
  <c r="C191" i="2"/>
  <c r="B191" i="2"/>
  <c r="A191" i="2"/>
  <c r="J190" i="2"/>
  <c r="I190" i="2"/>
  <c r="H190" i="2"/>
  <c r="G190" i="2"/>
  <c r="D190" i="2"/>
  <c r="C190" i="2"/>
  <c r="B190" i="2"/>
  <c r="A190" i="2"/>
  <c r="J189" i="2"/>
  <c r="I189" i="2"/>
  <c r="H189" i="2"/>
  <c r="G189" i="2"/>
  <c r="D189" i="2"/>
  <c r="C189" i="2"/>
  <c r="B189" i="2"/>
  <c r="A189" i="2"/>
  <c r="J188" i="2"/>
  <c r="I188" i="2"/>
  <c r="H188" i="2"/>
  <c r="G188" i="2"/>
  <c r="D188" i="2"/>
  <c r="C188" i="2"/>
  <c r="B188" i="2"/>
  <c r="A188" i="2"/>
  <c r="J187" i="2"/>
  <c r="I187" i="2"/>
  <c r="H187" i="2"/>
  <c r="G187" i="2"/>
  <c r="D187" i="2"/>
  <c r="C187" i="2"/>
  <c r="B187" i="2"/>
  <c r="A187" i="2"/>
  <c r="J186" i="2"/>
  <c r="I186" i="2"/>
  <c r="H186" i="2"/>
  <c r="G186" i="2"/>
  <c r="D186" i="2"/>
  <c r="C186" i="2"/>
  <c r="B186" i="2"/>
  <c r="A186" i="2"/>
  <c r="J185" i="2"/>
  <c r="I185" i="2"/>
  <c r="H185" i="2"/>
  <c r="G185" i="2"/>
  <c r="D185" i="2"/>
  <c r="C185" i="2"/>
  <c r="B185" i="2"/>
  <c r="A185" i="2"/>
  <c r="J184" i="2"/>
  <c r="I184" i="2"/>
  <c r="H184" i="2"/>
  <c r="G184" i="2"/>
  <c r="D184" i="2"/>
  <c r="C184" i="2"/>
  <c r="B184" i="2"/>
  <c r="A184" i="2"/>
  <c r="J183" i="2"/>
  <c r="I183" i="2"/>
  <c r="H183" i="2"/>
  <c r="G183" i="2"/>
  <c r="D183" i="2"/>
  <c r="C183" i="2"/>
  <c r="B183" i="2"/>
  <c r="A183" i="2"/>
  <c r="J182" i="2"/>
  <c r="I182" i="2"/>
  <c r="H182" i="2"/>
  <c r="G182" i="2"/>
  <c r="D182" i="2"/>
  <c r="C182" i="2"/>
  <c r="B182" i="2"/>
  <c r="A182" i="2"/>
  <c r="J181" i="2"/>
  <c r="I181" i="2"/>
  <c r="H181" i="2"/>
  <c r="G181" i="2"/>
  <c r="D181" i="2"/>
  <c r="C181" i="2"/>
  <c r="B181" i="2"/>
  <c r="A181" i="2"/>
  <c r="J180" i="2"/>
  <c r="I180" i="2"/>
  <c r="H180" i="2"/>
  <c r="G180" i="2"/>
  <c r="D180" i="2"/>
  <c r="C180" i="2"/>
  <c r="B180" i="2"/>
  <c r="A180" i="2"/>
  <c r="J179" i="2"/>
  <c r="I179" i="2"/>
  <c r="H179" i="2"/>
  <c r="G179" i="2"/>
  <c r="D179" i="2"/>
  <c r="C179" i="2"/>
  <c r="B179" i="2"/>
  <c r="A179" i="2"/>
  <c r="J178" i="2"/>
  <c r="I178" i="2"/>
  <c r="H178" i="2"/>
  <c r="G178" i="2"/>
  <c r="D178" i="2"/>
  <c r="C178" i="2"/>
  <c r="B178" i="2"/>
  <c r="A178" i="2"/>
  <c r="J177" i="2"/>
  <c r="I177" i="2"/>
  <c r="H177" i="2"/>
  <c r="G177" i="2"/>
  <c r="D177" i="2"/>
  <c r="C177" i="2"/>
  <c r="B177" i="2"/>
  <c r="A177" i="2"/>
  <c r="J176" i="2"/>
  <c r="I176" i="2"/>
  <c r="H176" i="2"/>
  <c r="G176" i="2"/>
  <c r="D176" i="2"/>
  <c r="C176" i="2"/>
  <c r="B176" i="2"/>
  <c r="A176" i="2"/>
  <c r="J175" i="2"/>
  <c r="I175" i="2"/>
  <c r="H175" i="2"/>
  <c r="G175" i="2"/>
  <c r="D175" i="2"/>
  <c r="C175" i="2"/>
  <c r="B175" i="2"/>
  <c r="A175" i="2"/>
  <c r="J174" i="2"/>
  <c r="I174" i="2"/>
  <c r="H174" i="2"/>
  <c r="G174" i="2"/>
  <c r="D174" i="2"/>
  <c r="C174" i="2"/>
  <c r="B174" i="2"/>
  <c r="A174" i="2"/>
  <c r="J173" i="2"/>
  <c r="I173" i="2"/>
  <c r="H173" i="2"/>
  <c r="G173" i="2"/>
  <c r="D173" i="2"/>
  <c r="C173" i="2"/>
  <c r="B173" i="2"/>
  <c r="A173" i="2"/>
  <c r="J172" i="2"/>
  <c r="I172" i="2"/>
  <c r="H172" i="2"/>
  <c r="G172" i="2"/>
  <c r="D172" i="2"/>
  <c r="C172" i="2"/>
  <c r="B172" i="2"/>
  <c r="A172" i="2"/>
  <c r="J171" i="2"/>
  <c r="I171" i="2"/>
  <c r="H171" i="2"/>
  <c r="G171" i="2"/>
  <c r="D171" i="2"/>
  <c r="C171" i="2"/>
  <c r="B171" i="2"/>
  <c r="A171" i="2"/>
  <c r="J170" i="2"/>
  <c r="I170" i="2"/>
  <c r="H170" i="2"/>
  <c r="G170" i="2"/>
  <c r="D170" i="2"/>
  <c r="C170" i="2"/>
  <c r="B170" i="2"/>
  <c r="A170" i="2"/>
  <c r="J169" i="2"/>
  <c r="I169" i="2"/>
  <c r="H169" i="2"/>
  <c r="G169" i="2"/>
  <c r="D169" i="2"/>
  <c r="C169" i="2"/>
  <c r="B169" i="2"/>
  <c r="A169" i="2"/>
  <c r="J168" i="2"/>
  <c r="I168" i="2"/>
  <c r="H168" i="2"/>
  <c r="G168" i="2"/>
  <c r="D168" i="2"/>
  <c r="C168" i="2"/>
  <c r="B168" i="2"/>
  <c r="A168" i="2"/>
  <c r="J167" i="2"/>
  <c r="I167" i="2"/>
  <c r="H167" i="2"/>
  <c r="G167" i="2"/>
  <c r="D167" i="2"/>
  <c r="C167" i="2"/>
  <c r="B167" i="2"/>
  <c r="A167" i="2"/>
  <c r="J166" i="2"/>
  <c r="I166" i="2"/>
  <c r="H166" i="2"/>
  <c r="G166" i="2"/>
  <c r="D166" i="2"/>
  <c r="C166" i="2"/>
  <c r="B166" i="2"/>
  <c r="A166" i="2"/>
  <c r="J165" i="2"/>
  <c r="I165" i="2"/>
  <c r="H165" i="2"/>
  <c r="G165" i="2"/>
  <c r="D165" i="2"/>
  <c r="C165" i="2"/>
  <c r="B165" i="2"/>
  <c r="A165" i="2"/>
  <c r="J164" i="2"/>
  <c r="I164" i="2"/>
  <c r="H164" i="2"/>
  <c r="G164" i="2"/>
  <c r="D164" i="2"/>
  <c r="C164" i="2"/>
  <c r="B164" i="2"/>
  <c r="A164" i="2"/>
  <c r="J163" i="2"/>
  <c r="I163" i="2"/>
  <c r="H163" i="2"/>
  <c r="G163" i="2"/>
  <c r="D163" i="2"/>
  <c r="C163" i="2"/>
  <c r="B163" i="2"/>
  <c r="A163" i="2"/>
  <c r="J162" i="2"/>
  <c r="I162" i="2"/>
  <c r="H162" i="2"/>
  <c r="G162" i="2"/>
  <c r="D162" i="2"/>
  <c r="C162" i="2"/>
  <c r="B162" i="2"/>
  <c r="A162" i="2"/>
  <c r="J161" i="2"/>
  <c r="I161" i="2"/>
  <c r="H161" i="2"/>
  <c r="G161" i="2"/>
  <c r="D161" i="2"/>
  <c r="C161" i="2"/>
  <c r="B161" i="2"/>
  <c r="A161" i="2"/>
  <c r="J160" i="2"/>
  <c r="I160" i="2"/>
  <c r="H160" i="2"/>
  <c r="G160" i="2"/>
  <c r="D160" i="2"/>
  <c r="C160" i="2"/>
  <c r="B160" i="2"/>
  <c r="A160" i="2"/>
  <c r="J159" i="2"/>
  <c r="I159" i="2"/>
  <c r="H159" i="2"/>
  <c r="G159" i="2"/>
  <c r="D159" i="2"/>
  <c r="C159" i="2"/>
  <c r="B159" i="2"/>
  <c r="A159" i="2"/>
  <c r="J158" i="2"/>
  <c r="I158" i="2"/>
  <c r="H158" i="2"/>
  <c r="G158" i="2"/>
  <c r="D158" i="2"/>
  <c r="C158" i="2"/>
  <c r="B158" i="2"/>
  <c r="A158" i="2"/>
  <c r="J157" i="2"/>
  <c r="I157" i="2"/>
  <c r="H157" i="2"/>
  <c r="G157" i="2"/>
  <c r="D157" i="2"/>
  <c r="C157" i="2"/>
  <c r="B157" i="2"/>
  <c r="A157" i="2"/>
  <c r="J156" i="2"/>
  <c r="I156" i="2"/>
  <c r="H156" i="2"/>
  <c r="G156" i="2"/>
  <c r="D156" i="2"/>
  <c r="C156" i="2"/>
  <c r="B156" i="2"/>
  <c r="A156" i="2"/>
  <c r="J155" i="2"/>
  <c r="I155" i="2"/>
  <c r="H155" i="2"/>
  <c r="G155" i="2"/>
  <c r="D155" i="2"/>
  <c r="C155" i="2"/>
  <c r="B155" i="2"/>
  <c r="A155" i="2"/>
  <c r="J154" i="2"/>
  <c r="I154" i="2"/>
  <c r="H154" i="2"/>
  <c r="G154" i="2"/>
  <c r="D154" i="2"/>
  <c r="C154" i="2"/>
  <c r="B154" i="2"/>
  <c r="A154" i="2"/>
  <c r="J153" i="2"/>
  <c r="I153" i="2"/>
  <c r="H153" i="2"/>
  <c r="G153" i="2"/>
  <c r="D153" i="2"/>
  <c r="C153" i="2"/>
  <c r="B153" i="2"/>
  <c r="A153" i="2"/>
  <c r="J152" i="2"/>
  <c r="I152" i="2"/>
  <c r="H152" i="2"/>
  <c r="G152" i="2"/>
  <c r="D152" i="2"/>
  <c r="C152" i="2"/>
  <c r="B152" i="2"/>
  <c r="A152" i="2"/>
  <c r="J151" i="2"/>
  <c r="I151" i="2"/>
  <c r="H151" i="2"/>
  <c r="G151" i="2"/>
  <c r="D151" i="2"/>
  <c r="C151" i="2"/>
  <c r="B151" i="2"/>
  <c r="A151" i="2"/>
  <c r="J150" i="2"/>
  <c r="I150" i="2"/>
  <c r="H150" i="2"/>
  <c r="G150" i="2"/>
  <c r="D150" i="2"/>
  <c r="C150" i="2"/>
  <c r="B150" i="2"/>
  <c r="A150" i="2"/>
  <c r="J149" i="2"/>
  <c r="I149" i="2"/>
  <c r="H149" i="2"/>
  <c r="G149" i="2"/>
  <c r="D149" i="2"/>
  <c r="C149" i="2"/>
  <c r="B149" i="2"/>
  <c r="A149" i="2"/>
  <c r="J148" i="2"/>
  <c r="I148" i="2"/>
  <c r="H148" i="2"/>
  <c r="G148" i="2"/>
  <c r="D148" i="2"/>
  <c r="C148" i="2"/>
  <c r="B148" i="2"/>
  <c r="A148" i="2"/>
  <c r="J147" i="2"/>
  <c r="I147" i="2"/>
  <c r="H147" i="2"/>
  <c r="G147" i="2"/>
  <c r="D147" i="2"/>
  <c r="C147" i="2"/>
  <c r="B147" i="2"/>
  <c r="A147" i="2"/>
  <c r="J146" i="2"/>
  <c r="I146" i="2"/>
  <c r="H146" i="2"/>
  <c r="G146" i="2"/>
  <c r="D146" i="2"/>
  <c r="C146" i="2"/>
  <c r="B146" i="2"/>
  <c r="A146" i="2"/>
  <c r="J145" i="2"/>
  <c r="I145" i="2"/>
  <c r="H145" i="2"/>
  <c r="G145" i="2"/>
  <c r="D145" i="2"/>
  <c r="C145" i="2"/>
  <c r="B145" i="2"/>
  <c r="A145" i="2"/>
  <c r="J144" i="2"/>
  <c r="I144" i="2"/>
  <c r="H144" i="2"/>
  <c r="G144" i="2"/>
  <c r="D144" i="2"/>
  <c r="C144" i="2"/>
  <c r="B144" i="2"/>
  <c r="A144" i="2"/>
  <c r="J143" i="2"/>
  <c r="I143" i="2"/>
  <c r="H143" i="2"/>
  <c r="G143" i="2"/>
  <c r="D143" i="2"/>
  <c r="C143" i="2"/>
  <c r="B143" i="2"/>
  <c r="A143" i="2"/>
  <c r="J142" i="2"/>
  <c r="I142" i="2"/>
  <c r="H142" i="2"/>
  <c r="G142" i="2"/>
  <c r="D142" i="2"/>
  <c r="C142" i="2"/>
  <c r="B142" i="2"/>
  <c r="A142" i="2"/>
  <c r="J141" i="2"/>
  <c r="I141" i="2"/>
  <c r="H141" i="2"/>
  <c r="G141" i="2"/>
  <c r="D141" i="2"/>
  <c r="C141" i="2"/>
  <c r="B141" i="2"/>
  <c r="A141" i="2"/>
  <c r="J140" i="2"/>
  <c r="I140" i="2"/>
  <c r="H140" i="2"/>
  <c r="G140" i="2"/>
  <c r="D140" i="2"/>
  <c r="C140" i="2"/>
  <c r="B140" i="2"/>
  <c r="A140" i="2"/>
  <c r="J139" i="2"/>
  <c r="I139" i="2"/>
  <c r="H139" i="2"/>
  <c r="G139" i="2"/>
  <c r="D139" i="2"/>
  <c r="C139" i="2"/>
  <c r="B139" i="2"/>
  <c r="A139" i="2"/>
  <c r="J138" i="2"/>
  <c r="I138" i="2"/>
  <c r="H138" i="2"/>
  <c r="G138" i="2"/>
  <c r="D138" i="2"/>
  <c r="C138" i="2"/>
  <c r="B138" i="2"/>
  <c r="A138" i="2"/>
  <c r="J137" i="2"/>
  <c r="I137" i="2"/>
  <c r="H137" i="2"/>
  <c r="G137" i="2"/>
  <c r="D137" i="2"/>
  <c r="C137" i="2"/>
  <c r="B137" i="2"/>
  <c r="A137" i="2"/>
  <c r="J136" i="2"/>
  <c r="I136" i="2"/>
  <c r="H136" i="2"/>
  <c r="G136" i="2"/>
  <c r="D136" i="2"/>
  <c r="C136" i="2"/>
  <c r="B136" i="2"/>
  <c r="A136" i="2"/>
  <c r="J135" i="2"/>
  <c r="I135" i="2"/>
  <c r="H135" i="2"/>
  <c r="G135" i="2"/>
  <c r="D135" i="2"/>
  <c r="C135" i="2"/>
  <c r="B135" i="2"/>
  <c r="A135" i="2"/>
  <c r="J134" i="2"/>
  <c r="I134" i="2"/>
  <c r="H134" i="2"/>
  <c r="G134" i="2"/>
  <c r="D134" i="2"/>
  <c r="C134" i="2"/>
  <c r="B134" i="2"/>
  <c r="A134" i="2"/>
  <c r="J133" i="2"/>
  <c r="I133" i="2"/>
  <c r="H133" i="2"/>
  <c r="G133" i="2"/>
  <c r="D133" i="2"/>
  <c r="C133" i="2"/>
  <c r="B133" i="2"/>
  <c r="A133" i="2"/>
  <c r="L132" i="2"/>
  <c r="J132" i="2"/>
  <c r="I132" i="2"/>
  <c r="H132" i="2"/>
  <c r="G132" i="2"/>
  <c r="D132" i="2"/>
  <c r="C132" i="2"/>
  <c r="B132" i="2"/>
  <c r="A132" i="2"/>
  <c r="J131" i="2"/>
  <c r="I131" i="2"/>
  <c r="H131" i="2"/>
  <c r="G131" i="2"/>
  <c r="D131" i="2"/>
  <c r="C131" i="2"/>
  <c r="B131" i="2"/>
  <c r="A131" i="2"/>
  <c r="J130" i="2"/>
  <c r="I130" i="2"/>
  <c r="H130" i="2"/>
  <c r="G130" i="2"/>
  <c r="D130" i="2"/>
  <c r="C130" i="2"/>
  <c r="B130" i="2"/>
  <c r="A130" i="2"/>
  <c r="J129" i="2"/>
  <c r="I129" i="2"/>
  <c r="H129" i="2"/>
  <c r="G129" i="2"/>
  <c r="D129" i="2"/>
  <c r="C129" i="2"/>
  <c r="B129" i="2"/>
  <c r="A129" i="2"/>
  <c r="J128" i="2"/>
  <c r="I128" i="2"/>
  <c r="H128" i="2"/>
  <c r="G128" i="2"/>
  <c r="D128" i="2"/>
  <c r="C128" i="2"/>
  <c r="B128" i="2"/>
  <c r="A128" i="2"/>
  <c r="J127" i="2"/>
  <c r="I127" i="2"/>
  <c r="H127" i="2"/>
  <c r="G127" i="2"/>
  <c r="D127" i="2"/>
  <c r="C127" i="2"/>
  <c r="B127" i="2"/>
  <c r="A127" i="2"/>
  <c r="J126" i="2"/>
  <c r="I126" i="2"/>
  <c r="H126" i="2"/>
  <c r="G126" i="2"/>
  <c r="D126" i="2"/>
  <c r="C126" i="2"/>
  <c r="B126" i="2"/>
  <c r="A126" i="2"/>
  <c r="J125" i="2"/>
  <c r="I125" i="2"/>
  <c r="H125" i="2"/>
  <c r="G125" i="2"/>
  <c r="D125" i="2"/>
  <c r="C125" i="2"/>
  <c r="B125" i="2"/>
  <c r="A125" i="2"/>
  <c r="J124" i="2"/>
  <c r="I124" i="2"/>
  <c r="H124" i="2"/>
  <c r="G124" i="2"/>
  <c r="D124" i="2"/>
  <c r="C124" i="2"/>
  <c r="B124" i="2"/>
  <c r="A124" i="2"/>
  <c r="J123" i="2"/>
  <c r="I123" i="2"/>
  <c r="H123" i="2"/>
  <c r="G123" i="2"/>
  <c r="D123" i="2"/>
  <c r="C123" i="2"/>
  <c r="B123" i="2"/>
  <c r="A123" i="2"/>
  <c r="J122" i="2"/>
  <c r="I122" i="2"/>
  <c r="H122" i="2"/>
  <c r="G122" i="2"/>
  <c r="D122" i="2"/>
  <c r="C122" i="2"/>
  <c r="B122" i="2"/>
  <c r="A122" i="2"/>
  <c r="J121" i="2"/>
  <c r="I121" i="2"/>
  <c r="H121" i="2"/>
  <c r="G121" i="2"/>
  <c r="D121" i="2"/>
  <c r="C121" i="2"/>
  <c r="B121" i="2"/>
  <c r="A121" i="2"/>
  <c r="J120" i="2"/>
  <c r="I120" i="2"/>
  <c r="H120" i="2"/>
  <c r="G120" i="2"/>
  <c r="D120" i="2"/>
  <c r="C120" i="2"/>
  <c r="B120" i="2"/>
  <c r="A120" i="2"/>
  <c r="J119" i="2"/>
  <c r="I119" i="2"/>
  <c r="H119" i="2"/>
  <c r="G119" i="2"/>
  <c r="D119" i="2"/>
  <c r="C119" i="2"/>
  <c r="B119" i="2"/>
  <c r="A119" i="2"/>
  <c r="J118" i="2"/>
  <c r="I118" i="2"/>
  <c r="H118" i="2"/>
  <c r="G118" i="2"/>
  <c r="D118" i="2"/>
  <c r="C118" i="2"/>
  <c r="B118" i="2"/>
  <c r="A118" i="2"/>
  <c r="J117" i="2"/>
  <c r="I117" i="2"/>
  <c r="H117" i="2"/>
  <c r="G117" i="2"/>
  <c r="D117" i="2"/>
  <c r="C117" i="2"/>
  <c r="B117" i="2"/>
  <c r="A117" i="2"/>
  <c r="J116" i="2"/>
  <c r="I116" i="2"/>
  <c r="H116" i="2"/>
  <c r="G116" i="2"/>
  <c r="D116" i="2"/>
  <c r="C116" i="2"/>
  <c r="B116" i="2"/>
  <c r="A116" i="2"/>
  <c r="J115" i="2"/>
  <c r="I115" i="2"/>
  <c r="H115" i="2"/>
  <c r="G115" i="2"/>
  <c r="D115" i="2"/>
  <c r="C115" i="2"/>
  <c r="B115" i="2"/>
  <c r="A115" i="2"/>
  <c r="J114" i="2"/>
  <c r="I114" i="2"/>
  <c r="H114" i="2"/>
  <c r="G114" i="2"/>
  <c r="D114" i="2"/>
  <c r="C114" i="2"/>
  <c r="B114" i="2"/>
  <c r="A114" i="2"/>
  <c r="J113" i="2"/>
  <c r="I113" i="2"/>
  <c r="H113" i="2"/>
  <c r="G113" i="2"/>
  <c r="D113" i="2"/>
  <c r="C113" i="2"/>
  <c r="B113" i="2"/>
  <c r="A113" i="2"/>
  <c r="J112" i="2"/>
  <c r="I112" i="2"/>
  <c r="H112" i="2"/>
  <c r="G112" i="2"/>
  <c r="D112" i="2"/>
  <c r="C112" i="2"/>
  <c r="B112" i="2"/>
  <c r="A112" i="2"/>
  <c r="J111" i="2"/>
  <c r="I111" i="2"/>
  <c r="H111" i="2"/>
  <c r="G111" i="2"/>
  <c r="D111" i="2"/>
  <c r="C111" i="2"/>
  <c r="B111" i="2"/>
  <c r="A111" i="2"/>
  <c r="J110" i="2"/>
  <c r="I110" i="2"/>
  <c r="H110" i="2"/>
  <c r="G110" i="2"/>
  <c r="D110" i="2"/>
  <c r="C110" i="2"/>
  <c r="B110" i="2"/>
  <c r="A110" i="2"/>
  <c r="J109" i="2"/>
  <c r="I109" i="2"/>
  <c r="H109" i="2"/>
  <c r="G109" i="2"/>
  <c r="D109" i="2"/>
  <c r="C109" i="2"/>
  <c r="B109" i="2"/>
  <c r="A109" i="2"/>
  <c r="J108" i="2"/>
  <c r="I108" i="2"/>
  <c r="H108" i="2"/>
  <c r="G108" i="2"/>
  <c r="D108" i="2"/>
  <c r="C108" i="2"/>
  <c r="B108" i="2"/>
  <c r="A108" i="2"/>
  <c r="J107" i="2"/>
  <c r="I107" i="2"/>
  <c r="H107" i="2"/>
  <c r="G107" i="2"/>
  <c r="D107" i="2"/>
  <c r="C107" i="2"/>
  <c r="B107" i="2"/>
  <c r="A107" i="2"/>
  <c r="J106" i="2"/>
  <c r="I106" i="2"/>
  <c r="H106" i="2"/>
  <c r="G106" i="2"/>
  <c r="D106" i="2"/>
  <c r="C106" i="2"/>
  <c r="B106" i="2"/>
  <c r="A106" i="2"/>
  <c r="J105" i="2"/>
  <c r="I105" i="2"/>
  <c r="H105" i="2"/>
  <c r="G105" i="2"/>
  <c r="D105" i="2"/>
  <c r="C105" i="2"/>
  <c r="B105" i="2"/>
  <c r="A105" i="2"/>
  <c r="J104" i="2"/>
  <c r="I104" i="2"/>
  <c r="H104" i="2"/>
  <c r="G104" i="2"/>
  <c r="D104" i="2"/>
  <c r="C104" i="2"/>
  <c r="B104" i="2"/>
  <c r="A104" i="2"/>
  <c r="J103" i="2"/>
  <c r="I103" i="2"/>
  <c r="H103" i="2"/>
  <c r="G103" i="2"/>
  <c r="D103" i="2"/>
  <c r="C103" i="2"/>
  <c r="B103" i="2"/>
  <c r="A103" i="2"/>
  <c r="J102" i="2"/>
  <c r="I102" i="2"/>
  <c r="H102" i="2"/>
  <c r="G102" i="2"/>
  <c r="D102" i="2"/>
  <c r="C102" i="2"/>
  <c r="B102" i="2"/>
  <c r="A102" i="2"/>
  <c r="J101" i="2"/>
  <c r="I101" i="2"/>
  <c r="H101" i="2"/>
  <c r="G101" i="2"/>
  <c r="D101" i="2"/>
  <c r="C101" i="2"/>
  <c r="B101" i="2"/>
  <c r="A101" i="2"/>
  <c r="J100" i="2"/>
  <c r="I100" i="2"/>
  <c r="H100" i="2"/>
  <c r="G100" i="2"/>
  <c r="D100" i="2"/>
  <c r="C100" i="2"/>
  <c r="B100" i="2"/>
  <c r="A100" i="2"/>
  <c r="J99" i="2"/>
  <c r="I99" i="2"/>
  <c r="H99" i="2"/>
  <c r="G99" i="2"/>
  <c r="D99" i="2"/>
  <c r="C99" i="2"/>
  <c r="B99" i="2"/>
  <c r="A99" i="2"/>
  <c r="J98" i="2"/>
  <c r="I98" i="2"/>
  <c r="H98" i="2"/>
  <c r="G98" i="2"/>
  <c r="D98" i="2"/>
  <c r="C98" i="2"/>
  <c r="B98" i="2"/>
  <c r="A98" i="2"/>
  <c r="J97" i="2"/>
  <c r="I97" i="2"/>
  <c r="H97" i="2"/>
  <c r="G97" i="2"/>
  <c r="D97" i="2"/>
  <c r="C97" i="2"/>
  <c r="B97" i="2"/>
  <c r="A97" i="2"/>
  <c r="J96" i="2"/>
  <c r="I96" i="2"/>
  <c r="H96" i="2"/>
  <c r="G96" i="2"/>
  <c r="D96" i="2"/>
  <c r="C96" i="2"/>
  <c r="B96" i="2"/>
  <c r="A96" i="2"/>
  <c r="J95" i="2"/>
  <c r="I95" i="2"/>
  <c r="H95" i="2"/>
  <c r="G95" i="2"/>
  <c r="D95" i="2"/>
  <c r="C95" i="2"/>
  <c r="B95" i="2"/>
  <c r="A95" i="2"/>
  <c r="J94" i="2"/>
  <c r="I94" i="2"/>
  <c r="H94" i="2"/>
  <c r="G94" i="2"/>
  <c r="D94" i="2"/>
  <c r="C94" i="2"/>
  <c r="B94" i="2"/>
  <c r="A94" i="2"/>
  <c r="J93" i="2"/>
  <c r="I93" i="2"/>
  <c r="H93" i="2"/>
  <c r="G93" i="2"/>
  <c r="D93" i="2"/>
  <c r="C93" i="2"/>
  <c r="B93" i="2"/>
  <c r="A93" i="2"/>
  <c r="J92" i="2"/>
  <c r="I92" i="2"/>
  <c r="H92" i="2"/>
  <c r="G92" i="2"/>
  <c r="D92" i="2"/>
  <c r="C92" i="2"/>
  <c r="B92" i="2"/>
  <c r="A92" i="2"/>
  <c r="J91" i="2"/>
  <c r="I91" i="2"/>
  <c r="H91" i="2"/>
  <c r="G91" i="2"/>
  <c r="D91" i="2"/>
  <c r="C91" i="2"/>
  <c r="B91" i="2"/>
  <c r="A91" i="2"/>
  <c r="J90" i="2"/>
  <c r="I90" i="2"/>
  <c r="H90" i="2"/>
  <c r="G90" i="2"/>
  <c r="D90" i="2"/>
  <c r="C90" i="2"/>
  <c r="B90" i="2"/>
  <c r="A90" i="2"/>
  <c r="J89" i="2"/>
  <c r="I89" i="2"/>
  <c r="H89" i="2"/>
  <c r="G89" i="2"/>
  <c r="D89" i="2"/>
  <c r="C89" i="2"/>
  <c r="B89" i="2"/>
  <c r="A89" i="2"/>
  <c r="J88" i="2"/>
  <c r="I88" i="2"/>
  <c r="H88" i="2"/>
  <c r="G88" i="2"/>
  <c r="D88" i="2"/>
  <c r="C88" i="2"/>
  <c r="B88" i="2"/>
  <c r="A88" i="2"/>
  <c r="J87" i="2"/>
  <c r="I87" i="2"/>
  <c r="H87" i="2"/>
  <c r="G87" i="2"/>
  <c r="D87" i="2"/>
  <c r="C87" i="2"/>
  <c r="B87" i="2"/>
  <c r="A87" i="2"/>
  <c r="J86" i="2"/>
  <c r="I86" i="2"/>
  <c r="H86" i="2"/>
  <c r="G86" i="2"/>
  <c r="D86" i="2"/>
  <c r="C86" i="2"/>
  <c r="B86" i="2"/>
  <c r="A86" i="2"/>
  <c r="J85" i="2"/>
  <c r="I85" i="2"/>
  <c r="H85" i="2"/>
  <c r="G85" i="2"/>
  <c r="D85" i="2"/>
  <c r="C85" i="2"/>
  <c r="B85" i="2"/>
  <c r="A85" i="2"/>
  <c r="J84" i="2"/>
  <c r="I84" i="2"/>
  <c r="H84" i="2"/>
  <c r="G84" i="2"/>
  <c r="D84" i="2"/>
  <c r="C84" i="2"/>
  <c r="B84" i="2"/>
  <c r="A84" i="2"/>
  <c r="J83" i="2"/>
  <c r="I83" i="2"/>
  <c r="H83" i="2"/>
  <c r="G83" i="2"/>
  <c r="D83" i="2"/>
  <c r="C83" i="2"/>
  <c r="B83" i="2"/>
  <c r="A83" i="2"/>
  <c r="J82" i="2"/>
  <c r="I82" i="2"/>
  <c r="H82" i="2"/>
  <c r="G82" i="2"/>
  <c r="D82" i="2"/>
  <c r="C82" i="2"/>
  <c r="B82" i="2"/>
  <c r="A82" i="2"/>
  <c r="J81" i="2"/>
  <c r="I81" i="2"/>
  <c r="H81" i="2"/>
  <c r="G81" i="2"/>
  <c r="D81" i="2"/>
  <c r="C81" i="2"/>
  <c r="B81" i="2"/>
  <c r="A81" i="2"/>
  <c r="J80" i="2"/>
  <c r="I80" i="2"/>
  <c r="H80" i="2"/>
  <c r="G80" i="2"/>
  <c r="D80" i="2"/>
  <c r="C80" i="2"/>
  <c r="B80" i="2"/>
  <c r="A80" i="2"/>
  <c r="J79" i="2"/>
  <c r="I79" i="2"/>
  <c r="H79" i="2"/>
  <c r="G79" i="2"/>
  <c r="D79" i="2"/>
  <c r="C79" i="2"/>
  <c r="B79" i="2"/>
  <c r="A79" i="2"/>
  <c r="J78" i="2"/>
  <c r="I78" i="2"/>
  <c r="H78" i="2"/>
  <c r="G78" i="2"/>
  <c r="D78" i="2"/>
  <c r="C78" i="2"/>
  <c r="B78" i="2"/>
  <c r="A78" i="2"/>
  <c r="J77" i="2"/>
  <c r="I77" i="2"/>
  <c r="H77" i="2"/>
  <c r="G77" i="2"/>
  <c r="D77" i="2"/>
  <c r="C77" i="2"/>
  <c r="B77" i="2"/>
  <c r="A77" i="2"/>
  <c r="J76" i="2"/>
  <c r="I76" i="2"/>
  <c r="H76" i="2"/>
  <c r="G76" i="2"/>
  <c r="D76" i="2"/>
  <c r="C76" i="2"/>
  <c r="B76" i="2"/>
  <c r="A76" i="2"/>
  <c r="J75" i="2"/>
  <c r="I75" i="2"/>
  <c r="H75" i="2"/>
  <c r="G75" i="2"/>
  <c r="D75" i="2"/>
  <c r="C75" i="2"/>
  <c r="B75" i="2"/>
  <c r="A75" i="2"/>
  <c r="J74" i="2"/>
  <c r="I74" i="2"/>
  <c r="H74" i="2"/>
  <c r="G74" i="2"/>
  <c r="D74" i="2"/>
  <c r="C74" i="2"/>
  <c r="B74" i="2"/>
  <c r="A74" i="2"/>
  <c r="J73" i="2"/>
  <c r="I73" i="2"/>
  <c r="H73" i="2"/>
  <c r="G73" i="2"/>
  <c r="D73" i="2"/>
  <c r="C73" i="2"/>
  <c r="B73" i="2"/>
  <c r="A73" i="2"/>
  <c r="J72" i="2"/>
  <c r="I72" i="2"/>
  <c r="H72" i="2"/>
  <c r="G72" i="2"/>
  <c r="D72" i="2"/>
  <c r="C72" i="2"/>
  <c r="B72" i="2"/>
  <c r="A72" i="2"/>
  <c r="J71" i="2"/>
  <c r="I71" i="2"/>
  <c r="H71" i="2"/>
  <c r="G71" i="2"/>
  <c r="D71" i="2"/>
  <c r="C71" i="2"/>
  <c r="B71" i="2"/>
  <c r="A71" i="2"/>
  <c r="J70" i="2"/>
  <c r="I70" i="2"/>
  <c r="H70" i="2"/>
  <c r="G70" i="2"/>
  <c r="D70" i="2"/>
  <c r="C70" i="2"/>
  <c r="B70" i="2"/>
  <c r="A70" i="2"/>
  <c r="J69" i="2"/>
  <c r="I69" i="2"/>
  <c r="H69" i="2"/>
  <c r="G69" i="2"/>
  <c r="D69" i="2"/>
  <c r="C69" i="2"/>
  <c r="B69" i="2"/>
  <c r="A69" i="2"/>
  <c r="J68" i="2"/>
  <c r="I68" i="2"/>
  <c r="H68" i="2"/>
  <c r="G68" i="2"/>
  <c r="D68" i="2"/>
  <c r="C68" i="2"/>
  <c r="B68" i="2"/>
  <c r="A68" i="2"/>
  <c r="J67" i="2"/>
  <c r="I67" i="2"/>
  <c r="H67" i="2"/>
  <c r="G67" i="2"/>
  <c r="D67" i="2"/>
  <c r="C67" i="2"/>
  <c r="B67" i="2"/>
  <c r="A67" i="2"/>
  <c r="J66" i="2"/>
  <c r="I66" i="2"/>
  <c r="H66" i="2"/>
  <c r="G66" i="2"/>
  <c r="D66" i="2"/>
  <c r="C66" i="2"/>
  <c r="B66" i="2"/>
  <c r="A66" i="2"/>
  <c r="J65" i="2"/>
  <c r="I65" i="2"/>
  <c r="H65" i="2"/>
  <c r="G65" i="2"/>
  <c r="D65" i="2"/>
  <c r="C65" i="2"/>
  <c r="B65" i="2"/>
  <c r="A65" i="2"/>
  <c r="J64" i="2"/>
  <c r="I64" i="2"/>
  <c r="H64" i="2"/>
  <c r="G64" i="2"/>
  <c r="D64" i="2"/>
  <c r="C64" i="2"/>
  <c r="B64" i="2"/>
  <c r="A64" i="2"/>
  <c r="J63" i="2"/>
  <c r="I63" i="2"/>
  <c r="H63" i="2"/>
  <c r="G63" i="2"/>
  <c r="D63" i="2"/>
  <c r="C63" i="2"/>
  <c r="B63" i="2"/>
  <c r="A63" i="2"/>
  <c r="J62" i="2"/>
  <c r="I62" i="2"/>
  <c r="H62" i="2"/>
  <c r="G62" i="2"/>
  <c r="D62" i="2"/>
  <c r="C62" i="2"/>
  <c r="B62" i="2"/>
  <c r="A62" i="2"/>
  <c r="J61" i="2"/>
  <c r="I61" i="2"/>
  <c r="H61" i="2"/>
  <c r="G61" i="2"/>
  <c r="D61" i="2"/>
  <c r="C61" i="2"/>
  <c r="B61" i="2"/>
  <c r="A61" i="2"/>
  <c r="J60" i="2"/>
  <c r="I60" i="2"/>
  <c r="H60" i="2"/>
  <c r="G60" i="2"/>
  <c r="D60" i="2"/>
  <c r="C60" i="2"/>
  <c r="B60" i="2"/>
  <c r="A60" i="2"/>
  <c r="J59" i="2"/>
  <c r="I59" i="2"/>
  <c r="H59" i="2"/>
  <c r="G59" i="2"/>
  <c r="D59" i="2"/>
  <c r="C59" i="2"/>
  <c r="B59" i="2"/>
  <c r="A59" i="2"/>
  <c r="J58" i="2"/>
  <c r="I58" i="2"/>
  <c r="H58" i="2"/>
  <c r="G58" i="2"/>
  <c r="D58" i="2"/>
  <c r="C58" i="2"/>
  <c r="B58" i="2"/>
  <c r="A58" i="2"/>
  <c r="J57" i="2"/>
  <c r="I57" i="2"/>
  <c r="H57" i="2"/>
  <c r="G57" i="2"/>
  <c r="D57" i="2"/>
  <c r="C57" i="2"/>
  <c r="B57" i="2"/>
  <c r="A57" i="2"/>
  <c r="J56" i="2"/>
  <c r="I56" i="2"/>
  <c r="H56" i="2"/>
  <c r="G56" i="2"/>
  <c r="D56" i="2"/>
  <c r="C56" i="2"/>
  <c r="B56" i="2"/>
  <c r="A56" i="2"/>
  <c r="J55" i="2"/>
  <c r="I55" i="2"/>
  <c r="H55" i="2"/>
  <c r="G55" i="2"/>
  <c r="D55" i="2"/>
  <c r="C55" i="2"/>
  <c r="B55" i="2"/>
  <c r="A55" i="2"/>
  <c r="J54" i="2"/>
  <c r="I54" i="2"/>
  <c r="H54" i="2"/>
  <c r="G54" i="2"/>
  <c r="D54" i="2"/>
  <c r="C54" i="2"/>
  <c r="B54" i="2"/>
  <c r="A54" i="2"/>
  <c r="J53" i="2"/>
  <c r="I53" i="2"/>
  <c r="H53" i="2"/>
  <c r="G53" i="2"/>
  <c r="D53" i="2"/>
  <c r="C53" i="2"/>
  <c r="B53" i="2"/>
  <c r="A53" i="2"/>
  <c r="J52" i="2"/>
  <c r="I52" i="2"/>
  <c r="H52" i="2"/>
  <c r="G52" i="2"/>
  <c r="D52" i="2"/>
  <c r="C52" i="2"/>
  <c r="B52" i="2"/>
  <c r="A52" i="2"/>
  <c r="J51" i="2"/>
  <c r="I51" i="2"/>
  <c r="H51" i="2"/>
  <c r="G51" i="2"/>
  <c r="D51" i="2"/>
  <c r="C51" i="2"/>
  <c r="B51" i="2"/>
  <c r="A51" i="2"/>
  <c r="J50" i="2"/>
  <c r="I50" i="2"/>
  <c r="H50" i="2"/>
  <c r="G50" i="2"/>
  <c r="D50" i="2"/>
  <c r="C50" i="2"/>
  <c r="B50" i="2"/>
  <c r="A50" i="2"/>
  <c r="J49" i="2"/>
  <c r="I49" i="2"/>
  <c r="H49" i="2"/>
  <c r="G49" i="2"/>
  <c r="D49" i="2"/>
  <c r="C49" i="2"/>
  <c r="B49" i="2"/>
  <c r="A49" i="2"/>
  <c r="J48" i="2"/>
  <c r="I48" i="2"/>
  <c r="H48" i="2"/>
  <c r="G48" i="2"/>
  <c r="D48" i="2"/>
  <c r="C48" i="2"/>
  <c r="B48" i="2"/>
  <c r="A48" i="2"/>
  <c r="J47" i="2"/>
  <c r="I47" i="2"/>
  <c r="H47" i="2"/>
  <c r="G47" i="2"/>
  <c r="D47" i="2"/>
  <c r="C47" i="2"/>
  <c r="B47" i="2"/>
  <c r="A47" i="2"/>
  <c r="J46" i="2"/>
  <c r="I46" i="2"/>
  <c r="H46" i="2"/>
  <c r="G46" i="2"/>
  <c r="D46" i="2"/>
  <c r="C46" i="2"/>
  <c r="B46" i="2"/>
  <c r="A46" i="2"/>
  <c r="J45" i="2"/>
  <c r="I45" i="2"/>
  <c r="H45" i="2"/>
  <c r="G45" i="2"/>
  <c r="D45" i="2"/>
  <c r="C45" i="2"/>
  <c r="B45" i="2"/>
  <c r="A45" i="2"/>
  <c r="J44" i="2"/>
  <c r="I44" i="2"/>
  <c r="H44" i="2"/>
  <c r="G44" i="2"/>
  <c r="D44" i="2"/>
  <c r="C44" i="2"/>
  <c r="B44" i="2"/>
  <c r="A44" i="2"/>
  <c r="J43" i="2"/>
  <c r="I43" i="2"/>
  <c r="H43" i="2"/>
  <c r="G43" i="2"/>
  <c r="D43" i="2"/>
  <c r="C43" i="2"/>
  <c r="B43" i="2"/>
  <c r="A43" i="2"/>
  <c r="J42" i="2"/>
  <c r="I42" i="2"/>
  <c r="H42" i="2"/>
  <c r="G42" i="2"/>
  <c r="D42" i="2"/>
  <c r="C42" i="2"/>
  <c r="B42" i="2"/>
  <c r="A42" i="2"/>
  <c r="J41" i="2"/>
  <c r="I41" i="2"/>
  <c r="H41" i="2"/>
  <c r="G41" i="2"/>
  <c r="D41" i="2"/>
  <c r="C41" i="2"/>
  <c r="B41" i="2"/>
  <c r="A41" i="2"/>
  <c r="J40" i="2"/>
  <c r="I40" i="2"/>
  <c r="H40" i="2"/>
  <c r="G40" i="2"/>
  <c r="D40" i="2"/>
  <c r="C40" i="2"/>
  <c r="B40" i="2"/>
  <c r="A40" i="2"/>
  <c r="J39" i="2"/>
  <c r="I39" i="2"/>
  <c r="H39" i="2"/>
  <c r="G39" i="2"/>
  <c r="D39" i="2"/>
  <c r="C39" i="2"/>
  <c r="B39" i="2"/>
  <c r="A39" i="2"/>
  <c r="J38" i="2"/>
  <c r="I38" i="2"/>
  <c r="H38" i="2"/>
  <c r="G38" i="2"/>
  <c r="D38" i="2"/>
  <c r="C38" i="2"/>
  <c r="B38" i="2"/>
  <c r="A38" i="2"/>
  <c r="J37" i="2"/>
  <c r="I37" i="2"/>
  <c r="H37" i="2"/>
  <c r="G37" i="2"/>
  <c r="D37" i="2"/>
  <c r="C37" i="2"/>
  <c r="B37" i="2"/>
  <c r="A37" i="2"/>
  <c r="J36" i="2"/>
  <c r="I36" i="2"/>
  <c r="H36" i="2"/>
  <c r="G36" i="2"/>
  <c r="D36" i="2"/>
  <c r="C36" i="2"/>
  <c r="B36" i="2"/>
  <c r="A36" i="2"/>
  <c r="J35" i="2"/>
  <c r="I35" i="2"/>
  <c r="H35" i="2"/>
  <c r="G35" i="2"/>
  <c r="D35" i="2"/>
  <c r="C35" i="2"/>
  <c r="B35" i="2"/>
  <c r="A35" i="2"/>
  <c r="J34" i="2"/>
  <c r="I34" i="2"/>
  <c r="H34" i="2"/>
  <c r="G34" i="2"/>
  <c r="D34" i="2"/>
  <c r="C34" i="2"/>
  <c r="B34" i="2"/>
  <c r="A34" i="2"/>
  <c r="J33" i="2"/>
  <c r="I33" i="2"/>
  <c r="H33" i="2"/>
  <c r="G33" i="2"/>
  <c r="D33" i="2"/>
  <c r="C33" i="2"/>
  <c r="B33" i="2"/>
  <c r="A33" i="2"/>
  <c r="J32" i="2"/>
  <c r="I32" i="2"/>
  <c r="H32" i="2"/>
  <c r="G32" i="2"/>
  <c r="D32" i="2"/>
  <c r="C32" i="2"/>
  <c r="B32" i="2"/>
  <c r="A32" i="2"/>
  <c r="J31" i="2"/>
  <c r="I31" i="2"/>
  <c r="H31" i="2"/>
  <c r="G31" i="2"/>
  <c r="D31" i="2"/>
  <c r="C31" i="2"/>
  <c r="B31" i="2"/>
  <c r="A31" i="2"/>
  <c r="J30" i="2"/>
  <c r="I30" i="2"/>
  <c r="H30" i="2"/>
  <c r="G30" i="2"/>
  <c r="D30" i="2"/>
  <c r="C30" i="2"/>
  <c r="B30" i="2"/>
  <c r="A30" i="2"/>
  <c r="J29" i="2"/>
  <c r="I29" i="2"/>
  <c r="H29" i="2"/>
  <c r="G29" i="2"/>
  <c r="D29" i="2"/>
  <c r="C29" i="2"/>
  <c r="B29" i="2"/>
  <c r="A29" i="2"/>
  <c r="J28" i="2"/>
  <c r="I28" i="2"/>
  <c r="H28" i="2"/>
  <c r="G28" i="2"/>
  <c r="D28" i="2"/>
  <c r="C28" i="2"/>
  <c r="B28" i="2"/>
  <c r="A28" i="2"/>
  <c r="J27" i="2"/>
  <c r="I27" i="2"/>
  <c r="H27" i="2"/>
  <c r="G27" i="2"/>
  <c r="D27" i="2"/>
  <c r="C27" i="2"/>
  <c r="B27" i="2"/>
  <c r="A27" i="2"/>
  <c r="J26" i="2"/>
  <c r="I26" i="2"/>
  <c r="H26" i="2"/>
  <c r="G26" i="2"/>
  <c r="D26" i="2"/>
  <c r="C26" i="2"/>
  <c r="B26" i="2"/>
  <c r="A26" i="2"/>
  <c r="J25" i="2"/>
  <c r="I25" i="2"/>
  <c r="H25" i="2"/>
  <c r="G25" i="2"/>
  <c r="D25" i="2"/>
  <c r="C25" i="2"/>
  <c r="B25" i="2"/>
  <c r="A25" i="2"/>
  <c r="J24" i="2"/>
  <c r="I24" i="2"/>
  <c r="H24" i="2"/>
  <c r="G24" i="2"/>
  <c r="D24" i="2"/>
  <c r="C24" i="2"/>
  <c r="B24" i="2"/>
  <c r="A24" i="2"/>
  <c r="J23" i="2"/>
  <c r="I23" i="2"/>
  <c r="H23" i="2"/>
  <c r="G23" i="2"/>
  <c r="D23" i="2"/>
  <c r="C23" i="2"/>
  <c r="B23" i="2"/>
  <c r="A23" i="2"/>
  <c r="J22" i="2"/>
  <c r="I22" i="2"/>
  <c r="H22" i="2"/>
  <c r="G22" i="2"/>
  <c r="D22" i="2"/>
  <c r="C22" i="2"/>
  <c r="B22" i="2"/>
  <c r="A22" i="2"/>
  <c r="J21" i="2"/>
  <c r="I21" i="2"/>
  <c r="H21" i="2"/>
  <c r="G21" i="2"/>
  <c r="D21" i="2"/>
  <c r="C21" i="2"/>
  <c r="B21" i="2"/>
  <c r="A21" i="2"/>
  <c r="J20" i="2"/>
  <c r="I20" i="2"/>
  <c r="H20" i="2"/>
  <c r="G20" i="2"/>
  <c r="D20" i="2"/>
  <c r="C20" i="2"/>
  <c r="B20" i="2"/>
  <c r="A20" i="2"/>
  <c r="J19" i="2"/>
  <c r="I19" i="2"/>
  <c r="H19" i="2"/>
  <c r="G19" i="2"/>
  <c r="D19" i="2"/>
  <c r="C19" i="2"/>
  <c r="B19" i="2"/>
  <c r="A19" i="2"/>
  <c r="J18" i="2"/>
  <c r="I18" i="2"/>
  <c r="H18" i="2"/>
  <c r="G18" i="2"/>
  <c r="D18" i="2"/>
  <c r="C18" i="2"/>
  <c r="B18" i="2"/>
  <c r="A18" i="2"/>
  <c r="J17" i="2"/>
  <c r="I17" i="2"/>
  <c r="H17" i="2"/>
  <c r="G17" i="2"/>
  <c r="D17" i="2"/>
  <c r="C17" i="2"/>
  <c r="B17" i="2"/>
  <c r="A17" i="2"/>
  <c r="J16" i="2"/>
  <c r="I16" i="2"/>
  <c r="H16" i="2"/>
  <c r="G16" i="2"/>
  <c r="D16" i="2"/>
  <c r="C16" i="2"/>
  <c r="B16" i="2"/>
  <c r="A16" i="2"/>
  <c r="J15" i="2"/>
  <c r="I15" i="2"/>
  <c r="H15" i="2"/>
  <c r="G15" i="2"/>
  <c r="D15" i="2"/>
  <c r="C15" i="2"/>
  <c r="B15" i="2"/>
  <c r="A15" i="2"/>
  <c r="J14" i="2"/>
  <c r="I14" i="2"/>
  <c r="H14" i="2"/>
  <c r="G14" i="2"/>
  <c r="D14" i="2"/>
  <c r="C14" i="2"/>
  <c r="B14" i="2"/>
  <c r="A14" i="2"/>
  <c r="J13" i="2"/>
  <c r="I13" i="2"/>
  <c r="H13" i="2"/>
  <c r="G13" i="2"/>
  <c r="D13" i="2"/>
  <c r="C13" i="2"/>
  <c r="B13" i="2"/>
  <c r="A13" i="2"/>
  <c r="J12" i="2"/>
  <c r="I12" i="2"/>
  <c r="H12" i="2"/>
  <c r="G12" i="2"/>
  <c r="D12" i="2"/>
  <c r="C12" i="2"/>
  <c r="B12" i="2"/>
  <c r="A12" i="2"/>
  <c r="J11" i="2"/>
  <c r="I11" i="2"/>
  <c r="H11" i="2"/>
  <c r="G11" i="2"/>
  <c r="D11" i="2"/>
  <c r="C11" i="2"/>
  <c r="B11" i="2"/>
  <c r="A11" i="2"/>
  <c r="J10" i="2"/>
  <c r="I10" i="2"/>
  <c r="H10" i="2"/>
  <c r="G10" i="2"/>
  <c r="D10" i="2"/>
  <c r="C10" i="2"/>
  <c r="B10" i="2"/>
  <c r="A10" i="2"/>
  <c r="J9" i="2"/>
  <c r="I9" i="2"/>
  <c r="H9" i="2"/>
  <c r="G9" i="2"/>
  <c r="D9" i="2"/>
  <c r="C9" i="2"/>
  <c r="B9" i="2"/>
  <c r="A9" i="2"/>
  <c r="J8" i="2"/>
  <c r="I8" i="2"/>
  <c r="H8" i="2"/>
  <c r="G8" i="2"/>
  <c r="D8" i="2"/>
  <c r="C8" i="2"/>
  <c r="B8" i="2"/>
  <c r="A8" i="2"/>
  <c r="J7" i="2"/>
  <c r="I7" i="2"/>
  <c r="H7" i="2"/>
  <c r="G7" i="2"/>
  <c r="D7" i="2"/>
  <c r="C7" i="2"/>
  <c r="B7" i="2"/>
  <c r="A7" i="2"/>
  <c r="J6" i="2"/>
  <c r="I6" i="2"/>
  <c r="H6" i="2"/>
  <c r="G6" i="2"/>
  <c r="D6" i="2"/>
  <c r="C6" i="2"/>
  <c r="B6" i="2"/>
  <c r="A6" i="2"/>
  <c r="J5" i="2"/>
  <c r="I5" i="2"/>
  <c r="H5" i="2"/>
  <c r="G5" i="2"/>
  <c r="D5" i="2"/>
  <c r="C5" i="2"/>
  <c r="B5" i="2"/>
  <c r="A5" i="2"/>
  <c r="J4" i="2"/>
  <c r="I4" i="2"/>
  <c r="H4" i="2"/>
  <c r="G4" i="2"/>
  <c r="D4" i="2"/>
  <c r="C4" i="2"/>
  <c r="B4" i="2"/>
  <c r="A4" i="2"/>
  <c r="J3" i="2"/>
  <c r="I3" i="2"/>
  <c r="H3" i="2"/>
  <c r="G3" i="2"/>
  <c r="D3" i="2"/>
  <c r="C3" i="2"/>
  <c r="B3" i="2"/>
  <c r="A3" i="2"/>
  <c r="L1" i="2"/>
  <c r="AC199" i="1"/>
  <c r="AA199" i="1"/>
  <c r="Z199" i="1"/>
  <c r="Y199" i="1"/>
  <c r="X199" i="1"/>
  <c r="AC198" i="1"/>
  <c r="Z198" i="1"/>
  <c r="Y198" i="1"/>
  <c r="X198" i="1"/>
  <c r="AC197" i="1"/>
  <c r="AA197" i="1"/>
  <c r="Z197" i="1"/>
  <c r="Y197" i="1"/>
  <c r="X197" i="1"/>
  <c r="AC196" i="1"/>
  <c r="AA196" i="1"/>
  <c r="Z196" i="1"/>
  <c r="Y196" i="1"/>
  <c r="X196" i="1"/>
  <c r="AC195" i="1"/>
  <c r="AA195" i="1"/>
  <c r="Z195" i="1"/>
  <c r="Y195" i="1"/>
  <c r="X195" i="1"/>
  <c r="AC194" i="1"/>
  <c r="AA194" i="1"/>
  <c r="Z194" i="1"/>
  <c r="Y194" i="1"/>
  <c r="X194" i="1"/>
  <c r="AC193" i="1"/>
  <c r="AA193" i="1"/>
  <c r="Z193" i="1"/>
  <c r="Y193" i="1"/>
  <c r="X193" i="1"/>
  <c r="AC192" i="1"/>
  <c r="AA192" i="1"/>
  <c r="Z192" i="1"/>
  <c r="Y192" i="1"/>
  <c r="X192" i="1"/>
  <c r="AC191" i="1"/>
  <c r="AA191" i="1"/>
  <c r="Z191" i="1"/>
  <c r="Y191" i="1"/>
  <c r="X191" i="1"/>
  <c r="AC190" i="1"/>
  <c r="AA190" i="1"/>
  <c r="Z190" i="1"/>
  <c r="Y190" i="1"/>
  <c r="X190" i="1"/>
  <c r="AC189" i="1"/>
  <c r="AA189" i="1"/>
  <c r="Z189" i="1"/>
  <c r="Y189" i="1"/>
  <c r="X189" i="1"/>
  <c r="AC188" i="1"/>
  <c r="Z188" i="1"/>
  <c r="Y188" i="1"/>
  <c r="X188" i="1"/>
  <c r="AC187" i="1"/>
  <c r="Z187" i="1"/>
  <c r="Y187" i="1"/>
  <c r="X187" i="1"/>
  <c r="AC186" i="1"/>
  <c r="AA186" i="1"/>
  <c r="Z186" i="1"/>
  <c r="Y186" i="1"/>
  <c r="X186" i="1"/>
  <c r="AC185" i="1"/>
  <c r="Z185" i="1"/>
  <c r="Y185" i="1"/>
  <c r="X185" i="1"/>
  <c r="AC184" i="1"/>
  <c r="Z184" i="1"/>
  <c r="Y184" i="1"/>
  <c r="X184" i="1"/>
  <c r="AC183" i="1"/>
  <c r="Y183" i="1"/>
  <c r="X183" i="1"/>
  <c r="AC182" i="1"/>
  <c r="AC181" i="1"/>
  <c r="Z181" i="1"/>
  <c r="X181" i="1"/>
  <c r="AC180" i="1"/>
  <c r="AA180" i="1"/>
  <c r="Z180" i="1"/>
  <c r="Y180" i="1"/>
  <c r="X180" i="1"/>
  <c r="AC179" i="1"/>
  <c r="AA179" i="1"/>
  <c r="Z179" i="1"/>
  <c r="Y179" i="1"/>
  <c r="X179" i="1"/>
  <c r="AC178" i="1"/>
  <c r="X178" i="1"/>
  <c r="AC177" i="1"/>
  <c r="Y177" i="1"/>
  <c r="X177" i="1"/>
  <c r="AC176" i="1"/>
  <c r="AC175" i="1"/>
  <c r="Z175" i="1"/>
  <c r="Y175" i="1"/>
  <c r="X175" i="1"/>
  <c r="AC174" i="1"/>
  <c r="AA174" i="1"/>
  <c r="Z174" i="1"/>
  <c r="Y174" i="1"/>
  <c r="X174" i="1"/>
  <c r="AC173" i="1"/>
  <c r="AC172" i="1"/>
  <c r="Y172" i="1"/>
  <c r="X172" i="1"/>
  <c r="AC171" i="1"/>
  <c r="AA171" i="1"/>
  <c r="Z171" i="1"/>
  <c r="Y171" i="1"/>
  <c r="X171" i="1"/>
  <c r="AC170" i="1"/>
  <c r="AC169" i="1"/>
  <c r="Z169" i="1"/>
  <c r="Y169" i="1"/>
  <c r="X169" i="1"/>
  <c r="AC168" i="1"/>
  <c r="AA168" i="1"/>
  <c r="Z168" i="1"/>
  <c r="Y168" i="1"/>
  <c r="X168" i="1"/>
  <c r="AC167" i="1"/>
  <c r="AC166" i="1"/>
  <c r="AC165" i="1"/>
  <c r="X165" i="1"/>
  <c r="AC164" i="1"/>
  <c r="X164" i="1"/>
  <c r="AC163" i="1"/>
  <c r="Z163" i="1"/>
  <c r="Y163" i="1"/>
  <c r="X163" i="1"/>
  <c r="AC162" i="1"/>
  <c r="Y162" i="1"/>
  <c r="X162" i="1"/>
  <c r="AC161" i="1"/>
  <c r="Z161" i="1"/>
  <c r="Y161" i="1"/>
  <c r="X161" i="1"/>
  <c r="AC160" i="1"/>
  <c r="AA160" i="1"/>
  <c r="Z160" i="1"/>
  <c r="Y160" i="1"/>
  <c r="X160" i="1"/>
  <c r="AC159" i="1"/>
  <c r="X159" i="1"/>
  <c r="AC158" i="1"/>
  <c r="Y158" i="1"/>
  <c r="X158" i="1"/>
  <c r="AC157" i="1"/>
  <c r="AA157" i="1"/>
  <c r="Z157" i="1"/>
  <c r="Y157" i="1"/>
  <c r="X157" i="1"/>
  <c r="AC156" i="1"/>
  <c r="AA156" i="1"/>
  <c r="Z156" i="1"/>
  <c r="Y156" i="1"/>
  <c r="X156" i="1"/>
  <c r="AC155" i="1"/>
  <c r="AA155" i="1"/>
  <c r="Z155" i="1"/>
  <c r="Y155" i="1"/>
  <c r="X155" i="1"/>
  <c r="AC154" i="1"/>
  <c r="AA154" i="1"/>
  <c r="Z154" i="1"/>
  <c r="Y154" i="1"/>
  <c r="X154" i="1"/>
  <c r="AC153" i="1"/>
  <c r="X153" i="1"/>
  <c r="AC152" i="1"/>
  <c r="Y152" i="1"/>
  <c r="X152" i="1"/>
  <c r="AC151" i="1"/>
  <c r="AA151" i="1"/>
  <c r="Z151" i="1"/>
  <c r="Y151" i="1"/>
  <c r="X151" i="1"/>
  <c r="AC150" i="1"/>
  <c r="AC149" i="1"/>
  <c r="AC148" i="1"/>
  <c r="Y148" i="1"/>
  <c r="X148" i="1"/>
  <c r="AC147" i="1"/>
  <c r="AA147" i="1"/>
  <c r="Z147" i="1"/>
  <c r="Y147" i="1"/>
  <c r="X147" i="1"/>
  <c r="AC146" i="1"/>
  <c r="AC145" i="1"/>
  <c r="X145" i="1"/>
  <c r="AC144" i="1"/>
  <c r="X144" i="1"/>
  <c r="AC143" i="1"/>
  <c r="AC142" i="1"/>
  <c r="AC141" i="1"/>
  <c r="Y141" i="1"/>
  <c r="X141" i="1"/>
  <c r="AC140" i="1"/>
  <c r="X140" i="1"/>
  <c r="AC139" i="1"/>
  <c r="Y139" i="1"/>
  <c r="X139" i="1"/>
  <c r="AC138" i="1"/>
  <c r="X138" i="1"/>
  <c r="AC137" i="1"/>
  <c r="X137" i="1"/>
  <c r="AC136" i="1"/>
  <c r="X136" i="1"/>
  <c r="AC135" i="1"/>
  <c r="AC134" i="1"/>
  <c r="X134" i="1"/>
  <c r="AC133" i="1"/>
  <c r="X133" i="1"/>
  <c r="AC132" i="1"/>
  <c r="AC131" i="1"/>
  <c r="X131" i="1"/>
  <c r="AC130" i="1"/>
  <c r="AC129" i="1"/>
  <c r="Y129" i="1"/>
  <c r="AC128" i="1"/>
  <c r="AC127" i="1"/>
  <c r="Y127" i="1"/>
  <c r="AC126" i="1"/>
  <c r="AC125" i="1"/>
  <c r="X125" i="1"/>
  <c r="AC124" i="1"/>
  <c r="X124" i="1"/>
  <c r="AC123" i="1"/>
  <c r="Z123" i="1"/>
  <c r="Y123" i="1"/>
  <c r="X123" i="1"/>
  <c r="AC122" i="1"/>
  <c r="AA122" i="1"/>
  <c r="Z122" i="1"/>
  <c r="Y122" i="1"/>
  <c r="X122" i="1"/>
  <c r="AC121" i="1"/>
  <c r="Z121" i="1"/>
  <c r="Y121" i="1"/>
  <c r="X121" i="1"/>
  <c r="AC120" i="1"/>
  <c r="Y120" i="1"/>
  <c r="X120" i="1"/>
  <c r="AC119" i="1"/>
  <c r="X119" i="1"/>
  <c r="AC118" i="1"/>
  <c r="X118" i="1"/>
  <c r="AC117" i="1"/>
  <c r="AC116" i="1"/>
  <c r="AC115" i="1"/>
  <c r="AC114" i="1"/>
  <c r="AC113" i="1"/>
  <c r="X113" i="1"/>
  <c r="AC112" i="1"/>
  <c r="AC111" i="1"/>
  <c r="Y111" i="1"/>
  <c r="AC110" i="1"/>
  <c r="AC109" i="1"/>
  <c r="AC108" i="1"/>
  <c r="AC107" i="1"/>
  <c r="Z107" i="1"/>
  <c r="Y107" i="1"/>
  <c r="X107" i="1"/>
  <c r="AC106" i="1"/>
  <c r="AC105" i="1"/>
  <c r="AC104" i="1"/>
  <c r="AC103" i="1"/>
  <c r="AA103" i="1"/>
  <c r="Z103" i="1"/>
  <c r="Y103" i="1"/>
  <c r="X103" i="1"/>
  <c r="AC102" i="1"/>
  <c r="AA102" i="1"/>
  <c r="Z102" i="1"/>
  <c r="Y102" i="1"/>
  <c r="X102" i="1"/>
  <c r="AC101" i="1"/>
  <c r="AA101" i="1"/>
  <c r="Z101" i="1"/>
  <c r="Y101" i="1"/>
  <c r="X101" i="1"/>
  <c r="AC100" i="1"/>
  <c r="AA100" i="1"/>
  <c r="Z100" i="1"/>
  <c r="Y100" i="1"/>
  <c r="X100" i="1"/>
  <c r="AC99" i="1"/>
  <c r="AA99" i="1"/>
  <c r="Z99" i="1"/>
  <c r="Y99" i="1"/>
  <c r="X99" i="1"/>
  <c r="AC98" i="1"/>
  <c r="AA98" i="1"/>
  <c r="Z98" i="1"/>
  <c r="Y98" i="1"/>
  <c r="X98" i="1"/>
  <c r="AC97" i="1"/>
  <c r="AA97" i="1"/>
  <c r="Z97" i="1"/>
  <c r="Y97" i="1"/>
  <c r="X97" i="1"/>
  <c r="AC96" i="1"/>
  <c r="AA96" i="1"/>
  <c r="Z96" i="1"/>
  <c r="Y96" i="1"/>
  <c r="X96" i="1"/>
  <c r="AC95" i="1"/>
  <c r="AA95" i="1"/>
  <c r="Z95" i="1"/>
  <c r="Y95" i="1"/>
  <c r="X95" i="1"/>
  <c r="AC94" i="1"/>
  <c r="AA94" i="1"/>
  <c r="Z94" i="1"/>
  <c r="Y94" i="1"/>
  <c r="X94" i="1"/>
  <c r="AC93" i="1"/>
  <c r="AA93" i="1"/>
  <c r="Z93" i="1"/>
  <c r="Y93" i="1"/>
  <c r="X93" i="1"/>
  <c r="AC92" i="1"/>
  <c r="AA92" i="1"/>
  <c r="Z92" i="1"/>
  <c r="Y92" i="1"/>
  <c r="X92" i="1"/>
  <c r="AC91" i="1"/>
  <c r="AA91" i="1"/>
  <c r="Z91" i="1"/>
  <c r="Y91" i="1"/>
  <c r="X91" i="1"/>
  <c r="AC90" i="1"/>
  <c r="AA90" i="1"/>
  <c r="Z90" i="1"/>
  <c r="Y90" i="1"/>
  <c r="X90" i="1"/>
  <c r="AC89" i="1"/>
  <c r="AA89" i="1"/>
  <c r="Z89" i="1"/>
  <c r="Y89" i="1"/>
  <c r="X89" i="1"/>
  <c r="AC88" i="1"/>
  <c r="AA88" i="1"/>
  <c r="Z88" i="1"/>
  <c r="Y88" i="1"/>
  <c r="X88" i="1"/>
  <c r="AC87" i="1"/>
  <c r="AA87" i="1"/>
  <c r="Z87" i="1"/>
  <c r="Y87" i="1"/>
  <c r="X87" i="1"/>
  <c r="AC86" i="1"/>
  <c r="AA86" i="1"/>
  <c r="Z86" i="1"/>
  <c r="Y86" i="1"/>
  <c r="X86" i="1"/>
  <c r="AC85" i="1"/>
  <c r="AA85" i="1"/>
  <c r="Z85" i="1"/>
  <c r="Y85" i="1"/>
  <c r="X85" i="1"/>
  <c r="AC84" i="1"/>
  <c r="AA84" i="1"/>
  <c r="Z84" i="1"/>
  <c r="Y84" i="1"/>
  <c r="X84" i="1"/>
  <c r="AC83" i="1"/>
  <c r="AA83" i="1"/>
  <c r="Z83" i="1"/>
  <c r="Y83" i="1"/>
  <c r="X83" i="1"/>
  <c r="AC82" i="1"/>
  <c r="AA82" i="1"/>
  <c r="Z82" i="1"/>
  <c r="Y82" i="1"/>
  <c r="X82" i="1"/>
  <c r="AC81" i="1"/>
  <c r="AA81" i="1"/>
  <c r="Z81" i="1"/>
  <c r="Y81" i="1"/>
  <c r="X81" i="1"/>
  <c r="AC80" i="1"/>
  <c r="AA80" i="1"/>
  <c r="Z80" i="1"/>
  <c r="Y80" i="1"/>
  <c r="X80" i="1"/>
  <c r="AC79" i="1"/>
  <c r="Y79" i="1"/>
  <c r="X79" i="1"/>
  <c r="AC78" i="1"/>
  <c r="Y78" i="1"/>
  <c r="X78" i="1"/>
  <c r="AC77" i="1"/>
  <c r="AC76" i="1"/>
  <c r="AC75" i="1"/>
  <c r="Z75" i="1"/>
  <c r="X75" i="1"/>
  <c r="AC74" i="1"/>
  <c r="AC73" i="1"/>
  <c r="AA73" i="1"/>
  <c r="Z73" i="1"/>
  <c r="Y73" i="1"/>
  <c r="X73" i="1"/>
  <c r="AC72" i="1"/>
  <c r="Y72" i="1"/>
  <c r="X72" i="1"/>
  <c r="AC71" i="1"/>
  <c r="AC70" i="1"/>
  <c r="Y70" i="1"/>
  <c r="X70" i="1"/>
  <c r="AC69" i="1"/>
  <c r="AC68" i="1"/>
  <c r="Z68" i="1"/>
  <c r="Y68" i="1"/>
  <c r="X68" i="1"/>
  <c r="AC67" i="1"/>
  <c r="AC66" i="1"/>
  <c r="Y66" i="1"/>
  <c r="X66" i="1"/>
  <c r="AC65" i="1"/>
  <c r="AC64" i="1"/>
  <c r="AI63" i="1"/>
  <c r="AF63" i="1"/>
  <c r="AC63" i="1"/>
  <c r="Y63" i="1"/>
  <c r="AI62" i="1"/>
  <c r="AF62" i="1"/>
  <c r="AC62" i="1"/>
  <c r="AI61" i="1"/>
  <c r="AF61" i="1"/>
  <c r="AC61" i="1"/>
  <c r="AA61" i="1"/>
  <c r="Z61" i="1"/>
  <c r="Y61" i="1"/>
  <c r="X61" i="1"/>
  <c r="AI60" i="1"/>
  <c r="AF60" i="1"/>
  <c r="AC60" i="1"/>
  <c r="AI59" i="1"/>
  <c r="AF59" i="1"/>
  <c r="AC59" i="1"/>
  <c r="AI58" i="1"/>
  <c r="AF58" i="1"/>
  <c r="AC58" i="1"/>
  <c r="AA58" i="1"/>
  <c r="Z58" i="1"/>
  <c r="Y58" i="1"/>
  <c r="X58" i="1"/>
  <c r="AI57" i="1"/>
  <c r="AF57" i="1"/>
  <c r="AC57" i="1"/>
  <c r="AI56" i="1"/>
  <c r="AF56" i="1"/>
  <c r="AC56" i="1"/>
  <c r="AI55" i="1"/>
  <c r="AF55" i="1"/>
  <c r="AC55" i="1"/>
  <c r="AI54" i="1"/>
  <c r="AF54" i="1"/>
  <c r="AC54" i="1"/>
  <c r="AI53" i="1"/>
  <c r="AF53" i="1"/>
  <c r="AC53" i="1"/>
  <c r="AI52" i="1"/>
  <c r="AF52" i="1"/>
  <c r="AC52" i="1"/>
  <c r="AI51" i="1"/>
  <c r="AF51" i="1"/>
  <c r="AC51" i="1"/>
  <c r="X51" i="1"/>
  <c r="AI50" i="1"/>
  <c r="AF50" i="1"/>
  <c r="AC50" i="1"/>
  <c r="AI49" i="1"/>
  <c r="AF49" i="1"/>
  <c r="AC49" i="1"/>
  <c r="X49" i="1"/>
  <c r="AI48" i="1"/>
  <c r="AF48" i="1"/>
  <c r="AC48" i="1"/>
  <c r="AI47" i="1"/>
  <c r="AF47" i="1"/>
  <c r="AC47" i="1"/>
  <c r="AI46" i="1"/>
  <c r="AF46" i="1"/>
  <c r="AC46" i="1"/>
  <c r="X46" i="1"/>
  <c r="AI45" i="1"/>
  <c r="AF45" i="1"/>
  <c r="AC45" i="1"/>
  <c r="Z45" i="1"/>
  <c r="Y45" i="1"/>
  <c r="X45" i="1"/>
  <c r="AI44" i="1"/>
  <c r="AF44" i="1"/>
  <c r="AC44" i="1"/>
  <c r="AI43" i="1"/>
  <c r="AF43" i="1"/>
  <c r="AC43" i="1"/>
  <c r="X43" i="1"/>
  <c r="AI42" i="1"/>
  <c r="AF42" i="1"/>
  <c r="AC42" i="1"/>
  <c r="AI41" i="1"/>
  <c r="AF41" i="1"/>
  <c r="AC41" i="1"/>
  <c r="AI40" i="1"/>
  <c r="AF40" i="1"/>
  <c r="AC40" i="1"/>
  <c r="AI39" i="1"/>
  <c r="AF39" i="1"/>
  <c r="AC39" i="1"/>
  <c r="Y39" i="1"/>
  <c r="X39" i="1"/>
  <c r="AI38" i="1"/>
  <c r="AF38" i="1"/>
  <c r="AC38" i="1"/>
  <c r="AI37" i="1"/>
  <c r="AF37" i="1"/>
  <c r="AC37" i="1"/>
  <c r="AI36" i="1"/>
  <c r="AF36" i="1"/>
  <c r="AC36" i="1"/>
  <c r="AI35" i="1"/>
  <c r="AF35" i="1"/>
  <c r="AC35" i="1"/>
  <c r="AI34" i="1"/>
  <c r="AF34" i="1"/>
  <c r="AC34" i="1"/>
  <c r="AI33" i="1"/>
  <c r="AF33" i="1"/>
  <c r="AC33" i="1"/>
  <c r="AI32" i="1"/>
  <c r="AF32" i="1"/>
  <c r="AC32" i="1"/>
  <c r="AA32" i="1"/>
  <c r="Z32" i="1"/>
  <c r="Y32" i="1"/>
  <c r="X32" i="1"/>
  <c r="AI31" i="1"/>
  <c r="AF31" i="1"/>
  <c r="AC31" i="1"/>
  <c r="AA31" i="1"/>
  <c r="Z31" i="1"/>
  <c r="Y31" i="1"/>
  <c r="X31" i="1"/>
  <c r="AC30" i="1"/>
  <c r="AA30" i="1"/>
  <c r="Z30" i="1"/>
  <c r="Y30" i="1"/>
  <c r="X30" i="1"/>
  <c r="AC29" i="1"/>
  <c r="AA29" i="1"/>
  <c r="Z29" i="1"/>
  <c r="Y29" i="1"/>
  <c r="X29" i="1"/>
  <c r="AC28" i="1"/>
  <c r="AA28" i="1"/>
  <c r="Z28" i="1"/>
  <c r="Y28" i="1"/>
  <c r="X28" i="1"/>
  <c r="AC27" i="1"/>
  <c r="AL26" i="1"/>
  <c r="AC26" i="1"/>
  <c r="AG25" i="1"/>
  <c r="AC25" i="1"/>
  <c r="AG24" i="1"/>
  <c r="AC24" i="1"/>
  <c r="AG23" i="1"/>
  <c r="AC23" i="1"/>
  <c r="Y23" i="1"/>
  <c r="X23" i="1"/>
  <c r="AH22" i="1"/>
  <c r="AG22" i="1"/>
  <c r="AC22" i="1"/>
  <c r="AG21" i="1"/>
  <c r="AC21" i="1"/>
  <c r="AG20" i="1"/>
  <c r="AC20" i="1"/>
  <c r="AG19" i="1"/>
  <c r="AC19" i="1"/>
  <c r="AH18" i="1"/>
  <c r="AG18" i="1"/>
  <c r="AC18" i="1"/>
  <c r="AG17" i="1"/>
  <c r="AC17" i="1"/>
  <c r="AG16" i="1"/>
  <c r="AC16" i="1"/>
  <c r="AG15" i="1"/>
  <c r="AC15" i="1"/>
  <c r="AG14" i="1"/>
  <c r="AC14" i="1"/>
  <c r="AG13" i="1"/>
  <c r="AC13" i="1"/>
  <c r="X13" i="1"/>
  <c r="AG12" i="1"/>
  <c r="AC12" i="1"/>
  <c r="AG11" i="1"/>
  <c r="AC11" i="1"/>
  <c r="X11" i="1"/>
  <c r="AG10" i="1"/>
  <c r="AC10" i="1"/>
  <c r="AG9" i="1"/>
  <c r="AC9" i="1"/>
  <c r="Y9" i="1"/>
  <c r="X9" i="1"/>
  <c r="AI8" i="1"/>
  <c r="AH8" i="1"/>
  <c r="AG8" i="1"/>
  <c r="AC8" i="1"/>
  <c r="AG7" i="1"/>
  <c r="AC7" i="1"/>
  <c r="AI6" i="1"/>
  <c r="AH6" i="1"/>
  <c r="AG6" i="1"/>
  <c r="AC6" i="1"/>
  <c r="AG5" i="1"/>
  <c r="AC5" i="1"/>
  <c r="P5" i="1"/>
  <c r="P4" i="1"/>
  <c r="U3" i="1"/>
  <c r="P3" i="1"/>
  <c r="Z240" i="5" l="1"/>
  <c r="Y240" i="5"/>
  <c r="X240" i="5"/>
  <c r="Z239" i="5"/>
  <c r="Y239" i="5"/>
  <c r="X239" i="5"/>
  <c r="Z238" i="5"/>
  <c r="Y238" i="5"/>
  <c r="X238" i="5"/>
  <c r="Z237" i="5"/>
  <c r="Y237" i="5"/>
  <c r="X237" i="5"/>
  <c r="Z236" i="5"/>
  <c r="Y236" i="5"/>
  <c r="X236" i="5"/>
  <c r="Z235" i="5"/>
  <c r="Y235" i="5"/>
  <c r="X235" i="5"/>
  <c r="Z234" i="5"/>
  <c r="Y234" i="5"/>
  <c r="X234" i="5"/>
  <c r="Z233" i="5"/>
  <c r="Y233" i="5"/>
  <c r="X233" i="5"/>
  <c r="Z232" i="5"/>
  <c r="Y232" i="5"/>
  <c r="X232" i="5"/>
  <c r="Z231" i="5"/>
  <c r="Y231" i="5"/>
  <c r="X231" i="5"/>
  <c r="Z230" i="5"/>
  <c r="Y230" i="5"/>
  <c r="X230" i="5"/>
  <c r="Z229" i="5"/>
  <c r="Y229" i="5"/>
  <c r="X229" i="5"/>
  <c r="Z228" i="5"/>
  <c r="Z227" i="5"/>
  <c r="Y227" i="5"/>
  <c r="X227" i="5"/>
  <c r="Y226" i="5"/>
  <c r="X226" i="5"/>
  <c r="Z225" i="5"/>
  <c r="X224" i="5"/>
  <c r="Z223" i="5"/>
  <c r="X223" i="5"/>
  <c r="Y222" i="5"/>
  <c r="X214" i="5"/>
  <c r="Z211" i="5"/>
  <c r="Z207" i="5"/>
  <c r="Z201" i="5"/>
  <c r="Y197" i="5"/>
  <c r="Z193" i="5"/>
  <c r="X191" i="5"/>
  <c r="Z186" i="5"/>
  <c r="Y184" i="5"/>
  <c r="X179" i="5"/>
  <c r="Y167" i="5"/>
  <c r="Y166" i="5"/>
  <c r="Z161" i="5"/>
  <c r="Y158" i="5"/>
  <c r="Z156" i="5"/>
  <c r="X154" i="5"/>
  <c r="Y153" i="5"/>
  <c r="Z151" i="5"/>
  <c r="X150" i="5"/>
  <c r="Z141" i="5"/>
  <c r="X138" i="5"/>
  <c r="Z134" i="5"/>
  <c r="X133" i="5"/>
  <c r="X131" i="5"/>
  <c r="X130" i="5"/>
  <c r="Z124" i="5"/>
  <c r="X122" i="5"/>
  <c r="Y118" i="5"/>
  <c r="X112" i="5"/>
  <c r="Z106" i="5"/>
  <c r="X103" i="5"/>
  <c r="Y98" i="5"/>
  <c r="Z97" i="5"/>
  <c r="X96" i="5"/>
  <c r="Y93" i="5"/>
  <c r="AD91" i="5"/>
  <c r="X91" i="5"/>
  <c r="AG86" i="5"/>
  <c r="AD68" i="5"/>
  <c r="Z66" i="5"/>
  <c r="AG64" i="5"/>
  <c r="X61" i="5"/>
  <c r="AD60" i="5"/>
  <c r="Y60" i="5"/>
  <c r="Z59" i="5"/>
  <c r="X59" i="5"/>
  <c r="AD54" i="5"/>
  <c r="Z52" i="5"/>
  <c r="AD51" i="5"/>
  <c r="Z51" i="5"/>
  <c r="Y51" i="5"/>
  <c r="X51" i="5"/>
  <c r="AG50" i="5"/>
  <c r="AD50" i="5"/>
  <c r="Z50" i="5"/>
  <c r="Y50" i="5"/>
  <c r="X50" i="5"/>
  <c r="AG49" i="5"/>
  <c r="AD49" i="5"/>
  <c r="Z49" i="5"/>
  <c r="Y49" i="5"/>
  <c r="X49" i="5"/>
  <c r="AG48" i="5"/>
  <c r="AD48" i="5"/>
  <c r="Z48" i="5"/>
  <c r="Y48" i="5"/>
  <c r="X48" i="5"/>
  <c r="AG47" i="5"/>
  <c r="AD47" i="5"/>
  <c r="Z47" i="5"/>
  <c r="Y47" i="5"/>
  <c r="X47" i="5"/>
  <c r="AG46" i="5"/>
  <c r="AD46" i="5"/>
  <c r="Z46" i="5"/>
  <c r="Y46" i="5"/>
  <c r="X46" i="5"/>
  <c r="AG45" i="5"/>
  <c r="AD45" i="5"/>
  <c r="Z45" i="5"/>
  <c r="Y45" i="5"/>
  <c r="X45" i="5"/>
  <c r="AG44" i="5"/>
  <c r="AD44" i="5"/>
  <c r="Z44" i="5"/>
  <c r="Y44" i="5"/>
  <c r="X44" i="5"/>
  <c r="AG43" i="5"/>
  <c r="AD43" i="5"/>
  <c r="Z43" i="5"/>
  <c r="Y43" i="5"/>
  <c r="X43" i="5"/>
  <c r="AG42" i="5"/>
  <c r="AD42" i="5"/>
  <c r="Z42" i="5"/>
  <c r="Y42" i="5"/>
  <c r="X42" i="5"/>
  <c r="AG41" i="5"/>
  <c r="AD41" i="5"/>
  <c r="Z41" i="5"/>
  <c r="Y41" i="5"/>
  <c r="X41" i="5"/>
  <c r="AG40" i="5"/>
  <c r="AD40" i="5"/>
  <c r="Z40" i="5"/>
  <c r="Y40" i="5"/>
  <c r="X40" i="5"/>
  <c r="AG39" i="5"/>
  <c r="AD39" i="5"/>
  <c r="Z39" i="5"/>
  <c r="Y39" i="5"/>
  <c r="X39" i="5"/>
  <c r="AG38" i="5"/>
  <c r="AD38" i="5"/>
  <c r="Z38" i="5"/>
  <c r="Y38" i="5"/>
  <c r="X38" i="5"/>
  <c r="AG37" i="5"/>
  <c r="AD37" i="5"/>
  <c r="Z37" i="5"/>
  <c r="Y37" i="5"/>
  <c r="X37" i="5"/>
  <c r="AG36" i="5"/>
  <c r="AD36" i="5"/>
  <c r="Z36" i="5"/>
  <c r="Y36" i="5"/>
  <c r="X36" i="5"/>
  <c r="AG35" i="5"/>
  <c r="AD35" i="5"/>
  <c r="Z35" i="5"/>
  <c r="Y35" i="5"/>
  <c r="X35" i="5"/>
  <c r="AG34" i="5"/>
  <c r="AD34" i="5"/>
  <c r="Z34" i="5"/>
  <c r="Y34" i="5"/>
  <c r="X34" i="5"/>
  <c r="AG33" i="5"/>
  <c r="AD33" i="5"/>
  <c r="Z33" i="5"/>
  <c r="Y33" i="5"/>
  <c r="X33" i="5"/>
  <c r="AG32" i="5"/>
  <c r="AD32" i="5"/>
  <c r="Z32" i="5"/>
  <c r="Y32" i="5"/>
  <c r="X32" i="5"/>
  <c r="AG31" i="5"/>
  <c r="AD31" i="5"/>
  <c r="Z31" i="5"/>
  <c r="Y31" i="5"/>
  <c r="X31" i="5"/>
  <c r="Z30" i="5"/>
  <c r="Y30" i="5"/>
  <c r="X30" i="5"/>
  <c r="Z29" i="5"/>
  <c r="Y29" i="5"/>
  <c r="X29" i="5"/>
  <c r="Z28" i="5"/>
  <c r="Y28" i="5"/>
  <c r="X28" i="5"/>
  <c r="Z27" i="5"/>
  <c r="Y27" i="5"/>
  <c r="X27" i="5"/>
  <c r="Z26" i="5"/>
  <c r="Y26" i="5"/>
  <c r="X26" i="5"/>
  <c r="Z25" i="5"/>
  <c r="Y25" i="5"/>
  <c r="X25" i="5"/>
  <c r="Z24" i="5"/>
  <c r="Y24" i="5"/>
  <c r="X24" i="5"/>
  <c r="Z23" i="5"/>
  <c r="Y23" i="5"/>
  <c r="X23" i="5"/>
  <c r="Z22" i="5"/>
  <c r="Y22" i="5"/>
  <c r="X22" i="5"/>
  <c r="Z21" i="5"/>
  <c r="Y21" i="5"/>
  <c r="X21" i="5"/>
  <c r="Z20" i="5"/>
  <c r="Y20" i="5"/>
  <c r="X20" i="5"/>
  <c r="Z19" i="5"/>
  <c r="Y19" i="5"/>
  <c r="X19" i="5"/>
  <c r="Z18" i="5"/>
  <c r="Y18" i="5"/>
  <c r="X18" i="5"/>
  <c r="Z17" i="5"/>
  <c r="Y17" i="5"/>
  <c r="X17" i="5"/>
  <c r="Z16" i="5"/>
  <c r="Y16" i="5"/>
  <c r="X16" i="5"/>
  <c r="Z15" i="5"/>
  <c r="Y15" i="5"/>
  <c r="X15" i="5"/>
  <c r="Z14" i="5"/>
  <c r="Y14" i="5"/>
  <c r="X14" i="5"/>
  <c r="Z13" i="5"/>
  <c r="Y13" i="5"/>
  <c r="X13" i="5"/>
  <c r="Z12" i="5"/>
  <c r="Y12" i="5"/>
  <c r="X12" i="5"/>
  <c r="Z11" i="5"/>
  <c r="Y11" i="5"/>
  <c r="X11" i="5"/>
  <c r="Z10" i="5"/>
  <c r="Y10" i="5"/>
  <c r="X10" i="5"/>
  <c r="Z9" i="5"/>
  <c r="Y9" i="5"/>
  <c r="X9" i="5"/>
  <c r="Z8" i="5"/>
  <c r="Y8" i="5"/>
  <c r="X8" i="5"/>
  <c r="Z7" i="5"/>
  <c r="Y7" i="5"/>
  <c r="X7" i="5"/>
  <c r="Z6" i="5"/>
  <c r="Y6" i="5"/>
  <c r="X6" i="5"/>
  <c r="Z5" i="5"/>
  <c r="Y5" i="5"/>
  <c r="X5" i="5"/>
  <c r="Z4" i="5"/>
  <c r="Y4" i="5"/>
  <c r="X4" i="5"/>
  <c r="W4" i="5"/>
  <c r="Z88" i="5"/>
  <c r="X86" i="5"/>
  <c r="X81" i="5"/>
  <c r="AD80" i="5"/>
  <c r="Z78" i="5"/>
  <c r="AG77" i="5"/>
  <c r="Z77" i="5"/>
  <c r="Z76" i="5"/>
  <c r="AD74" i="5"/>
  <c r="AD73" i="5"/>
  <c r="Z73" i="5"/>
  <c r="Z69" i="5"/>
  <c r="Y63" i="5"/>
  <c r="X62" i="5"/>
  <c r="X60" i="5"/>
  <c r="AD59" i="5"/>
  <c r="Y57" i="5"/>
  <c r="Y56" i="5"/>
  <c r="AD55" i="5"/>
  <c r="X55" i="5"/>
  <c r="Y210" i="5"/>
  <c r="Y208" i="5"/>
  <c r="X207" i="5"/>
  <c r="Y205" i="5"/>
  <c r="X204" i="5"/>
  <c r="Y201" i="5"/>
  <c r="Z198" i="5"/>
  <c r="Y194" i="5"/>
  <c r="X193" i="5"/>
  <c r="Y187" i="5"/>
  <c r="X186" i="5"/>
  <c r="Y169" i="5"/>
  <c r="Z166" i="5"/>
  <c r="Z165" i="5"/>
  <c r="Y162" i="5"/>
  <c r="Z159" i="5"/>
  <c r="Y155" i="5"/>
  <c r="X144" i="5"/>
  <c r="Y140" i="5"/>
  <c r="Y139" i="5"/>
  <c r="Z122" i="5"/>
  <c r="Z121" i="5"/>
  <c r="X119" i="5"/>
  <c r="Z117" i="5"/>
  <c r="X115" i="5"/>
  <c r="Z110" i="5"/>
  <c r="Y105" i="5"/>
  <c r="Z102" i="5"/>
  <c r="X100" i="5"/>
  <c r="X89" i="5"/>
  <c r="Y86" i="5"/>
  <c r="AG85" i="5"/>
  <c r="Z84" i="5"/>
  <c r="AG82" i="5"/>
  <c r="Y78" i="5"/>
  <c r="X76" i="5"/>
  <c r="AG75" i="5"/>
  <c r="Y75" i="5"/>
  <c r="Z67" i="5"/>
  <c r="AD65" i="5"/>
  <c r="X65" i="5"/>
  <c r="AG59" i="5"/>
  <c r="Y59" i="5"/>
  <c r="AD56" i="5"/>
  <c r="AG55" i="5"/>
  <c r="X213" i="5"/>
  <c r="Z210" i="5"/>
  <c r="Y206" i="5"/>
  <c r="Y204" i="5"/>
  <c r="X203" i="5"/>
  <c r="X197" i="5"/>
  <c r="Y190" i="5"/>
  <c r="Z188" i="5"/>
  <c r="Z184" i="5"/>
  <c r="X183" i="5"/>
  <c r="Y180" i="5"/>
  <c r="X177" i="5"/>
  <c r="X176" i="5"/>
  <c r="Z175" i="5"/>
  <c r="Y171" i="5"/>
  <c r="Y168" i="5"/>
  <c r="Y164" i="5"/>
  <c r="Y160" i="5"/>
  <c r="Z142" i="5"/>
  <c r="X141" i="5"/>
  <c r="X132" i="5"/>
  <c r="Y131" i="5"/>
  <c r="Y129" i="5"/>
  <c r="Z126" i="5"/>
  <c r="X117" i="5"/>
  <c r="Y114" i="5"/>
  <c r="Y112" i="5"/>
  <c r="Y111" i="5"/>
  <c r="X105" i="5"/>
  <c r="X99" i="5"/>
  <c r="Y94" i="5"/>
  <c r="AG90" i="5"/>
  <c r="X84" i="5"/>
  <c r="Z83" i="5"/>
  <c r="Y82" i="5"/>
  <c r="AD79" i="5"/>
  <c r="Y76" i="5"/>
  <c r="AD70" i="5"/>
  <c r="X70" i="5"/>
  <c r="AG68" i="5"/>
  <c r="Z68" i="5"/>
  <c r="Y67" i="5"/>
  <c r="AG58" i="5"/>
  <c r="Y58" i="5"/>
  <c r="Z56" i="5"/>
  <c r="AG52" i="5"/>
  <c r="Y52" i="5"/>
  <c r="Y220" i="5"/>
  <c r="Z215" i="5"/>
  <c r="Z214" i="5"/>
  <c r="X202" i="5"/>
  <c r="X192" i="5"/>
  <c r="Y188" i="5"/>
  <c r="Y176" i="5"/>
  <c r="Y175" i="5"/>
  <c r="Z174" i="5"/>
  <c r="Z173" i="5"/>
  <c r="Y170" i="5"/>
  <c r="Z168" i="5"/>
  <c r="X162" i="5"/>
  <c r="Z158" i="5"/>
  <c r="Y156" i="5"/>
  <c r="Y154" i="5"/>
  <c r="Z149" i="5"/>
  <c r="Y148" i="5"/>
  <c r="Z147" i="5"/>
  <c r="Y142" i="5"/>
  <c r="Z140" i="5"/>
  <c r="Y137" i="5"/>
  <c r="X135" i="5"/>
  <c r="Z127" i="5"/>
  <c r="Y124" i="5"/>
  <c r="Y123" i="5"/>
  <c r="Z119" i="5"/>
  <c r="Y117" i="5"/>
  <c r="X116" i="5"/>
  <c r="X114" i="5"/>
  <c r="Z109" i="5"/>
  <c r="X106" i="5"/>
  <c r="Y96" i="5"/>
  <c r="Z94" i="5"/>
  <c r="X92" i="5"/>
  <c r="Y87" i="5"/>
  <c r="Y85" i="5"/>
  <c r="AD83" i="5"/>
  <c r="Z80" i="5"/>
  <c r="Z79" i="5"/>
  <c r="AG78" i="5"/>
  <c r="X77" i="5"/>
  <c r="Z74" i="5"/>
  <c r="AG72" i="5"/>
  <c r="AD69" i="5"/>
  <c r="Y65" i="5"/>
  <c r="Y64" i="5"/>
  <c r="X63" i="5"/>
  <c r="AG60" i="5"/>
  <c r="Z58" i="5"/>
  <c r="Z57" i="5"/>
  <c r="Y221" i="5"/>
  <c r="X218" i="5"/>
  <c r="X217" i="5"/>
  <c r="Z213" i="5"/>
  <c r="X209" i="5"/>
  <c r="Y207" i="5"/>
  <c r="Z202" i="5"/>
  <c r="Y199" i="5"/>
  <c r="X194" i="5"/>
  <c r="Z191" i="5"/>
  <c r="X189" i="5"/>
  <c r="Z185" i="5"/>
  <c r="Y183" i="5"/>
  <c r="Z182" i="5"/>
  <c r="X180" i="5"/>
  <c r="X172" i="5"/>
  <c r="X169" i="5"/>
  <c r="X167" i="5"/>
  <c r="X166" i="5"/>
  <c r="X165" i="5"/>
  <c r="X163" i="5"/>
  <c r="Y161" i="5"/>
  <c r="Y159" i="5"/>
  <c r="X158" i="5"/>
  <c r="X157" i="5"/>
  <c r="Z154" i="5"/>
  <c r="Y152" i="5"/>
  <c r="X145" i="5"/>
  <c r="Y143" i="5"/>
  <c r="Z139" i="5"/>
  <c r="X137" i="5"/>
  <c r="Y136" i="5"/>
  <c r="Y135" i="5"/>
  <c r="Y132" i="5"/>
  <c r="Z130" i="5"/>
  <c r="Z128" i="5"/>
  <c r="Y125" i="5"/>
  <c r="Z123" i="5"/>
  <c r="X120" i="5"/>
  <c r="Z116" i="5"/>
  <c r="Y115" i="5"/>
  <c r="X110" i="5"/>
  <c r="Y107" i="5"/>
  <c r="Z105" i="5"/>
  <c r="Y103" i="5"/>
  <c r="X101" i="5"/>
  <c r="Z100" i="5"/>
  <c r="Z99" i="5"/>
  <c r="X95" i="5"/>
  <c r="AG91" i="5"/>
  <c r="Y89" i="5"/>
  <c r="AD88" i="5"/>
  <c r="Z87" i="5"/>
  <c r="AD86" i="5"/>
  <c r="X85" i="5"/>
  <c r="Z82" i="5"/>
  <c r="AG81" i="5"/>
  <c r="Z81" i="5"/>
  <c r="X74" i="5"/>
  <c r="X73" i="5"/>
  <c r="Z72" i="5"/>
  <c r="Z71" i="5"/>
  <c r="AG69" i="5"/>
  <c r="Y69" i="5"/>
  <c r="AG67" i="5"/>
  <c r="X66" i="5"/>
  <c r="AD62" i="5"/>
  <c r="Y62" i="5"/>
  <c r="AG61" i="5"/>
  <c r="Z60" i="5"/>
  <c r="AG56" i="5"/>
  <c r="X56" i="5"/>
  <c r="Y54" i="5"/>
  <c r="AD53" i="5"/>
  <c r="Y53" i="5"/>
  <c r="Y224" i="5"/>
  <c r="X222" i="5"/>
  <c r="Z221" i="5"/>
  <c r="Z220" i="5"/>
  <c r="Z219" i="5"/>
  <c r="Z218" i="5"/>
  <c r="Z217" i="5"/>
  <c r="Z216" i="5"/>
  <c r="X216" i="5"/>
  <c r="Y215" i="5"/>
  <c r="X212" i="5"/>
  <c r="Y211" i="5"/>
  <c r="Y200" i="5"/>
  <c r="Z199" i="5"/>
  <c r="X196" i="5"/>
  <c r="Y191" i="5"/>
  <c r="Z187" i="5"/>
  <c r="Y186" i="5"/>
  <c r="Y185" i="5"/>
  <c r="X184" i="5"/>
  <c r="Z181" i="5"/>
  <c r="X181" i="5"/>
  <c r="Y179" i="5"/>
  <c r="Z172" i="5"/>
  <c r="Z170" i="5"/>
  <c r="Z169" i="5"/>
  <c r="Z167" i="5"/>
  <c r="Y163" i="5"/>
  <c r="Y157" i="5"/>
  <c r="X155" i="5"/>
  <c r="Z152" i="5"/>
  <c r="X151" i="5"/>
  <c r="Y150" i="5"/>
  <c r="Z148" i="5"/>
  <c r="X140" i="5"/>
  <c r="X139" i="5"/>
  <c r="Y138" i="5"/>
  <c r="Z135" i="5"/>
  <c r="Y133" i="5"/>
  <c r="X127" i="5"/>
  <c r="X126" i="5"/>
  <c r="X123" i="5"/>
  <c r="Y121" i="5"/>
  <c r="Z120" i="5"/>
  <c r="X118" i="5"/>
  <c r="Z115" i="5"/>
  <c r="Y113" i="5"/>
  <c r="X109" i="5"/>
  <c r="Z107" i="5"/>
  <c r="Z104" i="5"/>
  <c r="Z103" i="5"/>
  <c r="Z98" i="5"/>
  <c r="X94" i="5"/>
  <c r="X93" i="5"/>
  <c r="X90" i="5"/>
  <c r="AG88" i="5"/>
  <c r="AD87" i="5"/>
  <c r="Z85" i="5"/>
  <c r="AD84" i="5"/>
  <c r="AG83" i="5"/>
  <c r="X83" i="5"/>
  <c r="Y80" i="5"/>
  <c r="Y79" i="5"/>
  <c r="Y74" i="5"/>
  <c r="AD72" i="5"/>
  <c r="Y72" i="5"/>
  <c r="X71" i="5"/>
  <c r="Z70" i="5"/>
  <c r="X69" i="5"/>
  <c r="AD66" i="5"/>
  <c r="Y66" i="5"/>
  <c r="Z64" i="5"/>
  <c r="Y61" i="5"/>
  <c r="AD58" i="5"/>
  <c r="AD57" i="5"/>
  <c r="AG53" i="5"/>
  <c r="Z53" i="5"/>
  <c r="AD52" i="5"/>
  <c r="Z226" i="5"/>
  <c r="Z224" i="5"/>
  <c r="Y223" i="5"/>
  <c r="X220" i="5"/>
  <c r="Y219" i="5"/>
  <c r="Y217" i="5"/>
  <c r="Y216" i="5"/>
  <c r="Y214" i="5"/>
  <c r="X211" i="5"/>
  <c r="Y209" i="5"/>
  <c r="Z208" i="5"/>
  <c r="Z205" i="5"/>
  <c r="Z204" i="5"/>
  <c r="X198" i="5"/>
  <c r="Y196" i="5"/>
  <c r="Z195" i="5"/>
  <c r="Z192" i="5"/>
  <c r="Z189" i="5"/>
  <c r="X187" i="5"/>
  <c r="X182" i="5"/>
  <c r="Y178" i="5"/>
  <c r="Z171" i="5"/>
  <c r="Z163" i="5"/>
  <c r="Z160" i="5"/>
  <c r="X152" i="5"/>
  <c r="Y151" i="5"/>
  <c r="Z150" i="5"/>
  <c r="Y149" i="5"/>
  <c r="Y146" i="5"/>
  <c r="Y145" i="5"/>
  <c r="X142" i="5"/>
  <c r="Z138" i="5"/>
  <c r="Y134" i="5"/>
  <c r="Z132" i="5"/>
  <c r="X129" i="5"/>
  <c r="Y128" i="5"/>
  <c r="Y127" i="5"/>
  <c r="Y116" i="5"/>
  <c r="Z112" i="5"/>
  <c r="X111" i="5"/>
  <c r="Y110" i="5"/>
  <c r="Y109" i="5"/>
  <c r="X107" i="5"/>
  <c r="Y106" i="5"/>
  <c r="X104" i="5"/>
  <c r="Y101" i="5"/>
  <c r="Y99" i="5"/>
  <c r="X98" i="5"/>
  <c r="X97" i="5"/>
  <c r="AD89" i="5"/>
  <c r="Y88" i="5"/>
  <c r="AG87" i="5"/>
  <c r="Y84" i="5"/>
  <c r="AD81" i="5"/>
  <c r="AG80" i="5"/>
  <c r="X79" i="5"/>
  <c r="AD78" i="5"/>
  <c r="AD76" i="5"/>
  <c r="Y73" i="5"/>
  <c r="X72" i="5"/>
  <c r="AG70" i="5"/>
  <c r="AD67" i="5"/>
  <c r="AG66" i="5"/>
  <c r="AD63" i="5"/>
  <c r="X57" i="5"/>
  <c r="Z55" i="5"/>
  <c r="X52" i="5"/>
  <c r="Y212" i="5"/>
  <c r="X210" i="5"/>
  <c r="X208" i="5"/>
  <c r="X205" i="5"/>
  <c r="Y203" i="5"/>
  <c r="X200" i="5"/>
  <c r="X199" i="5"/>
  <c r="Y198" i="5"/>
  <c r="Z196" i="5"/>
  <c r="X195" i="5"/>
  <c r="Z194" i="5"/>
  <c r="X190" i="5"/>
  <c r="Y189" i="5"/>
  <c r="Y181" i="5"/>
  <c r="X178" i="5"/>
  <c r="X173" i="5"/>
  <c r="Y165" i="5"/>
  <c r="X164" i="5"/>
  <c r="Z162" i="5"/>
  <c r="X159" i="5"/>
  <c r="Z157" i="5"/>
  <c r="Z155" i="5"/>
  <c r="X153" i="5"/>
  <c r="Y144" i="5"/>
  <c r="X143" i="5"/>
  <c r="Z137" i="5"/>
  <c r="X136" i="5"/>
  <c r="Z133" i="5"/>
  <c r="X125" i="5"/>
  <c r="X124" i="5"/>
  <c r="Y122" i="5"/>
  <c r="Y108" i="5"/>
  <c r="Y102" i="5"/>
  <c r="Z101" i="5"/>
  <c r="Z96" i="5"/>
  <c r="Z95" i="5"/>
  <c r="Z93" i="5"/>
  <c r="Z92" i="5"/>
  <c r="Z91" i="5"/>
  <c r="X88" i="5"/>
  <c r="AD85" i="5"/>
  <c r="Y83" i="5"/>
  <c r="Y81" i="5"/>
  <c r="X80" i="5"/>
  <c r="X78" i="5"/>
  <c r="AG76" i="5"/>
  <c r="AD75" i="5"/>
  <c r="X75" i="5"/>
  <c r="AG73" i="5"/>
  <c r="AD71" i="5"/>
  <c r="Z65" i="5"/>
  <c r="AG63" i="5"/>
  <c r="Z63" i="5"/>
  <c r="AG62" i="5"/>
  <c r="Z62" i="5"/>
  <c r="X58" i="5"/>
  <c r="AG57" i="5"/>
  <c r="Y55" i="5"/>
  <c r="AG54" i="5"/>
  <c r="X54" i="5"/>
  <c r="X53" i="5"/>
  <c r="X206" i="5"/>
  <c r="Y202" i="5"/>
  <c r="Z197" i="5"/>
  <c r="Y195" i="5"/>
  <c r="Y193" i="5"/>
  <c r="Z190" i="5"/>
  <c r="X185" i="5"/>
  <c r="Z183" i="5"/>
  <c r="Z180" i="5"/>
  <c r="Z178" i="5"/>
  <c r="X174" i="5"/>
  <c r="Y173" i="5"/>
  <c r="X171" i="5"/>
  <c r="X170" i="5"/>
  <c r="X168" i="5"/>
  <c r="X160" i="5"/>
  <c r="X146" i="5"/>
  <c r="Z143" i="5"/>
  <c r="Y141" i="5"/>
  <c r="Z131" i="5"/>
  <c r="Y130" i="5"/>
  <c r="X128" i="5"/>
  <c r="Z125" i="5"/>
  <c r="Y119" i="5"/>
  <c r="X113" i="5"/>
  <c r="Z111" i="5"/>
  <c r="Z108" i="5"/>
  <c r="Y104" i="5"/>
  <c r="Y95" i="5"/>
  <c r="Y92" i="5"/>
  <c r="Y91" i="5"/>
  <c r="Z90" i="5"/>
  <c r="AG89" i="5"/>
  <c r="Z89" i="5"/>
  <c r="X87" i="5"/>
  <c r="Z86" i="5"/>
  <c r="AG84" i="5"/>
  <c r="AG79" i="5"/>
  <c r="AD77" i="5"/>
  <c r="Z75" i="5"/>
  <c r="AG74" i="5"/>
  <c r="Y70" i="5"/>
  <c r="X68" i="5"/>
  <c r="AD64" i="5"/>
  <c r="X64" i="5"/>
  <c r="AD61" i="5"/>
  <c r="X221" i="5"/>
  <c r="X219" i="5"/>
  <c r="Y218" i="5"/>
  <c r="Y213" i="5"/>
  <c r="Z212" i="5"/>
  <c r="Z209" i="5"/>
  <c r="Z206" i="5"/>
  <c r="Z203" i="5"/>
  <c r="X201" i="5"/>
  <c r="Z200" i="5"/>
  <c r="Y192" i="5"/>
  <c r="Y182" i="5"/>
  <c r="Z179" i="5"/>
  <c r="Z176" i="5"/>
  <c r="X175" i="5"/>
  <c r="Y174" i="5"/>
  <c r="Y172" i="5"/>
  <c r="Z164" i="5"/>
  <c r="X161" i="5"/>
  <c r="Z153" i="5"/>
  <c r="X148" i="5"/>
  <c r="Y147" i="5"/>
  <c r="Z146" i="5"/>
  <c r="Z145" i="5"/>
  <c r="Z144" i="5"/>
  <c r="Z136" i="5"/>
  <c r="X134" i="5"/>
  <c r="Z129" i="5"/>
  <c r="Y126" i="5"/>
  <c r="X121" i="5"/>
  <c r="Y120" i="5"/>
  <c r="Z118" i="5"/>
  <c r="Z114" i="5"/>
  <c r="Z113" i="5"/>
  <c r="X108" i="5"/>
  <c r="X102" i="5"/>
  <c r="Y100" i="5"/>
  <c r="Y97" i="5"/>
  <c r="AD90" i="5"/>
  <c r="Y90" i="5"/>
  <c r="AD82" i="5"/>
  <c r="X82" i="5"/>
  <c r="Y77" i="5"/>
  <c r="AG71" i="5"/>
  <c r="Y71" i="5"/>
  <c r="Y68" i="5"/>
  <c r="X67" i="5"/>
  <c r="AG65" i="5"/>
  <c r="Z61" i="5"/>
  <c r="Z54" i="5"/>
  <c r="Z240" i="4"/>
  <c r="Y240" i="4"/>
  <c r="X240" i="4"/>
  <c r="Z239" i="4"/>
  <c r="Y239" i="4"/>
  <c r="X239" i="4"/>
  <c r="Z238" i="4"/>
  <c r="Y238" i="4"/>
  <c r="X238" i="4"/>
  <c r="Z237" i="4"/>
  <c r="Y237" i="4"/>
  <c r="X237" i="4"/>
  <c r="Z236" i="4"/>
  <c r="Y236" i="4"/>
  <c r="X236" i="4"/>
  <c r="Z235" i="4"/>
  <c r="Y235" i="4"/>
  <c r="X235" i="4"/>
  <c r="Z234" i="4"/>
  <c r="Y234" i="4"/>
  <c r="X234" i="4"/>
  <c r="Z233" i="4"/>
  <c r="Y233" i="4"/>
  <c r="X233" i="4"/>
  <c r="Z232" i="4"/>
  <c r="Y232" i="4"/>
  <c r="X232" i="4"/>
  <c r="Z231" i="4"/>
  <c r="Y231" i="4"/>
  <c r="X231" i="4"/>
  <c r="Z230" i="4"/>
  <c r="Y230" i="4"/>
  <c r="X230" i="4"/>
  <c r="Z229" i="4"/>
  <c r="Y229" i="4"/>
  <c r="X229" i="4"/>
  <c r="Z228" i="4"/>
  <c r="Y228" i="4"/>
  <c r="X228" i="4"/>
  <c r="Z227" i="4"/>
  <c r="Y227" i="4"/>
  <c r="X227" i="4"/>
  <c r="Z226" i="4"/>
  <c r="Y226" i="4"/>
  <c r="X226" i="4"/>
  <c r="Z225" i="4"/>
  <c r="Y225" i="4"/>
  <c r="X225" i="4"/>
  <c r="Z224" i="4"/>
  <c r="Y224" i="4"/>
  <c r="X224" i="4"/>
  <c r="Z223" i="4"/>
  <c r="Y223" i="4"/>
  <c r="X223" i="4"/>
  <c r="Z222" i="4"/>
  <c r="Y222" i="4"/>
  <c r="X222" i="4"/>
  <c r="Z221" i="4"/>
  <c r="Y221" i="4"/>
  <c r="X221" i="4"/>
  <c r="Z220" i="4"/>
  <c r="Y220" i="4"/>
  <c r="X220" i="4"/>
  <c r="Z219" i="4"/>
  <c r="Y219" i="4"/>
  <c r="Z218" i="4"/>
  <c r="Y218" i="4"/>
  <c r="Z217" i="4"/>
  <c r="Y217" i="4"/>
  <c r="X217" i="4"/>
  <c r="Z216" i="4"/>
  <c r="Y216" i="4"/>
  <c r="X215" i="4"/>
  <c r="X214" i="4"/>
  <c r="Y213" i="4"/>
  <c r="X213" i="4"/>
  <c r="Y212" i="4"/>
  <c r="X212" i="4"/>
  <c r="Z211" i="4"/>
  <c r="X211" i="4"/>
  <c r="Z210" i="4"/>
  <c r="X210" i="4"/>
  <c r="X209" i="4"/>
  <c r="X205" i="4"/>
  <c r="Z203" i="4"/>
  <c r="Z195" i="4"/>
  <c r="Y194" i="4"/>
  <c r="Y193" i="4"/>
  <c r="Z190" i="4"/>
  <c r="X187" i="4"/>
  <c r="X186" i="4"/>
  <c r="X182" i="4"/>
  <c r="X170" i="4"/>
  <c r="X167" i="4"/>
  <c r="X160" i="4"/>
  <c r="Y159" i="4"/>
  <c r="Y152" i="4"/>
  <c r="Y151" i="4"/>
  <c r="Y150" i="4"/>
  <c r="Z148" i="4"/>
  <c r="Y147" i="4"/>
  <c r="X146" i="4"/>
  <c r="Z143" i="4"/>
  <c r="Y138" i="4"/>
  <c r="X136" i="4"/>
  <c r="Z133" i="4"/>
  <c r="Z128" i="4"/>
  <c r="Z125" i="4"/>
  <c r="Z123" i="4"/>
  <c r="Y122" i="4"/>
  <c r="X119" i="4"/>
  <c r="X118" i="4"/>
  <c r="X114" i="4"/>
  <c r="Y111" i="4"/>
  <c r="Z95" i="4"/>
  <c r="X93" i="4"/>
  <c r="Y92" i="4"/>
  <c r="Z86" i="4"/>
  <c r="Y84" i="4"/>
  <c r="X83" i="4"/>
  <c r="X79" i="4"/>
  <c r="Z73" i="4"/>
  <c r="AG72" i="4"/>
  <c r="Z72" i="4"/>
  <c r="AG71" i="4"/>
  <c r="Y71" i="4"/>
  <c r="Y70" i="4"/>
  <c r="X69" i="4"/>
  <c r="AD68" i="4"/>
  <c r="AG66" i="4"/>
  <c r="Y66" i="4"/>
  <c r="Y65" i="4"/>
  <c r="X64" i="4"/>
  <c r="AG62" i="4"/>
  <c r="Z61" i="4"/>
  <c r="X60" i="4"/>
  <c r="AD58" i="4"/>
  <c r="AG57" i="4"/>
  <c r="X53" i="4"/>
  <c r="Z52" i="4"/>
  <c r="AG48" i="4"/>
  <c r="AD48" i="4"/>
  <c r="Z48" i="4"/>
  <c r="Y48" i="4"/>
  <c r="X48" i="4"/>
  <c r="AG47" i="4"/>
  <c r="AD47" i="4"/>
  <c r="Z47" i="4"/>
  <c r="Y47" i="4"/>
  <c r="X47" i="4"/>
  <c r="AG46" i="4"/>
  <c r="AD46" i="4"/>
  <c r="Z46" i="4"/>
  <c r="Y46" i="4"/>
  <c r="X46" i="4"/>
  <c r="AG45" i="4"/>
  <c r="AD45" i="4"/>
  <c r="Z45" i="4"/>
  <c r="Y45" i="4"/>
  <c r="X45" i="4"/>
  <c r="AG44" i="4"/>
  <c r="AD44" i="4"/>
  <c r="Z44" i="4"/>
  <c r="Y44" i="4"/>
  <c r="X44" i="4"/>
  <c r="AG43" i="4"/>
  <c r="AD43" i="4"/>
  <c r="Z43" i="4"/>
  <c r="Y43" i="4"/>
  <c r="X43" i="4"/>
  <c r="AG42" i="4"/>
  <c r="AD42" i="4"/>
  <c r="Z42" i="4"/>
  <c r="Y42" i="4"/>
  <c r="X42" i="4"/>
  <c r="AG41" i="4"/>
  <c r="AD41" i="4"/>
  <c r="Z41" i="4"/>
  <c r="Y41" i="4"/>
  <c r="X41" i="4"/>
  <c r="AG40" i="4"/>
  <c r="AD40" i="4"/>
  <c r="Z40" i="4"/>
  <c r="Y40" i="4"/>
  <c r="X40" i="4"/>
  <c r="AG39" i="4"/>
  <c r="AD39" i="4"/>
  <c r="Z39" i="4"/>
  <c r="Y39" i="4"/>
  <c r="X39" i="4"/>
  <c r="AG38" i="4"/>
  <c r="AD38" i="4"/>
  <c r="Z38" i="4"/>
  <c r="Y38" i="4"/>
  <c r="X38" i="4"/>
  <c r="AG37" i="4"/>
  <c r="AD37" i="4"/>
  <c r="Z37" i="4"/>
  <c r="Y37" i="4"/>
  <c r="X37" i="4"/>
  <c r="AG36" i="4"/>
  <c r="AD36" i="4"/>
  <c r="Z36" i="4"/>
  <c r="Y36" i="4"/>
  <c r="X36" i="4"/>
  <c r="AG35" i="4"/>
  <c r="AD35" i="4"/>
  <c r="Z35" i="4"/>
  <c r="Y35" i="4"/>
  <c r="X35" i="4"/>
  <c r="AG34" i="4"/>
  <c r="AD34" i="4"/>
  <c r="Z34" i="4"/>
  <c r="Y34" i="4"/>
  <c r="X34" i="4"/>
  <c r="AG33" i="4"/>
  <c r="AD33" i="4"/>
  <c r="Z33" i="4"/>
  <c r="Y33" i="4"/>
  <c r="X33" i="4"/>
  <c r="AG32" i="4"/>
  <c r="AD32" i="4"/>
  <c r="Z32" i="4"/>
  <c r="Y32" i="4"/>
  <c r="X32" i="4"/>
  <c r="AG31" i="4"/>
  <c r="AD31" i="4"/>
  <c r="Z31" i="4"/>
  <c r="Y31" i="4"/>
  <c r="X31" i="4"/>
  <c r="Z30" i="4"/>
  <c r="Y30" i="4"/>
  <c r="X30" i="4"/>
  <c r="Z29" i="4"/>
  <c r="Y29" i="4"/>
  <c r="X29" i="4"/>
  <c r="Z28" i="4"/>
  <c r="Y28" i="4"/>
  <c r="X28" i="4"/>
  <c r="Z27" i="4"/>
  <c r="Y27" i="4"/>
  <c r="X27" i="4"/>
  <c r="Z26" i="4"/>
  <c r="Y26" i="4"/>
  <c r="X26" i="4"/>
  <c r="Z25" i="4"/>
  <c r="Y25" i="4"/>
  <c r="X25" i="4"/>
  <c r="Z24" i="4"/>
  <c r="Y24" i="4"/>
  <c r="X24" i="4"/>
  <c r="Z23" i="4"/>
  <c r="Y23" i="4"/>
  <c r="X23" i="4"/>
  <c r="Z22" i="4"/>
  <c r="Y22" i="4"/>
  <c r="X22" i="4"/>
  <c r="Z21" i="4"/>
  <c r="Y21" i="4"/>
  <c r="X21" i="4"/>
  <c r="Z20" i="4"/>
  <c r="Y20" i="4"/>
  <c r="X20" i="4"/>
  <c r="Z19" i="4"/>
  <c r="Y19" i="4"/>
  <c r="X19" i="4"/>
  <c r="Z18" i="4"/>
  <c r="Y18" i="4"/>
  <c r="X18" i="4"/>
  <c r="Z17" i="4"/>
  <c r="Y17" i="4"/>
  <c r="X17" i="4"/>
  <c r="Z16" i="4"/>
  <c r="Y16" i="4"/>
  <c r="X16" i="4"/>
  <c r="Z15" i="4"/>
  <c r="Y15" i="4"/>
  <c r="X15" i="4"/>
  <c r="Z14" i="4"/>
  <c r="Y14" i="4"/>
  <c r="X14" i="4"/>
  <c r="Z13" i="4"/>
  <c r="Y13" i="4"/>
  <c r="X13" i="4"/>
  <c r="Z12" i="4"/>
  <c r="Y12" i="4"/>
  <c r="X12" i="4"/>
  <c r="Z11" i="4"/>
  <c r="Y11" i="4"/>
  <c r="X11" i="4"/>
  <c r="Z10" i="4"/>
  <c r="Y10" i="4"/>
  <c r="X10" i="4"/>
  <c r="Z9" i="4"/>
  <c r="Y9" i="4"/>
  <c r="X9" i="4"/>
  <c r="Z8" i="4"/>
  <c r="Y8" i="4"/>
  <c r="X8" i="4"/>
  <c r="Z7" i="4"/>
  <c r="Y7" i="4"/>
  <c r="X7" i="4"/>
  <c r="Z6" i="4"/>
  <c r="Y6" i="4"/>
  <c r="X6" i="4"/>
  <c r="Z5" i="4"/>
  <c r="Y5" i="4"/>
  <c r="X5" i="4"/>
  <c r="Z4" i="4"/>
  <c r="Y4" i="4"/>
  <c r="X4" i="4"/>
  <c r="W4" i="4"/>
  <c r="Y205" i="4"/>
  <c r="Y203" i="4"/>
  <c r="Y202" i="4"/>
  <c r="X200" i="4"/>
  <c r="Y196" i="4"/>
  <c r="X192" i="4"/>
  <c r="Z187" i="4"/>
  <c r="Z184" i="4"/>
  <c r="Y180" i="4"/>
  <c r="Y177" i="4"/>
  <c r="Y176" i="4"/>
  <c r="Z169" i="4"/>
  <c r="X159" i="4"/>
  <c r="Z157" i="4"/>
  <c r="X152" i="4"/>
  <c r="X143" i="4"/>
  <c r="Z141" i="4"/>
  <c r="X140" i="4"/>
  <c r="Y139" i="4"/>
  <c r="Y134" i="4"/>
  <c r="Y126" i="4"/>
  <c r="Y117" i="4"/>
  <c r="X115" i="4"/>
  <c r="Y109" i="4"/>
  <c r="Z108" i="4"/>
  <c r="Y107" i="4"/>
  <c r="X100" i="4"/>
  <c r="Z98" i="4"/>
  <c r="Y97" i="4"/>
  <c r="Y90" i="4"/>
  <c r="Z88" i="4"/>
  <c r="Y76" i="4"/>
  <c r="AD75" i="4"/>
  <c r="Y74" i="4"/>
  <c r="AG73" i="4"/>
  <c r="Y73" i="4"/>
  <c r="X73" i="4"/>
  <c r="AD72" i="4"/>
  <c r="Y72" i="4"/>
  <c r="AG70" i="4"/>
  <c r="Y69" i="4"/>
  <c r="Z68" i="4"/>
  <c r="AD67" i="4"/>
  <c r="Z60" i="4"/>
  <c r="AG56" i="4"/>
  <c r="Y52" i="4"/>
  <c r="Y51" i="4"/>
  <c r="Y208" i="4"/>
  <c r="Y199" i="4"/>
  <c r="X197" i="4"/>
  <c r="X196" i="4"/>
  <c r="Y187" i="4"/>
  <c r="Y186" i="4"/>
  <c r="Y184" i="4"/>
  <c r="X183" i="4"/>
  <c r="Y179" i="4"/>
  <c r="Y178" i="4"/>
  <c r="Z176" i="4"/>
  <c r="X175" i="4"/>
  <c r="X163" i="4"/>
  <c r="Z160" i="4"/>
  <c r="X155" i="4"/>
  <c r="X151" i="4"/>
  <c r="Z147" i="4"/>
  <c r="Z140" i="4"/>
  <c r="Z135" i="4"/>
  <c r="X135" i="4"/>
  <c r="Z131" i="4"/>
  <c r="X129" i="4"/>
  <c r="Y127" i="4"/>
  <c r="Z124" i="4"/>
  <c r="Y123" i="4"/>
  <c r="Y121" i="4"/>
  <c r="Z117" i="4"/>
  <c r="X117" i="4"/>
  <c r="X116" i="4"/>
  <c r="Y115" i="4"/>
  <c r="Y114" i="4"/>
  <c r="Z113" i="4"/>
  <c r="Z106" i="4"/>
  <c r="X104" i="4"/>
  <c r="Y103" i="4"/>
  <c r="Y100" i="4"/>
  <c r="Z97" i="4"/>
  <c r="X96" i="4"/>
  <c r="X89" i="4"/>
  <c r="Y88" i="4"/>
  <c r="Z84" i="4"/>
  <c r="Y83" i="4"/>
  <c r="Y82" i="4"/>
  <c r="X80" i="4"/>
  <c r="X78" i="4"/>
  <c r="AD77" i="4"/>
  <c r="Z76" i="4"/>
  <c r="AG68" i="4"/>
  <c r="AG67" i="4"/>
  <c r="Y67" i="4"/>
  <c r="Z66" i="4"/>
  <c r="AD64" i="4"/>
  <c r="X62" i="4"/>
  <c r="X59" i="4"/>
  <c r="AG53" i="4"/>
  <c r="Z53" i="4"/>
  <c r="AG52" i="4"/>
  <c r="X51" i="4"/>
  <c r="Y50" i="4"/>
  <c r="AD49" i="4"/>
  <c r="X195" i="4"/>
  <c r="Y185" i="4"/>
  <c r="X184" i="4"/>
  <c r="Z180" i="4"/>
  <c r="Z173" i="4"/>
  <c r="Y172" i="4"/>
  <c r="Z164" i="4"/>
  <c r="Z159" i="4"/>
  <c r="X149" i="4"/>
  <c r="Z145" i="4"/>
  <c r="Y142" i="4"/>
  <c r="Z139" i="4"/>
  <c r="Z137" i="4"/>
  <c r="Y133" i="4"/>
  <c r="X126" i="4"/>
  <c r="X125" i="4"/>
  <c r="Y116" i="4"/>
  <c r="X110" i="4"/>
  <c r="Y108" i="4"/>
  <c r="Y105" i="4"/>
  <c r="Y104" i="4"/>
  <c r="Z102" i="4"/>
  <c r="Y99" i="4"/>
  <c r="X97" i="4"/>
  <c r="Y96" i="4"/>
  <c r="Z93" i="4"/>
  <c r="Z91" i="4"/>
  <c r="X91" i="4"/>
  <c r="Y86" i="4"/>
  <c r="Z83" i="4"/>
  <c r="Z81" i="4"/>
  <c r="Y79" i="4"/>
  <c r="Z77" i="4"/>
  <c r="AG76" i="4"/>
  <c r="AG75" i="4"/>
  <c r="Y75" i="4"/>
  <c r="AG74" i="4"/>
  <c r="X71" i="4"/>
  <c r="Z70" i="4"/>
  <c r="X66" i="4"/>
  <c r="Z65" i="4"/>
  <c r="Z63" i="4"/>
  <c r="AD57" i="4"/>
  <c r="Y56" i="4"/>
  <c r="AD55" i="4"/>
  <c r="X55" i="4"/>
  <c r="Z54" i="4"/>
  <c r="AD52" i="4"/>
  <c r="X52" i="4"/>
  <c r="AG51" i="4"/>
  <c r="AD50" i="4"/>
  <c r="X50" i="4"/>
  <c r="Z207" i="4"/>
  <c r="Y204" i="4"/>
  <c r="X203" i="4"/>
  <c r="X201" i="4"/>
  <c r="Y200" i="4"/>
  <c r="Z197" i="4"/>
  <c r="Z196" i="4"/>
  <c r="Y195" i="4"/>
  <c r="Z192" i="4"/>
  <c r="Z191" i="4"/>
  <c r="Z188" i="4"/>
  <c r="Z186" i="4"/>
  <c r="Z182" i="4"/>
  <c r="Z181" i="4"/>
  <c r="Z179" i="4"/>
  <c r="Z177" i="4"/>
  <c r="X176" i="4"/>
  <c r="Z174" i="4"/>
  <c r="Y173" i="4"/>
  <c r="X171" i="4"/>
  <c r="Y167" i="4"/>
  <c r="X166" i="4"/>
  <c r="Y165" i="4"/>
  <c r="Y164" i="4"/>
  <c r="X162" i="4"/>
  <c r="X158" i="4"/>
  <c r="Y157" i="4"/>
  <c r="Z155" i="4"/>
  <c r="X154" i="4"/>
  <c r="Y153" i="4"/>
  <c r="X150" i="4"/>
  <c r="Y149" i="4"/>
  <c r="Y148" i="4"/>
  <c r="Y146" i="4"/>
  <c r="X145" i="4"/>
  <c r="Y144" i="4"/>
  <c r="Y140" i="4"/>
  <c r="Z138" i="4"/>
  <c r="X137" i="4"/>
  <c r="Y135" i="4"/>
  <c r="X134" i="4"/>
  <c r="X133" i="4"/>
  <c r="Y132" i="4"/>
  <c r="Y131" i="4"/>
  <c r="Y130" i="4"/>
  <c r="X128" i="4"/>
  <c r="X127" i="4"/>
  <c r="Y118" i="4"/>
  <c r="Z114" i="4"/>
  <c r="Z111" i="4"/>
  <c r="Z110" i="4"/>
  <c r="Z107" i="4"/>
  <c r="Y106" i="4"/>
  <c r="Z105" i="4"/>
  <c r="Z103" i="4"/>
  <c r="X102" i="4"/>
  <c r="X99" i="4"/>
  <c r="X98" i="4"/>
  <c r="X94" i="4"/>
  <c r="X92" i="4"/>
  <c r="Y89" i="4"/>
  <c r="Z87" i="4"/>
  <c r="Z82" i="4"/>
  <c r="X82" i="4"/>
  <c r="Z80" i="4"/>
  <c r="AD73" i="4"/>
  <c r="Z71" i="4"/>
  <c r="AD70" i="4"/>
  <c r="X70" i="4"/>
  <c r="AD69" i="4"/>
  <c r="Y68" i="4"/>
  <c r="AG61" i="4"/>
  <c r="AG60" i="4"/>
  <c r="Y60" i="4"/>
  <c r="X58" i="4"/>
  <c r="Z56" i="4"/>
  <c r="Z55" i="4"/>
  <c r="AG54" i="4"/>
  <c r="X54" i="4"/>
  <c r="Y53" i="4"/>
  <c r="AD51" i="4"/>
  <c r="AG50" i="4"/>
  <c r="X218" i="4"/>
  <c r="X216" i="4"/>
  <c r="Y215" i="4"/>
  <c r="Z212" i="4"/>
  <c r="X208" i="4"/>
  <c r="X207" i="4"/>
  <c r="Z206" i="4"/>
  <c r="Z205" i="4"/>
  <c r="X204" i="4"/>
  <c r="Y198" i="4"/>
  <c r="Z194" i="4"/>
  <c r="X193" i="4"/>
  <c r="Y192" i="4"/>
  <c r="X191" i="4"/>
  <c r="X185" i="4"/>
  <c r="X172" i="4"/>
  <c r="Z170" i="4"/>
  <c r="Z167" i="4"/>
  <c r="Z166" i="4"/>
  <c r="Y163" i="4"/>
  <c r="X148" i="4"/>
  <c r="X147" i="4"/>
  <c r="Y143" i="4"/>
  <c r="Y141" i="4"/>
  <c r="Y136" i="4"/>
  <c r="Z130" i="4"/>
  <c r="Y129" i="4"/>
  <c r="Y128" i="4"/>
  <c r="Z126" i="4"/>
  <c r="Y124" i="4"/>
  <c r="X123" i="4"/>
  <c r="X122" i="4"/>
  <c r="Z121" i="4"/>
  <c r="Z120" i="4"/>
  <c r="Z119" i="4"/>
  <c r="Z118" i="4"/>
  <c r="X113" i="4"/>
  <c r="Z101" i="4"/>
  <c r="Y93" i="4"/>
  <c r="Z92" i="4"/>
  <c r="Z79" i="4"/>
  <c r="Y78" i="4"/>
  <c r="X76" i="4"/>
  <c r="AG69" i="4"/>
  <c r="X68" i="4"/>
  <c r="AG65" i="4"/>
  <c r="AG63" i="4"/>
  <c r="AD62" i="4"/>
  <c r="X57" i="4"/>
  <c r="AG55" i="4"/>
  <c r="Y54" i="4"/>
  <c r="Z215" i="4"/>
  <c r="Z213" i="4"/>
  <c r="Y211" i="4"/>
  <c r="Y210" i="4"/>
  <c r="Z209" i="4"/>
  <c r="Y207" i="4"/>
  <c r="Y206" i="4"/>
  <c r="Z201" i="4"/>
  <c r="Z193" i="4"/>
  <c r="Y191" i="4"/>
  <c r="X190" i="4"/>
  <c r="X189" i="4"/>
  <c r="X188" i="4"/>
  <c r="Z185" i="4"/>
  <c r="Y182" i="4"/>
  <c r="X181" i="4"/>
  <c r="X179" i="4"/>
  <c r="X177" i="4"/>
  <c r="Y175" i="4"/>
  <c r="Y174" i="4"/>
  <c r="X173" i="4"/>
  <c r="Y171" i="4"/>
  <c r="Y169" i="4"/>
  <c r="X168" i="4"/>
  <c r="X165" i="4"/>
  <c r="Z162" i="4"/>
  <c r="Z161" i="4"/>
  <c r="Y160" i="4"/>
  <c r="Z158" i="4"/>
  <c r="Z156" i="4"/>
  <c r="Y154" i="4"/>
  <c r="Z153" i="4"/>
  <c r="Y63" i="4"/>
  <c r="Z62" i="4"/>
  <c r="Z57" i="4"/>
  <c r="AD53" i="4"/>
  <c r="X206" i="4"/>
  <c r="Z199" i="4"/>
  <c r="Z189" i="4"/>
  <c r="Z175" i="4"/>
  <c r="X174" i="4"/>
  <c r="Z172" i="4"/>
  <c r="Z171" i="4"/>
  <c r="X169" i="4"/>
  <c r="Z165" i="4"/>
  <c r="X164" i="4"/>
  <c r="X157" i="4"/>
  <c r="X156" i="4"/>
  <c r="Z151" i="4"/>
  <c r="Y145" i="4"/>
  <c r="X144" i="4"/>
  <c r="Z142" i="4"/>
  <c r="X141" i="4"/>
  <c r="X139" i="4"/>
  <c r="Z134" i="4"/>
  <c r="X131" i="4"/>
  <c r="X130" i="4"/>
  <c r="X124" i="4"/>
  <c r="X120" i="4"/>
  <c r="X112" i="4"/>
  <c r="X111" i="4"/>
  <c r="Y110" i="4"/>
  <c r="X106" i="4"/>
  <c r="Y102" i="4"/>
  <c r="Z100" i="4"/>
  <c r="Z99" i="4"/>
  <c r="Z96" i="4"/>
  <c r="Y95" i="4"/>
  <c r="Y94" i="4"/>
  <c r="Z90" i="4"/>
  <c r="X86" i="4"/>
  <c r="Y85" i="4"/>
  <c r="Y81" i="4"/>
  <c r="X77" i="4"/>
  <c r="AD65" i="4"/>
  <c r="X65" i="4"/>
  <c r="X61" i="4"/>
  <c r="AG59" i="4"/>
  <c r="Z59" i="4"/>
  <c r="Y57" i="4"/>
  <c r="Y55" i="4"/>
  <c r="Z50" i="4"/>
  <c r="Z208" i="4"/>
  <c r="Z204" i="4"/>
  <c r="Z202" i="4"/>
  <c r="Y201" i="4"/>
  <c r="Z200" i="4"/>
  <c r="X199" i="4"/>
  <c r="Y197" i="4"/>
  <c r="X194" i="4"/>
  <c r="Z183" i="4"/>
  <c r="X180" i="4"/>
  <c r="X178" i="4"/>
  <c r="Y170" i="4"/>
  <c r="Y168" i="4"/>
  <c r="Z163" i="4"/>
  <c r="X161" i="4"/>
  <c r="Y158" i="4"/>
  <c r="Z152" i="4"/>
  <c r="Z146" i="4"/>
  <c r="Z144" i="4"/>
  <c r="Z136" i="4"/>
  <c r="X132" i="4"/>
  <c r="Z129" i="4"/>
  <c r="Z127" i="4"/>
  <c r="Z122" i="4"/>
  <c r="X121" i="4"/>
  <c r="Y119" i="4"/>
  <c r="Z116" i="4"/>
  <c r="Z115" i="4"/>
  <c r="Z112" i="4"/>
  <c r="X109" i="4"/>
  <c r="X108" i="4"/>
  <c r="X105" i="4"/>
  <c r="Z104" i="4"/>
  <c r="X103" i="4"/>
  <c r="X101" i="4"/>
  <c r="Y98" i="4"/>
  <c r="Z94" i="4"/>
  <c r="X90" i="4"/>
  <c r="Z89" i="4"/>
  <c r="X87" i="4"/>
  <c r="X85" i="4"/>
  <c r="X84" i="4"/>
  <c r="X81" i="4"/>
  <c r="AG77" i="4"/>
  <c r="Y77" i="4"/>
  <c r="AD76" i="4"/>
  <c r="Z75" i="4"/>
  <c r="X75" i="4"/>
  <c r="AD74" i="4"/>
  <c r="Z74" i="4"/>
  <c r="X74" i="4"/>
  <c r="X72" i="4"/>
  <c r="AD71" i="4"/>
  <c r="Z69" i="4"/>
  <c r="Z67" i="4"/>
  <c r="X67" i="4"/>
  <c r="AD66" i="4"/>
  <c r="Z64" i="4"/>
  <c r="AD60" i="4"/>
  <c r="AG58" i="4"/>
  <c r="Z58" i="4"/>
  <c r="AD56" i="4"/>
  <c r="X56" i="4"/>
  <c r="AD54" i="4"/>
  <c r="Z51" i="4"/>
  <c r="AG49" i="4"/>
  <c r="Z198" i="4"/>
  <c r="Y190" i="4"/>
  <c r="Y189" i="4"/>
  <c r="Y188" i="4"/>
  <c r="Y183" i="4"/>
  <c r="Y181" i="4"/>
  <c r="Z178" i="4"/>
  <c r="Z168" i="4"/>
  <c r="Y166" i="4"/>
  <c r="Y162" i="4"/>
  <c r="Y161" i="4"/>
  <c r="Y155" i="4"/>
  <c r="Z154" i="4"/>
  <c r="X153" i="4"/>
  <c r="Z150" i="4"/>
  <c r="Z149" i="4"/>
  <c r="X142" i="4"/>
  <c r="X138" i="4"/>
  <c r="Y137" i="4"/>
  <c r="Z132" i="4"/>
  <c r="Y125" i="4"/>
  <c r="Y120" i="4"/>
  <c r="Y113" i="4"/>
  <c r="Y112" i="4"/>
  <c r="Z109" i="4"/>
  <c r="X107" i="4"/>
  <c r="Y101" i="4"/>
  <c r="X95" i="4"/>
  <c r="Y91" i="4"/>
  <c r="X88" i="4"/>
  <c r="Y87" i="4"/>
  <c r="Z85" i="4"/>
  <c r="Y80" i="4"/>
  <c r="AG64" i="4"/>
  <c r="Y64" i="4"/>
  <c r="AD63" i="4"/>
  <c r="X63" i="4"/>
  <c r="Y62" i="4"/>
  <c r="AD61" i="4"/>
  <c r="Y61" i="4"/>
  <c r="AD59" i="4"/>
  <c r="Y59" i="4"/>
  <c r="Y58" i="4"/>
  <c r="Z240" i="3"/>
  <c r="Y240" i="3"/>
  <c r="X240" i="3"/>
  <c r="Z239" i="3"/>
  <c r="Y239" i="3"/>
  <c r="X239" i="3"/>
  <c r="Z238" i="3"/>
  <c r="Y238" i="3"/>
  <c r="X238" i="3"/>
  <c r="Z237" i="3"/>
  <c r="Y237" i="3"/>
  <c r="X237" i="3"/>
  <c r="Z236" i="3"/>
  <c r="Y236" i="3"/>
  <c r="X236" i="3"/>
  <c r="Z235" i="3"/>
  <c r="Y235" i="3"/>
  <c r="X235" i="3"/>
  <c r="Z234" i="3"/>
  <c r="Y234" i="3"/>
  <c r="X234" i="3"/>
  <c r="Z233" i="3"/>
  <c r="Y233" i="3"/>
  <c r="X233" i="3"/>
  <c r="Z232" i="3"/>
  <c r="Y232" i="3"/>
  <c r="X232" i="3"/>
  <c r="Z231" i="3"/>
  <c r="Y231" i="3"/>
  <c r="X231" i="3"/>
  <c r="Z230" i="3"/>
  <c r="Y230" i="3"/>
  <c r="X230" i="3"/>
  <c r="Z229" i="3"/>
  <c r="Y229" i="3"/>
  <c r="X229" i="3"/>
  <c r="Z228" i="3"/>
  <c r="Y228" i="3"/>
  <c r="X228" i="3"/>
  <c r="Z227" i="3"/>
  <c r="Y227" i="3"/>
  <c r="X227" i="3"/>
  <c r="Z226" i="3"/>
  <c r="Y226" i="3"/>
  <c r="X226" i="3"/>
  <c r="Z225" i="3"/>
  <c r="Y225" i="3"/>
  <c r="X225" i="3"/>
  <c r="Z224" i="3"/>
  <c r="Y224" i="3"/>
  <c r="X224" i="3"/>
  <c r="Z223" i="3"/>
  <c r="Y223" i="3"/>
  <c r="X223" i="3"/>
  <c r="Z222" i="3"/>
  <c r="Y222" i="3"/>
  <c r="X222" i="3"/>
  <c r="Z221" i="3"/>
  <c r="Y221" i="3"/>
  <c r="X221" i="3"/>
  <c r="Z220" i="3"/>
  <c r="Y220" i="3"/>
  <c r="X220" i="3"/>
  <c r="Z219" i="3"/>
  <c r="X219" i="3"/>
  <c r="Y218" i="3"/>
  <c r="Y217" i="3"/>
  <c r="Y216" i="3"/>
  <c r="Z215" i="3"/>
  <c r="Y215" i="3"/>
  <c r="Y214" i="3"/>
  <c r="X213" i="3"/>
  <c r="Y212" i="3"/>
  <c r="X211" i="3"/>
  <c r="X210" i="3"/>
  <c r="Z209" i="3"/>
  <c r="Y208" i="3"/>
  <c r="Z206" i="3"/>
  <c r="X206" i="3"/>
  <c r="Z201" i="3"/>
  <c r="Y186" i="3"/>
  <c r="Z185" i="3"/>
  <c r="Z181" i="3"/>
  <c r="Z179" i="3"/>
  <c r="Z172" i="3"/>
  <c r="Z157" i="3"/>
  <c r="Z156" i="3"/>
  <c r="X156" i="3"/>
  <c r="X141" i="3"/>
  <c r="Z138" i="3"/>
  <c r="Y135" i="3"/>
  <c r="Y129" i="3"/>
  <c r="Y126" i="3"/>
  <c r="Z124" i="3"/>
  <c r="Y123" i="3"/>
  <c r="Z120" i="3"/>
  <c r="Y119" i="3"/>
  <c r="Y118" i="3"/>
  <c r="Y117" i="3"/>
  <c r="Y114" i="3"/>
  <c r="Z113" i="3"/>
  <c r="Z106" i="3"/>
  <c r="Y105" i="3"/>
  <c r="Z103" i="3"/>
  <c r="X76" i="3"/>
  <c r="Z74" i="3"/>
  <c r="AG71" i="3"/>
  <c r="AD69" i="3"/>
  <c r="X69" i="3"/>
  <c r="AD49" i="3"/>
  <c r="Z49" i="3"/>
  <c r="Y49" i="3"/>
  <c r="X49" i="3"/>
  <c r="AG48" i="3"/>
  <c r="AD48" i="3"/>
  <c r="Z48" i="3"/>
  <c r="Y48" i="3"/>
  <c r="X48" i="3"/>
  <c r="AG47" i="3"/>
  <c r="AD47" i="3"/>
  <c r="Z47" i="3"/>
  <c r="Y47" i="3"/>
  <c r="X47" i="3"/>
  <c r="AG46" i="3"/>
  <c r="AD46" i="3"/>
  <c r="Z46" i="3"/>
  <c r="Y46" i="3"/>
  <c r="X46" i="3"/>
  <c r="AG45" i="3"/>
  <c r="AD45" i="3"/>
  <c r="Z45" i="3"/>
  <c r="Y45" i="3"/>
  <c r="X45" i="3"/>
  <c r="AG44" i="3"/>
  <c r="AD44" i="3"/>
  <c r="Z44" i="3"/>
  <c r="Y44" i="3"/>
  <c r="X44" i="3"/>
  <c r="AG43" i="3"/>
  <c r="AD43" i="3"/>
  <c r="Z43" i="3"/>
  <c r="Y43" i="3"/>
  <c r="X43" i="3"/>
  <c r="AG42" i="3"/>
  <c r="AD42" i="3"/>
  <c r="Z42" i="3"/>
  <c r="Y42" i="3"/>
  <c r="X42" i="3"/>
  <c r="AG41" i="3"/>
  <c r="AD41" i="3"/>
  <c r="Z41" i="3"/>
  <c r="Y41" i="3"/>
  <c r="X41" i="3"/>
  <c r="AG40" i="3"/>
  <c r="AD40" i="3"/>
  <c r="Z40" i="3"/>
  <c r="Y40" i="3"/>
  <c r="X40" i="3"/>
  <c r="AG39" i="3"/>
  <c r="AD39" i="3"/>
  <c r="Z39" i="3"/>
  <c r="Y39" i="3"/>
  <c r="X39" i="3"/>
  <c r="AG38" i="3"/>
  <c r="AD38" i="3"/>
  <c r="Z38" i="3"/>
  <c r="Y38" i="3"/>
  <c r="X38" i="3"/>
  <c r="AG37" i="3"/>
  <c r="AD37" i="3"/>
  <c r="Z37" i="3"/>
  <c r="Y37" i="3"/>
  <c r="X37" i="3"/>
  <c r="AG36" i="3"/>
  <c r="AD36" i="3"/>
  <c r="Z36" i="3"/>
  <c r="Y36" i="3"/>
  <c r="X36" i="3"/>
  <c r="AG35" i="3"/>
  <c r="AD35" i="3"/>
  <c r="Z35" i="3"/>
  <c r="Y35" i="3"/>
  <c r="X35" i="3"/>
  <c r="AG34" i="3"/>
  <c r="AD34" i="3"/>
  <c r="Z34" i="3"/>
  <c r="Y34" i="3"/>
  <c r="X34" i="3"/>
  <c r="AG33" i="3"/>
  <c r="AD33" i="3"/>
  <c r="Z33" i="3"/>
  <c r="Y33" i="3"/>
  <c r="X33" i="3"/>
  <c r="AG32" i="3"/>
  <c r="AD32" i="3"/>
  <c r="Z32" i="3"/>
  <c r="Y32" i="3"/>
  <c r="X32" i="3"/>
  <c r="AG31" i="3"/>
  <c r="AD31" i="3"/>
  <c r="Z31" i="3"/>
  <c r="Y31" i="3"/>
  <c r="X31" i="3"/>
  <c r="Z30" i="3"/>
  <c r="Y30" i="3"/>
  <c r="X30" i="3"/>
  <c r="Z29" i="3"/>
  <c r="Y29" i="3"/>
  <c r="X29" i="3"/>
  <c r="Z28" i="3"/>
  <c r="Y28" i="3"/>
  <c r="X28" i="3"/>
  <c r="Z27" i="3"/>
  <c r="Y27" i="3"/>
  <c r="X27" i="3"/>
  <c r="Z26" i="3"/>
  <c r="Y26" i="3"/>
  <c r="X26" i="3"/>
  <c r="Z25" i="3"/>
  <c r="Y25" i="3"/>
  <c r="X25" i="3"/>
  <c r="Z24" i="3"/>
  <c r="Y24" i="3"/>
  <c r="X24" i="3"/>
  <c r="Z23" i="3"/>
  <c r="Y23" i="3"/>
  <c r="X23" i="3"/>
  <c r="Z22" i="3"/>
  <c r="Y22" i="3"/>
  <c r="X22" i="3"/>
  <c r="Z21" i="3"/>
  <c r="Y21" i="3"/>
  <c r="X21" i="3"/>
  <c r="Z20" i="3"/>
  <c r="Y20" i="3"/>
  <c r="X20" i="3"/>
  <c r="Z19" i="3"/>
  <c r="Y19" i="3"/>
  <c r="X19" i="3"/>
  <c r="Z18" i="3"/>
  <c r="Y18" i="3"/>
  <c r="X18" i="3"/>
  <c r="Z17" i="3"/>
  <c r="Y17" i="3"/>
  <c r="X17" i="3"/>
  <c r="Z16" i="3"/>
  <c r="Y16" i="3"/>
  <c r="X16" i="3"/>
  <c r="Z15" i="3"/>
  <c r="Y15" i="3"/>
  <c r="X15" i="3"/>
  <c r="Z14" i="3"/>
  <c r="Y14" i="3"/>
  <c r="X14" i="3"/>
  <c r="Z13" i="3"/>
  <c r="Y13" i="3"/>
  <c r="X13" i="3"/>
  <c r="Z12" i="3"/>
  <c r="Y12" i="3"/>
  <c r="X12" i="3"/>
  <c r="Z11" i="3"/>
  <c r="Y11" i="3"/>
  <c r="X11" i="3"/>
  <c r="Z10" i="3"/>
  <c r="Y10" i="3"/>
  <c r="X10" i="3"/>
  <c r="Z9" i="3"/>
  <c r="Y9" i="3"/>
  <c r="X9" i="3"/>
  <c r="Z8" i="3"/>
  <c r="Y8" i="3"/>
  <c r="X8" i="3"/>
  <c r="Z7" i="3"/>
  <c r="Y7" i="3"/>
  <c r="X7" i="3"/>
  <c r="Z6" i="3"/>
  <c r="Y6" i="3"/>
  <c r="X6" i="3"/>
  <c r="Z5" i="3"/>
  <c r="Y5" i="3"/>
  <c r="X5" i="3"/>
  <c r="Z4" i="3"/>
  <c r="Y4" i="3"/>
  <c r="X4" i="3"/>
  <c r="W4" i="3"/>
  <c r="X79" i="3"/>
  <c r="X74" i="3"/>
  <c r="Y72" i="3"/>
  <c r="Y71" i="3"/>
  <c r="AG70" i="3"/>
  <c r="AG69" i="3"/>
  <c r="Y69" i="3"/>
  <c r="Y67" i="3"/>
  <c r="AG65" i="3"/>
  <c r="X63" i="3"/>
  <c r="AD62" i="3"/>
  <c r="X62" i="3"/>
  <c r="Z61" i="3"/>
  <c r="AG60" i="3"/>
  <c r="Y59" i="3"/>
  <c r="AG58" i="3"/>
  <c r="Y57" i="3"/>
  <c r="X55" i="3"/>
  <c r="AG52" i="3"/>
  <c r="AG51" i="3"/>
  <c r="Y51" i="3"/>
  <c r="Y50" i="3"/>
  <c r="Z218" i="3"/>
  <c r="Z210" i="3"/>
  <c r="X209" i="3"/>
  <c r="X208" i="3"/>
  <c r="Y203" i="3"/>
  <c r="X200" i="3"/>
  <c r="Y199" i="3"/>
  <c r="X197" i="3"/>
  <c r="X194" i="3"/>
  <c r="X189" i="3"/>
  <c r="X186" i="3"/>
  <c r="X183" i="3"/>
  <c r="Z176" i="3"/>
  <c r="Y156" i="3"/>
  <c r="X149" i="3"/>
  <c r="Y147" i="3"/>
  <c r="Z145" i="3"/>
  <c r="X145" i="3"/>
  <c r="Y144" i="3"/>
  <c r="Z143" i="3"/>
  <c r="Z141" i="3"/>
  <c r="X136" i="3"/>
  <c r="X135" i="3"/>
  <c r="X132" i="3"/>
  <c r="X130" i="3"/>
  <c r="X127" i="3"/>
  <c r="X123" i="3"/>
  <c r="Y122" i="3"/>
  <c r="X120" i="3"/>
  <c r="X118" i="3"/>
  <c r="X112" i="3"/>
  <c r="X111" i="3"/>
  <c r="Y108" i="3"/>
  <c r="X104" i="3"/>
  <c r="X99" i="3"/>
  <c r="Z97" i="3"/>
  <c r="Z96" i="3"/>
  <c r="Z94" i="3"/>
  <c r="Z91" i="3"/>
  <c r="Y87" i="3"/>
  <c r="Y85" i="3"/>
  <c r="Z81" i="3"/>
  <c r="X78" i="3"/>
  <c r="Y75" i="3"/>
  <c r="X71" i="3"/>
  <c r="Z70" i="3"/>
  <c r="Y66" i="3"/>
  <c r="AD65" i="3"/>
  <c r="X65" i="3"/>
  <c r="Y63" i="3"/>
  <c r="AD56" i="3"/>
  <c r="X56" i="3"/>
  <c r="AG55" i="3"/>
  <c r="Z53" i="3"/>
  <c r="X52" i="3"/>
  <c r="Z50" i="3"/>
  <c r="X217" i="3"/>
  <c r="Z208" i="3"/>
  <c r="X205" i="3"/>
  <c r="Y198" i="3"/>
  <c r="X196" i="3"/>
  <c r="X190" i="3"/>
  <c r="Y187" i="3"/>
  <c r="Z186" i="3"/>
  <c r="X184" i="3"/>
  <c r="Y181" i="3"/>
  <c r="X173" i="3"/>
  <c r="Z170" i="3"/>
  <c r="Y166" i="3"/>
  <c r="Y164" i="3"/>
  <c r="X161" i="3"/>
  <c r="Y158" i="3"/>
  <c r="Y155" i="3"/>
  <c r="Z153" i="3"/>
  <c r="Z150" i="3"/>
  <c r="Z137" i="3"/>
  <c r="Z136" i="3"/>
  <c r="X134" i="3"/>
  <c r="Z129" i="3"/>
  <c r="X128" i="3"/>
  <c r="Z123" i="3"/>
  <c r="X122" i="3"/>
  <c r="Y121" i="3"/>
  <c r="X117" i="3"/>
  <c r="X116" i="3"/>
  <c r="X109" i="3"/>
  <c r="X105" i="3"/>
  <c r="X101" i="3"/>
  <c r="Y100" i="3"/>
  <c r="Y98" i="3"/>
  <c r="X98" i="3"/>
  <c r="Y96" i="3"/>
  <c r="X92" i="3"/>
  <c r="Y90" i="3"/>
  <c r="Y89" i="3"/>
  <c r="Y84" i="3"/>
  <c r="X82" i="3"/>
  <c r="Y80" i="3"/>
  <c r="Y78" i="3"/>
  <c r="X77" i="3"/>
  <c r="Z75" i="3"/>
  <c r="Z72" i="3"/>
  <c r="AD70" i="3"/>
  <c r="Y70" i="3"/>
  <c r="Z69" i="3"/>
  <c r="Z68" i="3"/>
  <c r="AD63" i="3"/>
  <c r="Y61" i="3"/>
  <c r="Z59" i="3"/>
  <c r="Z58" i="3"/>
  <c r="AG57" i="3"/>
  <c r="X57" i="3"/>
  <c r="Y53" i="3"/>
  <c r="X51" i="3"/>
  <c r="Y205" i="3"/>
  <c r="Z202" i="3"/>
  <c r="Y200" i="3"/>
  <c r="Z198" i="3"/>
  <c r="Z196" i="3"/>
  <c r="Y194" i="3"/>
  <c r="X193" i="3"/>
  <c r="X192" i="3"/>
  <c r="Y190" i="3"/>
  <c r="X185" i="3"/>
  <c r="X181" i="3"/>
  <c r="Z177" i="3"/>
  <c r="Y175" i="3"/>
  <c r="Z174" i="3"/>
  <c r="Y171" i="3"/>
  <c r="X170" i="3"/>
  <c r="X169" i="3"/>
  <c r="Z165" i="3"/>
  <c r="Z162" i="3"/>
  <c r="Y159" i="3"/>
  <c r="Z154" i="3"/>
  <c r="X153" i="3"/>
  <c r="X152" i="3"/>
  <c r="Y149" i="3"/>
  <c r="Y142" i="3"/>
  <c r="Y141" i="3"/>
  <c r="Y140" i="3"/>
  <c r="X139" i="3"/>
  <c r="Y137" i="3"/>
  <c r="Z135" i="3"/>
  <c r="X131" i="3"/>
  <c r="Z128" i="3"/>
  <c r="Z125" i="3"/>
  <c r="Z121" i="3"/>
  <c r="X119" i="3"/>
  <c r="Z115" i="3"/>
  <c r="X115" i="3"/>
  <c r="Z110" i="3"/>
  <c r="Z109" i="3"/>
  <c r="Z107" i="3"/>
  <c r="Y106" i="3"/>
  <c r="X103" i="3"/>
  <c r="X100" i="3"/>
  <c r="Z98" i="3"/>
  <c r="X97" i="3"/>
  <c r="Z95" i="3"/>
  <c r="X94" i="3"/>
  <c r="Y91" i="3"/>
  <c r="X90" i="3"/>
  <c r="X88" i="3"/>
  <c r="X87" i="3"/>
  <c r="X86" i="3"/>
  <c r="X81" i="3"/>
  <c r="Z79" i="3"/>
  <c r="Z77" i="3"/>
  <c r="AD68" i="3"/>
  <c r="AD67" i="3"/>
  <c r="X67" i="3"/>
  <c r="AG66" i="3"/>
  <c r="AD61" i="3"/>
  <c r="AD60" i="3"/>
  <c r="X60" i="3"/>
  <c r="AD59" i="3"/>
  <c r="X59" i="3"/>
  <c r="Z54" i="3"/>
  <c r="AD53" i="3"/>
  <c r="AD52" i="3"/>
  <c r="Z51" i="3"/>
  <c r="AD50" i="3"/>
  <c r="X50" i="3"/>
  <c r="X218" i="3"/>
  <c r="X215" i="3"/>
  <c r="Z214" i="3"/>
  <c r="Y213" i="3"/>
  <c r="Z212" i="3"/>
  <c r="Y211" i="3"/>
  <c r="Y204" i="3"/>
  <c r="X202" i="3"/>
  <c r="Y201" i="3"/>
  <c r="Z200" i="3"/>
  <c r="Z195" i="3"/>
  <c r="Z193" i="3"/>
  <c r="Z192" i="3"/>
  <c r="Z190" i="3"/>
  <c r="Y188" i="3"/>
  <c r="Y185" i="3"/>
  <c r="Y184" i="3"/>
  <c r="Z183" i="3"/>
  <c r="Y182" i="3"/>
  <c r="Z178" i="3"/>
  <c r="Y177" i="3"/>
  <c r="X176" i="3"/>
  <c r="Y174" i="3"/>
  <c r="X172" i="3"/>
  <c r="Z169" i="3"/>
  <c r="X167" i="3"/>
  <c r="X166" i="3"/>
  <c r="Y165" i="3"/>
  <c r="Z164" i="3"/>
  <c r="X163" i="3"/>
  <c r="X160" i="3"/>
  <c r="X154" i="3"/>
  <c r="Z152" i="3"/>
  <c r="X113" i="3"/>
  <c r="Y107" i="3"/>
  <c r="X106" i="3"/>
  <c r="Y104" i="3"/>
  <c r="Y102" i="3"/>
  <c r="Z101" i="3"/>
  <c r="X96" i="3"/>
  <c r="X61" i="3"/>
  <c r="Z60" i="3"/>
  <c r="Y58" i="3"/>
  <c r="Y209" i="3"/>
  <c r="X207" i="3"/>
  <c r="Z199" i="3"/>
  <c r="Z191" i="3"/>
  <c r="Z189" i="3"/>
  <c r="Z188" i="3"/>
  <c r="X182" i="3"/>
  <c r="Y179" i="3"/>
  <c r="Y176" i="3"/>
  <c r="X175" i="3"/>
  <c r="Y172" i="3"/>
  <c r="X171" i="3"/>
  <c r="Z166" i="3"/>
  <c r="X159" i="3"/>
  <c r="X144" i="3"/>
  <c r="X142" i="3"/>
  <c r="Z139" i="3"/>
  <c r="X137" i="3"/>
  <c r="Z130" i="3"/>
  <c r="Y124" i="3"/>
  <c r="Z122" i="3"/>
  <c r="X121" i="3"/>
  <c r="Z114" i="3"/>
  <c r="Y109" i="3"/>
  <c r="Z108" i="3"/>
  <c r="X108" i="3"/>
  <c r="X102" i="3"/>
  <c r="Y101" i="3"/>
  <c r="Y99" i="3"/>
  <c r="X95" i="3"/>
  <c r="Z93" i="3"/>
  <c r="X91" i="3"/>
  <c r="Z85" i="3"/>
  <c r="X85" i="3"/>
  <c r="Z84" i="3"/>
  <c r="Z82" i="3"/>
  <c r="Y81" i="3"/>
  <c r="Z80" i="3"/>
  <c r="Z78" i="3"/>
  <c r="Z73" i="3"/>
  <c r="Z71" i="3"/>
  <c r="X66" i="3"/>
  <c r="Z65" i="3"/>
  <c r="AG64" i="3"/>
  <c r="Z64" i="3"/>
  <c r="AG63" i="3"/>
  <c r="Z63" i="3"/>
  <c r="AG62" i="3"/>
  <c r="Y62" i="3"/>
  <c r="AG61" i="3"/>
  <c r="AG59" i="3"/>
  <c r="Z57" i="3"/>
  <c r="AG56" i="3"/>
  <c r="AD55" i="3"/>
  <c r="AD54" i="3"/>
  <c r="X54" i="3"/>
  <c r="AG50" i="3"/>
  <c r="Y219" i="3"/>
  <c r="X216" i="3"/>
  <c r="X214" i="3"/>
  <c r="Z213" i="3"/>
  <c r="X212" i="3"/>
  <c r="Z211" i="3"/>
  <c r="Y210" i="3"/>
  <c r="Y207" i="3"/>
  <c r="Y206" i="3"/>
  <c r="Z204" i="3"/>
  <c r="Z203" i="3"/>
  <c r="Z197" i="3"/>
  <c r="Y195" i="3"/>
  <c r="Y193" i="3"/>
  <c r="Y189" i="3"/>
  <c r="Z182" i="3"/>
  <c r="X180" i="3"/>
  <c r="Y170" i="3"/>
  <c r="Y169" i="3"/>
  <c r="X165" i="3"/>
  <c r="Z163" i="3"/>
  <c r="Y160" i="3"/>
  <c r="Y157" i="3"/>
  <c r="Y151" i="3"/>
  <c r="Y145" i="3"/>
  <c r="Z144" i="3"/>
  <c r="Y143" i="3"/>
  <c r="X138" i="3"/>
  <c r="Y136" i="3"/>
  <c r="Z133" i="3"/>
  <c r="Z217" i="3"/>
  <c r="Z205" i="3"/>
  <c r="X203" i="3"/>
  <c r="X199" i="3"/>
  <c r="X191" i="3"/>
  <c r="Y183" i="3"/>
  <c r="Y180" i="3"/>
  <c r="Y178" i="3"/>
  <c r="X174" i="3"/>
  <c r="Z173" i="3"/>
  <c r="Z168" i="3"/>
  <c r="X168" i="3"/>
  <c r="Y167" i="3"/>
  <c r="X164" i="3"/>
  <c r="Y163" i="3"/>
  <c r="Y162" i="3"/>
  <c r="Z161" i="3"/>
  <c r="Z158" i="3"/>
  <c r="Z149" i="3"/>
  <c r="Y148" i="3"/>
  <c r="Z147" i="3"/>
  <c r="X147" i="3"/>
  <c r="Y146" i="3"/>
  <c r="Y139" i="3"/>
  <c r="Y138" i="3"/>
  <c r="Z134" i="3"/>
  <c r="Z132" i="3"/>
  <c r="Z131" i="3"/>
  <c r="Y127" i="3"/>
  <c r="X126" i="3"/>
  <c r="Z119" i="3"/>
  <c r="Z116" i="3"/>
  <c r="X114" i="3"/>
  <c r="Y111" i="3"/>
  <c r="Y110" i="3"/>
  <c r="Z104" i="3"/>
  <c r="Y93" i="3"/>
  <c r="X89" i="3"/>
  <c r="Y88" i="3"/>
  <c r="Y86" i="3"/>
  <c r="Y83" i="3"/>
  <c r="Y79" i="3"/>
  <c r="Z76" i="3"/>
  <c r="X75" i="3"/>
  <c r="Y73" i="3"/>
  <c r="AG67" i="3"/>
  <c r="Y65" i="3"/>
  <c r="AD58" i="3"/>
  <c r="X58" i="3"/>
  <c r="AD57" i="3"/>
  <c r="Y56" i="3"/>
  <c r="Y55" i="3"/>
  <c r="AG53" i="3"/>
  <c r="X53" i="3"/>
  <c r="Y52" i="3"/>
  <c r="Z207" i="3"/>
  <c r="X204" i="3"/>
  <c r="Y197" i="3"/>
  <c r="Y196" i="3"/>
  <c r="Z194" i="3"/>
  <c r="Y192" i="3"/>
  <c r="Y191" i="3"/>
  <c r="X188" i="3"/>
  <c r="X187" i="3"/>
  <c r="Z184" i="3"/>
  <c r="Z171" i="3"/>
  <c r="Z160" i="3"/>
  <c r="X158" i="3"/>
  <c r="Z155" i="3"/>
  <c r="Y154" i="3"/>
  <c r="Z151" i="3"/>
  <c r="X150" i="3"/>
  <c r="X148" i="3"/>
  <c r="X146" i="3"/>
  <c r="Z142" i="3"/>
  <c r="Y134" i="3"/>
  <c r="Y133" i="3"/>
  <c r="Y130" i="3"/>
  <c r="X129" i="3"/>
  <c r="Y128" i="3"/>
  <c r="X125" i="3"/>
  <c r="X124" i="3"/>
  <c r="Z118" i="3"/>
  <c r="Z117" i="3"/>
  <c r="Y113" i="3"/>
  <c r="Y112" i="3"/>
  <c r="X107" i="3"/>
  <c r="Z105" i="3"/>
  <c r="Y103" i="3"/>
  <c r="Z102" i="3"/>
  <c r="Z100" i="3"/>
  <c r="Z99" i="3"/>
  <c r="Y95" i="3"/>
  <c r="X93" i="3"/>
  <c r="Y92" i="3"/>
  <c r="Z90" i="3"/>
  <c r="Z87" i="3"/>
  <c r="Z86" i="3"/>
  <c r="Z83" i="3"/>
  <c r="X80" i="3"/>
  <c r="Y74" i="3"/>
  <c r="X73" i="3"/>
  <c r="X72" i="3"/>
  <c r="AD71" i="3"/>
  <c r="X70" i="3"/>
  <c r="AG68" i="3"/>
  <c r="Y68" i="3"/>
  <c r="X68" i="3"/>
  <c r="Y64" i="3"/>
  <c r="Y202" i="3"/>
  <c r="X201" i="3"/>
  <c r="X198" i="3"/>
  <c r="X195" i="3"/>
  <c r="Z187" i="3"/>
  <c r="Z180" i="3"/>
  <c r="X179" i="3"/>
  <c r="X178" i="3"/>
  <c r="X177" i="3"/>
  <c r="Z175" i="3"/>
  <c r="Y173" i="3"/>
  <c r="Y168" i="3"/>
  <c r="Z167" i="3"/>
  <c r="X162" i="3"/>
  <c r="Y161" i="3"/>
  <c r="Z159" i="3"/>
  <c r="X157" i="3"/>
  <c r="X155" i="3"/>
  <c r="Y153" i="3"/>
  <c r="Y152" i="3"/>
  <c r="X151" i="3"/>
  <c r="Y150" i="3"/>
  <c r="Z148" i="3"/>
  <c r="Z146" i="3"/>
  <c r="X143" i="3"/>
  <c r="Z140" i="3"/>
  <c r="X140" i="3"/>
  <c r="X133" i="3"/>
  <c r="Y132" i="3"/>
  <c r="Y131" i="3"/>
  <c r="Z127" i="3"/>
  <c r="Z126" i="3"/>
  <c r="Y125" i="3"/>
  <c r="Y120" i="3"/>
  <c r="Y116" i="3"/>
  <c r="Y115" i="3"/>
  <c r="Z112" i="3"/>
  <c r="Z111" i="3"/>
  <c r="X110" i="3"/>
  <c r="Y97" i="3"/>
  <c r="Y94" i="3"/>
  <c r="Z92" i="3"/>
  <c r="Z89" i="3"/>
  <c r="Z88" i="3"/>
  <c r="X83" i="3"/>
  <c r="Y82" i="3"/>
  <c r="Y77" i="3"/>
  <c r="Y76" i="3"/>
  <c r="Z67" i="3"/>
  <c r="AD66" i="3"/>
  <c r="Z66" i="3"/>
  <c r="AD64" i="3"/>
  <c r="X64" i="3"/>
  <c r="Z62" i="3"/>
  <c r="Y60" i="3"/>
  <c r="Z56" i="3"/>
  <c r="Z55" i="3"/>
  <c r="AG54" i="3"/>
  <c r="Y54" i="3"/>
  <c r="Z52" i="3"/>
  <c r="AD51" i="3"/>
  <c r="AG49" i="3"/>
  <c r="L850" i="2"/>
  <c r="L849" i="2"/>
  <c r="L848" i="2"/>
  <c r="L847" i="2"/>
  <c r="L846" i="2"/>
  <c r="L845" i="2"/>
  <c r="L844" i="2"/>
  <c r="L843" i="2"/>
  <c r="L839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5" i="2"/>
  <c r="L814" i="2"/>
  <c r="L811" i="2"/>
  <c r="L810" i="2"/>
  <c r="L809" i="2"/>
  <c r="L807" i="2"/>
  <c r="L804" i="2"/>
  <c r="L803" i="2"/>
  <c r="L802" i="2"/>
  <c r="L800" i="2"/>
  <c r="L799" i="2"/>
  <c r="L797" i="2"/>
  <c r="L796" i="2"/>
  <c r="L793" i="2"/>
  <c r="L792" i="2"/>
  <c r="L791" i="2"/>
  <c r="L787" i="2"/>
  <c r="L786" i="2"/>
  <c r="L784" i="2"/>
  <c r="Y783" i="2"/>
  <c r="W783" i="2"/>
  <c r="U783" i="2"/>
  <c r="S783" i="2"/>
  <c r="Q783" i="2"/>
  <c r="O783" i="2"/>
  <c r="L782" i="2"/>
  <c r="L781" i="2"/>
  <c r="Z780" i="2"/>
  <c r="W780" i="2"/>
  <c r="U780" i="2"/>
  <c r="S780" i="2"/>
  <c r="Q780" i="2"/>
  <c r="O780" i="2"/>
  <c r="L779" i="2"/>
  <c r="L778" i="2"/>
  <c r="L777" i="2"/>
  <c r="L776" i="2"/>
  <c r="L775" i="2"/>
  <c r="W774" i="2"/>
  <c r="U774" i="2"/>
  <c r="S774" i="2"/>
  <c r="Q774" i="2"/>
  <c r="O774" i="2"/>
  <c r="W773" i="2"/>
  <c r="U773" i="2"/>
  <c r="S773" i="2"/>
  <c r="Q773" i="2"/>
  <c r="O773" i="2"/>
  <c r="L772" i="2"/>
  <c r="Z771" i="2"/>
  <c r="X771" i="2"/>
  <c r="V771" i="2"/>
  <c r="T771" i="2"/>
  <c r="R771" i="2"/>
  <c r="P771" i="2"/>
  <c r="Z696" i="2"/>
  <c r="X696" i="2"/>
  <c r="V696" i="2"/>
  <c r="R696" i="2"/>
  <c r="O696" i="2"/>
  <c r="X695" i="2"/>
  <c r="U695" i="2"/>
  <c r="S695" i="2"/>
  <c r="P695" i="2"/>
  <c r="Z694" i="2"/>
  <c r="X694" i="2"/>
  <c r="V694" i="2"/>
  <c r="S694" i="2"/>
  <c r="P694" i="2"/>
  <c r="P691" i="2"/>
  <c r="Y657" i="2"/>
  <c r="W657" i="2"/>
  <c r="S657" i="2"/>
  <c r="O657" i="2"/>
  <c r="X656" i="2"/>
  <c r="U656" i="2"/>
  <c r="S656" i="2"/>
  <c r="Q656" i="2"/>
  <c r="O656" i="2"/>
  <c r="L655" i="2"/>
  <c r="X654" i="2"/>
  <c r="T654" i="2"/>
  <c r="R654" i="2"/>
  <c r="O654" i="2"/>
  <c r="L652" i="2"/>
  <c r="Y651" i="2"/>
  <c r="V651" i="2"/>
  <c r="S651" i="2"/>
  <c r="Q651" i="2"/>
  <c r="L650" i="2"/>
  <c r="L649" i="2"/>
  <c r="V648" i="2"/>
  <c r="T648" i="2"/>
  <c r="Q648" i="2"/>
  <c r="Z647" i="2"/>
  <c r="Y647" i="2"/>
  <c r="V647" i="2"/>
  <c r="S647" i="2"/>
  <c r="Q647" i="2"/>
  <c r="O647" i="2"/>
  <c r="Z646" i="2"/>
  <c r="X646" i="2"/>
  <c r="V646" i="2"/>
  <c r="S646" i="2"/>
  <c r="Q646" i="2"/>
  <c r="O646" i="2"/>
  <c r="L645" i="2"/>
  <c r="L644" i="2"/>
  <c r="L642" i="2"/>
  <c r="L639" i="2"/>
  <c r="L633" i="2"/>
  <c r="L631" i="2"/>
  <c r="L627" i="2"/>
  <c r="L626" i="2"/>
  <c r="L622" i="2"/>
  <c r="L621" i="2"/>
  <c r="L614" i="2"/>
  <c r="L613" i="2"/>
  <c r="V611" i="2"/>
  <c r="R611" i="2"/>
  <c r="W451" i="2"/>
  <c r="Q451" i="2"/>
  <c r="L226" i="2"/>
  <c r="L225" i="2"/>
  <c r="L217" i="2"/>
  <c r="X132" i="2"/>
  <c r="L108" i="2"/>
  <c r="L83" i="2"/>
  <c r="L74" i="2"/>
  <c r="L65" i="2"/>
  <c r="Z770" i="2"/>
  <c r="Y770" i="2"/>
  <c r="X770" i="2"/>
  <c r="W770" i="2"/>
  <c r="V770" i="2"/>
  <c r="U770" i="2"/>
  <c r="T770" i="2"/>
  <c r="S770" i="2"/>
  <c r="R770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Z710" i="2"/>
  <c r="Y710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Y696" i="2"/>
  <c r="U696" i="2"/>
  <c r="P696" i="2"/>
  <c r="Y695" i="2"/>
  <c r="V695" i="2"/>
  <c r="R695" i="2"/>
  <c r="O695" i="2"/>
  <c r="Y694" i="2"/>
  <c r="W694" i="2"/>
  <c r="U694" i="2"/>
  <c r="R694" i="2"/>
  <c r="O694" i="2"/>
  <c r="Z693" i="2"/>
  <c r="O693" i="2"/>
  <c r="L692" i="2"/>
  <c r="Z691" i="2"/>
  <c r="Y691" i="2"/>
  <c r="X691" i="2"/>
  <c r="W691" i="2"/>
  <c r="V691" i="2"/>
  <c r="U691" i="2"/>
  <c r="T691" i="2"/>
  <c r="S691" i="2"/>
  <c r="R691" i="2"/>
  <c r="Q691" i="2"/>
  <c r="O691" i="2"/>
  <c r="L657" i="2"/>
  <c r="L656" i="2"/>
  <c r="L654" i="2"/>
  <c r="L651" i="2"/>
  <c r="L648" i="2"/>
  <c r="L647" i="2"/>
  <c r="L646" i="2"/>
  <c r="L643" i="2"/>
  <c r="L641" i="2"/>
  <c r="L638" i="2"/>
  <c r="L632" i="2"/>
  <c r="L612" i="2"/>
  <c r="X611" i="2"/>
  <c r="T611" i="2"/>
  <c r="O611" i="2"/>
  <c r="Y451" i="2"/>
  <c r="U451" i="2"/>
  <c r="P451" i="2"/>
  <c r="L79" i="2"/>
  <c r="L78" i="2"/>
  <c r="L71" i="2"/>
  <c r="L61" i="2"/>
  <c r="L58" i="2"/>
  <c r="L57" i="2"/>
  <c r="L53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Z657" i="2"/>
  <c r="X657" i="2"/>
  <c r="U657" i="2"/>
  <c r="Q657" i="2"/>
  <c r="Z656" i="2"/>
  <c r="Y656" i="2"/>
  <c r="V656" i="2"/>
  <c r="R656" i="2"/>
  <c r="Z655" i="2"/>
  <c r="X655" i="2"/>
  <c r="S655" i="2"/>
  <c r="Z654" i="2"/>
  <c r="V654" i="2"/>
  <c r="Q654" i="2"/>
  <c r="L653" i="2"/>
  <c r="Z652" i="2"/>
  <c r="X652" i="2"/>
  <c r="U652" i="2"/>
  <c r="P652" i="2"/>
  <c r="X651" i="2"/>
  <c r="T651" i="2"/>
  <c r="O651" i="2"/>
  <c r="Z650" i="2"/>
  <c r="W650" i="2"/>
  <c r="R650" i="2"/>
  <c r="O650" i="2"/>
  <c r="Y649" i="2"/>
  <c r="Q649" i="2"/>
  <c r="Z648" i="2"/>
  <c r="X648" i="2"/>
  <c r="R648" i="2"/>
  <c r="O648" i="2"/>
  <c r="X647" i="2"/>
  <c r="T647" i="2"/>
  <c r="P647" i="2"/>
  <c r="Y646" i="2"/>
  <c r="W646" i="2"/>
  <c r="T646" i="2"/>
  <c r="P646" i="2"/>
  <c r="L636" i="2"/>
  <c r="L635" i="2"/>
  <c r="L629" i="2"/>
  <c r="L628" i="2"/>
  <c r="L623" i="2"/>
  <c r="L618" i="2"/>
  <c r="L616" i="2"/>
  <c r="Z611" i="2"/>
  <c r="S611" i="2"/>
  <c r="S132" i="2"/>
  <c r="L114" i="2"/>
  <c r="L105" i="2"/>
  <c r="L99" i="2"/>
  <c r="L90" i="2"/>
  <c r="Z610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Z551" i="2"/>
  <c r="Y551" i="2"/>
  <c r="X551" i="2"/>
  <c r="W551" i="2"/>
  <c r="V551" i="2"/>
  <c r="U551" i="2"/>
  <c r="T551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Z531" i="2"/>
  <c r="Y531" i="2"/>
  <c r="X531" i="2"/>
  <c r="W531" i="2"/>
  <c r="V531" i="2"/>
  <c r="U531" i="2"/>
  <c r="T531" i="2"/>
  <c r="S531" i="2"/>
  <c r="R531" i="2"/>
  <c r="Q531" i="2"/>
  <c r="P531" i="2"/>
  <c r="O531" i="2"/>
  <c r="Z477" i="2"/>
  <c r="X477" i="2"/>
  <c r="V477" i="2"/>
  <c r="S477" i="2"/>
  <c r="Q477" i="2"/>
  <c r="O477" i="2"/>
  <c r="Y476" i="2"/>
  <c r="W476" i="2"/>
  <c r="U476" i="2"/>
  <c r="S476" i="2"/>
  <c r="Q476" i="2"/>
  <c r="O476" i="2"/>
  <c r="Z475" i="2"/>
  <c r="Y475" i="2"/>
  <c r="W475" i="2"/>
  <c r="U475" i="2"/>
  <c r="S475" i="2"/>
  <c r="Q475" i="2"/>
  <c r="O475" i="2"/>
  <c r="L473" i="2"/>
  <c r="L471" i="2"/>
  <c r="L470" i="2"/>
  <c r="L469" i="2"/>
  <c r="L468" i="2"/>
  <c r="L465" i="2"/>
  <c r="L464" i="2"/>
  <c r="L462" i="2"/>
  <c r="L461" i="2"/>
  <c r="L460" i="2"/>
  <c r="L455" i="2"/>
  <c r="L452" i="2"/>
  <c r="Z451" i="2"/>
  <c r="T451" i="2"/>
  <c r="L220" i="2"/>
  <c r="L216" i="2"/>
  <c r="L215" i="2"/>
  <c r="L212" i="2"/>
  <c r="L115" i="2"/>
  <c r="L113" i="2"/>
  <c r="L110" i="2"/>
  <c r="L109" i="2"/>
  <c r="L96" i="2"/>
  <c r="L76" i="2"/>
  <c r="L67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Z495" i="2"/>
  <c r="Y495" i="2"/>
  <c r="X495" i="2"/>
  <c r="W495" i="2"/>
  <c r="V495" i="2"/>
  <c r="U495" i="2"/>
  <c r="T495" i="2"/>
  <c r="S495" i="2"/>
  <c r="R495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2" i="2"/>
  <c r="L467" i="2"/>
  <c r="L466" i="2"/>
  <c r="L463" i="2"/>
  <c r="L459" i="2"/>
  <c r="L458" i="2"/>
  <c r="L457" i="2"/>
  <c r="L456" i="2"/>
  <c r="L454" i="2"/>
  <c r="L453" i="2"/>
  <c r="V451" i="2"/>
  <c r="R451" i="2"/>
  <c r="O451" i="2"/>
  <c r="L221" i="2"/>
  <c r="L214" i="2"/>
  <c r="L134" i="2"/>
  <c r="W132" i="2"/>
  <c r="L118" i="2"/>
  <c r="L112" i="2"/>
  <c r="L107" i="2"/>
  <c r="L106" i="2"/>
  <c r="L91" i="2"/>
  <c r="L89" i="2"/>
  <c r="L86" i="2"/>
  <c r="L68" i="2"/>
  <c r="L59" i="2"/>
  <c r="L55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Z412" i="2"/>
  <c r="Y412" i="2"/>
  <c r="X412" i="2"/>
  <c r="W412" i="2"/>
  <c r="V412" i="2"/>
  <c r="U412" i="2"/>
  <c r="T412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228" i="2"/>
  <c r="L224" i="2"/>
  <c r="L213" i="2"/>
  <c r="L103" i="2"/>
  <c r="L95" i="2"/>
  <c r="L94" i="2"/>
  <c r="L93" i="2"/>
  <c r="L82" i="2"/>
  <c r="L77" i="2"/>
  <c r="L73" i="2"/>
  <c r="L63" i="2"/>
  <c r="L6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30" i="2"/>
  <c r="L229" i="2"/>
  <c r="L222" i="2"/>
  <c r="L219" i="2"/>
  <c r="L218" i="2"/>
  <c r="L133" i="2"/>
  <c r="Y132" i="2"/>
  <c r="T132" i="2"/>
  <c r="L102" i="2"/>
  <c r="L100" i="2"/>
  <c r="L97" i="2"/>
  <c r="L87" i="2"/>
  <c r="L85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Z270" i="2"/>
  <c r="Y270" i="2"/>
  <c r="X270" i="2"/>
  <c r="W270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27" i="2"/>
  <c r="L223" i="2"/>
  <c r="L135" i="2"/>
  <c r="V132" i="2"/>
  <c r="O132" i="2"/>
  <c r="L117" i="2"/>
  <c r="L116" i="2"/>
  <c r="L104" i="2"/>
  <c r="L84" i="2"/>
  <c r="L80" i="2"/>
  <c r="L75" i="2"/>
  <c r="L69" i="2"/>
  <c r="L66" i="2"/>
  <c r="L64" i="2"/>
  <c r="L56" i="2"/>
  <c r="L5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Z182" i="2"/>
  <c r="Y182" i="2"/>
  <c r="X182" i="2"/>
  <c r="W182" i="2"/>
  <c r="V182" i="2"/>
  <c r="U182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R132" i="2"/>
  <c r="L88" i="2"/>
  <c r="L70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Z118" i="2"/>
  <c r="Y118" i="2"/>
  <c r="X118" i="2"/>
  <c r="W118" i="2"/>
  <c r="V118" i="2"/>
  <c r="U118" i="2"/>
  <c r="T118" i="2"/>
  <c r="S118" i="2"/>
  <c r="L51" i="2"/>
  <c r="L50" i="2"/>
  <c r="L49" i="2"/>
  <c r="L48" i="2"/>
  <c r="L47" i="2"/>
  <c r="L46" i="2"/>
  <c r="L45" i="2"/>
  <c r="L44" i="2"/>
  <c r="L43" i="2"/>
  <c r="L42" i="2"/>
  <c r="L41" i="2"/>
  <c r="L40" i="2"/>
  <c r="U39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640" i="2"/>
  <c r="L637" i="2"/>
  <c r="L634" i="2"/>
  <c r="L630" i="2"/>
  <c r="L625" i="2"/>
  <c r="L624" i="2"/>
  <c r="L619" i="2"/>
  <c r="L617" i="2"/>
  <c r="W611" i="2"/>
  <c r="U611" i="2"/>
  <c r="Q611" i="2"/>
  <c r="X451" i="2"/>
  <c r="L136" i="2"/>
  <c r="Q132" i="2"/>
  <c r="L111" i="2"/>
  <c r="L101" i="2"/>
  <c r="L98" i="2"/>
  <c r="L92" i="2"/>
  <c r="L81" i="2"/>
  <c r="L72" i="2"/>
  <c r="Z849" i="2"/>
  <c r="V849" i="2"/>
  <c r="T849" i="2"/>
  <c r="R849" i="2"/>
  <c r="P849" i="2"/>
  <c r="O849" i="2"/>
  <c r="Y848" i="2"/>
  <c r="X848" i="2"/>
  <c r="V848" i="2"/>
  <c r="T848" i="2"/>
  <c r="R848" i="2"/>
  <c r="P848" i="2"/>
  <c r="O848" i="2"/>
  <c r="Z847" i="2"/>
  <c r="Y847" i="2"/>
  <c r="W847" i="2"/>
  <c r="U847" i="2"/>
  <c r="S847" i="2"/>
  <c r="Q847" i="2"/>
  <c r="O847" i="2"/>
  <c r="Z846" i="2"/>
  <c r="Y846" i="2"/>
  <c r="W846" i="2"/>
  <c r="U846" i="2"/>
  <c r="S846" i="2"/>
  <c r="Q846" i="2"/>
  <c r="O846" i="2"/>
  <c r="W845" i="2"/>
  <c r="U845" i="2"/>
  <c r="S845" i="2"/>
  <c r="Q845" i="2"/>
  <c r="O845" i="2"/>
  <c r="Z844" i="2"/>
  <c r="Y844" i="2"/>
  <c r="W844" i="2"/>
  <c r="U844" i="2"/>
  <c r="S844" i="2"/>
  <c r="Q844" i="2"/>
  <c r="O844" i="2"/>
  <c r="Z843" i="2"/>
  <c r="X843" i="2"/>
  <c r="V843" i="2"/>
  <c r="T843" i="2"/>
  <c r="R843" i="2"/>
  <c r="P843" i="2"/>
  <c r="O843" i="2"/>
  <c r="L842" i="2"/>
  <c r="L841" i="2"/>
  <c r="L840" i="2"/>
  <c r="Y839" i="2"/>
  <c r="W839" i="2"/>
  <c r="U839" i="2"/>
  <c r="S839" i="2"/>
  <c r="Q839" i="2"/>
  <c r="O839" i="2"/>
  <c r="L838" i="2"/>
  <c r="Z837" i="2"/>
  <c r="Y837" i="2"/>
  <c r="L816" i="2"/>
  <c r="X815" i="2"/>
  <c r="V815" i="2"/>
  <c r="T815" i="2"/>
  <c r="R815" i="2"/>
  <c r="Q815" i="2"/>
  <c r="O815" i="2"/>
  <c r="X814" i="2"/>
  <c r="U814" i="2"/>
  <c r="S814" i="2"/>
  <c r="Q814" i="2"/>
  <c r="O814" i="2"/>
  <c r="L813" i="2"/>
  <c r="L812" i="2"/>
  <c r="Y811" i="2"/>
  <c r="W811" i="2"/>
  <c r="U811" i="2"/>
  <c r="S811" i="2"/>
  <c r="Q811" i="2"/>
  <c r="O811" i="2"/>
  <c r="Z810" i="2"/>
  <c r="Y810" i="2"/>
  <c r="W810" i="2"/>
  <c r="U810" i="2"/>
  <c r="S810" i="2"/>
  <c r="Q810" i="2"/>
  <c r="O810" i="2"/>
  <c r="Z809" i="2"/>
  <c r="Y809" i="2"/>
  <c r="W809" i="2"/>
  <c r="U809" i="2"/>
  <c r="S809" i="2"/>
  <c r="Q809" i="2"/>
  <c r="O809" i="2"/>
  <c r="L808" i="2"/>
  <c r="Y807" i="2"/>
  <c r="W807" i="2"/>
  <c r="U807" i="2"/>
  <c r="S807" i="2"/>
  <c r="Q807" i="2"/>
  <c r="O807" i="2"/>
  <c r="L806" i="2"/>
  <c r="L805" i="2"/>
  <c r="W804" i="2"/>
  <c r="U804" i="2"/>
  <c r="S804" i="2"/>
  <c r="Q804" i="2"/>
  <c r="O804" i="2"/>
  <c r="Z803" i="2"/>
  <c r="X803" i="2"/>
  <c r="W803" i="2"/>
  <c r="U803" i="2"/>
  <c r="S803" i="2"/>
  <c r="Q802" i="2"/>
  <c r="O802" i="2"/>
  <c r="L801" i="2"/>
  <c r="Z800" i="2"/>
  <c r="Y800" i="2"/>
  <c r="W800" i="2"/>
  <c r="U800" i="2"/>
  <c r="S800" i="2"/>
  <c r="Q800" i="2"/>
  <c r="O800" i="2"/>
  <c r="Z799" i="2"/>
  <c r="Y799" i="2"/>
  <c r="W799" i="2"/>
  <c r="U799" i="2"/>
  <c r="S799" i="2"/>
  <c r="Q799" i="2"/>
  <c r="O799" i="2"/>
  <c r="L798" i="2"/>
  <c r="X797" i="2"/>
  <c r="U797" i="2"/>
  <c r="S797" i="2"/>
  <c r="Q797" i="2"/>
  <c r="O797" i="2"/>
  <c r="Z796" i="2"/>
  <c r="X796" i="2"/>
  <c r="V796" i="2"/>
  <c r="T796" i="2"/>
  <c r="R796" i="2"/>
  <c r="O796" i="2"/>
  <c r="L795" i="2"/>
  <c r="L794" i="2"/>
  <c r="W793" i="2"/>
  <c r="U793" i="2"/>
  <c r="S793" i="2"/>
  <c r="Q793" i="2"/>
  <c r="O793" i="2"/>
  <c r="Z792" i="2"/>
  <c r="Y792" i="2"/>
  <c r="W792" i="2"/>
  <c r="U792" i="2"/>
  <c r="S792" i="2"/>
  <c r="Q792" i="2"/>
  <c r="O792" i="2"/>
  <c r="Z791" i="2"/>
  <c r="Y791" i="2"/>
  <c r="X791" i="2"/>
  <c r="V791" i="2"/>
  <c r="U791" i="2"/>
  <c r="S791" i="2"/>
  <c r="Q791" i="2"/>
  <c r="O791" i="2"/>
  <c r="L790" i="2"/>
  <c r="L789" i="2"/>
  <c r="L788" i="2"/>
  <c r="Y787" i="2"/>
  <c r="V787" i="2"/>
  <c r="U787" i="2"/>
  <c r="S787" i="2"/>
  <c r="Q787" i="2"/>
  <c r="O787" i="2"/>
  <c r="Z786" i="2"/>
  <c r="Y786" i="2"/>
  <c r="W786" i="2"/>
  <c r="U786" i="2"/>
  <c r="S786" i="2"/>
  <c r="Q786" i="2"/>
  <c r="O786" i="2"/>
  <c r="L785" i="2"/>
  <c r="L783" i="2"/>
  <c r="L780" i="2"/>
  <c r="L774" i="2"/>
  <c r="L773" i="2"/>
  <c r="Y771" i="2"/>
  <c r="W771" i="2"/>
  <c r="U771" i="2"/>
  <c r="S771" i="2"/>
  <c r="Q771" i="2"/>
  <c r="O771" i="2"/>
  <c r="L696" i="2"/>
  <c r="L695" i="2"/>
  <c r="L694" i="2"/>
  <c r="L693" i="2"/>
  <c r="L620" i="2"/>
  <c r="L615" i="2"/>
  <c r="Y611" i="2"/>
  <c r="P611" i="2"/>
  <c r="S451" i="2"/>
  <c r="Z132" i="2"/>
  <c r="U132" i="2"/>
  <c r="P132" i="2"/>
  <c r="L60" i="2"/>
  <c r="L54" i="2"/>
  <c r="AA185" i="1"/>
  <c r="AA184" i="1"/>
  <c r="AA183" i="1"/>
  <c r="Z183" i="1"/>
  <c r="AA182" i="1"/>
  <c r="Y182" i="1"/>
  <c r="AA178" i="1"/>
  <c r="Y178" i="1"/>
  <c r="Z177" i="1"/>
  <c r="AA176" i="1"/>
  <c r="Y176" i="1"/>
  <c r="X176" i="1"/>
  <c r="AA173" i="1"/>
  <c r="Z173" i="1"/>
  <c r="X173" i="1"/>
  <c r="AA170" i="1"/>
  <c r="Y170" i="1"/>
  <c r="X170" i="1"/>
  <c r="AA167" i="1"/>
  <c r="Y167" i="1"/>
  <c r="X167" i="1"/>
  <c r="AA166" i="1"/>
  <c r="Y166" i="1"/>
  <c r="X166" i="1"/>
  <c r="AA165" i="1"/>
  <c r="Y165" i="1"/>
  <c r="Y164" i="1"/>
  <c r="Z162" i="1"/>
  <c r="AA161" i="1"/>
  <c r="Z159" i="1"/>
  <c r="Y159" i="1"/>
  <c r="AA158" i="1"/>
  <c r="AA153" i="1"/>
  <c r="Z153" i="1"/>
  <c r="Y153" i="1"/>
  <c r="AA150" i="1"/>
  <c r="X150" i="1"/>
  <c r="Y149" i="1"/>
  <c r="X149" i="1"/>
  <c r="AA148" i="1"/>
  <c r="Y145" i="1"/>
  <c r="Z144" i="1"/>
  <c r="Y142" i="1"/>
  <c r="AA141" i="1"/>
  <c r="Z139" i="1"/>
  <c r="AA137" i="1"/>
  <c r="Y135" i="1"/>
  <c r="AA134" i="1"/>
  <c r="Y133" i="1"/>
  <c r="AA120" i="1"/>
  <c r="Z115" i="1"/>
  <c r="Y114" i="1"/>
  <c r="Z113" i="1"/>
  <c r="Z112" i="1"/>
  <c r="X109" i="1"/>
  <c r="Y108" i="1"/>
  <c r="AA106" i="1"/>
  <c r="Y106" i="1"/>
  <c r="AA105" i="1"/>
  <c r="AA76" i="1"/>
  <c r="AA72" i="1"/>
  <c r="Y69" i="1"/>
  <c r="AG60" i="1"/>
  <c r="AA60" i="1"/>
  <c r="AG59" i="1"/>
  <c r="AG57" i="1"/>
  <c r="AA57" i="1"/>
  <c r="X56" i="1"/>
  <c r="Y55" i="1"/>
  <c r="AJ54" i="1"/>
  <c r="AA54" i="1"/>
  <c r="AG53" i="1"/>
  <c r="AJ52" i="1"/>
  <c r="Z52" i="1"/>
  <c r="AG51" i="1"/>
  <c r="Z51" i="1"/>
  <c r="AJ49" i="1"/>
  <c r="Y49" i="1"/>
  <c r="X48" i="1"/>
  <c r="Z47" i="1"/>
  <c r="AJ43" i="1"/>
  <c r="Z43" i="1"/>
  <c r="AJ42" i="1"/>
  <c r="Y42" i="1"/>
  <c r="Y36" i="1"/>
  <c r="AA25" i="1"/>
  <c r="AI24" i="1"/>
  <c r="Z24" i="1"/>
  <c r="AH23" i="1"/>
  <c r="AI22" i="1"/>
  <c r="AA22" i="1"/>
  <c r="X22" i="1"/>
  <c r="X20" i="1"/>
  <c r="X19" i="1"/>
  <c r="AI17" i="1"/>
  <c r="Z17" i="1"/>
  <c r="Y16" i="1"/>
  <c r="Y15" i="1"/>
  <c r="AH14" i="1"/>
  <c r="Z14" i="1"/>
  <c r="AI13" i="1"/>
  <c r="Y13" i="1"/>
  <c r="Y12" i="1"/>
  <c r="AI10" i="1"/>
  <c r="AA10" i="1"/>
  <c r="Z7" i="1"/>
  <c r="Y5" i="1"/>
  <c r="Z140" i="1"/>
  <c r="Y137" i="1"/>
  <c r="AA135" i="1"/>
  <c r="AA132" i="1"/>
  <c r="X132" i="1"/>
  <c r="Z131" i="1"/>
  <c r="Z130" i="1"/>
  <c r="X130" i="1"/>
  <c r="Z128" i="1"/>
  <c r="X128" i="1"/>
  <c r="Z127" i="1"/>
  <c r="X127" i="1"/>
  <c r="AA126" i="1"/>
  <c r="X126" i="1"/>
  <c r="AA125" i="1"/>
  <c r="Y125" i="1"/>
  <c r="Y124" i="1"/>
  <c r="AA121" i="1"/>
  <c r="Z120" i="1"/>
  <c r="Y119" i="1"/>
  <c r="AA118" i="1"/>
  <c r="Y118" i="1"/>
  <c r="AA117" i="1"/>
  <c r="X117" i="1"/>
  <c r="AA116" i="1"/>
  <c r="X116" i="1"/>
  <c r="AA115" i="1"/>
  <c r="X115" i="1"/>
  <c r="AA114" i="1"/>
  <c r="AA112" i="1"/>
  <c r="X112" i="1"/>
  <c r="AA110" i="1"/>
  <c r="X110" i="1"/>
  <c r="Y109" i="1"/>
  <c r="Z108" i="1"/>
  <c r="X106" i="1"/>
  <c r="Y105" i="1"/>
  <c r="Y104" i="1"/>
  <c r="Z76" i="1"/>
  <c r="AA69" i="1"/>
  <c r="AA67" i="1"/>
  <c r="X67" i="1"/>
  <c r="Z66" i="1"/>
  <c r="Y65" i="1"/>
  <c r="X63" i="1"/>
  <c r="AG62" i="1"/>
  <c r="Z62" i="1"/>
  <c r="Y62" i="1"/>
  <c r="AJ61" i="1"/>
  <c r="AJ60" i="1"/>
  <c r="Z60" i="1"/>
  <c r="AJ59" i="1"/>
  <c r="Y57" i="1"/>
  <c r="X57" i="1"/>
  <c r="AJ56" i="1"/>
  <c r="Z55" i="1"/>
  <c r="Z54" i="1"/>
  <c r="Y50" i="1"/>
  <c r="AJ46" i="1"/>
  <c r="AG44" i="1"/>
  <c r="Z44" i="1"/>
  <c r="Y41" i="1"/>
  <c r="AJ39" i="1"/>
  <c r="AA39" i="1"/>
  <c r="AJ38" i="1"/>
  <c r="Z38" i="1"/>
  <c r="AG37" i="1"/>
  <c r="Z37" i="1"/>
  <c r="Z35" i="1"/>
  <c r="AA33" i="1"/>
  <c r="Z77" i="1"/>
  <c r="Y75" i="1"/>
  <c r="X74" i="1"/>
  <c r="Y71" i="1"/>
  <c r="AA65" i="1"/>
  <c r="AA64" i="1"/>
  <c r="Y60" i="1"/>
  <c r="AG56" i="1"/>
  <c r="Y56" i="1"/>
  <c r="AJ53" i="1"/>
  <c r="AA53" i="1"/>
  <c r="X53" i="1"/>
  <c r="Y51" i="1"/>
  <c r="AJ47" i="1"/>
  <c r="AA46" i="1"/>
  <c r="AJ45" i="1"/>
  <c r="AA42" i="1"/>
  <c r="X41" i="1"/>
  <c r="AA38" i="1"/>
  <c r="X38" i="1"/>
  <c r="AA36" i="1"/>
  <c r="X35" i="1"/>
  <c r="Y27" i="1"/>
  <c r="Y26" i="1"/>
  <c r="Z22" i="1"/>
  <c r="Y19" i="1"/>
  <c r="Z18" i="1"/>
  <c r="AH17" i="1"/>
  <c r="AA17" i="1"/>
  <c r="AH16" i="1"/>
  <c r="AA16" i="1"/>
  <c r="AH15" i="1"/>
  <c r="X15" i="1"/>
  <c r="Z13" i="1"/>
  <c r="AH9" i="1"/>
  <c r="Z9" i="1"/>
  <c r="Y7" i="1"/>
  <c r="Y6" i="1"/>
  <c r="Z5" i="1"/>
  <c r="AA59" i="1"/>
  <c r="Z59" i="1"/>
  <c r="Y59" i="1"/>
  <c r="X59" i="1"/>
  <c r="AJ58" i="1"/>
  <c r="AG58" i="1"/>
  <c r="Y47" i="1"/>
  <c r="AG45" i="1"/>
  <c r="AG42" i="1"/>
  <c r="Z42" i="1"/>
  <c r="Z41" i="1"/>
  <c r="AJ36" i="1"/>
  <c r="Y35" i="1"/>
  <c r="Y34" i="1"/>
  <c r="AG33" i="1"/>
  <c r="X33" i="1"/>
  <c r="AA24" i="1"/>
  <c r="Z23" i="1"/>
  <c r="Y20" i="1"/>
  <c r="X16" i="1"/>
  <c r="Z15" i="1"/>
  <c r="AA14" i="1"/>
  <c r="AI12" i="1"/>
  <c r="AI11" i="1"/>
  <c r="Z11" i="1"/>
  <c r="AA6" i="1"/>
  <c r="AI5" i="1"/>
  <c r="AG32" i="1"/>
  <c r="AJ31" i="1"/>
  <c r="AG31" i="1"/>
  <c r="Z152" i="1"/>
  <c r="Y150" i="1"/>
  <c r="AA149" i="1"/>
  <c r="Z148" i="1"/>
  <c r="AA146" i="1"/>
  <c r="X146" i="1"/>
  <c r="AA145" i="1"/>
  <c r="Y143" i="1"/>
  <c r="AA139" i="1"/>
  <c r="Y136" i="1"/>
  <c r="Y134" i="1"/>
  <c r="Z133" i="1"/>
  <c r="Z132" i="1"/>
  <c r="AA131" i="1"/>
  <c r="Z129" i="1"/>
  <c r="Y128" i="1"/>
  <c r="AA127" i="1"/>
  <c r="Y126" i="1"/>
  <c r="Z125" i="1"/>
  <c r="Z124" i="1"/>
  <c r="Z119" i="1"/>
  <c r="Y117" i="1"/>
  <c r="Z116" i="1"/>
  <c r="X114" i="1"/>
  <c r="Y113" i="1"/>
  <c r="X111" i="1"/>
  <c r="Z110" i="1"/>
  <c r="AA109" i="1"/>
  <c r="X105" i="1"/>
  <c r="Z79" i="1"/>
  <c r="AA78" i="1"/>
  <c r="Z74" i="1"/>
  <c r="Z71" i="1"/>
  <c r="Z70" i="1"/>
  <c r="Z69" i="1"/>
  <c r="AA68" i="1"/>
  <c r="Y67" i="1"/>
  <c r="AA66" i="1"/>
  <c r="X64" i="1"/>
  <c r="AG63" i="1"/>
  <c r="Z63" i="1"/>
  <c r="X60" i="1"/>
  <c r="AJ55" i="1"/>
  <c r="Z53" i="1"/>
  <c r="X52" i="1"/>
  <c r="AJ51" i="1"/>
  <c r="AG50" i="1"/>
  <c r="AA49" i="1"/>
  <c r="AA48" i="1"/>
  <c r="AA47" i="1"/>
  <c r="AG46" i="1"/>
  <c r="Z46" i="1"/>
  <c r="AJ44" i="1"/>
  <c r="AA44" i="1"/>
  <c r="AJ41" i="1"/>
  <c r="AG40" i="1"/>
  <c r="Z40" i="1"/>
  <c r="AJ37" i="1"/>
  <c r="AA37" i="1"/>
  <c r="X37" i="1"/>
  <c r="X36" i="1"/>
  <c r="AG34" i="1"/>
  <c r="AJ33" i="1"/>
  <c r="Y33" i="1"/>
  <c r="AI25" i="1"/>
  <c r="Z25" i="1"/>
  <c r="AA23" i="1"/>
  <c r="AI21" i="1"/>
  <c r="AI20" i="1"/>
  <c r="AA20" i="1"/>
  <c r="AH19" i="1"/>
  <c r="AI18" i="1"/>
  <c r="X18" i="1"/>
  <c r="Y17" i="1"/>
  <c r="Z16" i="1"/>
  <c r="X14" i="1"/>
  <c r="AA13" i="1"/>
  <c r="AH12" i="1"/>
  <c r="Z12" i="1"/>
  <c r="Y10" i="1"/>
  <c r="AA9" i="1"/>
  <c r="AI7" i="1"/>
  <c r="Z104" i="1"/>
  <c r="Y77" i="1"/>
  <c r="Z72" i="1"/>
  <c r="X69" i="1"/>
  <c r="AJ63" i="1"/>
  <c r="X62" i="1"/>
  <c r="AG61" i="1"/>
  <c r="Z57" i="1"/>
  <c r="AA56" i="1"/>
  <c r="AG55" i="1"/>
  <c r="AA55" i="1"/>
  <c r="X55" i="1"/>
  <c r="Y54" i="1"/>
  <c r="Y52" i="1"/>
  <c r="Z50" i="1"/>
  <c r="AJ48" i="1"/>
  <c r="Y48" i="1"/>
  <c r="AG47" i="1"/>
  <c r="X47" i="1"/>
  <c r="Y44" i="1"/>
  <c r="AG43" i="1"/>
  <c r="Y43" i="1"/>
  <c r="X42" i="1"/>
  <c r="Z39" i="1"/>
  <c r="AG35" i="1"/>
  <c r="AA27" i="1"/>
  <c r="AA26" i="1"/>
  <c r="AH25" i="1"/>
  <c r="Y25" i="1"/>
  <c r="AI23" i="1"/>
  <c r="Z21" i="1"/>
  <c r="AH20" i="1"/>
  <c r="Z20" i="1"/>
  <c r="AA19" i="1"/>
  <c r="Y18" i="1"/>
  <c r="X17" i="1"/>
  <c r="AI15" i="1"/>
  <c r="AA15" i="1"/>
  <c r="AA12" i="1"/>
  <c r="Z10" i="1"/>
  <c r="Z8" i="1"/>
  <c r="X8" i="1"/>
  <c r="X7" i="1"/>
  <c r="Z6" i="1"/>
  <c r="AH5" i="1"/>
  <c r="X5" i="1"/>
  <c r="AA177" i="1"/>
  <c r="AA175" i="1"/>
  <c r="Y173" i="1"/>
  <c r="Z172" i="1"/>
  <c r="Z170" i="1"/>
  <c r="AA169" i="1"/>
  <c r="Z167" i="1"/>
  <c r="Z165" i="1"/>
  <c r="AA163" i="1"/>
  <c r="AA162" i="1"/>
  <c r="AA159" i="1"/>
  <c r="Z150" i="1"/>
  <c r="Y146" i="1"/>
  <c r="Z145" i="1"/>
  <c r="Z143" i="1"/>
  <c r="AA142" i="1"/>
  <c r="X142" i="1"/>
  <c r="Z141" i="1"/>
  <c r="Z138" i="1"/>
  <c r="Z136" i="1"/>
  <c r="Y131" i="1"/>
  <c r="AA130" i="1"/>
  <c r="AA129" i="1"/>
  <c r="Z118" i="1"/>
  <c r="Y116" i="1"/>
  <c r="Y115" i="1"/>
  <c r="Y112" i="1"/>
  <c r="AA111" i="1"/>
  <c r="Z109" i="1"/>
  <c r="AA108" i="1"/>
  <c r="AA107" i="1"/>
  <c r="Z105" i="1"/>
  <c r="AA104" i="1"/>
  <c r="X104" i="1"/>
  <c r="Y76" i="1"/>
  <c r="AA75" i="1"/>
  <c r="Y74" i="1"/>
  <c r="AA71" i="1"/>
  <c r="AA70" i="1"/>
  <c r="X65" i="1"/>
  <c r="Z64" i="1"/>
  <c r="AJ57" i="1"/>
  <c r="AG54" i="1"/>
  <c r="X54" i="1"/>
  <c r="AA51" i="1"/>
  <c r="AJ50" i="1"/>
  <c r="AA50" i="1"/>
  <c r="Z49" i="1"/>
  <c r="AG48" i="1"/>
  <c r="Z48" i="1"/>
  <c r="AA45" i="1"/>
  <c r="AA43" i="1"/>
  <c r="AA41" i="1"/>
  <c r="Y40" i="1"/>
  <c r="AG39" i="1"/>
  <c r="Y37" i="1"/>
  <c r="AJ35" i="1"/>
  <c r="AA35" i="1"/>
  <c r="AJ34" i="1"/>
  <c r="Z34" i="1"/>
  <c r="AJ32" i="1"/>
  <c r="X27" i="1"/>
  <c r="X26" i="1"/>
  <c r="X25" i="1"/>
  <c r="X24" i="1"/>
  <c r="Y22" i="1"/>
  <c r="AA21" i="1"/>
  <c r="X21" i="1"/>
  <c r="AI19" i="1"/>
  <c r="Z19" i="1"/>
  <c r="AI16" i="1"/>
  <c r="AI14" i="1"/>
  <c r="AH13" i="1"/>
  <c r="Y11" i="1"/>
  <c r="AH10" i="1"/>
  <c r="AI9" i="1"/>
  <c r="X6" i="1"/>
  <c r="U5" i="1"/>
  <c r="AA198" i="1"/>
  <c r="AA188" i="1"/>
  <c r="AA187" i="1"/>
  <c r="Z182" i="1"/>
  <c r="X182" i="1"/>
  <c r="AA181" i="1"/>
  <c r="Y181" i="1"/>
  <c r="Z178" i="1"/>
  <c r="Z176" i="1"/>
  <c r="AA172" i="1"/>
  <c r="Z166" i="1"/>
  <c r="AA164" i="1"/>
  <c r="Z164" i="1"/>
  <c r="Z158" i="1"/>
  <c r="AA152" i="1"/>
  <c r="Z149" i="1"/>
  <c r="Z146" i="1"/>
  <c r="AA144" i="1"/>
  <c r="Y144" i="1"/>
  <c r="AA143" i="1"/>
  <c r="X143" i="1"/>
  <c r="Z142" i="1"/>
  <c r="AA140" i="1"/>
  <c r="Y140" i="1"/>
  <c r="AA138" i="1"/>
  <c r="Y138" i="1"/>
  <c r="Z137" i="1"/>
  <c r="AA136" i="1"/>
  <c r="Z135" i="1"/>
  <c r="X135" i="1"/>
  <c r="Z134" i="1"/>
  <c r="AA133" i="1"/>
  <c r="Y132" i="1"/>
  <c r="Y130" i="1"/>
  <c r="X129" i="1"/>
  <c r="AA128" i="1"/>
  <c r="Z126" i="1"/>
  <c r="AA124" i="1"/>
  <c r="AA123" i="1"/>
  <c r="AA119" i="1"/>
  <c r="Z117" i="1"/>
  <c r="Z114" i="1"/>
  <c r="AA113" i="1"/>
  <c r="Z111" i="1"/>
  <c r="Y110" i="1"/>
  <c r="X108" i="1"/>
  <c r="Z106" i="1"/>
  <c r="AA79" i="1"/>
  <c r="Z78" i="1"/>
  <c r="AA77" i="1"/>
  <c r="X77" i="1"/>
  <c r="X76" i="1"/>
  <c r="AA74" i="1"/>
  <c r="X71" i="1"/>
  <c r="Z67" i="1"/>
  <c r="Z65" i="1"/>
  <c r="Y64" i="1"/>
  <c r="AA63" i="1"/>
  <c r="AJ62" i="1"/>
  <c r="AA62" i="1"/>
  <c r="Z56" i="1"/>
  <c r="Y53" i="1"/>
  <c r="AG52" i="1"/>
  <c r="AA52" i="1"/>
  <c r="X50" i="1"/>
  <c r="AG49" i="1"/>
  <c r="Y46" i="1"/>
  <c r="X44" i="1"/>
  <c r="AG41" i="1"/>
  <c r="AJ40" i="1"/>
  <c r="AA40" i="1"/>
  <c r="X40" i="1"/>
  <c r="AG38" i="1"/>
  <c r="Y38" i="1"/>
  <c r="AG36" i="1"/>
  <c r="Z36" i="1"/>
  <c r="AA34" i="1"/>
  <c r="X34" i="1"/>
  <c r="Z33" i="1"/>
  <c r="Z27" i="1"/>
  <c r="Z26" i="1"/>
  <c r="AH24" i="1"/>
  <c r="Y24" i="1"/>
  <c r="AH21" i="1"/>
  <c r="Y21" i="1"/>
  <c r="AA18" i="1"/>
  <c r="Y14" i="1"/>
  <c r="X12" i="1"/>
  <c r="AH11" i="1"/>
  <c r="AA11" i="1"/>
  <c r="X10" i="1"/>
  <c r="AA8" i="1"/>
  <c r="Y8" i="1"/>
  <c r="AH7" i="1"/>
  <c r="AA7" i="1"/>
  <c r="AA5" i="1"/>
  <c r="U4" i="1"/>
  <c r="AD27" i="5" l="1"/>
  <c r="AG27" i="5"/>
  <c r="AH4" i="5"/>
  <c r="AG4" i="5"/>
  <c r="AI4" i="5"/>
  <c r="AI4" i="4"/>
  <c r="AH4" i="4"/>
  <c r="AG4" i="4"/>
  <c r="AG27" i="4"/>
  <c r="AD27" i="4"/>
  <c r="AI4" i="3"/>
  <c r="AH4" i="3"/>
  <c r="AG4" i="3"/>
  <c r="AD27" i="3"/>
  <c r="AG27" i="3"/>
  <c r="R645" i="2"/>
  <c r="T645" i="2"/>
  <c r="V645" i="2"/>
  <c r="Y645" i="2"/>
  <c r="P645" i="2"/>
  <c r="U645" i="2"/>
  <c r="Z645" i="2"/>
  <c r="O645" i="2"/>
  <c r="Q645" i="2"/>
  <c r="S645" i="2"/>
  <c r="W645" i="2"/>
  <c r="X645" i="2"/>
  <c r="Q644" i="2"/>
  <c r="S644" i="2"/>
  <c r="W644" i="2"/>
  <c r="Z644" i="2"/>
  <c r="P644" i="2"/>
  <c r="U644" i="2"/>
  <c r="X644" i="2"/>
  <c r="O644" i="2"/>
  <c r="R644" i="2"/>
  <c r="T644" i="2"/>
  <c r="V644" i="2"/>
  <c r="Y644" i="2"/>
  <c r="P642" i="2"/>
  <c r="U642" i="2"/>
  <c r="W642" i="2"/>
  <c r="Q642" i="2"/>
  <c r="X642" i="2"/>
  <c r="O642" i="2"/>
  <c r="T642" i="2"/>
  <c r="Y642" i="2"/>
  <c r="R642" i="2"/>
  <c r="V642" i="2"/>
  <c r="S642" i="2"/>
  <c r="Z642" i="2"/>
  <c r="Q639" i="2"/>
  <c r="T639" i="2"/>
  <c r="Z639" i="2"/>
  <c r="O639" i="2"/>
  <c r="S639" i="2"/>
  <c r="V639" i="2"/>
  <c r="X639" i="2"/>
  <c r="P639" i="2"/>
  <c r="W639" i="2"/>
  <c r="R639" i="2"/>
  <c r="U639" i="2"/>
  <c r="Y639" i="2"/>
  <c r="R633" i="2"/>
  <c r="U633" i="2"/>
  <c r="Z633" i="2"/>
  <c r="Q633" i="2"/>
  <c r="T633" i="2"/>
  <c r="X633" i="2"/>
  <c r="O633" i="2"/>
  <c r="W633" i="2"/>
  <c r="P633" i="2"/>
  <c r="S633" i="2"/>
  <c r="V633" i="2"/>
  <c r="Y633" i="2"/>
  <c r="R631" i="2"/>
  <c r="U631" i="2"/>
  <c r="X631" i="2"/>
  <c r="Q631" i="2"/>
  <c r="T631" i="2"/>
  <c r="Y631" i="2"/>
  <c r="P631" i="2"/>
  <c r="W631" i="2"/>
  <c r="O631" i="2"/>
  <c r="S631" i="2"/>
  <c r="V631" i="2"/>
  <c r="Z631" i="2"/>
  <c r="Q627" i="2"/>
  <c r="S627" i="2"/>
  <c r="V627" i="2"/>
  <c r="Y627" i="2"/>
  <c r="O627" i="2"/>
  <c r="R627" i="2"/>
  <c r="U627" i="2"/>
  <c r="W627" i="2"/>
  <c r="Z627" i="2"/>
  <c r="P627" i="2"/>
  <c r="T627" i="2"/>
  <c r="X627" i="2"/>
  <c r="O626" i="2"/>
  <c r="S626" i="2"/>
  <c r="V626" i="2"/>
  <c r="Y626" i="2"/>
  <c r="P626" i="2"/>
  <c r="R626" i="2"/>
  <c r="U626" i="2"/>
  <c r="W626" i="2"/>
  <c r="Z626" i="2"/>
  <c r="Q626" i="2"/>
  <c r="T626" i="2"/>
  <c r="X626" i="2"/>
  <c r="Q622" i="2"/>
  <c r="V622" i="2"/>
  <c r="X622" i="2"/>
  <c r="S622" i="2"/>
  <c r="W622" i="2"/>
  <c r="O622" i="2"/>
  <c r="R622" i="2"/>
  <c r="U622" i="2"/>
  <c r="Y622" i="2"/>
  <c r="P622" i="2"/>
  <c r="T622" i="2"/>
  <c r="Z622" i="2"/>
  <c r="R621" i="2"/>
  <c r="U621" i="2"/>
  <c r="Y621" i="2"/>
  <c r="O621" i="2"/>
  <c r="S621" i="2"/>
  <c r="V621" i="2"/>
  <c r="Z621" i="2"/>
  <c r="Q621" i="2"/>
  <c r="T621" i="2"/>
  <c r="X621" i="2"/>
  <c r="P621" i="2"/>
  <c r="W621" i="2"/>
  <c r="R614" i="2"/>
  <c r="U614" i="2"/>
  <c r="Q614" i="2"/>
  <c r="W614" i="2"/>
  <c r="Z614" i="2"/>
  <c r="P614" i="2"/>
  <c r="V614" i="2"/>
  <c r="X614" i="2"/>
  <c r="S614" i="2"/>
  <c r="O614" i="2"/>
  <c r="T614" i="2"/>
  <c r="Y614" i="2"/>
  <c r="R613" i="2"/>
  <c r="X613" i="2"/>
  <c r="Z613" i="2"/>
  <c r="Q613" i="2"/>
  <c r="U613" i="2"/>
  <c r="P613" i="2"/>
  <c r="V613" i="2"/>
  <c r="T613" i="2"/>
  <c r="Y613" i="2"/>
  <c r="O613" i="2"/>
  <c r="S613" i="2"/>
  <c r="W613" i="2"/>
  <c r="V226" i="2"/>
  <c r="S226" i="2"/>
  <c r="Z226" i="2"/>
  <c r="T226" i="2"/>
  <c r="O226" i="2"/>
  <c r="U226" i="2"/>
  <c r="P226" i="2"/>
  <c r="R226" i="2"/>
  <c r="Y226" i="2"/>
  <c r="W226" i="2"/>
  <c r="Q226" i="2"/>
  <c r="X226" i="2"/>
  <c r="Q225" i="2"/>
  <c r="V225" i="2"/>
  <c r="O225" i="2"/>
  <c r="P225" i="2"/>
  <c r="S225" i="2"/>
  <c r="R225" i="2"/>
  <c r="W225" i="2"/>
  <c r="Y225" i="2"/>
  <c r="X225" i="2"/>
  <c r="T225" i="2"/>
  <c r="Z225" i="2"/>
  <c r="U225" i="2"/>
  <c r="T217" i="2"/>
  <c r="Z217" i="2"/>
  <c r="P217" i="2"/>
  <c r="X217" i="2"/>
  <c r="S217" i="2"/>
  <c r="Q217" i="2"/>
  <c r="U217" i="2"/>
  <c r="Y217" i="2"/>
  <c r="O217" i="2"/>
  <c r="R217" i="2"/>
  <c r="W217" i="2"/>
  <c r="V217" i="2"/>
  <c r="Y108" i="2"/>
  <c r="R108" i="2"/>
  <c r="U108" i="2"/>
  <c r="X108" i="2"/>
  <c r="S108" i="2"/>
  <c r="P108" i="2"/>
  <c r="V108" i="2"/>
  <c r="Q108" i="2"/>
  <c r="Z108" i="2"/>
  <c r="O108" i="2"/>
  <c r="W108" i="2"/>
  <c r="T108" i="2"/>
  <c r="W83" i="2"/>
  <c r="O83" i="2"/>
  <c r="S83" i="2"/>
  <c r="P83" i="2"/>
  <c r="Y83" i="2"/>
  <c r="X83" i="2"/>
  <c r="Z83" i="2"/>
  <c r="R83" i="2"/>
  <c r="V83" i="2"/>
  <c r="U83" i="2"/>
  <c r="Q83" i="2"/>
  <c r="T83" i="2"/>
  <c r="V74" i="2"/>
  <c r="T74" i="2"/>
  <c r="Y74" i="2"/>
  <c r="R74" i="2"/>
  <c r="O74" i="2"/>
  <c r="X74" i="2"/>
  <c r="P74" i="2"/>
  <c r="U74" i="2"/>
  <c r="Q74" i="2"/>
  <c r="W74" i="2"/>
  <c r="S74" i="2"/>
  <c r="Z74" i="2"/>
  <c r="O65" i="2"/>
  <c r="X65" i="2"/>
  <c r="S65" i="2"/>
  <c r="Y65" i="2"/>
  <c r="R65" i="2"/>
  <c r="W65" i="2"/>
  <c r="Q65" i="2"/>
  <c r="T65" i="2"/>
  <c r="V65" i="2"/>
  <c r="P65" i="2"/>
  <c r="U65" i="2"/>
  <c r="Z65" i="2"/>
  <c r="Q643" i="2"/>
  <c r="S643" i="2"/>
  <c r="W643" i="2"/>
  <c r="Z643" i="2"/>
  <c r="O643" i="2"/>
  <c r="R643" i="2"/>
  <c r="T643" i="2"/>
  <c r="V643" i="2"/>
  <c r="Y643" i="2"/>
  <c r="X643" i="2"/>
  <c r="P643" i="2"/>
  <c r="U643" i="2"/>
  <c r="P641" i="2"/>
  <c r="S641" i="2"/>
  <c r="W641" i="2"/>
  <c r="O641" i="2"/>
  <c r="Q641" i="2"/>
  <c r="T641" i="2"/>
  <c r="X641" i="2"/>
  <c r="Z641" i="2"/>
  <c r="R641" i="2"/>
  <c r="V641" i="2"/>
  <c r="Y641" i="2"/>
  <c r="U641" i="2"/>
  <c r="Q638" i="2"/>
  <c r="U638" i="2"/>
  <c r="X638" i="2"/>
  <c r="O638" i="2"/>
  <c r="R638" i="2"/>
  <c r="V638" i="2"/>
  <c r="Y638" i="2"/>
  <c r="P638" i="2"/>
  <c r="S638" i="2"/>
  <c r="W638" i="2"/>
  <c r="Z638" i="2"/>
  <c r="T638" i="2"/>
  <c r="R632" i="2"/>
  <c r="V632" i="2"/>
  <c r="Y632" i="2"/>
  <c r="O632" i="2"/>
  <c r="Q632" i="2"/>
  <c r="U632" i="2"/>
  <c r="X632" i="2"/>
  <c r="P632" i="2"/>
  <c r="S632" i="2"/>
  <c r="W632" i="2"/>
  <c r="T632" i="2"/>
  <c r="Z632" i="2"/>
  <c r="Q612" i="2"/>
  <c r="U612" i="2"/>
  <c r="R612" i="2"/>
  <c r="V612" i="2"/>
  <c r="Z612" i="2"/>
  <c r="P612" i="2"/>
  <c r="T612" i="2"/>
  <c r="Y612" i="2"/>
  <c r="S612" i="2"/>
  <c r="X612" i="2"/>
  <c r="O612" i="2"/>
  <c r="W612" i="2"/>
  <c r="V79" i="2"/>
  <c r="O79" i="2"/>
  <c r="Q79" i="2"/>
  <c r="T79" i="2"/>
  <c r="Z79" i="2"/>
  <c r="P79" i="2"/>
  <c r="U79" i="2"/>
  <c r="S79" i="2"/>
  <c r="W79" i="2"/>
  <c r="R79" i="2"/>
  <c r="Y79" i="2"/>
  <c r="X79" i="2"/>
  <c r="P78" i="2"/>
  <c r="V78" i="2"/>
  <c r="Z78" i="2"/>
  <c r="U78" i="2"/>
  <c r="O78" i="2"/>
  <c r="W78" i="2"/>
  <c r="R78" i="2"/>
  <c r="Q78" i="2"/>
  <c r="Y78" i="2"/>
  <c r="S78" i="2"/>
  <c r="X78" i="2"/>
  <c r="T78" i="2"/>
  <c r="R71" i="2"/>
  <c r="X71" i="2"/>
  <c r="T71" i="2"/>
  <c r="Y71" i="2"/>
  <c r="V71" i="2"/>
  <c r="P71" i="2"/>
  <c r="U71" i="2"/>
  <c r="O71" i="2"/>
  <c r="S71" i="2"/>
  <c r="Z71" i="2"/>
  <c r="Q71" i="2"/>
  <c r="W71" i="2"/>
  <c r="P61" i="2"/>
  <c r="U61" i="2"/>
  <c r="S61" i="2"/>
  <c r="W61" i="2"/>
  <c r="Q61" i="2"/>
  <c r="V61" i="2"/>
  <c r="O61" i="2"/>
  <c r="R61" i="2"/>
  <c r="Z61" i="2"/>
  <c r="Y61" i="2"/>
  <c r="X61" i="2"/>
  <c r="T61" i="2"/>
  <c r="Q58" i="2"/>
  <c r="S58" i="2"/>
  <c r="Z58" i="2"/>
  <c r="O58" i="2"/>
  <c r="Y58" i="2"/>
  <c r="U58" i="2"/>
  <c r="P58" i="2"/>
  <c r="X58" i="2"/>
  <c r="W58" i="2"/>
  <c r="T58" i="2"/>
  <c r="V58" i="2"/>
  <c r="R58" i="2"/>
  <c r="U57" i="2"/>
  <c r="Y57" i="2"/>
  <c r="P57" i="2"/>
  <c r="R57" i="2"/>
  <c r="W57" i="2"/>
  <c r="S57" i="2"/>
  <c r="T57" i="2"/>
  <c r="X57" i="2"/>
  <c r="V57" i="2"/>
  <c r="Z57" i="2"/>
  <c r="Q57" i="2"/>
  <c r="O57" i="2"/>
  <c r="Z53" i="2"/>
  <c r="V53" i="2"/>
  <c r="S53" i="2"/>
  <c r="O53" i="2"/>
  <c r="U53" i="2"/>
  <c r="Q53" i="2"/>
  <c r="X53" i="2"/>
  <c r="T53" i="2"/>
  <c r="W53" i="2"/>
  <c r="P53" i="2"/>
  <c r="R53" i="2"/>
  <c r="Y53" i="2"/>
  <c r="T636" i="2"/>
  <c r="Z636" i="2"/>
  <c r="O636" i="2"/>
  <c r="R636" i="2"/>
  <c r="U636" i="2"/>
  <c r="P636" i="2"/>
  <c r="S636" i="2"/>
  <c r="W636" i="2"/>
  <c r="Y636" i="2"/>
  <c r="Q636" i="2"/>
  <c r="V636" i="2"/>
  <c r="X636" i="2"/>
  <c r="S635" i="2"/>
  <c r="Y635" i="2"/>
  <c r="O635" i="2"/>
  <c r="R635" i="2"/>
  <c r="V635" i="2"/>
  <c r="Z635" i="2"/>
  <c r="Q635" i="2"/>
  <c r="U635" i="2"/>
  <c r="W635" i="2"/>
  <c r="P635" i="2"/>
  <c r="T635" i="2"/>
  <c r="X635" i="2"/>
  <c r="R629" i="2"/>
  <c r="X629" i="2"/>
  <c r="P629" i="2"/>
  <c r="S629" i="2"/>
  <c r="U629" i="2"/>
  <c r="W629" i="2"/>
  <c r="Z629" i="2"/>
  <c r="O629" i="2"/>
  <c r="Q629" i="2"/>
  <c r="T629" i="2"/>
  <c r="V629" i="2"/>
  <c r="Y629" i="2"/>
  <c r="S628" i="2"/>
  <c r="X628" i="2"/>
  <c r="P628" i="2"/>
  <c r="Q628" i="2"/>
  <c r="T628" i="2"/>
  <c r="V628" i="2"/>
  <c r="W628" i="2"/>
  <c r="Z628" i="2"/>
  <c r="O628" i="2"/>
  <c r="R628" i="2"/>
  <c r="U628" i="2"/>
  <c r="Y628" i="2"/>
  <c r="U623" i="2"/>
  <c r="O623" i="2"/>
  <c r="R623" i="2"/>
  <c r="V623" i="2"/>
  <c r="Y623" i="2"/>
  <c r="P623" i="2"/>
  <c r="S623" i="2"/>
  <c r="W623" i="2"/>
  <c r="Z623" i="2"/>
  <c r="Q623" i="2"/>
  <c r="T623" i="2"/>
  <c r="X623" i="2"/>
  <c r="T618" i="2"/>
  <c r="Z618" i="2"/>
  <c r="Q618" i="2"/>
  <c r="O618" i="2"/>
  <c r="V618" i="2"/>
  <c r="Y618" i="2"/>
  <c r="R618" i="2"/>
  <c r="U618" i="2"/>
  <c r="W618" i="2"/>
  <c r="P618" i="2"/>
  <c r="S618" i="2"/>
  <c r="X618" i="2"/>
  <c r="U616" i="2"/>
  <c r="Z616" i="2"/>
  <c r="O616" i="2"/>
  <c r="S616" i="2"/>
  <c r="X616" i="2"/>
  <c r="Q616" i="2"/>
  <c r="Y616" i="2"/>
  <c r="R616" i="2"/>
  <c r="V616" i="2"/>
  <c r="P616" i="2"/>
  <c r="T616" i="2"/>
  <c r="W616" i="2"/>
  <c r="S114" i="2"/>
  <c r="O114" i="2"/>
  <c r="R114" i="2"/>
  <c r="W114" i="2"/>
  <c r="P114" i="2"/>
  <c r="U114" i="2"/>
  <c r="V114" i="2"/>
  <c r="Q114" i="2"/>
  <c r="X114" i="2"/>
  <c r="Y114" i="2"/>
  <c r="Z114" i="2"/>
  <c r="T114" i="2"/>
  <c r="X105" i="2"/>
  <c r="R105" i="2"/>
  <c r="Y105" i="2"/>
  <c r="Q105" i="2"/>
  <c r="V105" i="2"/>
  <c r="O105" i="2"/>
  <c r="T105" i="2"/>
  <c r="W105" i="2"/>
  <c r="S105" i="2"/>
  <c r="Z105" i="2"/>
  <c r="U105" i="2"/>
  <c r="P105" i="2"/>
  <c r="R99" i="2"/>
  <c r="V99" i="2"/>
  <c r="Z99" i="2"/>
  <c r="U99" i="2"/>
  <c r="P99" i="2"/>
  <c r="S99" i="2"/>
  <c r="Y99" i="2"/>
  <c r="Q99" i="2"/>
  <c r="W99" i="2"/>
  <c r="O99" i="2"/>
  <c r="T99" i="2"/>
  <c r="X99" i="2"/>
  <c r="Y90" i="2"/>
  <c r="V90" i="2"/>
  <c r="U90" i="2"/>
  <c r="S90" i="2"/>
  <c r="P90" i="2"/>
  <c r="X90" i="2"/>
  <c r="O90" i="2"/>
  <c r="R90" i="2"/>
  <c r="Q90" i="2"/>
  <c r="T90" i="2"/>
  <c r="W90" i="2"/>
  <c r="Z90" i="2"/>
  <c r="P473" i="2"/>
  <c r="R473" i="2"/>
  <c r="T473" i="2"/>
  <c r="V473" i="2"/>
  <c r="X473" i="2"/>
  <c r="Z473" i="2"/>
  <c r="O473" i="2"/>
  <c r="Q473" i="2"/>
  <c r="S473" i="2"/>
  <c r="U473" i="2"/>
  <c r="W473" i="2"/>
  <c r="Y473" i="2"/>
  <c r="P471" i="2"/>
  <c r="R471" i="2"/>
  <c r="T471" i="2"/>
  <c r="V471" i="2"/>
  <c r="X471" i="2"/>
  <c r="Z471" i="2"/>
  <c r="O471" i="2"/>
  <c r="Q471" i="2"/>
  <c r="S471" i="2"/>
  <c r="U471" i="2"/>
  <c r="W471" i="2"/>
  <c r="Y471" i="2"/>
  <c r="P470" i="2"/>
  <c r="R470" i="2"/>
  <c r="T470" i="2"/>
  <c r="V470" i="2"/>
  <c r="X470" i="2"/>
  <c r="Y470" i="2"/>
  <c r="O470" i="2"/>
  <c r="Q470" i="2"/>
  <c r="S470" i="2"/>
  <c r="U470" i="2"/>
  <c r="W470" i="2"/>
  <c r="Z470" i="2"/>
  <c r="P469" i="2"/>
  <c r="R469" i="2"/>
  <c r="T469" i="2"/>
  <c r="V469" i="2"/>
  <c r="X469" i="2"/>
  <c r="Z469" i="2"/>
  <c r="O469" i="2"/>
  <c r="Q469" i="2"/>
  <c r="S469" i="2"/>
  <c r="U469" i="2"/>
  <c r="W469" i="2"/>
  <c r="Y469" i="2"/>
  <c r="P468" i="2"/>
  <c r="R468" i="2"/>
  <c r="T468" i="2"/>
  <c r="V468" i="2"/>
  <c r="X468" i="2"/>
  <c r="Y468" i="2"/>
  <c r="O468" i="2"/>
  <c r="Q468" i="2"/>
  <c r="S468" i="2"/>
  <c r="U468" i="2"/>
  <c r="W468" i="2"/>
  <c r="Z468" i="2"/>
  <c r="P465" i="2"/>
  <c r="R465" i="2"/>
  <c r="T465" i="2"/>
  <c r="V465" i="2"/>
  <c r="X465" i="2"/>
  <c r="Z465" i="2"/>
  <c r="O465" i="2"/>
  <c r="Q465" i="2"/>
  <c r="S465" i="2"/>
  <c r="U465" i="2"/>
  <c r="W465" i="2"/>
  <c r="Y465" i="2"/>
  <c r="P464" i="2"/>
  <c r="R464" i="2"/>
  <c r="T464" i="2"/>
  <c r="V464" i="2"/>
  <c r="X464" i="2"/>
  <c r="Z464" i="2"/>
  <c r="O464" i="2"/>
  <c r="Q464" i="2"/>
  <c r="S464" i="2"/>
  <c r="U464" i="2"/>
  <c r="W464" i="2"/>
  <c r="Y464" i="2"/>
  <c r="P462" i="2"/>
  <c r="R462" i="2"/>
  <c r="T462" i="2"/>
  <c r="V462" i="2"/>
  <c r="X462" i="2"/>
  <c r="Z462" i="2"/>
  <c r="O462" i="2"/>
  <c r="Q462" i="2"/>
  <c r="S462" i="2"/>
  <c r="U462" i="2"/>
  <c r="W462" i="2"/>
  <c r="Y462" i="2"/>
  <c r="P461" i="2"/>
  <c r="R461" i="2"/>
  <c r="T461" i="2"/>
  <c r="V461" i="2"/>
  <c r="X461" i="2"/>
  <c r="Z461" i="2"/>
  <c r="O461" i="2"/>
  <c r="Q461" i="2"/>
  <c r="S461" i="2"/>
  <c r="U461" i="2"/>
  <c r="W461" i="2"/>
  <c r="Y461" i="2"/>
  <c r="P460" i="2"/>
  <c r="R460" i="2"/>
  <c r="T460" i="2"/>
  <c r="U460" i="2"/>
  <c r="W460" i="2"/>
  <c r="Y460" i="2"/>
  <c r="O460" i="2"/>
  <c r="Q460" i="2"/>
  <c r="S460" i="2"/>
  <c r="V460" i="2"/>
  <c r="X460" i="2"/>
  <c r="Z460" i="2"/>
  <c r="P455" i="2"/>
  <c r="R455" i="2"/>
  <c r="T455" i="2"/>
  <c r="V455" i="2"/>
  <c r="X455" i="2"/>
  <c r="Z455" i="2"/>
  <c r="O455" i="2"/>
  <c r="Q455" i="2"/>
  <c r="S455" i="2"/>
  <c r="U455" i="2"/>
  <c r="W455" i="2"/>
  <c r="Y455" i="2"/>
  <c r="R452" i="2"/>
  <c r="V452" i="2"/>
  <c r="Y452" i="2"/>
  <c r="Z452" i="2"/>
  <c r="P452" i="2"/>
  <c r="T452" i="2"/>
  <c r="Q452" i="2"/>
  <c r="X452" i="2"/>
  <c r="U452" i="2"/>
  <c r="O452" i="2"/>
  <c r="S452" i="2"/>
  <c r="W452" i="2"/>
  <c r="R220" i="2"/>
  <c r="Y220" i="2"/>
  <c r="W220" i="2"/>
  <c r="T220" i="2"/>
  <c r="U220" i="2"/>
  <c r="Z220" i="2"/>
  <c r="O220" i="2"/>
  <c r="S220" i="2"/>
  <c r="V220" i="2"/>
  <c r="Q220" i="2"/>
  <c r="P220" i="2"/>
  <c r="X220" i="2"/>
  <c r="V216" i="2"/>
  <c r="S216" i="2"/>
  <c r="P216" i="2"/>
  <c r="T216" i="2"/>
  <c r="Y216" i="2"/>
  <c r="Q216" i="2"/>
  <c r="W216" i="2"/>
  <c r="U216" i="2"/>
  <c r="R216" i="2"/>
  <c r="Z216" i="2"/>
  <c r="O216" i="2"/>
  <c r="X216" i="2"/>
  <c r="R215" i="2"/>
  <c r="V215" i="2"/>
  <c r="T215" i="2"/>
  <c r="O215" i="2"/>
  <c r="Q215" i="2"/>
  <c r="Y215" i="2"/>
  <c r="U215" i="2"/>
  <c r="X215" i="2"/>
  <c r="S215" i="2"/>
  <c r="P215" i="2"/>
  <c r="W215" i="2"/>
  <c r="Z215" i="2"/>
  <c r="Y212" i="2"/>
  <c r="V212" i="2"/>
  <c r="O212" i="2"/>
  <c r="Z212" i="2"/>
  <c r="Q212" i="2"/>
  <c r="W212" i="2"/>
  <c r="P212" i="2"/>
  <c r="U212" i="2"/>
  <c r="R212" i="2"/>
  <c r="T212" i="2"/>
  <c r="S212" i="2"/>
  <c r="X212" i="2"/>
  <c r="R115" i="2"/>
  <c r="Y115" i="2"/>
  <c r="O115" i="2"/>
  <c r="W115" i="2"/>
  <c r="V115" i="2"/>
  <c r="P115" i="2"/>
  <c r="U115" i="2"/>
  <c r="X115" i="2"/>
  <c r="S115" i="2"/>
  <c r="T115" i="2"/>
  <c r="Q115" i="2"/>
  <c r="Z115" i="2"/>
  <c r="X113" i="2"/>
  <c r="R113" i="2"/>
  <c r="Z113" i="2"/>
  <c r="O113" i="2"/>
  <c r="W113" i="2"/>
  <c r="P113" i="2"/>
  <c r="T113" i="2"/>
  <c r="Q113" i="2"/>
  <c r="U113" i="2"/>
  <c r="S113" i="2"/>
  <c r="Y113" i="2"/>
  <c r="V113" i="2"/>
  <c r="R110" i="2"/>
  <c r="Y110" i="2"/>
  <c r="Q110" i="2"/>
  <c r="Z110" i="2"/>
  <c r="W110" i="2"/>
  <c r="V110" i="2"/>
  <c r="P110" i="2"/>
  <c r="T110" i="2"/>
  <c r="S110" i="2"/>
  <c r="X110" i="2"/>
  <c r="O110" i="2"/>
  <c r="U110" i="2"/>
  <c r="S109" i="2"/>
  <c r="Q109" i="2"/>
  <c r="X109" i="2"/>
  <c r="P109" i="2"/>
  <c r="W109" i="2"/>
  <c r="V109" i="2"/>
  <c r="O109" i="2"/>
  <c r="U109" i="2"/>
  <c r="Y109" i="2"/>
  <c r="R109" i="2"/>
  <c r="Z109" i="2"/>
  <c r="T109" i="2"/>
  <c r="U96" i="2"/>
  <c r="X96" i="2"/>
  <c r="R96" i="2"/>
  <c r="Y96" i="2"/>
  <c r="V96" i="2"/>
  <c r="P96" i="2"/>
  <c r="T96" i="2"/>
  <c r="O96" i="2"/>
  <c r="Q96" i="2"/>
  <c r="S96" i="2"/>
  <c r="W96" i="2"/>
  <c r="Z96" i="2"/>
  <c r="T76" i="2"/>
  <c r="Z76" i="2"/>
  <c r="V76" i="2"/>
  <c r="R76" i="2"/>
  <c r="W76" i="2"/>
  <c r="O76" i="2"/>
  <c r="U76" i="2"/>
  <c r="P76" i="2"/>
  <c r="X76" i="2"/>
  <c r="Q76" i="2"/>
  <c r="Y76" i="2"/>
  <c r="S76" i="2"/>
  <c r="T67" i="2"/>
  <c r="Y67" i="2"/>
  <c r="V67" i="2"/>
  <c r="U67" i="2"/>
  <c r="X67" i="2"/>
  <c r="O67" i="2"/>
  <c r="R67" i="2"/>
  <c r="S67" i="2"/>
  <c r="W67" i="2"/>
  <c r="P67" i="2"/>
  <c r="Z67" i="2"/>
  <c r="Q67" i="2"/>
  <c r="P474" i="2"/>
  <c r="R474" i="2"/>
  <c r="S474" i="2"/>
  <c r="U474" i="2"/>
  <c r="X474" i="2"/>
  <c r="Z474" i="2"/>
  <c r="O474" i="2"/>
  <c r="Q474" i="2"/>
  <c r="T474" i="2"/>
  <c r="V474" i="2"/>
  <c r="W474" i="2"/>
  <c r="Y474" i="2"/>
  <c r="P472" i="2"/>
  <c r="Q472" i="2"/>
  <c r="T472" i="2"/>
  <c r="V472" i="2"/>
  <c r="X472" i="2"/>
  <c r="Z472" i="2"/>
  <c r="O472" i="2"/>
  <c r="R472" i="2"/>
  <c r="S472" i="2"/>
  <c r="U472" i="2"/>
  <c r="W472" i="2"/>
  <c r="Y472" i="2"/>
  <c r="Q467" i="2"/>
  <c r="S467" i="2"/>
  <c r="U467" i="2"/>
  <c r="W467" i="2"/>
  <c r="Y467" i="2"/>
  <c r="O467" i="2"/>
  <c r="P467" i="2"/>
  <c r="R467" i="2"/>
  <c r="T467" i="2"/>
  <c r="V467" i="2"/>
  <c r="X467" i="2"/>
  <c r="Z467" i="2"/>
  <c r="P466" i="2"/>
  <c r="R466" i="2"/>
  <c r="T466" i="2"/>
  <c r="V466" i="2"/>
  <c r="X466" i="2"/>
  <c r="Y466" i="2"/>
  <c r="O466" i="2"/>
  <c r="Q466" i="2"/>
  <c r="S466" i="2"/>
  <c r="U466" i="2"/>
  <c r="W466" i="2"/>
  <c r="Z466" i="2"/>
  <c r="P463" i="2"/>
  <c r="R463" i="2"/>
  <c r="T463" i="2"/>
  <c r="V463" i="2"/>
  <c r="X463" i="2"/>
  <c r="Z463" i="2"/>
  <c r="O463" i="2"/>
  <c r="Q463" i="2"/>
  <c r="S463" i="2"/>
  <c r="U463" i="2"/>
  <c r="W463" i="2"/>
  <c r="Y463" i="2"/>
  <c r="P459" i="2"/>
  <c r="R459" i="2"/>
  <c r="T459" i="2"/>
  <c r="U459" i="2"/>
  <c r="W459" i="2"/>
  <c r="Y459" i="2"/>
  <c r="O459" i="2"/>
  <c r="Q459" i="2"/>
  <c r="S459" i="2"/>
  <c r="V459" i="2"/>
  <c r="X459" i="2"/>
  <c r="Z459" i="2"/>
  <c r="P458" i="2"/>
  <c r="R458" i="2"/>
  <c r="T458" i="2"/>
  <c r="U458" i="2"/>
  <c r="W458" i="2"/>
  <c r="Y458" i="2"/>
  <c r="O458" i="2"/>
  <c r="Q458" i="2"/>
  <c r="S458" i="2"/>
  <c r="V458" i="2"/>
  <c r="X458" i="2"/>
  <c r="Z458" i="2"/>
  <c r="P457" i="2"/>
  <c r="R457" i="2"/>
  <c r="T457" i="2"/>
  <c r="V457" i="2"/>
  <c r="X457" i="2"/>
  <c r="O457" i="2"/>
  <c r="Q457" i="2"/>
  <c r="S457" i="2"/>
  <c r="U457" i="2"/>
  <c r="W457" i="2"/>
  <c r="Y457" i="2"/>
  <c r="Z457" i="2"/>
  <c r="P456" i="2"/>
  <c r="R456" i="2"/>
  <c r="T456" i="2"/>
  <c r="U456" i="2"/>
  <c r="W456" i="2"/>
  <c r="Y456" i="2"/>
  <c r="O456" i="2"/>
  <c r="Q456" i="2"/>
  <c r="S456" i="2"/>
  <c r="V456" i="2"/>
  <c r="X456" i="2"/>
  <c r="Z456" i="2"/>
  <c r="P454" i="2"/>
  <c r="R454" i="2"/>
  <c r="S454" i="2"/>
  <c r="T454" i="2"/>
  <c r="U454" i="2"/>
  <c r="V454" i="2"/>
  <c r="W454" i="2"/>
  <c r="X454" i="2"/>
  <c r="O454" i="2"/>
  <c r="Q454" i="2"/>
  <c r="Y454" i="2"/>
  <c r="Z454" i="2"/>
  <c r="P453" i="2"/>
  <c r="Q453" i="2"/>
  <c r="S453" i="2"/>
  <c r="U453" i="2"/>
  <c r="W453" i="2"/>
  <c r="X453" i="2"/>
  <c r="Z453" i="2"/>
  <c r="O453" i="2"/>
  <c r="R453" i="2"/>
  <c r="T453" i="2"/>
  <c r="V453" i="2"/>
  <c r="Y453" i="2"/>
  <c r="R221" i="2"/>
  <c r="U221" i="2"/>
  <c r="Z221" i="2"/>
  <c r="W221" i="2"/>
  <c r="Y221" i="2"/>
  <c r="X221" i="2"/>
  <c r="V221" i="2"/>
  <c r="Q221" i="2"/>
  <c r="O221" i="2"/>
  <c r="S221" i="2"/>
  <c r="T221" i="2"/>
  <c r="P221" i="2"/>
  <c r="Q214" i="2"/>
  <c r="V214" i="2"/>
  <c r="O214" i="2"/>
  <c r="U214" i="2"/>
  <c r="S214" i="2"/>
  <c r="X214" i="2"/>
  <c r="T214" i="2"/>
  <c r="Z214" i="2"/>
  <c r="R214" i="2"/>
  <c r="P214" i="2"/>
  <c r="Y214" i="2"/>
  <c r="W214" i="2"/>
  <c r="W134" i="2"/>
  <c r="R134" i="2"/>
  <c r="S134" i="2"/>
  <c r="X134" i="2"/>
  <c r="T134" i="2"/>
  <c r="Z134" i="2"/>
  <c r="O134" i="2"/>
  <c r="V134" i="2"/>
  <c r="Q134" i="2"/>
  <c r="Y134" i="2"/>
  <c r="P134" i="2"/>
  <c r="U134" i="2"/>
  <c r="P118" i="2"/>
  <c r="O118" i="2"/>
  <c r="R118" i="2"/>
  <c r="Q118" i="2"/>
  <c r="S112" i="2"/>
  <c r="Z112" i="2"/>
  <c r="T112" i="2"/>
  <c r="X112" i="2"/>
  <c r="P112" i="2"/>
  <c r="Y112" i="2"/>
  <c r="V112" i="2"/>
  <c r="U112" i="2"/>
  <c r="W112" i="2"/>
  <c r="O112" i="2"/>
  <c r="Q112" i="2"/>
  <c r="R112" i="2"/>
  <c r="U107" i="2"/>
  <c r="T107" i="2"/>
  <c r="Q107" i="2"/>
  <c r="X107" i="2"/>
  <c r="R107" i="2"/>
  <c r="Z107" i="2"/>
  <c r="O107" i="2"/>
  <c r="W107" i="2"/>
  <c r="S107" i="2"/>
  <c r="Y107" i="2"/>
  <c r="V107" i="2"/>
  <c r="P107" i="2"/>
  <c r="O106" i="2"/>
  <c r="W106" i="2"/>
  <c r="R106" i="2"/>
  <c r="Y106" i="2"/>
  <c r="S106" i="2"/>
  <c r="V106" i="2"/>
  <c r="Q106" i="2"/>
  <c r="X106" i="2"/>
  <c r="T106" i="2"/>
  <c r="U106" i="2"/>
  <c r="P106" i="2"/>
  <c r="Z106" i="2"/>
  <c r="S91" i="2"/>
  <c r="P91" i="2"/>
  <c r="Y91" i="2"/>
  <c r="X91" i="2"/>
  <c r="Q91" i="2"/>
  <c r="O91" i="2"/>
  <c r="V91" i="2"/>
  <c r="T91" i="2"/>
  <c r="U91" i="2"/>
  <c r="R91" i="2"/>
  <c r="Z91" i="2"/>
  <c r="W91" i="2"/>
  <c r="Q89" i="2"/>
  <c r="W89" i="2"/>
  <c r="U89" i="2"/>
  <c r="P89" i="2"/>
  <c r="Y89" i="2"/>
  <c r="O89" i="2"/>
  <c r="S89" i="2"/>
  <c r="V89" i="2"/>
  <c r="R89" i="2"/>
  <c r="X89" i="2"/>
  <c r="T89" i="2"/>
  <c r="Z89" i="2"/>
  <c r="V86" i="2"/>
  <c r="S86" i="2"/>
  <c r="Y86" i="2"/>
  <c r="R86" i="2"/>
  <c r="Z86" i="2"/>
  <c r="P86" i="2"/>
  <c r="W86" i="2"/>
  <c r="T86" i="2"/>
  <c r="Q86" i="2"/>
  <c r="U86" i="2"/>
  <c r="O86" i="2"/>
  <c r="X86" i="2"/>
  <c r="X68" i="2"/>
  <c r="Y68" i="2"/>
  <c r="V68" i="2"/>
  <c r="Z68" i="2"/>
  <c r="O68" i="2"/>
  <c r="W68" i="2"/>
  <c r="S68" i="2"/>
  <c r="Q68" i="2"/>
  <c r="U68" i="2"/>
  <c r="R68" i="2"/>
  <c r="P68" i="2"/>
  <c r="T68" i="2"/>
  <c r="T59" i="2"/>
  <c r="Z59" i="2"/>
  <c r="O59" i="2"/>
  <c r="U59" i="2"/>
  <c r="P59" i="2"/>
  <c r="V59" i="2"/>
  <c r="S59" i="2"/>
  <c r="Y59" i="2"/>
  <c r="R59" i="2"/>
  <c r="W59" i="2"/>
  <c r="Q59" i="2"/>
  <c r="X59" i="2"/>
  <c r="U55" i="2"/>
  <c r="Q55" i="2"/>
  <c r="O55" i="2"/>
  <c r="X55" i="2"/>
  <c r="V55" i="2"/>
  <c r="T55" i="2"/>
  <c r="Y55" i="2"/>
  <c r="R55" i="2"/>
  <c r="S55" i="2"/>
  <c r="P55" i="2"/>
  <c r="W55" i="2"/>
  <c r="Z55" i="2"/>
  <c r="O384" i="2"/>
  <c r="P384" i="2"/>
  <c r="Q384" i="2"/>
  <c r="R384" i="2"/>
  <c r="S384" i="2"/>
  <c r="T384" i="2"/>
  <c r="U384" i="2"/>
  <c r="V384" i="2"/>
  <c r="W384" i="2"/>
  <c r="X384" i="2"/>
  <c r="Y384" i="2"/>
  <c r="Z384" i="2"/>
  <c r="O383" i="2"/>
  <c r="P383" i="2"/>
  <c r="Q383" i="2"/>
  <c r="R383" i="2"/>
  <c r="S383" i="2"/>
  <c r="T383" i="2"/>
  <c r="U383" i="2"/>
  <c r="V383" i="2"/>
  <c r="W383" i="2"/>
  <c r="X383" i="2"/>
  <c r="Y383" i="2"/>
  <c r="Z383" i="2"/>
  <c r="O382" i="2"/>
  <c r="P382" i="2"/>
  <c r="Q382" i="2"/>
  <c r="R382" i="2"/>
  <c r="S382" i="2"/>
  <c r="T382" i="2"/>
  <c r="U382" i="2"/>
  <c r="V382" i="2"/>
  <c r="W382" i="2"/>
  <c r="X382" i="2"/>
  <c r="Y382" i="2"/>
  <c r="Z382" i="2"/>
  <c r="O381" i="2"/>
  <c r="P381" i="2"/>
  <c r="Q381" i="2"/>
  <c r="R381" i="2"/>
  <c r="S381" i="2"/>
  <c r="T381" i="2"/>
  <c r="U381" i="2"/>
  <c r="V381" i="2"/>
  <c r="W381" i="2"/>
  <c r="X381" i="2"/>
  <c r="Y381" i="2"/>
  <c r="Z381" i="2"/>
  <c r="O380" i="2"/>
  <c r="P380" i="2"/>
  <c r="Q380" i="2"/>
  <c r="R380" i="2"/>
  <c r="S380" i="2"/>
  <c r="T380" i="2"/>
  <c r="U380" i="2"/>
  <c r="V380" i="2"/>
  <c r="W380" i="2"/>
  <c r="X380" i="2"/>
  <c r="Y380" i="2"/>
  <c r="Z380" i="2"/>
  <c r="O379" i="2"/>
  <c r="P379" i="2"/>
  <c r="Q379" i="2"/>
  <c r="R379" i="2"/>
  <c r="S379" i="2"/>
  <c r="T379" i="2"/>
  <c r="U379" i="2"/>
  <c r="V379" i="2"/>
  <c r="W379" i="2"/>
  <c r="X379" i="2"/>
  <c r="Y379" i="2"/>
  <c r="Z379" i="2"/>
  <c r="O378" i="2"/>
  <c r="P378" i="2"/>
  <c r="Q378" i="2"/>
  <c r="R378" i="2"/>
  <c r="S378" i="2"/>
  <c r="T378" i="2"/>
  <c r="U378" i="2"/>
  <c r="V378" i="2"/>
  <c r="W378" i="2"/>
  <c r="X378" i="2"/>
  <c r="Y378" i="2"/>
  <c r="Z378" i="2"/>
  <c r="O377" i="2"/>
  <c r="P377" i="2"/>
  <c r="Q377" i="2"/>
  <c r="R377" i="2"/>
  <c r="S377" i="2"/>
  <c r="T377" i="2"/>
  <c r="U377" i="2"/>
  <c r="V377" i="2"/>
  <c r="W377" i="2"/>
  <c r="X377" i="2"/>
  <c r="Y377" i="2"/>
  <c r="Z377" i="2"/>
  <c r="O376" i="2"/>
  <c r="P376" i="2"/>
  <c r="Q376" i="2"/>
  <c r="R376" i="2"/>
  <c r="S376" i="2"/>
  <c r="T376" i="2"/>
  <c r="U376" i="2"/>
  <c r="V376" i="2"/>
  <c r="W376" i="2"/>
  <c r="X376" i="2"/>
  <c r="Y376" i="2"/>
  <c r="Z376" i="2"/>
  <c r="O375" i="2"/>
  <c r="P375" i="2"/>
  <c r="Q375" i="2"/>
  <c r="R375" i="2"/>
  <c r="S375" i="2"/>
  <c r="T375" i="2"/>
  <c r="U375" i="2"/>
  <c r="V375" i="2"/>
  <c r="W375" i="2"/>
  <c r="X375" i="2"/>
  <c r="Y375" i="2"/>
  <c r="Z375" i="2"/>
  <c r="O374" i="2"/>
  <c r="P374" i="2"/>
  <c r="Q374" i="2"/>
  <c r="R374" i="2"/>
  <c r="S374" i="2"/>
  <c r="T374" i="2"/>
  <c r="U374" i="2"/>
  <c r="V374" i="2"/>
  <c r="W374" i="2"/>
  <c r="X374" i="2"/>
  <c r="Y374" i="2"/>
  <c r="Z374" i="2"/>
  <c r="O373" i="2"/>
  <c r="P373" i="2"/>
  <c r="Q373" i="2"/>
  <c r="R373" i="2"/>
  <c r="S373" i="2"/>
  <c r="T373" i="2"/>
  <c r="U373" i="2"/>
  <c r="V373" i="2"/>
  <c r="W373" i="2"/>
  <c r="X373" i="2"/>
  <c r="Y373" i="2"/>
  <c r="Z373" i="2"/>
  <c r="O372" i="2"/>
  <c r="P372" i="2"/>
  <c r="Q372" i="2"/>
  <c r="R372" i="2"/>
  <c r="S372" i="2"/>
  <c r="T372" i="2"/>
  <c r="U372" i="2"/>
  <c r="V372" i="2"/>
  <c r="W372" i="2"/>
  <c r="X372" i="2"/>
  <c r="Y372" i="2"/>
  <c r="Z372" i="2"/>
  <c r="P228" i="2"/>
  <c r="S228" i="2"/>
  <c r="W228" i="2"/>
  <c r="O228" i="2"/>
  <c r="R228" i="2"/>
  <c r="U228" i="2"/>
  <c r="Y228" i="2"/>
  <c r="Q228" i="2"/>
  <c r="T228" i="2"/>
  <c r="V228" i="2"/>
  <c r="X228" i="2"/>
  <c r="Z228" i="2"/>
  <c r="T224" i="2"/>
  <c r="V224" i="2"/>
  <c r="P224" i="2"/>
  <c r="W224" i="2"/>
  <c r="R224" i="2"/>
  <c r="Q224" i="2"/>
  <c r="U224" i="2"/>
  <c r="Z224" i="2"/>
  <c r="X224" i="2"/>
  <c r="O224" i="2"/>
  <c r="S224" i="2"/>
  <c r="Y224" i="2"/>
  <c r="T213" i="2"/>
  <c r="V213" i="2"/>
  <c r="Q213" i="2"/>
  <c r="W213" i="2"/>
  <c r="Z213" i="2"/>
  <c r="X213" i="2"/>
  <c r="S213" i="2"/>
  <c r="Y213" i="2"/>
  <c r="O213" i="2"/>
  <c r="P213" i="2"/>
  <c r="U213" i="2"/>
  <c r="R213" i="2"/>
  <c r="W103" i="2"/>
  <c r="Y103" i="2"/>
  <c r="S103" i="2"/>
  <c r="V103" i="2"/>
  <c r="R103" i="2"/>
  <c r="T103" i="2"/>
  <c r="P103" i="2"/>
  <c r="X103" i="2"/>
  <c r="O103" i="2"/>
  <c r="Z103" i="2"/>
  <c r="Q103" i="2"/>
  <c r="U103" i="2"/>
  <c r="U95" i="2"/>
  <c r="W95" i="2"/>
  <c r="P95" i="2"/>
  <c r="Q95" i="2"/>
  <c r="S95" i="2"/>
  <c r="V95" i="2"/>
  <c r="Y95" i="2"/>
  <c r="R95" i="2"/>
  <c r="T95" i="2"/>
  <c r="Z95" i="2"/>
  <c r="O95" i="2"/>
  <c r="X95" i="2"/>
  <c r="S94" i="2"/>
  <c r="W94" i="2"/>
  <c r="V94" i="2"/>
  <c r="O94" i="2"/>
  <c r="U94" i="2"/>
  <c r="Y94" i="2"/>
  <c r="T94" i="2"/>
  <c r="Q94" i="2"/>
  <c r="P94" i="2"/>
  <c r="Z94" i="2"/>
  <c r="R94" i="2"/>
  <c r="X94" i="2"/>
  <c r="P93" i="2"/>
  <c r="W93" i="2"/>
  <c r="Q93" i="2"/>
  <c r="U93" i="2"/>
  <c r="Y93" i="2"/>
  <c r="R93" i="2"/>
  <c r="T93" i="2"/>
  <c r="X93" i="2"/>
  <c r="O93" i="2"/>
  <c r="Z93" i="2"/>
  <c r="V93" i="2"/>
  <c r="S93" i="2"/>
  <c r="S82" i="2"/>
  <c r="Y82" i="2"/>
  <c r="Q82" i="2"/>
  <c r="T82" i="2"/>
  <c r="Z82" i="2"/>
  <c r="R82" i="2"/>
  <c r="W82" i="2"/>
  <c r="U82" i="2"/>
  <c r="V82" i="2"/>
  <c r="O82" i="2"/>
  <c r="X82" i="2"/>
  <c r="P82" i="2"/>
  <c r="W77" i="2"/>
  <c r="U77" i="2"/>
  <c r="Q77" i="2"/>
  <c r="Y77" i="2"/>
  <c r="O77" i="2"/>
  <c r="V77" i="2"/>
  <c r="Z77" i="2"/>
  <c r="S77" i="2"/>
  <c r="R77" i="2"/>
  <c r="X77" i="2"/>
  <c r="P77" i="2"/>
  <c r="T77" i="2"/>
  <c r="V73" i="2"/>
  <c r="P73" i="2"/>
  <c r="X73" i="2"/>
  <c r="U73" i="2"/>
  <c r="R73" i="2"/>
  <c r="Y73" i="2"/>
  <c r="W73" i="2"/>
  <c r="Q73" i="2"/>
  <c r="Z73" i="2"/>
  <c r="O73" i="2"/>
  <c r="T73" i="2"/>
  <c r="S73" i="2"/>
  <c r="O63" i="2"/>
  <c r="T63" i="2"/>
  <c r="Y63" i="2"/>
  <c r="P63" i="2"/>
  <c r="Z63" i="2"/>
  <c r="S63" i="2"/>
  <c r="W63" i="2"/>
  <c r="Q63" i="2"/>
  <c r="R63" i="2"/>
  <c r="V63" i="2"/>
  <c r="U63" i="2"/>
  <c r="X63" i="2"/>
  <c r="X62" i="2"/>
  <c r="Z62" i="2"/>
  <c r="P62" i="2"/>
  <c r="U62" i="2"/>
  <c r="R62" i="2"/>
  <c r="W62" i="2"/>
  <c r="S62" i="2"/>
  <c r="Y62" i="2"/>
  <c r="O62" i="2"/>
  <c r="T62" i="2"/>
  <c r="Q62" i="2"/>
  <c r="V62" i="2"/>
  <c r="O371" i="2"/>
  <c r="P371" i="2"/>
  <c r="Q371" i="2"/>
  <c r="R371" i="2"/>
  <c r="S371" i="2"/>
  <c r="T371" i="2"/>
  <c r="U371" i="2"/>
  <c r="V371" i="2"/>
  <c r="W371" i="2"/>
  <c r="X371" i="2"/>
  <c r="Y371" i="2"/>
  <c r="Z371" i="2"/>
  <c r="O303" i="2"/>
  <c r="P303" i="2"/>
  <c r="Q303" i="2"/>
  <c r="R303" i="2"/>
  <c r="S303" i="2"/>
  <c r="T303" i="2"/>
  <c r="U303" i="2"/>
  <c r="V303" i="2"/>
  <c r="W303" i="2"/>
  <c r="X303" i="2"/>
  <c r="Y303" i="2"/>
  <c r="Z303" i="2"/>
  <c r="O302" i="2"/>
  <c r="P302" i="2"/>
  <c r="Q302" i="2"/>
  <c r="R302" i="2"/>
  <c r="S302" i="2"/>
  <c r="T302" i="2"/>
  <c r="U302" i="2"/>
  <c r="V302" i="2"/>
  <c r="W302" i="2"/>
  <c r="X302" i="2"/>
  <c r="Y302" i="2"/>
  <c r="Z302" i="2"/>
  <c r="O301" i="2"/>
  <c r="P301" i="2"/>
  <c r="Q301" i="2"/>
  <c r="R301" i="2"/>
  <c r="S301" i="2"/>
  <c r="T301" i="2"/>
  <c r="U301" i="2"/>
  <c r="V301" i="2"/>
  <c r="W301" i="2"/>
  <c r="X301" i="2"/>
  <c r="Y301" i="2"/>
  <c r="Z301" i="2"/>
  <c r="O300" i="2"/>
  <c r="P300" i="2"/>
  <c r="Q300" i="2"/>
  <c r="R300" i="2"/>
  <c r="S300" i="2"/>
  <c r="T300" i="2"/>
  <c r="U300" i="2"/>
  <c r="V300" i="2"/>
  <c r="W300" i="2"/>
  <c r="X300" i="2"/>
  <c r="Y300" i="2"/>
  <c r="Z300" i="2"/>
  <c r="O299" i="2"/>
  <c r="P299" i="2"/>
  <c r="Q299" i="2"/>
  <c r="R299" i="2"/>
  <c r="S299" i="2"/>
  <c r="T299" i="2"/>
  <c r="U299" i="2"/>
  <c r="V299" i="2"/>
  <c r="W299" i="2"/>
  <c r="X299" i="2"/>
  <c r="Y299" i="2"/>
  <c r="Z299" i="2"/>
  <c r="O298" i="2"/>
  <c r="P298" i="2"/>
  <c r="Q298" i="2"/>
  <c r="R298" i="2"/>
  <c r="S298" i="2"/>
  <c r="T298" i="2"/>
  <c r="U298" i="2"/>
  <c r="V298" i="2"/>
  <c r="W298" i="2"/>
  <c r="X298" i="2"/>
  <c r="Y298" i="2"/>
  <c r="Z298" i="2"/>
  <c r="O297" i="2"/>
  <c r="P297" i="2"/>
  <c r="Q297" i="2"/>
  <c r="R297" i="2"/>
  <c r="S297" i="2"/>
  <c r="T297" i="2"/>
  <c r="U297" i="2"/>
  <c r="V297" i="2"/>
  <c r="W297" i="2"/>
  <c r="X297" i="2"/>
  <c r="Y297" i="2"/>
  <c r="Z297" i="2"/>
  <c r="O296" i="2"/>
  <c r="P296" i="2"/>
  <c r="Q296" i="2"/>
  <c r="R296" i="2"/>
  <c r="S296" i="2"/>
  <c r="T296" i="2"/>
  <c r="U296" i="2"/>
  <c r="V296" i="2"/>
  <c r="W296" i="2"/>
  <c r="X296" i="2"/>
  <c r="Y296" i="2"/>
  <c r="Z296" i="2"/>
  <c r="O295" i="2"/>
  <c r="P295" i="2"/>
  <c r="Q295" i="2"/>
  <c r="R295" i="2"/>
  <c r="S295" i="2"/>
  <c r="T295" i="2"/>
  <c r="U295" i="2"/>
  <c r="V295" i="2"/>
  <c r="W295" i="2"/>
  <c r="X295" i="2"/>
  <c r="Y295" i="2"/>
  <c r="Z295" i="2"/>
  <c r="O294" i="2"/>
  <c r="P294" i="2"/>
  <c r="Q294" i="2"/>
  <c r="R294" i="2"/>
  <c r="S294" i="2"/>
  <c r="T294" i="2"/>
  <c r="U294" i="2"/>
  <c r="V294" i="2"/>
  <c r="W294" i="2"/>
  <c r="X294" i="2"/>
  <c r="Y294" i="2"/>
  <c r="Z294" i="2"/>
  <c r="O293" i="2"/>
  <c r="P293" i="2"/>
  <c r="Q293" i="2"/>
  <c r="R293" i="2"/>
  <c r="S293" i="2"/>
  <c r="T293" i="2"/>
  <c r="U293" i="2"/>
  <c r="V293" i="2"/>
  <c r="W293" i="2"/>
  <c r="X293" i="2"/>
  <c r="Y293" i="2"/>
  <c r="Z293" i="2"/>
  <c r="O292" i="2"/>
  <c r="P292" i="2"/>
  <c r="Q292" i="2"/>
  <c r="R292" i="2"/>
  <c r="S292" i="2"/>
  <c r="T292" i="2"/>
  <c r="U292" i="2"/>
  <c r="V292" i="2"/>
  <c r="W292" i="2"/>
  <c r="X292" i="2"/>
  <c r="Y292" i="2"/>
  <c r="Z292" i="2"/>
  <c r="P230" i="2"/>
  <c r="R230" i="2"/>
  <c r="T230" i="2"/>
  <c r="U230" i="2"/>
  <c r="W230" i="2"/>
  <c r="Y230" i="2"/>
  <c r="O230" i="2"/>
  <c r="Q230" i="2"/>
  <c r="S230" i="2"/>
  <c r="V230" i="2"/>
  <c r="X230" i="2"/>
  <c r="Z230" i="2"/>
  <c r="P229" i="2"/>
  <c r="R229" i="2"/>
  <c r="T229" i="2"/>
  <c r="V229" i="2"/>
  <c r="X229" i="2"/>
  <c r="Z229" i="2"/>
  <c r="O229" i="2"/>
  <c r="Q229" i="2"/>
  <c r="S229" i="2"/>
  <c r="U229" i="2"/>
  <c r="W229" i="2"/>
  <c r="Y229" i="2"/>
  <c r="X222" i="2"/>
  <c r="P222" i="2"/>
  <c r="W222" i="2"/>
  <c r="V222" i="2"/>
  <c r="Q222" i="2"/>
  <c r="U222" i="2"/>
  <c r="O222" i="2"/>
  <c r="T222" i="2"/>
  <c r="Z222" i="2"/>
  <c r="S222" i="2"/>
  <c r="Y222" i="2"/>
  <c r="R222" i="2"/>
  <c r="U219" i="2"/>
  <c r="Q219" i="2"/>
  <c r="Y219" i="2"/>
  <c r="R219" i="2"/>
  <c r="X219" i="2"/>
  <c r="P219" i="2"/>
  <c r="W219" i="2"/>
  <c r="O219" i="2"/>
  <c r="V219" i="2"/>
  <c r="S219" i="2"/>
  <c r="T219" i="2"/>
  <c r="Z219" i="2"/>
  <c r="V218" i="2"/>
  <c r="Q218" i="2"/>
  <c r="Y218" i="2"/>
  <c r="R218" i="2"/>
  <c r="P218" i="2"/>
  <c r="X218" i="2"/>
  <c r="S218" i="2"/>
  <c r="Z218" i="2"/>
  <c r="W218" i="2"/>
  <c r="O218" i="2"/>
  <c r="U218" i="2"/>
  <c r="T218" i="2"/>
  <c r="S133" i="2"/>
  <c r="Z133" i="2"/>
  <c r="R133" i="2"/>
  <c r="Y133" i="2"/>
  <c r="V133" i="2"/>
  <c r="Q133" i="2"/>
  <c r="X133" i="2"/>
  <c r="T133" i="2"/>
  <c r="O133" i="2"/>
  <c r="U133" i="2"/>
  <c r="P133" i="2"/>
  <c r="W133" i="2"/>
  <c r="S102" i="2"/>
  <c r="Z102" i="2"/>
  <c r="X102" i="2"/>
  <c r="P102" i="2"/>
  <c r="Y102" i="2"/>
  <c r="T102" i="2"/>
  <c r="O102" i="2"/>
  <c r="U102" i="2"/>
  <c r="R102" i="2"/>
  <c r="W102" i="2"/>
  <c r="Q102" i="2"/>
  <c r="V102" i="2"/>
  <c r="T100" i="2"/>
  <c r="R100" i="2"/>
  <c r="W100" i="2"/>
  <c r="X100" i="2"/>
  <c r="Q100" i="2"/>
  <c r="U100" i="2"/>
  <c r="Y100" i="2"/>
  <c r="O100" i="2"/>
  <c r="Z100" i="2"/>
  <c r="P100" i="2"/>
  <c r="V100" i="2"/>
  <c r="S100" i="2"/>
  <c r="P97" i="2"/>
  <c r="W97" i="2"/>
  <c r="T97" i="2"/>
  <c r="Y97" i="2"/>
  <c r="S97" i="2"/>
  <c r="Z97" i="2"/>
  <c r="Q97" i="2"/>
  <c r="V97" i="2"/>
  <c r="R97" i="2"/>
  <c r="U97" i="2"/>
  <c r="O97" i="2"/>
  <c r="X97" i="2"/>
  <c r="U87" i="2"/>
  <c r="O87" i="2"/>
  <c r="T87" i="2"/>
  <c r="X87" i="2"/>
  <c r="R87" i="2"/>
  <c r="Y87" i="2"/>
  <c r="Q87" i="2"/>
  <c r="S87" i="2"/>
  <c r="Z87" i="2"/>
  <c r="W87" i="2"/>
  <c r="P87" i="2"/>
  <c r="V87" i="2"/>
  <c r="P85" i="2"/>
  <c r="Y85" i="2"/>
  <c r="T85" i="2"/>
  <c r="X85" i="2"/>
  <c r="U85" i="2"/>
  <c r="Z85" i="2"/>
  <c r="W85" i="2"/>
  <c r="O85" i="2"/>
  <c r="R85" i="2"/>
  <c r="Q85" i="2"/>
  <c r="V85" i="2"/>
  <c r="S85" i="2"/>
  <c r="Q291" i="2"/>
  <c r="R291" i="2"/>
  <c r="S291" i="2"/>
  <c r="T291" i="2"/>
  <c r="U291" i="2"/>
  <c r="V291" i="2"/>
  <c r="W291" i="2"/>
  <c r="X291" i="2"/>
  <c r="Y291" i="2"/>
  <c r="Z291" i="2"/>
  <c r="O241" i="2"/>
  <c r="P241" i="2"/>
  <c r="Q241" i="2"/>
  <c r="R241" i="2"/>
  <c r="S241" i="2"/>
  <c r="T241" i="2"/>
  <c r="U241" i="2"/>
  <c r="V241" i="2"/>
  <c r="W241" i="2"/>
  <c r="X241" i="2"/>
  <c r="Y241" i="2"/>
  <c r="Z241" i="2"/>
  <c r="O240" i="2"/>
  <c r="P240" i="2"/>
  <c r="Q240" i="2"/>
  <c r="R240" i="2"/>
  <c r="S240" i="2"/>
  <c r="T240" i="2"/>
  <c r="U240" i="2"/>
  <c r="V240" i="2"/>
  <c r="W240" i="2"/>
  <c r="X240" i="2"/>
  <c r="Y240" i="2"/>
  <c r="Z240" i="2"/>
  <c r="O239" i="2"/>
  <c r="P239" i="2"/>
  <c r="Q239" i="2"/>
  <c r="R239" i="2"/>
  <c r="S239" i="2"/>
  <c r="T239" i="2"/>
  <c r="U239" i="2"/>
  <c r="V239" i="2"/>
  <c r="W239" i="2"/>
  <c r="X239" i="2"/>
  <c r="Y239" i="2"/>
  <c r="Z239" i="2"/>
  <c r="O238" i="2"/>
  <c r="P238" i="2"/>
  <c r="Q238" i="2"/>
  <c r="R238" i="2"/>
  <c r="S238" i="2"/>
  <c r="T238" i="2"/>
  <c r="U238" i="2"/>
  <c r="V238" i="2"/>
  <c r="W238" i="2"/>
  <c r="X238" i="2"/>
  <c r="Y238" i="2"/>
  <c r="Z238" i="2"/>
  <c r="O237" i="2"/>
  <c r="P237" i="2"/>
  <c r="Q237" i="2"/>
  <c r="R237" i="2"/>
  <c r="S237" i="2"/>
  <c r="T237" i="2"/>
  <c r="U237" i="2"/>
  <c r="V237" i="2"/>
  <c r="W237" i="2"/>
  <c r="X237" i="2"/>
  <c r="Y237" i="2"/>
  <c r="Z237" i="2"/>
  <c r="O236" i="2"/>
  <c r="P236" i="2"/>
  <c r="Q236" i="2"/>
  <c r="R236" i="2"/>
  <c r="S236" i="2"/>
  <c r="T236" i="2"/>
  <c r="U236" i="2"/>
  <c r="V236" i="2"/>
  <c r="W236" i="2"/>
  <c r="X236" i="2"/>
  <c r="Y236" i="2"/>
  <c r="Z236" i="2"/>
  <c r="O235" i="2"/>
  <c r="P235" i="2"/>
  <c r="Q235" i="2"/>
  <c r="R235" i="2"/>
  <c r="S235" i="2"/>
  <c r="T235" i="2"/>
  <c r="U235" i="2"/>
  <c r="V235" i="2"/>
  <c r="W235" i="2"/>
  <c r="X235" i="2"/>
  <c r="Y235" i="2"/>
  <c r="Z235" i="2"/>
  <c r="O234" i="2"/>
  <c r="P234" i="2"/>
  <c r="Q234" i="2"/>
  <c r="R234" i="2"/>
  <c r="S234" i="2"/>
  <c r="T234" i="2"/>
  <c r="U234" i="2"/>
  <c r="V234" i="2"/>
  <c r="W234" i="2"/>
  <c r="X234" i="2"/>
  <c r="Y234" i="2"/>
  <c r="Z234" i="2"/>
  <c r="O233" i="2"/>
  <c r="P233" i="2"/>
  <c r="Q233" i="2"/>
  <c r="R233" i="2"/>
  <c r="S233" i="2"/>
  <c r="T233" i="2"/>
  <c r="U233" i="2"/>
  <c r="V233" i="2"/>
  <c r="W233" i="2"/>
  <c r="X233" i="2"/>
  <c r="Y233" i="2"/>
  <c r="Z233" i="2"/>
  <c r="O232" i="2"/>
  <c r="P232" i="2"/>
  <c r="Q232" i="2"/>
  <c r="R232" i="2"/>
  <c r="S232" i="2"/>
  <c r="T232" i="2"/>
  <c r="U232" i="2"/>
  <c r="V232" i="2"/>
  <c r="W232" i="2"/>
  <c r="X232" i="2"/>
  <c r="Y232" i="2"/>
  <c r="Z232" i="2"/>
  <c r="O231" i="2"/>
  <c r="P231" i="2"/>
  <c r="Q231" i="2"/>
  <c r="R231" i="2"/>
  <c r="S231" i="2"/>
  <c r="T231" i="2"/>
  <c r="U231" i="2"/>
  <c r="V231" i="2"/>
  <c r="W231" i="2"/>
  <c r="X231" i="2"/>
  <c r="Y231" i="2"/>
  <c r="Z231" i="2"/>
  <c r="T227" i="2"/>
  <c r="U227" i="2"/>
  <c r="W227" i="2"/>
  <c r="P227" i="2"/>
  <c r="Z227" i="2"/>
  <c r="S227" i="2"/>
  <c r="Y227" i="2"/>
  <c r="R227" i="2"/>
  <c r="Q227" i="2"/>
  <c r="X227" i="2"/>
  <c r="O227" i="2"/>
  <c r="V227" i="2"/>
  <c r="R223" i="2"/>
  <c r="W223" i="2"/>
  <c r="U223" i="2"/>
  <c r="O223" i="2"/>
  <c r="T223" i="2"/>
  <c r="X223" i="2"/>
  <c r="P223" i="2"/>
  <c r="Q223" i="2"/>
  <c r="V223" i="2"/>
  <c r="Y223" i="2"/>
  <c r="S223" i="2"/>
  <c r="Z223" i="2"/>
  <c r="R135" i="2"/>
  <c r="T135" i="2"/>
  <c r="X135" i="2"/>
  <c r="S135" i="2"/>
  <c r="W135" i="2"/>
  <c r="P135" i="2"/>
  <c r="Z135" i="2"/>
  <c r="Q135" i="2"/>
  <c r="U135" i="2"/>
  <c r="V135" i="2"/>
  <c r="O135" i="2"/>
  <c r="Y135" i="2"/>
  <c r="X117" i="2"/>
  <c r="Q117" i="2"/>
  <c r="W117" i="2"/>
  <c r="P117" i="2"/>
  <c r="U117" i="2"/>
  <c r="O117" i="2"/>
  <c r="Y117" i="2"/>
  <c r="T117" i="2"/>
  <c r="V117" i="2"/>
  <c r="R117" i="2"/>
  <c r="Z117" i="2"/>
  <c r="S117" i="2"/>
  <c r="S116" i="2"/>
  <c r="R116" i="2"/>
  <c r="V116" i="2"/>
  <c r="O116" i="2"/>
  <c r="U116" i="2"/>
  <c r="P116" i="2"/>
  <c r="W116" i="2"/>
  <c r="Y116" i="2"/>
  <c r="Z116" i="2"/>
  <c r="T116" i="2"/>
  <c r="Q116" i="2"/>
  <c r="X116" i="2"/>
  <c r="W104" i="2"/>
  <c r="U104" i="2"/>
  <c r="O104" i="2"/>
  <c r="R104" i="2"/>
  <c r="V104" i="2"/>
  <c r="S104" i="2"/>
  <c r="Y104" i="2"/>
  <c r="Q104" i="2"/>
  <c r="X104" i="2"/>
  <c r="P104" i="2"/>
  <c r="T104" i="2"/>
  <c r="Z104" i="2"/>
  <c r="V84" i="2"/>
  <c r="W84" i="2"/>
  <c r="Q84" i="2"/>
  <c r="Y84" i="2"/>
  <c r="P84" i="2"/>
  <c r="Z84" i="2"/>
  <c r="X84" i="2"/>
  <c r="T84" i="2"/>
  <c r="U84" i="2"/>
  <c r="R84" i="2"/>
  <c r="O84" i="2"/>
  <c r="S84" i="2"/>
  <c r="U80" i="2"/>
  <c r="O80" i="2"/>
  <c r="S80" i="2"/>
  <c r="Q80" i="2"/>
  <c r="X80" i="2"/>
  <c r="P80" i="2"/>
  <c r="V80" i="2"/>
  <c r="T80" i="2"/>
  <c r="Y80" i="2"/>
  <c r="W80" i="2"/>
  <c r="Z80" i="2"/>
  <c r="R80" i="2"/>
  <c r="R75" i="2"/>
  <c r="Q75" i="2"/>
  <c r="W75" i="2"/>
  <c r="P75" i="2"/>
  <c r="X75" i="2"/>
  <c r="T75" i="2"/>
  <c r="S75" i="2"/>
  <c r="Y75" i="2"/>
  <c r="U75" i="2"/>
  <c r="Z75" i="2"/>
  <c r="O75" i="2"/>
  <c r="V75" i="2"/>
  <c r="S69" i="2"/>
  <c r="Y69" i="2"/>
  <c r="R69" i="2"/>
  <c r="P69" i="2"/>
  <c r="W69" i="2"/>
  <c r="Z69" i="2"/>
  <c r="Q69" i="2"/>
  <c r="V69" i="2"/>
  <c r="O69" i="2"/>
  <c r="U69" i="2"/>
  <c r="X69" i="2"/>
  <c r="T69" i="2"/>
  <c r="O66" i="2"/>
  <c r="V66" i="2"/>
  <c r="R66" i="2"/>
  <c r="P66" i="2"/>
  <c r="Y66" i="2"/>
  <c r="S66" i="2"/>
  <c r="Z66" i="2"/>
  <c r="W66" i="2"/>
  <c r="Q66" i="2"/>
  <c r="U66" i="2"/>
  <c r="T66" i="2"/>
  <c r="X66" i="2"/>
  <c r="R64" i="2"/>
  <c r="Y64" i="2"/>
  <c r="Z64" i="2"/>
  <c r="S64" i="2"/>
  <c r="V64" i="2"/>
  <c r="W64" i="2"/>
  <c r="X64" i="2"/>
  <c r="P64" i="2"/>
  <c r="O64" i="2"/>
  <c r="Q64" i="2"/>
  <c r="T64" i="2"/>
  <c r="U64" i="2"/>
  <c r="Q56" i="2"/>
  <c r="S56" i="2"/>
  <c r="Y56" i="2"/>
  <c r="T56" i="2"/>
  <c r="P56" i="2"/>
  <c r="U56" i="2"/>
  <c r="O56" i="2"/>
  <c r="W56" i="2"/>
  <c r="Z56" i="2"/>
  <c r="R56" i="2"/>
  <c r="X56" i="2"/>
  <c r="V56" i="2"/>
  <c r="R52" i="2"/>
  <c r="S52" i="2"/>
  <c r="W52" i="2"/>
  <c r="Q52" i="2"/>
  <c r="U52" i="2"/>
  <c r="P52" i="2"/>
  <c r="T52" i="2"/>
  <c r="X52" i="2"/>
  <c r="Y52" i="2"/>
  <c r="Z52" i="2"/>
  <c r="V52" i="2"/>
  <c r="O52" i="2"/>
  <c r="U211" i="2"/>
  <c r="R211" i="2"/>
  <c r="V211" i="2"/>
  <c r="T211" i="2"/>
  <c r="W211" i="2"/>
  <c r="S211" i="2"/>
  <c r="X211" i="2"/>
  <c r="Y211" i="2"/>
  <c r="Z211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T88" i="2"/>
  <c r="P88" i="2"/>
  <c r="W88" i="2"/>
  <c r="R88" i="2"/>
  <c r="Y88" i="2"/>
  <c r="S88" i="2"/>
  <c r="Q88" i="2"/>
  <c r="X88" i="2"/>
  <c r="O88" i="2"/>
  <c r="Z88" i="2"/>
  <c r="U88" i="2"/>
  <c r="V88" i="2"/>
  <c r="S70" i="2"/>
  <c r="R70" i="2"/>
  <c r="W70" i="2"/>
  <c r="Q70" i="2"/>
  <c r="X70" i="2"/>
  <c r="O70" i="2"/>
  <c r="U70" i="2"/>
  <c r="P70" i="2"/>
  <c r="Y70" i="2"/>
  <c r="V70" i="2"/>
  <c r="T70" i="2"/>
  <c r="Z70" i="2"/>
  <c r="W131" i="2"/>
  <c r="Z131" i="2"/>
  <c r="T131" i="2"/>
  <c r="Y131" i="2"/>
  <c r="X131" i="2"/>
  <c r="V131" i="2"/>
  <c r="U131" i="2"/>
  <c r="Z51" i="2"/>
  <c r="X51" i="2"/>
  <c r="W51" i="2"/>
  <c r="Y51" i="2"/>
  <c r="V51" i="2"/>
  <c r="U51" i="2"/>
  <c r="Q640" i="2"/>
  <c r="U640" i="2"/>
  <c r="X640" i="2"/>
  <c r="R640" i="2"/>
  <c r="W640" i="2"/>
  <c r="O640" i="2"/>
  <c r="S640" i="2"/>
  <c r="V640" i="2"/>
  <c r="Y640" i="2"/>
  <c r="P640" i="2"/>
  <c r="T640" i="2"/>
  <c r="Z640" i="2"/>
  <c r="R637" i="2"/>
  <c r="U637" i="2"/>
  <c r="X637" i="2"/>
  <c r="P637" i="2"/>
  <c r="W637" i="2"/>
  <c r="Q637" i="2"/>
  <c r="T637" i="2"/>
  <c r="Y637" i="2"/>
  <c r="O637" i="2"/>
  <c r="S637" i="2"/>
  <c r="V637" i="2"/>
  <c r="Z637" i="2"/>
  <c r="S634" i="2"/>
  <c r="X634" i="2"/>
  <c r="U634" i="2"/>
  <c r="Y634" i="2"/>
  <c r="P634" i="2"/>
  <c r="R634" i="2"/>
  <c r="V634" i="2"/>
  <c r="Z634" i="2"/>
  <c r="O634" i="2"/>
  <c r="Q634" i="2"/>
  <c r="T634" i="2"/>
  <c r="W634" i="2"/>
  <c r="Q630" i="2"/>
  <c r="S630" i="2"/>
  <c r="W630" i="2"/>
  <c r="Z630" i="2"/>
  <c r="O630" i="2"/>
  <c r="T630" i="2"/>
  <c r="U630" i="2"/>
  <c r="X630" i="2"/>
  <c r="P630" i="2"/>
  <c r="R630" i="2"/>
  <c r="V630" i="2"/>
  <c r="Y630" i="2"/>
  <c r="Q625" i="2"/>
  <c r="T625" i="2"/>
  <c r="W625" i="2"/>
  <c r="S625" i="2"/>
  <c r="Z625" i="2"/>
  <c r="P625" i="2"/>
  <c r="U625" i="2"/>
  <c r="X625" i="2"/>
  <c r="O625" i="2"/>
  <c r="R625" i="2"/>
  <c r="V625" i="2"/>
  <c r="Y625" i="2"/>
  <c r="S624" i="2"/>
  <c r="Y624" i="2"/>
  <c r="O624" i="2"/>
  <c r="T624" i="2"/>
  <c r="Z624" i="2"/>
  <c r="P624" i="2"/>
  <c r="R624" i="2"/>
  <c r="U624" i="2"/>
  <c r="W624" i="2"/>
  <c r="Q624" i="2"/>
  <c r="V624" i="2"/>
  <c r="X624" i="2"/>
  <c r="R619" i="2"/>
  <c r="U619" i="2"/>
  <c r="Z619" i="2"/>
  <c r="O619" i="2"/>
  <c r="V619" i="2"/>
  <c r="P619" i="2"/>
  <c r="S619" i="2"/>
  <c r="W619" i="2"/>
  <c r="Y619" i="2"/>
  <c r="Q619" i="2"/>
  <c r="T619" i="2"/>
  <c r="X619" i="2"/>
  <c r="T617" i="2"/>
  <c r="P617" i="2"/>
  <c r="X617" i="2"/>
  <c r="O617" i="2"/>
  <c r="R617" i="2"/>
  <c r="V617" i="2"/>
  <c r="Z617" i="2"/>
  <c r="S617" i="2"/>
  <c r="W617" i="2"/>
  <c r="Q617" i="2"/>
  <c r="U617" i="2"/>
  <c r="Y617" i="2"/>
  <c r="Q136" i="2"/>
  <c r="R136" i="2"/>
  <c r="S136" i="2"/>
  <c r="T136" i="2"/>
  <c r="U136" i="2"/>
  <c r="V136" i="2"/>
  <c r="W136" i="2"/>
  <c r="X136" i="2"/>
  <c r="Y136" i="2"/>
  <c r="Z136" i="2"/>
  <c r="P136" i="2"/>
  <c r="O136" i="2"/>
  <c r="T111" i="2"/>
  <c r="U111" i="2"/>
  <c r="S111" i="2"/>
  <c r="Y111" i="2"/>
  <c r="V111" i="2"/>
  <c r="P111" i="2"/>
  <c r="Z111" i="2"/>
  <c r="Q111" i="2"/>
  <c r="W111" i="2"/>
  <c r="O111" i="2"/>
  <c r="X111" i="2"/>
  <c r="R111" i="2"/>
  <c r="Z101" i="2"/>
  <c r="W101" i="2"/>
  <c r="S101" i="2"/>
  <c r="P101" i="2"/>
  <c r="R101" i="2"/>
  <c r="U101" i="2"/>
  <c r="Y101" i="2"/>
  <c r="X101" i="2"/>
  <c r="O101" i="2"/>
  <c r="T101" i="2"/>
  <c r="Q101" i="2"/>
  <c r="V101" i="2"/>
  <c r="V98" i="2"/>
  <c r="S98" i="2"/>
  <c r="Z98" i="2"/>
  <c r="Q98" i="2"/>
  <c r="W98" i="2"/>
  <c r="T98" i="2"/>
  <c r="R98" i="2"/>
  <c r="Y98" i="2"/>
  <c r="P98" i="2"/>
  <c r="U98" i="2"/>
  <c r="O98" i="2"/>
  <c r="X98" i="2"/>
  <c r="Q92" i="2"/>
  <c r="X92" i="2"/>
  <c r="U92" i="2"/>
  <c r="V92" i="2"/>
  <c r="R92" i="2"/>
  <c r="W92" i="2"/>
  <c r="O92" i="2"/>
  <c r="Z92" i="2"/>
  <c r="S92" i="2"/>
  <c r="P92" i="2"/>
  <c r="T92" i="2"/>
  <c r="Y92" i="2"/>
  <c r="Z81" i="2"/>
  <c r="T81" i="2"/>
  <c r="R81" i="2"/>
  <c r="Y81" i="2"/>
  <c r="V81" i="2"/>
  <c r="O81" i="2"/>
  <c r="U81" i="2"/>
  <c r="Q81" i="2"/>
  <c r="X81" i="2"/>
  <c r="S81" i="2"/>
  <c r="W81" i="2"/>
  <c r="P81" i="2"/>
  <c r="R72" i="2"/>
  <c r="W72" i="2"/>
  <c r="Y72" i="2"/>
  <c r="Q72" i="2"/>
  <c r="U72" i="2"/>
  <c r="S72" i="2"/>
  <c r="Z72" i="2"/>
  <c r="V72" i="2"/>
  <c r="P72" i="2"/>
  <c r="T72" i="2"/>
  <c r="X72" i="2"/>
  <c r="O72" i="2"/>
  <c r="Q620" i="2"/>
  <c r="U620" i="2"/>
  <c r="X620" i="2"/>
  <c r="P620" i="2"/>
  <c r="T620" i="2"/>
  <c r="W620" i="2"/>
  <c r="R620" i="2"/>
  <c r="Y620" i="2"/>
  <c r="O620" i="2"/>
  <c r="S620" i="2"/>
  <c r="V620" i="2"/>
  <c r="Z620" i="2"/>
  <c r="R615" i="2"/>
  <c r="V615" i="2"/>
  <c r="Z615" i="2"/>
  <c r="P615" i="2"/>
  <c r="T615" i="2"/>
  <c r="Y615" i="2"/>
  <c r="W615" i="2"/>
  <c r="Q615" i="2"/>
  <c r="U615" i="2"/>
  <c r="O615" i="2"/>
  <c r="S615" i="2"/>
  <c r="X615" i="2"/>
  <c r="R60" i="2"/>
  <c r="Y60" i="2"/>
  <c r="U60" i="2"/>
  <c r="X60" i="2"/>
  <c r="P60" i="2"/>
  <c r="T60" i="2"/>
  <c r="S60" i="2"/>
  <c r="O60" i="2"/>
  <c r="V60" i="2"/>
  <c r="Z60" i="2"/>
  <c r="Q60" i="2"/>
  <c r="W60" i="2"/>
  <c r="X54" i="2"/>
  <c r="V54" i="2"/>
  <c r="Q54" i="2"/>
  <c r="Z54" i="2"/>
  <c r="P54" i="2"/>
  <c r="W54" i="2"/>
  <c r="S54" i="2"/>
  <c r="Y54" i="2"/>
  <c r="R54" i="2"/>
  <c r="U54" i="2"/>
  <c r="O54" i="2"/>
  <c r="T54" i="2"/>
  <c r="Z850" i="2"/>
  <c r="Y850" i="2"/>
  <c r="X850" i="2"/>
  <c r="W850" i="2"/>
  <c r="V850" i="2"/>
  <c r="U850" i="2"/>
  <c r="T850" i="2"/>
  <c r="S850" i="2"/>
  <c r="R850" i="2"/>
  <c r="Q850" i="2"/>
  <c r="P850" i="2"/>
  <c r="O850" i="2"/>
  <c r="Y849" i="2"/>
  <c r="X849" i="2"/>
  <c r="W849" i="2"/>
  <c r="U849" i="2"/>
  <c r="S849" i="2"/>
  <c r="Q849" i="2"/>
  <c r="Z848" i="2"/>
  <c r="W848" i="2"/>
  <c r="U848" i="2"/>
  <c r="S848" i="2"/>
  <c r="Q848" i="2"/>
  <c r="X847" i="2"/>
  <c r="V847" i="2"/>
  <c r="T847" i="2"/>
  <c r="R847" i="2"/>
  <c r="P847" i="2"/>
  <c r="X846" i="2"/>
  <c r="V846" i="2"/>
  <c r="T846" i="2"/>
  <c r="R846" i="2"/>
  <c r="P846" i="2"/>
  <c r="Z845" i="2"/>
  <c r="Y845" i="2"/>
  <c r="X845" i="2"/>
  <c r="V845" i="2"/>
  <c r="T845" i="2"/>
  <c r="R845" i="2"/>
  <c r="P845" i="2"/>
  <c r="X844" i="2"/>
  <c r="V844" i="2"/>
  <c r="T844" i="2"/>
  <c r="R844" i="2"/>
  <c r="P844" i="2"/>
  <c r="Y843" i="2"/>
  <c r="W843" i="2"/>
  <c r="U843" i="2"/>
  <c r="S843" i="2"/>
  <c r="Q843" i="2"/>
  <c r="Y842" i="2"/>
  <c r="W842" i="2"/>
  <c r="U842" i="2"/>
  <c r="S842" i="2"/>
  <c r="Q842" i="2"/>
  <c r="O842" i="2"/>
  <c r="Z841" i="2"/>
  <c r="Y841" i="2"/>
  <c r="W841" i="2"/>
  <c r="U841" i="2"/>
  <c r="S841" i="2"/>
  <c r="Q841" i="2"/>
  <c r="O841" i="2"/>
  <c r="Z840" i="2"/>
  <c r="Y840" i="2"/>
  <c r="W840" i="2"/>
  <c r="U840" i="2"/>
  <c r="S840" i="2"/>
  <c r="Q840" i="2"/>
  <c r="O840" i="2"/>
  <c r="Z839" i="2"/>
  <c r="X839" i="2"/>
  <c r="V839" i="2"/>
  <c r="T839" i="2"/>
  <c r="R839" i="2"/>
  <c r="P839" i="2"/>
  <c r="X837" i="2"/>
  <c r="W837" i="2"/>
  <c r="V837" i="2"/>
  <c r="U837" i="2"/>
  <c r="T837" i="2"/>
  <c r="S837" i="2"/>
  <c r="R837" i="2"/>
  <c r="Q837" i="2"/>
  <c r="P837" i="2"/>
  <c r="O837" i="2"/>
  <c r="Z836" i="2"/>
  <c r="Y836" i="2"/>
  <c r="X836" i="2"/>
  <c r="W836" i="2"/>
  <c r="V836" i="2"/>
  <c r="U836" i="2"/>
  <c r="T836" i="2"/>
  <c r="S836" i="2"/>
  <c r="R836" i="2"/>
  <c r="Q836" i="2"/>
  <c r="P836" i="2"/>
  <c r="O836" i="2"/>
  <c r="Z835" i="2"/>
  <c r="Y835" i="2"/>
  <c r="X835" i="2"/>
  <c r="W835" i="2"/>
  <c r="V835" i="2"/>
  <c r="U835" i="2"/>
  <c r="T835" i="2"/>
  <c r="S835" i="2"/>
  <c r="R835" i="2"/>
  <c r="Q835" i="2"/>
  <c r="P835" i="2"/>
  <c r="O835" i="2"/>
  <c r="Z834" i="2"/>
  <c r="Y834" i="2"/>
  <c r="X834" i="2"/>
  <c r="W834" i="2"/>
  <c r="V834" i="2"/>
  <c r="U834" i="2"/>
  <c r="T834" i="2"/>
  <c r="S834" i="2"/>
  <c r="R834" i="2"/>
  <c r="Q834" i="2"/>
  <c r="P834" i="2"/>
  <c r="O834" i="2"/>
  <c r="Z833" i="2"/>
  <c r="Y833" i="2"/>
  <c r="X833" i="2"/>
  <c r="W833" i="2"/>
  <c r="V833" i="2"/>
  <c r="U833" i="2"/>
  <c r="T833" i="2"/>
  <c r="S833" i="2"/>
  <c r="R833" i="2"/>
  <c r="Q833" i="2"/>
  <c r="P833" i="2"/>
  <c r="O833" i="2"/>
  <c r="Z832" i="2"/>
  <c r="Y832" i="2"/>
  <c r="X832" i="2"/>
  <c r="W832" i="2"/>
  <c r="V832" i="2"/>
  <c r="U832" i="2"/>
  <c r="T832" i="2"/>
  <c r="S832" i="2"/>
  <c r="R832" i="2"/>
  <c r="Q832" i="2"/>
  <c r="P832" i="2"/>
  <c r="O832" i="2"/>
  <c r="Z831" i="2"/>
  <c r="Y831" i="2"/>
  <c r="X831" i="2"/>
  <c r="W831" i="2"/>
  <c r="V831" i="2"/>
  <c r="U831" i="2"/>
  <c r="T831" i="2"/>
  <c r="S831" i="2"/>
  <c r="R831" i="2"/>
  <c r="Q831" i="2"/>
  <c r="P831" i="2"/>
  <c r="O831" i="2"/>
  <c r="Z830" i="2"/>
  <c r="Y830" i="2"/>
  <c r="X830" i="2"/>
  <c r="W830" i="2"/>
  <c r="V830" i="2"/>
  <c r="U830" i="2"/>
  <c r="T830" i="2"/>
  <c r="S830" i="2"/>
  <c r="R830" i="2"/>
  <c r="Q830" i="2"/>
  <c r="P830" i="2"/>
  <c r="O830" i="2"/>
  <c r="Y829" i="2"/>
  <c r="W829" i="2"/>
  <c r="U829" i="2"/>
  <c r="S829" i="2"/>
  <c r="Q829" i="2"/>
  <c r="O829" i="2"/>
  <c r="Z828" i="2"/>
  <c r="X828" i="2"/>
  <c r="W828" i="2"/>
  <c r="U828" i="2"/>
  <c r="S828" i="2"/>
  <c r="Q828" i="2"/>
  <c r="O828" i="2"/>
  <c r="Z827" i="2"/>
  <c r="Y827" i="2"/>
  <c r="W827" i="2"/>
  <c r="U827" i="2"/>
  <c r="S827" i="2"/>
  <c r="Q827" i="2"/>
  <c r="O827" i="2"/>
  <c r="Z826" i="2"/>
  <c r="Y826" i="2"/>
  <c r="W826" i="2"/>
  <c r="U826" i="2"/>
  <c r="S826" i="2"/>
  <c r="Q826" i="2"/>
  <c r="O826" i="2"/>
  <c r="Z825" i="2"/>
  <c r="Y825" i="2"/>
  <c r="W825" i="2"/>
  <c r="V825" i="2"/>
  <c r="T825" i="2"/>
  <c r="R825" i="2"/>
  <c r="P825" i="2"/>
  <c r="X824" i="2"/>
  <c r="V824" i="2"/>
  <c r="T824" i="2"/>
  <c r="R824" i="2"/>
  <c r="P824" i="2"/>
  <c r="Y823" i="2"/>
  <c r="W823" i="2"/>
  <c r="U823" i="2"/>
  <c r="S823" i="2"/>
  <c r="Q823" i="2"/>
  <c r="O823" i="2"/>
  <c r="Z822" i="2"/>
  <c r="Y822" i="2"/>
  <c r="W822" i="2"/>
  <c r="U822" i="2"/>
  <c r="S822" i="2"/>
  <c r="Q822" i="2"/>
  <c r="O822" i="2"/>
  <c r="Z821" i="2"/>
  <c r="Y821" i="2"/>
  <c r="W821" i="2"/>
  <c r="U821" i="2"/>
  <c r="S821" i="2"/>
  <c r="Q821" i="2"/>
  <c r="O821" i="2"/>
  <c r="Z820" i="2"/>
  <c r="X820" i="2"/>
  <c r="V820" i="2"/>
  <c r="T820" i="2"/>
  <c r="R820" i="2"/>
  <c r="P820" i="2"/>
  <c r="X819" i="2"/>
  <c r="V819" i="2"/>
  <c r="T819" i="2"/>
  <c r="R819" i="2"/>
  <c r="P819" i="2"/>
  <c r="Y818" i="2"/>
  <c r="W818" i="2"/>
  <c r="U818" i="2"/>
  <c r="T818" i="2"/>
  <c r="R818" i="2"/>
  <c r="P818" i="2"/>
  <c r="Y817" i="2"/>
  <c r="W817" i="2"/>
  <c r="U817" i="2"/>
  <c r="S817" i="2"/>
  <c r="Q817" i="2"/>
  <c r="O817" i="2"/>
  <c r="Z816" i="2"/>
  <c r="W816" i="2"/>
  <c r="S816" i="2"/>
  <c r="O816" i="2"/>
  <c r="Y815" i="2"/>
  <c r="U815" i="2"/>
  <c r="P815" i="2"/>
  <c r="Z814" i="2"/>
  <c r="Y814" i="2"/>
  <c r="W814" i="2"/>
  <c r="T814" i="2"/>
  <c r="P814" i="2"/>
  <c r="Y813" i="2"/>
  <c r="W813" i="2"/>
  <c r="S813" i="2"/>
  <c r="O813" i="2"/>
  <c r="Y812" i="2"/>
  <c r="U812" i="2"/>
  <c r="Q812" i="2"/>
  <c r="Z811" i="2"/>
  <c r="V811" i="2"/>
  <c r="R811" i="2"/>
  <c r="V810" i="2"/>
  <c r="R810" i="2"/>
  <c r="V809" i="2"/>
  <c r="T809" i="2"/>
  <c r="V808" i="2"/>
  <c r="R808" i="2"/>
  <c r="O808" i="2"/>
  <c r="X807" i="2"/>
  <c r="T807" i="2"/>
  <c r="P807" i="2"/>
  <c r="Y806" i="2"/>
  <c r="U806" i="2"/>
  <c r="Q806" i="2"/>
  <c r="Z805" i="2"/>
  <c r="X805" i="2"/>
  <c r="T805" i="2"/>
  <c r="Q805" i="2"/>
  <c r="Z804" i="2"/>
  <c r="X804" i="2"/>
  <c r="V804" i="2"/>
  <c r="R804" i="2"/>
  <c r="T803" i="2"/>
  <c r="Q803" i="2"/>
  <c r="O803" i="2"/>
  <c r="Z802" i="2"/>
  <c r="X802" i="2"/>
  <c r="W802" i="2"/>
  <c r="U802" i="2"/>
  <c r="S802" i="2"/>
  <c r="P802" i="2"/>
  <c r="Y801" i="2"/>
  <c r="U801" i="2"/>
  <c r="Q801" i="2"/>
  <c r="X800" i="2"/>
  <c r="T800" i="2"/>
  <c r="P800" i="2"/>
  <c r="X799" i="2"/>
  <c r="T799" i="2"/>
  <c r="P799" i="2"/>
  <c r="Y798" i="2"/>
  <c r="W798" i="2"/>
  <c r="U798" i="2"/>
  <c r="Q798" i="2"/>
  <c r="Z797" i="2"/>
  <c r="W797" i="2"/>
  <c r="T797" i="2"/>
  <c r="P797" i="2"/>
  <c r="Y796" i="2"/>
  <c r="U796" i="2"/>
  <c r="Q796" i="2"/>
  <c r="V795" i="2"/>
  <c r="R795" i="2"/>
  <c r="Z794" i="2"/>
  <c r="W794" i="2"/>
  <c r="S794" i="2"/>
  <c r="O794" i="2"/>
  <c r="Y793" i="2"/>
  <c r="V793" i="2"/>
  <c r="R793" i="2"/>
  <c r="R792" i="2"/>
  <c r="R791" i="2"/>
  <c r="V790" i="2"/>
  <c r="S790" i="2"/>
  <c r="O790" i="2"/>
  <c r="W789" i="2"/>
  <c r="Q789" i="2"/>
  <c r="Y788" i="2"/>
  <c r="U788" i="2"/>
  <c r="Q788" i="2"/>
  <c r="Z787" i="2"/>
  <c r="W787" i="2"/>
  <c r="T787" i="2"/>
  <c r="P787" i="2"/>
  <c r="X786" i="2"/>
  <c r="V786" i="2"/>
  <c r="R786" i="2"/>
  <c r="W785" i="2"/>
  <c r="S785" i="2"/>
  <c r="O785" i="2"/>
  <c r="Y784" i="2"/>
  <c r="V784" i="2"/>
  <c r="R784" i="2"/>
  <c r="V782" i="2"/>
  <c r="R782" i="2"/>
  <c r="T781" i="2"/>
  <c r="P781" i="2"/>
  <c r="X779" i="2"/>
  <c r="V779" i="2"/>
  <c r="T779" i="2"/>
  <c r="P779" i="2"/>
  <c r="X778" i="2"/>
  <c r="V778" i="2"/>
  <c r="R778" i="2"/>
  <c r="V777" i="2"/>
  <c r="P777" i="2"/>
  <c r="W776" i="2"/>
  <c r="V776" i="2"/>
  <c r="U776" i="2"/>
  <c r="S776" i="2"/>
  <c r="Q776" i="2"/>
  <c r="O776" i="2"/>
  <c r="Z775" i="2"/>
  <c r="X775" i="2"/>
  <c r="W775" i="2"/>
  <c r="U775" i="2"/>
  <c r="R775" i="2"/>
  <c r="P775" i="2"/>
  <c r="X772" i="2"/>
  <c r="R772" i="2"/>
  <c r="Y655" i="2"/>
  <c r="U655" i="2"/>
  <c r="R655" i="2"/>
  <c r="P653" i="2"/>
  <c r="W652" i="2"/>
  <c r="R652" i="2"/>
  <c r="Q650" i="2"/>
  <c r="W649" i="2"/>
  <c r="S649" i="2"/>
  <c r="Y718" i="2"/>
  <c r="V718" i="2"/>
  <c r="S718" i="2"/>
  <c r="P718" i="2"/>
  <c r="Z717" i="2"/>
  <c r="W717" i="2"/>
  <c r="T717" i="2"/>
  <c r="P717" i="2"/>
  <c r="W716" i="2"/>
  <c r="R716" i="2"/>
  <c r="X715" i="2"/>
  <c r="U715" i="2"/>
  <c r="S715" i="2"/>
  <c r="O715" i="2"/>
  <c r="Y714" i="2"/>
  <c r="W714" i="2"/>
  <c r="U714" i="2"/>
  <c r="R714" i="2"/>
  <c r="P714" i="2"/>
  <c r="Y713" i="2"/>
  <c r="V713" i="2"/>
  <c r="R713" i="2"/>
  <c r="P713" i="2"/>
  <c r="Z712" i="2"/>
  <c r="X712" i="2"/>
  <c r="V712" i="2"/>
  <c r="S712" i="2"/>
  <c r="P712" i="2"/>
  <c r="Z711" i="2"/>
  <c r="X711" i="2"/>
  <c r="U711" i="2"/>
  <c r="Q711" i="2"/>
  <c r="S659" i="2"/>
  <c r="W658" i="2"/>
  <c r="T658" i="2"/>
  <c r="P658" i="2"/>
  <c r="Q653" i="2"/>
  <c r="W499" i="2"/>
  <c r="R499" i="2"/>
  <c r="Y498" i="2"/>
  <c r="Q498" i="2"/>
  <c r="X497" i="2"/>
  <c r="U497" i="2"/>
  <c r="W496" i="2"/>
  <c r="R496" i="2"/>
  <c r="Y38" i="2"/>
  <c r="T38" i="2"/>
  <c r="Q37" i="2"/>
  <c r="O36" i="2"/>
  <c r="X35" i="2"/>
  <c r="S35" i="2"/>
  <c r="P35" i="2"/>
  <c r="W34" i="2"/>
  <c r="R32" i="2"/>
  <c r="Q31" i="2"/>
  <c r="S30" i="2"/>
  <c r="Z29" i="2"/>
  <c r="V29" i="2"/>
  <c r="T28" i="2"/>
  <c r="O26" i="2"/>
  <c r="Y25" i="2"/>
  <c r="U24" i="2"/>
  <c r="R23" i="2"/>
  <c r="X22" i="2"/>
  <c r="S22" i="2"/>
  <c r="X21" i="2"/>
  <c r="U21" i="2"/>
  <c r="U20" i="2"/>
  <c r="Z19" i="2"/>
  <c r="V18" i="2"/>
  <c r="Z14" i="2"/>
  <c r="S14" i="2"/>
  <c r="O13" i="2"/>
  <c r="U12" i="2"/>
  <c r="T11" i="2"/>
  <c r="T10" i="2"/>
  <c r="U9" i="2"/>
  <c r="R9" i="2"/>
  <c r="P9" i="2"/>
  <c r="P8" i="2"/>
  <c r="W6" i="2"/>
  <c r="P4" i="2"/>
  <c r="Z842" i="2"/>
  <c r="V806" i="2"/>
  <c r="U805" i="2"/>
  <c r="Z795" i="2"/>
  <c r="O795" i="2"/>
  <c r="R790" i="2"/>
  <c r="P785" i="2"/>
  <c r="Q770" i="2"/>
  <c r="P770" i="2"/>
  <c r="O770" i="2"/>
  <c r="Z769" i="2"/>
  <c r="Y769" i="2"/>
  <c r="X769" i="2"/>
  <c r="W769" i="2"/>
  <c r="V769" i="2"/>
  <c r="U769" i="2"/>
  <c r="T769" i="2"/>
  <c r="S769" i="2"/>
  <c r="R769" i="2"/>
  <c r="Q769" i="2"/>
  <c r="P769" i="2"/>
  <c r="O769" i="2"/>
  <c r="Z768" i="2"/>
  <c r="Y768" i="2"/>
  <c r="X768" i="2"/>
  <c r="W768" i="2"/>
  <c r="V768" i="2"/>
  <c r="U768" i="2"/>
  <c r="T768" i="2"/>
  <c r="S768" i="2"/>
  <c r="R768" i="2"/>
  <c r="Q768" i="2"/>
  <c r="P768" i="2"/>
  <c r="O768" i="2"/>
  <c r="Z767" i="2"/>
  <c r="Y767" i="2"/>
  <c r="X767" i="2"/>
  <c r="W767" i="2"/>
  <c r="V767" i="2"/>
  <c r="U767" i="2"/>
  <c r="T767" i="2"/>
  <c r="S767" i="2"/>
  <c r="R767" i="2"/>
  <c r="Q767" i="2"/>
  <c r="P767" i="2"/>
  <c r="O767" i="2"/>
  <c r="Z766" i="2"/>
  <c r="Y766" i="2"/>
  <c r="X766" i="2"/>
  <c r="W766" i="2"/>
  <c r="V766" i="2"/>
  <c r="U766" i="2"/>
  <c r="T766" i="2"/>
  <c r="S766" i="2"/>
  <c r="R766" i="2"/>
  <c r="Q766" i="2"/>
  <c r="P766" i="2"/>
  <c r="O766" i="2"/>
  <c r="Z765" i="2"/>
  <c r="Y765" i="2"/>
  <c r="X765" i="2"/>
  <c r="W765" i="2"/>
  <c r="V765" i="2"/>
  <c r="U765" i="2"/>
  <c r="T765" i="2"/>
  <c r="S765" i="2"/>
  <c r="R765" i="2"/>
  <c r="Q765" i="2"/>
  <c r="P765" i="2"/>
  <c r="O765" i="2"/>
  <c r="Z764" i="2"/>
  <c r="Y764" i="2"/>
  <c r="X764" i="2"/>
  <c r="W764" i="2"/>
  <c r="V764" i="2"/>
  <c r="U764" i="2"/>
  <c r="T764" i="2"/>
  <c r="S764" i="2"/>
  <c r="R764" i="2"/>
  <c r="Q764" i="2"/>
  <c r="P764" i="2"/>
  <c r="O764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Z762" i="2"/>
  <c r="Y762" i="2"/>
  <c r="X762" i="2"/>
  <c r="W762" i="2"/>
  <c r="V762" i="2"/>
  <c r="U762" i="2"/>
  <c r="T762" i="2"/>
  <c r="S762" i="2"/>
  <c r="R762" i="2"/>
  <c r="Q762" i="2"/>
  <c r="P762" i="2"/>
  <c r="O762" i="2"/>
  <c r="Z761" i="2"/>
  <c r="Y761" i="2"/>
  <c r="X761" i="2"/>
  <c r="W761" i="2"/>
  <c r="V761" i="2"/>
  <c r="U761" i="2"/>
  <c r="T761" i="2"/>
  <c r="S761" i="2"/>
  <c r="R761" i="2"/>
  <c r="Q761" i="2"/>
  <c r="P761" i="2"/>
  <c r="O761" i="2"/>
  <c r="Z760" i="2"/>
  <c r="Y760" i="2"/>
  <c r="X760" i="2"/>
  <c r="W760" i="2"/>
  <c r="V760" i="2"/>
  <c r="U760" i="2"/>
  <c r="T760" i="2"/>
  <c r="S760" i="2"/>
  <c r="R760" i="2"/>
  <c r="Q760" i="2"/>
  <c r="P760" i="2"/>
  <c r="O760" i="2"/>
  <c r="Z759" i="2"/>
  <c r="Y759" i="2"/>
  <c r="X759" i="2"/>
  <c r="W759" i="2"/>
  <c r="V759" i="2"/>
  <c r="U759" i="2"/>
  <c r="T759" i="2"/>
  <c r="S759" i="2"/>
  <c r="R759" i="2"/>
  <c r="Q759" i="2"/>
  <c r="P759" i="2"/>
  <c r="O759" i="2"/>
  <c r="Z758" i="2"/>
  <c r="Y758" i="2"/>
  <c r="X758" i="2"/>
  <c r="W758" i="2"/>
  <c r="V758" i="2"/>
  <c r="U758" i="2"/>
  <c r="T758" i="2"/>
  <c r="S758" i="2"/>
  <c r="R758" i="2"/>
  <c r="Q758" i="2"/>
  <c r="P758" i="2"/>
  <c r="O758" i="2"/>
  <c r="Z757" i="2"/>
  <c r="Y757" i="2"/>
  <c r="X757" i="2"/>
  <c r="W757" i="2"/>
  <c r="V757" i="2"/>
  <c r="U757" i="2"/>
  <c r="T757" i="2"/>
  <c r="S757" i="2"/>
  <c r="R757" i="2"/>
  <c r="Q757" i="2"/>
  <c r="P757" i="2"/>
  <c r="O757" i="2"/>
  <c r="Z756" i="2"/>
  <c r="Y756" i="2"/>
  <c r="X756" i="2"/>
  <c r="W756" i="2"/>
  <c r="V756" i="2"/>
  <c r="U756" i="2"/>
  <c r="T756" i="2"/>
  <c r="S756" i="2"/>
  <c r="R756" i="2"/>
  <c r="Q756" i="2"/>
  <c r="P756" i="2"/>
  <c r="O756" i="2"/>
  <c r="Z755" i="2"/>
  <c r="Y755" i="2"/>
  <c r="X755" i="2"/>
  <c r="W755" i="2"/>
  <c r="V755" i="2"/>
  <c r="U755" i="2"/>
  <c r="T755" i="2"/>
  <c r="S755" i="2"/>
  <c r="R755" i="2"/>
  <c r="Q755" i="2"/>
  <c r="P755" i="2"/>
  <c r="O755" i="2"/>
  <c r="Z754" i="2"/>
  <c r="Y754" i="2"/>
  <c r="X754" i="2"/>
  <c r="W754" i="2"/>
  <c r="V754" i="2"/>
  <c r="U754" i="2"/>
  <c r="T754" i="2"/>
  <c r="S754" i="2"/>
  <c r="R754" i="2"/>
  <c r="Q754" i="2"/>
  <c r="P754" i="2"/>
  <c r="O754" i="2"/>
  <c r="Z753" i="2"/>
  <c r="Y753" i="2"/>
  <c r="X753" i="2"/>
  <c r="W753" i="2"/>
  <c r="V753" i="2"/>
  <c r="U753" i="2"/>
  <c r="T753" i="2"/>
  <c r="S753" i="2"/>
  <c r="R753" i="2"/>
  <c r="Q753" i="2"/>
  <c r="P753" i="2"/>
  <c r="O753" i="2"/>
  <c r="Z752" i="2"/>
  <c r="Y752" i="2"/>
  <c r="X752" i="2"/>
  <c r="W752" i="2"/>
  <c r="V752" i="2"/>
  <c r="U752" i="2"/>
  <c r="T752" i="2"/>
  <c r="S752" i="2"/>
  <c r="R752" i="2"/>
  <c r="Q752" i="2"/>
  <c r="P752" i="2"/>
  <c r="O752" i="2"/>
  <c r="Z751" i="2"/>
  <c r="Y751" i="2"/>
  <c r="X751" i="2"/>
  <c r="W751" i="2"/>
  <c r="V751" i="2"/>
  <c r="U751" i="2"/>
  <c r="T751" i="2"/>
  <c r="S751" i="2"/>
  <c r="R751" i="2"/>
  <c r="Q751" i="2"/>
  <c r="P751" i="2"/>
  <c r="O751" i="2"/>
  <c r="Z750" i="2"/>
  <c r="Y750" i="2"/>
  <c r="X750" i="2"/>
  <c r="W750" i="2"/>
  <c r="V750" i="2"/>
  <c r="U750" i="2"/>
  <c r="T750" i="2"/>
  <c r="S750" i="2"/>
  <c r="R750" i="2"/>
  <c r="Q750" i="2"/>
  <c r="P750" i="2"/>
  <c r="O750" i="2"/>
  <c r="Z749" i="2"/>
  <c r="Y749" i="2"/>
  <c r="X749" i="2"/>
  <c r="W749" i="2"/>
  <c r="V749" i="2"/>
  <c r="U749" i="2"/>
  <c r="T749" i="2"/>
  <c r="S749" i="2"/>
  <c r="R749" i="2"/>
  <c r="Q749" i="2"/>
  <c r="P749" i="2"/>
  <c r="O749" i="2"/>
  <c r="Z748" i="2"/>
  <c r="Y748" i="2"/>
  <c r="X748" i="2"/>
  <c r="W748" i="2"/>
  <c r="V748" i="2"/>
  <c r="U748" i="2"/>
  <c r="T748" i="2"/>
  <c r="S748" i="2"/>
  <c r="R748" i="2"/>
  <c r="Q748" i="2"/>
  <c r="P748" i="2"/>
  <c r="O748" i="2"/>
  <c r="Z747" i="2"/>
  <c r="Y747" i="2"/>
  <c r="X747" i="2"/>
  <c r="W747" i="2"/>
  <c r="V747" i="2"/>
  <c r="U747" i="2"/>
  <c r="T747" i="2"/>
  <c r="S747" i="2"/>
  <c r="R747" i="2"/>
  <c r="Q747" i="2"/>
  <c r="P747" i="2"/>
  <c r="O747" i="2"/>
  <c r="Z746" i="2"/>
  <c r="Y746" i="2"/>
  <c r="X746" i="2"/>
  <c r="W746" i="2"/>
  <c r="V746" i="2"/>
  <c r="U746" i="2"/>
  <c r="T746" i="2"/>
  <c r="S746" i="2"/>
  <c r="R746" i="2"/>
  <c r="Q746" i="2"/>
  <c r="P746" i="2"/>
  <c r="O746" i="2"/>
  <c r="Z745" i="2"/>
  <c r="Y745" i="2"/>
  <c r="X745" i="2"/>
  <c r="W745" i="2"/>
  <c r="V745" i="2"/>
  <c r="U745" i="2"/>
  <c r="T745" i="2"/>
  <c r="S745" i="2"/>
  <c r="R745" i="2"/>
  <c r="Q745" i="2"/>
  <c r="P745" i="2"/>
  <c r="O745" i="2"/>
  <c r="Z744" i="2"/>
  <c r="Y744" i="2"/>
  <c r="X744" i="2"/>
  <c r="W744" i="2"/>
  <c r="V744" i="2"/>
  <c r="U744" i="2"/>
  <c r="T744" i="2"/>
  <c r="S744" i="2"/>
  <c r="R744" i="2"/>
  <c r="Q744" i="2"/>
  <c r="P744" i="2"/>
  <c r="O744" i="2"/>
  <c r="Z743" i="2"/>
  <c r="Y743" i="2"/>
  <c r="X743" i="2"/>
  <c r="W743" i="2"/>
  <c r="V743" i="2"/>
  <c r="U743" i="2"/>
  <c r="T743" i="2"/>
  <c r="S743" i="2"/>
  <c r="R743" i="2"/>
  <c r="Q743" i="2"/>
  <c r="P743" i="2"/>
  <c r="O743" i="2"/>
  <c r="Z742" i="2"/>
  <c r="Y742" i="2"/>
  <c r="X742" i="2"/>
  <c r="W742" i="2"/>
  <c r="V742" i="2"/>
  <c r="U742" i="2"/>
  <c r="T742" i="2"/>
  <c r="S742" i="2"/>
  <c r="R742" i="2"/>
  <c r="Q742" i="2"/>
  <c r="P742" i="2"/>
  <c r="O742" i="2"/>
  <c r="Z741" i="2"/>
  <c r="Y741" i="2"/>
  <c r="X741" i="2"/>
  <c r="W741" i="2"/>
  <c r="V741" i="2"/>
  <c r="U741" i="2"/>
  <c r="T741" i="2"/>
  <c r="S741" i="2"/>
  <c r="R741" i="2"/>
  <c r="Q741" i="2"/>
  <c r="P741" i="2"/>
  <c r="O741" i="2"/>
  <c r="Z740" i="2"/>
  <c r="Y740" i="2"/>
  <c r="X740" i="2"/>
  <c r="W740" i="2"/>
  <c r="V740" i="2"/>
  <c r="U740" i="2"/>
  <c r="T740" i="2"/>
  <c r="S740" i="2"/>
  <c r="R740" i="2"/>
  <c r="Q740" i="2"/>
  <c r="P740" i="2"/>
  <c r="O740" i="2"/>
  <c r="Z739" i="2"/>
  <c r="Y739" i="2"/>
  <c r="X739" i="2"/>
  <c r="W739" i="2"/>
  <c r="V739" i="2"/>
  <c r="U739" i="2"/>
  <c r="T739" i="2"/>
  <c r="S739" i="2"/>
  <c r="R739" i="2"/>
  <c r="Q739" i="2"/>
  <c r="P739" i="2"/>
  <c r="O739" i="2"/>
  <c r="Z738" i="2"/>
  <c r="Y738" i="2"/>
  <c r="X738" i="2"/>
  <c r="W738" i="2"/>
  <c r="V738" i="2"/>
  <c r="U738" i="2"/>
  <c r="T738" i="2"/>
  <c r="S738" i="2"/>
  <c r="R738" i="2"/>
  <c r="Q738" i="2"/>
  <c r="P738" i="2"/>
  <c r="O738" i="2"/>
  <c r="Z737" i="2"/>
  <c r="Y737" i="2"/>
  <c r="X737" i="2"/>
  <c r="W737" i="2"/>
  <c r="V737" i="2"/>
  <c r="U737" i="2"/>
  <c r="T737" i="2"/>
  <c r="S737" i="2"/>
  <c r="R737" i="2"/>
  <c r="Q737" i="2"/>
  <c r="P737" i="2"/>
  <c r="O737" i="2"/>
  <c r="Z736" i="2"/>
  <c r="Y736" i="2"/>
  <c r="X736" i="2"/>
  <c r="W736" i="2"/>
  <c r="V736" i="2"/>
  <c r="U736" i="2"/>
  <c r="T736" i="2"/>
  <c r="S736" i="2"/>
  <c r="R736" i="2"/>
  <c r="Q736" i="2"/>
  <c r="P736" i="2"/>
  <c r="O736" i="2"/>
  <c r="Z735" i="2"/>
  <c r="Y735" i="2"/>
  <c r="X735" i="2"/>
  <c r="W735" i="2"/>
  <c r="V735" i="2"/>
  <c r="U735" i="2"/>
  <c r="T735" i="2"/>
  <c r="S735" i="2"/>
  <c r="R735" i="2"/>
  <c r="Q735" i="2"/>
  <c r="P735" i="2"/>
  <c r="O735" i="2"/>
  <c r="Z734" i="2"/>
  <c r="Y734" i="2"/>
  <c r="X734" i="2"/>
  <c r="W734" i="2"/>
  <c r="V734" i="2"/>
  <c r="U734" i="2"/>
  <c r="T734" i="2"/>
  <c r="S734" i="2"/>
  <c r="R734" i="2"/>
  <c r="Q734" i="2"/>
  <c r="P734" i="2"/>
  <c r="O734" i="2"/>
  <c r="Z733" i="2"/>
  <c r="Y733" i="2"/>
  <c r="X733" i="2"/>
  <c r="W733" i="2"/>
  <c r="V733" i="2"/>
  <c r="U733" i="2"/>
  <c r="T733" i="2"/>
  <c r="S733" i="2"/>
  <c r="R733" i="2"/>
  <c r="Q733" i="2"/>
  <c r="P733" i="2"/>
  <c r="O733" i="2"/>
  <c r="Z732" i="2"/>
  <c r="Y732" i="2"/>
  <c r="X732" i="2"/>
  <c r="W732" i="2"/>
  <c r="V732" i="2"/>
  <c r="U732" i="2"/>
  <c r="T732" i="2"/>
  <c r="S732" i="2"/>
  <c r="R732" i="2"/>
  <c r="Q732" i="2"/>
  <c r="P732" i="2"/>
  <c r="O732" i="2"/>
  <c r="Z731" i="2"/>
  <c r="Y731" i="2"/>
  <c r="X731" i="2"/>
  <c r="W731" i="2"/>
  <c r="V731" i="2"/>
  <c r="U731" i="2"/>
  <c r="T731" i="2"/>
  <c r="S731" i="2"/>
  <c r="R731" i="2"/>
  <c r="Q731" i="2"/>
  <c r="P731" i="2"/>
  <c r="O731" i="2"/>
  <c r="Z730" i="2"/>
  <c r="Y730" i="2"/>
  <c r="X730" i="2"/>
  <c r="W730" i="2"/>
  <c r="V730" i="2"/>
  <c r="U730" i="2"/>
  <c r="T730" i="2"/>
  <c r="S730" i="2"/>
  <c r="R730" i="2"/>
  <c r="Q730" i="2"/>
  <c r="P730" i="2"/>
  <c r="O730" i="2"/>
  <c r="Z729" i="2"/>
  <c r="Y729" i="2"/>
  <c r="X729" i="2"/>
  <c r="W729" i="2"/>
  <c r="V729" i="2"/>
  <c r="U729" i="2"/>
  <c r="T729" i="2"/>
  <c r="S729" i="2"/>
  <c r="R729" i="2"/>
  <c r="Q729" i="2"/>
  <c r="P729" i="2"/>
  <c r="O729" i="2"/>
  <c r="Z728" i="2"/>
  <c r="Y728" i="2"/>
  <c r="X728" i="2"/>
  <c r="W728" i="2"/>
  <c r="V728" i="2"/>
  <c r="U728" i="2"/>
  <c r="T728" i="2"/>
  <c r="S728" i="2"/>
  <c r="R728" i="2"/>
  <c r="Q728" i="2"/>
  <c r="P728" i="2"/>
  <c r="O728" i="2"/>
  <c r="Z727" i="2"/>
  <c r="Y727" i="2"/>
  <c r="X727" i="2"/>
  <c r="W727" i="2"/>
  <c r="V727" i="2"/>
  <c r="U727" i="2"/>
  <c r="T727" i="2"/>
  <c r="S727" i="2"/>
  <c r="R727" i="2"/>
  <c r="Q727" i="2"/>
  <c r="P727" i="2"/>
  <c r="O727" i="2"/>
  <c r="Z726" i="2"/>
  <c r="Y726" i="2"/>
  <c r="X726" i="2"/>
  <c r="W726" i="2"/>
  <c r="V726" i="2"/>
  <c r="U726" i="2"/>
  <c r="T726" i="2"/>
  <c r="S726" i="2"/>
  <c r="R726" i="2"/>
  <c r="Q726" i="2"/>
  <c r="P726" i="2"/>
  <c r="O726" i="2"/>
  <c r="Z725" i="2"/>
  <c r="Y725" i="2"/>
  <c r="X725" i="2"/>
  <c r="W725" i="2"/>
  <c r="V725" i="2"/>
  <c r="U725" i="2"/>
  <c r="T725" i="2"/>
  <c r="S725" i="2"/>
  <c r="R725" i="2"/>
  <c r="Q725" i="2"/>
  <c r="P725" i="2"/>
  <c r="O725" i="2"/>
  <c r="Z724" i="2"/>
  <c r="Y724" i="2"/>
  <c r="X724" i="2"/>
  <c r="W724" i="2"/>
  <c r="V724" i="2"/>
  <c r="U724" i="2"/>
  <c r="T724" i="2"/>
  <c r="S724" i="2"/>
  <c r="R724" i="2"/>
  <c r="Q724" i="2"/>
  <c r="P724" i="2"/>
  <c r="O724" i="2"/>
  <c r="Z723" i="2"/>
  <c r="Y723" i="2"/>
  <c r="X723" i="2"/>
  <c r="W723" i="2"/>
  <c r="V723" i="2"/>
  <c r="U723" i="2"/>
  <c r="T723" i="2"/>
  <c r="S723" i="2"/>
  <c r="R723" i="2"/>
  <c r="Q723" i="2"/>
  <c r="P723" i="2"/>
  <c r="O723" i="2"/>
  <c r="Z722" i="2"/>
  <c r="Y722" i="2"/>
  <c r="X722" i="2"/>
  <c r="W722" i="2"/>
  <c r="V722" i="2"/>
  <c r="U722" i="2"/>
  <c r="T722" i="2"/>
  <c r="S722" i="2"/>
  <c r="R722" i="2"/>
  <c r="Q722" i="2"/>
  <c r="P722" i="2"/>
  <c r="O722" i="2"/>
  <c r="Z721" i="2"/>
  <c r="Y721" i="2"/>
  <c r="X721" i="2"/>
  <c r="W721" i="2"/>
  <c r="V721" i="2"/>
  <c r="U721" i="2"/>
  <c r="T721" i="2"/>
  <c r="S721" i="2"/>
  <c r="R721" i="2"/>
  <c r="Q721" i="2"/>
  <c r="P721" i="2"/>
  <c r="O721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Z719" i="2"/>
  <c r="Y719" i="2"/>
  <c r="X719" i="2"/>
  <c r="W719" i="2"/>
  <c r="V719" i="2"/>
  <c r="U719" i="2"/>
  <c r="T719" i="2"/>
  <c r="S719" i="2"/>
  <c r="R719" i="2"/>
  <c r="Q719" i="2"/>
  <c r="P719" i="2"/>
  <c r="O719" i="2"/>
  <c r="Z718" i="2"/>
  <c r="W718" i="2"/>
  <c r="T718" i="2"/>
  <c r="Q718" i="2"/>
  <c r="O718" i="2"/>
  <c r="Y717" i="2"/>
  <c r="V717" i="2"/>
  <c r="S717" i="2"/>
  <c r="Q717" i="2"/>
  <c r="O717" i="2"/>
  <c r="Y716" i="2"/>
  <c r="X716" i="2"/>
  <c r="U716" i="2"/>
  <c r="S716" i="2"/>
  <c r="Q716" i="2"/>
  <c r="O716" i="2"/>
  <c r="Y715" i="2"/>
  <c r="V715" i="2"/>
  <c r="T715" i="2"/>
  <c r="R715" i="2"/>
  <c r="P715" i="2"/>
  <c r="Z714" i="2"/>
  <c r="X714" i="2"/>
  <c r="V714" i="2"/>
  <c r="T714" i="2"/>
  <c r="Q714" i="2"/>
  <c r="O714" i="2"/>
  <c r="Z713" i="2"/>
  <c r="X713" i="2"/>
  <c r="U713" i="2"/>
  <c r="S713" i="2"/>
  <c r="Q713" i="2"/>
  <c r="T712" i="2"/>
  <c r="Q712" i="2"/>
  <c r="W711" i="2"/>
  <c r="S711" i="2"/>
  <c r="P711" i="2"/>
  <c r="P659" i="2"/>
  <c r="Y658" i="2"/>
  <c r="U658" i="2"/>
  <c r="R658" i="2"/>
  <c r="O658" i="2"/>
  <c r="X653" i="2"/>
  <c r="Y499" i="2"/>
  <c r="T499" i="2"/>
  <c r="O499" i="2"/>
  <c r="X498" i="2"/>
  <c r="Z497" i="2"/>
  <c r="T497" i="2"/>
  <c r="O497" i="2"/>
  <c r="X496" i="2"/>
  <c r="S496" i="2"/>
  <c r="O496" i="2"/>
  <c r="Q39" i="2"/>
  <c r="Q38" i="2"/>
  <c r="P38" i="2"/>
  <c r="T37" i="2"/>
  <c r="R36" i="2"/>
  <c r="R35" i="2"/>
  <c r="Q34" i="2"/>
  <c r="R33" i="2"/>
  <c r="V32" i="2"/>
  <c r="O31" i="2"/>
  <c r="Q29" i="2"/>
  <c r="U28" i="2"/>
  <c r="P28" i="2"/>
  <c r="Q25" i="2"/>
  <c r="Z24" i="2"/>
  <c r="T24" i="2"/>
  <c r="Q24" i="2"/>
  <c r="X23" i="2"/>
  <c r="O23" i="2"/>
  <c r="T22" i="2"/>
  <c r="P21" i="2"/>
  <c r="Y20" i="2"/>
  <c r="S19" i="2"/>
  <c r="T18" i="2"/>
  <c r="V16" i="2"/>
  <c r="T15" i="2"/>
  <c r="S13" i="2"/>
  <c r="O12" i="2"/>
  <c r="O10" i="2"/>
  <c r="Y9" i="2"/>
  <c r="Q8" i="2"/>
  <c r="V7" i="2"/>
  <c r="R7" i="2"/>
  <c r="O7" i="2"/>
  <c r="S6" i="2"/>
  <c r="Z5" i="2"/>
  <c r="T5" i="2"/>
  <c r="O4" i="2"/>
  <c r="Y3" i="2"/>
  <c r="V3" i="2"/>
  <c r="P3" i="2"/>
  <c r="X813" i="2"/>
  <c r="R813" i="2"/>
  <c r="T812" i="2"/>
  <c r="V798" i="2"/>
  <c r="P798" i="2"/>
  <c r="U790" i="2"/>
  <c r="X789" i="2"/>
  <c r="Z788" i="2"/>
  <c r="R785" i="2"/>
  <c r="X710" i="2"/>
  <c r="W710" i="2"/>
  <c r="V710" i="2"/>
  <c r="U710" i="2"/>
  <c r="T710" i="2"/>
  <c r="S710" i="2"/>
  <c r="R710" i="2"/>
  <c r="Q710" i="2"/>
  <c r="P710" i="2"/>
  <c r="O710" i="2"/>
  <c r="Z709" i="2"/>
  <c r="Y709" i="2"/>
  <c r="X709" i="2"/>
  <c r="W709" i="2"/>
  <c r="V709" i="2"/>
  <c r="U709" i="2"/>
  <c r="T709" i="2"/>
  <c r="S709" i="2"/>
  <c r="R709" i="2"/>
  <c r="Q709" i="2"/>
  <c r="P709" i="2"/>
  <c r="O709" i="2"/>
  <c r="Z708" i="2"/>
  <c r="Y708" i="2"/>
  <c r="X708" i="2"/>
  <c r="W708" i="2"/>
  <c r="V708" i="2"/>
  <c r="U708" i="2"/>
  <c r="T708" i="2"/>
  <c r="S708" i="2"/>
  <c r="R708" i="2"/>
  <c r="Q708" i="2"/>
  <c r="P708" i="2"/>
  <c r="O708" i="2"/>
  <c r="Z707" i="2"/>
  <c r="Y707" i="2"/>
  <c r="X707" i="2"/>
  <c r="W707" i="2"/>
  <c r="V707" i="2"/>
  <c r="U707" i="2"/>
  <c r="T707" i="2"/>
  <c r="S707" i="2"/>
  <c r="R707" i="2"/>
  <c r="Q707" i="2"/>
  <c r="P707" i="2"/>
  <c r="O707" i="2"/>
  <c r="Z706" i="2"/>
  <c r="Y706" i="2"/>
  <c r="X706" i="2"/>
  <c r="W706" i="2"/>
  <c r="V706" i="2"/>
  <c r="U706" i="2"/>
  <c r="T706" i="2"/>
  <c r="S706" i="2"/>
  <c r="R706" i="2"/>
  <c r="Q706" i="2"/>
  <c r="P706" i="2"/>
  <c r="O706" i="2"/>
  <c r="Z705" i="2"/>
  <c r="Y705" i="2"/>
  <c r="X705" i="2"/>
  <c r="W705" i="2"/>
  <c r="V705" i="2"/>
  <c r="U705" i="2"/>
  <c r="T705" i="2"/>
  <c r="S705" i="2"/>
  <c r="R705" i="2"/>
  <c r="Q705" i="2"/>
  <c r="P705" i="2"/>
  <c r="O705" i="2"/>
  <c r="Z704" i="2"/>
  <c r="Y704" i="2"/>
  <c r="X704" i="2"/>
  <c r="W704" i="2"/>
  <c r="V704" i="2"/>
  <c r="U704" i="2"/>
  <c r="T704" i="2"/>
  <c r="S704" i="2"/>
  <c r="R704" i="2"/>
  <c r="Q704" i="2"/>
  <c r="P704" i="2"/>
  <c r="O704" i="2"/>
  <c r="Z703" i="2"/>
  <c r="Y703" i="2"/>
  <c r="X703" i="2"/>
  <c r="W703" i="2"/>
  <c r="V703" i="2"/>
  <c r="U703" i="2"/>
  <c r="T703" i="2"/>
  <c r="S703" i="2"/>
  <c r="R703" i="2"/>
  <c r="Q703" i="2"/>
  <c r="P703" i="2"/>
  <c r="O703" i="2"/>
  <c r="Z702" i="2"/>
  <c r="Y702" i="2"/>
  <c r="X702" i="2"/>
  <c r="W702" i="2"/>
  <c r="V702" i="2"/>
  <c r="U702" i="2"/>
  <c r="T702" i="2"/>
  <c r="S702" i="2"/>
  <c r="R702" i="2"/>
  <c r="Q702" i="2"/>
  <c r="P702" i="2"/>
  <c r="O702" i="2"/>
  <c r="Z701" i="2"/>
  <c r="Y701" i="2"/>
  <c r="X701" i="2"/>
  <c r="W701" i="2"/>
  <c r="V701" i="2"/>
  <c r="U701" i="2"/>
  <c r="T701" i="2"/>
  <c r="S701" i="2"/>
  <c r="R701" i="2"/>
  <c r="Q701" i="2"/>
  <c r="P701" i="2"/>
  <c r="O701" i="2"/>
  <c r="Z700" i="2"/>
  <c r="Y700" i="2"/>
  <c r="X700" i="2"/>
  <c r="W700" i="2"/>
  <c r="V700" i="2"/>
  <c r="U700" i="2"/>
  <c r="T700" i="2"/>
  <c r="S700" i="2"/>
  <c r="R700" i="2"/>
  <c r="Q700" i="2"/>
  <c r="P700" i="2"/>
  <c r="O700" i="2"/>
  <c r="Z699" i="2"/>
  <c r="Y699" i="2"/>
  <c r="X699" i="2"/>
  <c r="W699" i="2"/>
  <c r="V699" i="2"/>
  <c r="U699" i="2"/>
  <c r="T699" i="2"/>
  <c r="S699" i="2"/>
  <c r="R699" i="2"/>
  <c r="Q699" i="2"/>
  <c r="P699" i="2"/>
  <c r="O699" i="2"/>
  <c r="Z698" i="2"/>
  <c r="Y698" i="2"/>
  <c r="X698" i="2"/>
  <c r="W698" i="2"/>
  <c r="V698" i="2"/>
  <c r="U698" i="2"/>
  <c r="T698" i="2"/>
  <c r="S698" i="2"/>
  <c r="R698" i="2"/>
  <c r="Q698" i="2"/>
  <c r="P698" i="2"/>
  <c r="O698" i="2"/>
  <c r="Y697" i="2"/>
  <c r="W697" i="2"/>
  <c r="U697" i="2"/>
  <c r="S697" i="2"/>
  <c r="Q697" i="2"/>
  <c r="O697" i="2"/>
  <c r="Z692" i="2"/>
  <c r="Y692" i="2"/>
  <c r="X692" i="2"/>
  <c r="W692" i="2"/>
  <c r="V692" i="2"/>
  <c r="U692" i="2"/>
  <c r="T692" i="2"/>
  <c r="S692" i="2"/>
  <c r="R692" i="2"/>
  <c r="Q692" i="2"/>
  <c r="P692" i="2"/>
  <c r="O692" i="2"/>
  <c r="V657" i="2"/>
  <c r="T657" i="2"/>
  <c r="R657" i="2"/>
  <c r="P657" i="2"/>
  <c r="W656" i="2"/>
  <c r="T656" i="2"/>
  <c r="P656" i="2"/>
  <c r="V655" i="2"/>
  <c r="T655" i="2"/>
  <c r="Q655" i="2"/>
  <c r="O655" i="2"/>
  <c r="Y654" i="2"/>
  <c r="W654" i="2"/>
  <c r="U654" i="2"/>
  <c r="S654" i="2"/>
  <c r="P654" i="2"/>
  <c r="Y653" i="2"/>
  <c r="W653" i="2"/>
  <c r="T653" i="2"/>
  <c r="R653" i="2"/>
  <c r="Y652" i="2"/>
  <c r="V652" i="2"/>
  <c r="S652" i="2"/>
  <c r="Q652" i="2"/>
  <c r="O652" i="2"/>
  <c r="Z651" i="2"/>
  <c r="W651" i="2"/>
  <c r="U651" i="2"/>
  <c r="R651" i="2"/>
  <c r="P651" i="2"/>
  <c r="X650" i="2"/>
  <c r="U650" i="2"/>
  <c r="S650" i="2"/>
  <c r="P650" i="2"/>
  <c r="Z649" i="2"/>
  <c r="X649" i="2"/>
  <c r="V649" i="2"/>
  <c r="T649" i="2"/>
  <c r="R649" i="2"/>
  <c r="O649" i="2"/>
  <c r="Y648" i="2"/>
  <c r="W648" i="2"/>
  <c r="U648" i="2"/>
  <c r="S648" i="2"/>
  <c r="P648" i="2"/>
  <c r="W647" i="2"/>
  <c r="U647" i="2"/>
  <c r="R647" i="2"/>
  <c r="U646" i="2"/>
  <c r="R646" i="2"/>
  <c r="Z690" i="2"/>
  <c r="Y690" i="2"/>
  <c r="X690" i="2"/>
  <c r="W690" i="2"/>
  <c r="V690" i="2"/>
  <c r="U690" i="2"/>
  <c r="T690" i="2"/>
  <c r="S690" i="2"/>
  <c r="R690" i="2"/>
  <c r="Q690" i="2"/>
  <c r="P690" i="2"/>
  <c r="O690" i="2"/>
  <c r="Z689" i="2"/>
  <c r="Y689" i="2"/>
  <c r="X689" i="2"/>
  <c r="W689" i="2"/>
  <c r="V689" i="2"/>
  <c r="U689" i="2"/>
  <c r="T689" i="2"/>
  <c r="S689" i="2"/>
  <c r="R689" i="2"/>
  <c r="Q689" i="2"/>
  <c r="P689" i="2"/>
  <c r="O689" i="2"/>
  <c r="Z688" i="2"/>
  <c r="Y688" i="2"/>
  <c r="X688" i="2"/>
  <c r="W688" i="2"/>
  <c r="V688" i="2"/>
  <c r="U688" i="2"/>
  <c r="T688" i="2"/>
  <c r="S688" i="2"/>
  <c r="R688" i="2"/>
  <c r="Q688" i="2"/>
  <c r="P688" i="2"/>
  <c r="O688" i="2"/>
  <c r="Z687" i="2"/>
  <c r="Y687" i="2"/>
  <c r="X687" i="2"/>
  <c r="W687" i="2"/>
  <c r="V687" i="2"/>
  <c r="U687" i="2"/>
  <c r="T687" i="2"/>
  <c r="S687" i="2"/>
  <c r="R687" i="2"/>
  <c r="Q687" i="2"/>
  <c r="P687" i="2"/>
  <c r="O687" i="2"/>
  <c r="Z686" i="2"/>
  <c r="Y686" i="2"/>
  <c r="X686" i="2"/>
  <c r="W686" i="2"/>
  <c r="V686" i="2"/>
  <c r="U686" i="2"/>
  <c r="T686" i="2"/>
  <c r="S686" i="2"/>
  <c r="R686" i="2"/>
  <c r="Q686" i="2"/>
  <c r="P686" i="2"/>
  <c r="O686" i="2"/>
  <c r="Z685" i="2"/>
  <c r="Y685" i="2"/>
  <c r="X685" i="2"/>
  <c r="W685" i="2"/>
  <c r="V685" i="2"/>
  <c r="U685" i="2"/>
  <c r="T685" i="2"/>
  <c r="S685" i="2"/>
  <c r="R685" i="2"/>
  <c r="Q685" i="2"/>
  <c r="P685" i="2"/>
  <c r="O685" i="2"/>
  <c r="Z684" i="2"/>
  <c r="Y684" i="2"/>
  <c r="X684" i="2"/>
  <c r="W684" i="2"/>
  <c r="V684" i="2"/>
  <c r="U684" i="2"/>
  <c r="T684" i="2"/>
  <c r="S684" i="2"/>
  <c r="R684" i="2"/>
  <c r="Q684" i="2"/>
  <c r="P684" i="2"/>
  <c r="O684" i="2"/>
  <c r="Z683" i="2"/>
  <c r="Y683" i="2"/>
  <c r="X683" i="2"/>
  <c r="W683" i="2"/>
  <c r="V683" i="2"/>
  <c r="U683" i="2"/>
  <c r="T683" i="2"/>
  <c r="S683" i="2"/>
  <c r="R683" i="2"/>
  <c r="Q683" i="2"/>
  <c r="P683" i="2"/>
  <c r="O683" i="2"/>
  <c r="Z682" i="2"/>
  <c r="Y682" i="2"/>
  <c r="X682" i="2"/>
  <c r="W682" i="2"/>
  <c r="V682" i="2"/>
  <c r="U682" i="2"/>
  <c r="T682" i="2"/>
  <c r="S682" i="2"/>
  <c r="R682" i="2"/>
  <c r="Q682" i="2"/>
  <c r="P682" i="2"/>
  <c r="O682" i="2"/>
  <c r="Z681" i="2"/>
  <c r="Y681" i="2"/>
  <c r="X681" i="2"/>
  <c r="W681" i="2"/>
  <c r="V681" i="2"/>
  <c r="U681" i="2"/>
  <c r="T681" i="2"/>
  <c r="S681" i="2"/>
  <c r="R681" i="2"/>
  <c r="Q681" i="2"/>
  <c r="P681" i="2"/>
  <c r="O681" i="2"/>
  <c r="Z680" i="2"/>
  <c r="Y680" i="2"/>
  <c r="X680" i="2"/>
  <c r="W680" i="2"/>
  <c r="V680" i="2"/>
  <c r="U680" i="2"/>
  <c r="T680" i="2"/>
  <c r="S680" i="2"/>
  <c r="R680" i="2"/>
  <c r="Q680" i="2"/>
  <c r="P680" i="2"/>
  <c r="O680" i="2"/>
  <c r="Z679" i="2"/>
  <c r="Y679" i="2"/>
  <c r="X679" i="2"/>
  <c r="W679" i="2"/>
  <c r="V679" i="2"/>
  <c r="U679" i="2"/>
  <c r="T679" i="2"/>
  <c r="S679" i="2"/>
  <c r="R679" i="2"/>
  <c r="Q679" i="2"/>
  <c r="P679" i="2"/>
  <c r="O679" i="2"/>
  <c r="Z678" i="2"/>
  <c r="Y678" i="2"/>
  <c r="X678" i="2"/>
  <c r="W678" i="2"/>
  <c r="V678" i="2"/>
  <c r="U678" i="2"/>
  <c r="T678" i="2"/>
  <c r="S678" i="2"/>
  <c r="R678" i="2"/>
  <c r="Q678" i="2"/>
  <c r="P678" i="2"/>
  <c r="O678" i="2"/>
  <c r="Z677" i="2"/>
  <c r="Y677" i="2"/>
  <c r="X677" i="2"/>
  <c r="W677" i="2"/>
  <c r="V677" i="2"/>
  <c r="U677" i="2"/>
  <c r="T677" i="2"/>
  <c r="S677" i="2"/>
  <c r="R677" i="2"/>
  <c r="Q677" i="2"/>
  <c r="P677" i="2"/>
  <c r="O677" i="2"/>
  <c r="Z676" i="2"/>
  <c r="Y676" i="2"/>
  <c r="X676" i="2"/>
  <c r="W676" i="2"/>
  <c r="V676" i="2"/>
  <c r="U676" i="2"/>
  <c r="T676" i="2"/>
  <c r="S676" i="2"/>
  <c r="R676" i="2"/>
  <c r="Q676" i="2"/>
  <c r="P676" i="2"/>
  <c r="O676" i="2"/>
  <c r="Z675" i="2"/>
  <c r="Y675" i="2"/>
  <c r="X675" i="2"/>
  <c r="W675" i="2"/>
  <c r="V675" i="2"/>
  <c r="U675" i="2"/>
  <c r="T675" i="2"/>
  <c r="S675" i="2"/>
  <c r="R675" i="2"/>
  <c r="Q675" i="2"/>
  <c r="P675" i="2"/>
  <c r="O675" i="2"/>
  <c r="Z674" i="2"/>
  <c r="Y674" i="2"/>
  <c r="X674" i="2"/>
  <c r="W674" i="2"/>
  <c r="V674" i="2"/>
  <c r="U674" i="2"/>
  <c r="T674" i="2"/>
  <c r="S674" i="2"/>
  <c r="R674" i="2"/>
  <c r="Q674" i="2"/>
  <c r="P674" i="2"/>
  <c r="O674" i="2"/>
  <c r="Z673" i="2"/>
  <c r="Y673" i="2"/>
  <c r="X673" i="2"/>
  <c r="W673" i="2"/>
  <c r="V673" i="2"/>
  <c r="U673" i="2"/>
  <c r="T673" i="2"/>
  <c r="S673" i="2"/>
  <c r="R673" i="2"/>
  <c r="Q673" i="2"/>
  <c r="P673" i="2"/>
  <c r="O673" i="2"/>
  <c r="Z672" i="2"/>
  <c r="Y672" i="2"/>
  <c r="X672" i="2"/>
  <c r="W672" i="2"/>
  <c r="V672" i="2"/>
  <c r="U672" i="2"/>
  <c r="T672" i="2"/>
  <c r="S672" i="2"/>
  <c r="R672" i="2"/>
  <c r="Q672" i="2"/>
  <c r="P672" i="2"/>
  <c r="O672" i="2"/>
  <c r="Z671" i="2"/>
  <c r="Y671" i="2"/>
  <c r="X671" i="2"/>
  <c r="W671" i="2"/>
  <c r="V671" i="2"/>
  <c r="U671" i="2"/>
  <c r="T671" i="2"/>
  <c r="S671" i="2"/>
  <c r="R671" i="2"/>
  <c r="Q671" i="2"/>
  <c r="P671" i="2"/>
  <c r="O671" i="2"/>
  <c r="Z670" i="2"/>
  <c r="Y670" i="2"/>
  <c r="X670" i="2"/>
  <c r="W670" i="2"/>
  <c r="V670" i="2"/>
  <c r="U670" i="2"/>
  <c r="T670" i="2"/>
  <c r="S670" i="2"/>
  <c r="R670" i="2"/>
  <c r="Q670" i="2"/>
  <c r="P670" i="2"/>
  <c r="O670" i="2"/>
  <c r="Z669" i="2"/>
  <c r="Y669" i="2"/>
  <c r="X669" i="2"/>
  <c r="W669" i="2"/>
  <c r="V669" i="2"/>
  <c r="U669" i="2"/>
  <c r="T669" i="2"/>
  <c r="S669" i="2"/>
  <c r="R669" i="2"/>
  <c r="Q669" i="2"/>
  <c r="P669" i="2"/>
  <c r="O669" i="2"/>
  <c r="Z668" i="2"/>
  <c r="Y668" i="2"/>
  <c r="X668" i="2"/>
  <c r="W668" i="2"/>
  <c r="V668" i="2"/>
  <c r="U668" i="2"/>
  <c r="T668" i="2"/>
  <c r="S668" i="2"/>
  <c r="R668" i="2"/>
  <c r="Q668" i="2"/>
  <c r="P668" i="2"/>
  <c r="O668" i="2"/>
  <c r="Z667" i="2"/>
  <c r="Y667" i="2"/>
  <c r="X667" i="2"/>
  <c r="W667" i="2"/>
  <c r="V667" i="2"/>
  <c r="U667" i="2"/>
  <c r="T667" i="2"/>
  <c r="S667" i="2"/>
  <c r="R667" i="2"/>
  <c r="Q667" i="2"/>
  <c r="P667" i="2"/>
  <c r="O667" i="2"/>
  <c r="Z666" i="2"/>
  <c r="Y666" i="2"/>
  <c r="X666" i="2"/>
  <c r="W666" i="2"/>
  <c r="V666" i="2"/>
  <c r="U666" i="2"/>
  <c r="T666" i="2"/>
  <c r="S666" i="2"/>
  <c r="R666" i="2"/>
  <c r="Q666" i="2"/>
  <c r="P666" i="2"/>
  <c r="O666" i="2"/>
  <c r="Z665" i="2"/>
  <c r="Y665" i="2"/>
  <c r="X665" i="2"/>
  <c r="W665" i="2"/>
  <c r="V665" i="2"/>
  <c r="U665" i="2"/>
  <c r="T665" i="2"/>
  <c r="S665" i="2"/>
  <c r="R665" i="2"/>
  <c r="Q665" i="2"/>
  <c r="P665" i="2"/>
  <c r="O665" i="2"/>
  <c r="Z664" i="2"/>
  <c r="Y664" i="2"/>
  <c r="X664" i="2"/>
  <c r="W664" i="2"/>
  <c r="V664" i="2"/>
  <c r="U664" i="2"/>
  <c r="T664" i="2"/>
  <c r="S664" i="2"/>
  <c r="R664" i="2"/>
  <c r="Q664" i="2"/>
  <c r="P664" i="2"/>
  <c r="O664" i="2"/>
  <c r="Z663" i="2"/>
  <c r="Y663" i="2"/>
  <c r="X663" i="2"/>
  <c r="W663" i="2"/>
  <c r="V663" i="2"/>
  <c r="U663" i="2"/>
  <c r="T663" i="2"/>
  <c r="S663" i="2"/>
  <c r="R663" i="2"/>
  <c r="Q663" i="2"/>
  <c r="P663" i="2"/>
  <c r="O663" i="2"/>
  <c r="Z662" i="2"/>
  <c r="Y662" i="2"/>
  <c r="X662" i="2"/>
  <c r="W662" i="2"/>
  <c r="V662" i="2"/>
  <c r="U662" i="2"/>
  <c r="T662" i="2"/>
  <c r="S662" i="2"/>
  <c r="R662" i="2"/>
  <c r="Q662" i="2"/>
  <c r="P662" i="2"/>
  <c r="O662" i="2"/>
  <c r="Z661" i="2"/>
  <c r="Y661" i="2"/>
  <c r="X661" i="2"/>
  <c r="W661" i="2"/>
  <c r="V661" i="2"/>
  <c r="U661" i="2"/>
  <c r="T661" i="2"/>
  <c r="S661" i="2"/>
  <c r="R661" i="2"/>
  <c r="Q661" i="2"/>
  <c r="P661" i="2"/>
  <c r="O661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Z659" i="2"/>
  <c r="Y659" i="2"/>
  <c r="X659" i="2"/>
  <c r="W659" i="2"/>
  <c r="V659" i="2"/>
  <c r="U659" i="2"/>
  <c r="T659" i="2"/>
  <c r="R659" i="2"/>
  <c r="O659" i="2"/>
  <c r="X658" i="2"/>
  <c r="S658" i="2"/>
  <c r="Z653" i="2"/>
  <c r="U653" i="2"/>
  <c r="Q499" i="2"/>
  <c r="W498" i="2"/>
  <c r="S498" i="2"/>
  <c r="Y497" i="2"/>
  <c r="P497" i="2"/>
  <c r="Y496" i="2"/>
  <c r="U496" i="2"/>
  <c r="R39" i="2"/>
  <c r="V38" i="2"/>
  <c r="W36" i="2"/>
  <c r="W35" i="2"/>
  <c r="R34" i="2"/>
  <c r="X33" i="2"/>
  <c r="S33" i="2"/>
  <c r="O33" i="2"/>
  <c r="X32" i="2"/>
  <c r="V31" i="2"/>
  <c r="T31" i="2"/>
  <c r="Z30" i="2"/>
  <c r="W30" i="2"/>
  <c r="R30" i="2"/>
  <c r="P30" i="2"/>
  <c r="R28" i="2"/>
  <c r="V27" i="2"/>
  <c r="S27" i="2"/>
  <c r="T26" i="2"/>
  <c r="X25" i="2"/>
  <c r="V23" i="2"/>
  <c r="T23" i="2"/>
  <c r="V21" i="2"/>
  <c r="Z20" i="2"/>
  <c r="V20" i="2"/>
  <c r="Q20" i="2"/>
  <c r="Z18" i="2"/>
  <c r="U18" i="2"/>
  <c r="V17" i="2"/>
  <c r="O17" i="2"/>
  <c r="Y14" i="2"/>
  <c r="X13" i="2"/>
  <c r="Q13" i="2"/>
  <c r="S11" i="2"/>
  <c r="T9" i="2"/>
  <c r="Q9" i="2"/>
  <c r="V8" i="2"/>
  <c r="S7" i="2"/>
  <c r="V5" i="2"/>
  <c r="T4" i="2"/>
  <c r="S3" i="2"/>
  <c r="Z838" i="2"/>
  <c r="Q838" i="2"/>
  <c r="V813" i="2"/>
  <c r="Z808" i="2"/>
  <c r="P808" i="2"/>
  <c r="R806" i="2"/>
  <c r="R801" i="2"/>
  <c r="X794" i="2"/>
  <c r="W790" i="2"/>
  <c r="Z789" i="2"/>
  <c r="V788" i="2"/>
  <c r="T785" i="2"/>
  <c r="Y610" i="2"/>
  <c r="X610" i="2"/>
  <c r="W610" i="2"/>
  <c r="V610" i="2"/>
  <c r="U610" i="2"/>
  <c r="T610" i="2"/>
  <c r="S610" i="2"/>
  <c r="R610" i="2"/>
  <c r="Q610" i="2"/>
  <c r="P610" i="2"/>
  <c r="O610" i="2"/>
  <c r="Z609" i="2"/>
  <c r="Y609" i="2"/>
  <c r="X609" i="2"/>
  <c r="W609" i="2"/>
  <c r="V609" i="2"/>
  <c r="U609" i="2"/>
  <c r="T609" i="2"/>
  <c r="S609" i="2"/>
  <c r="R609" i="2"/>
  <c r="Q609" i="2"/>
  <c r="P609" i="2"/>
  <c r="O609" i="2"/>
  <c r="Z608" i="2"/>
  <c r="Y608" i="2"/>
  <c r="X608" i="2"/>
  <c r="W608" i="2"/>
  <c r="V608" i="2"/>
  <c r="U608" i="2"/>
  <c r="T608" i="2"/>
  <c r="S608" i="2"/>
  <c r="R608" i="2"/>
  <c r="Q608" i="2"/>
  <c r="P608" i="2"/>
  <c r="O608" i="2"/>
  <c r="Z607" i="2"/>
  <c r="Y607" i="2"/>
  <c r="X607" i="2"/>
  <c r="W607" i="2"/>
  <c r="V607" i="2"/>
  <c r="U607" i="2"/>
  <c r="T607" i="2"/>
  <c r="S607" i="2"/>
  <c r="R607" i="2"/>
  <c r="Q607" i="2"/>
  <c r="P607" i="2"/>
  <c r="O607" i="2"/>
  <c r="Z606" i="2"/>
  <c r="Y606" i="2"/>
  <c r="X606" i="2"/>
  <c r="W606" i="2"/>
  <c r="V606" i="2"/>
  <c r="U606" i="2"/>
  <c r="T606" i="2"/>
  <c r="S606" i="2"/>
  <c r="R606" i="2"/>
  <c r="Q606" i="2"/>
  <c r="P606" i="2"/>
  <c r="O606" i="2"/>
  <c r="Z605" i="2"/>
  <c r="Y605" i="2"/>
  <c r="X605" i="2"/>
  <c r="W605" i="2"/>
  <c r="V605" i="2"/>
  <c r="U605" i="2"/>
  <c r="T605" i="2"/>
  <c r="S605" i="2"/>
  <c r="R605" i="2"/>
  <c r="Q605" i="2"/>
  <c r="P605" i="2"/>
  <c r="O605" i="2"/>
  <c r="Z604" i="2"/>
  <c r="Y604" i="2"/>
  <c r="X604" i="2"/>
  <c r="W604" i="2"/>
  <c r="V604" i="2"/>
  <c r="U604" i="2"/>
  <c r="T604" i="2"/>
  <c r="S604" i="2"/>
  <c r="R604" i="2"/>
  <c r="Q604" i="2"/>
  <c r="P604" i="2"/>
  <c r="O604" i="2"/>
  <c r="Z603" i="2"/>
  <c r="Y603" i="2"/>
  <c r="X603" i="2"/>
  <c r="W603" i="2"/>
  <c r="V603" i="2"/>
  <c r="U603" i="2"/>
  <c r="T603" i="2"/>
  <c r="S603" i="2"/>
  <c r="R603" i="2"/>
  <c r="Q603" i="2"/>
  <c r="P603" i="2"/>
  <c r="O603" i="2"/>
  <c r="Z602" i="2"/>
  <c r="Y602" i="2"/>
  <c r="X602" i="2"/>
  <c r="W602" i="2"/>
  <c r="V602" i="2"/>
  <c r="U602" i="2"/>
  <c r="T602" i="2"/>
  <c r="S602" i="2"/>
  <c r="R602" i="2"/>
  <c r="Q602" i="2"/>
  <c r="P602" i="2"/>
  <c r="O602" i="2"/>
  <c r="Z601" i="2"/>
  <c r="Y601" i="2"/>
  <c r="X601" i="2"/>
  <c r="W601" i="2"/>
  <c r="V601" i="2"/>
  <c r="U601" i="2"/>
  <c r="T601" i="2"/>
  <c r="S601" i="2"/>
  <c r="R601" i="2"/>
  <c r="Q601" i="2"/>
  <c r="P601" i="2"/>
  <c r="O601" i="2"/>
  <c r="Z600" i="2"/>
  <c r="Y600" i="2"/>
  <c r="X600" i="2"/>
  <c r="W600" i="2"/>
  <c r="V600" i="2"/>
  <c r="U600" i="2"/>
  <c r="T600" i="2"/>
  <c r="S600" i="2"/>
  <c r="R600" i="2"/>
  <c r="Q600" i="2"/>
  <c r="P600" i="2"/>
  <c r="O600" i="2"/>
  <c r="Z599" i="2"/>
  <c r="Y599" i="2"/>
  <c r="X599" i="2"/>
  <c r="W599" i="2"/>
  <c r="V599" i="2"/>
  <c r="U599" i="2"/>
  <c r="T599" i="2"/>
  <c r="S599" i="2"/>
  <c r="R599" i="2"/>
  <c r="Q599" i="2"/>
  <c r="P599" i="2"/>
  <c r="O599" i="2"/>
  <c r="Z598" i="2"/>
  <c r="Y598" i="2"/>
  <c r="X598" i="2"/>
  <c r="W598" i="2"/>
  <c r="V598" i="2"/>
  <c r="U598" i="2"/>
  <c r="T598" i="2"/>
  <c r="S598" i="2"/>
  <c r="R598" i="2"/>
  <c r="Q598" i="2"/>
  <c r="P598" i="2"/>
  <c r="O598" i="2"/>
  <c r="Z597" i="2"/>
  <c r="Y597" i="2"/>
  <c r="X597" i="2"/>
  <c r="W597" i="2"/>
  <c r="V597" i="2"/>
  <c r="U597" i="2"/>
  <c r="T597" i="2"/>
  <c r="S597" i="2"/>
  <c r="R597" i="2"/>
  <c r="Q597" i="2"/>
  <c r="P597" i="2"/>
  <c r="O597" i="2"/>
  <c r="Z596" i="2"/>
  <c r="Y596" i="2"/>
  <c r="X596" i="2"/>
  <c r="W596" i="2"/>
  <c r="V596" i="2"/>
  <c r="U596" i="2"/>
  <c r="T596" i="2"/>
  <c r="S596" i="2"/>
  <c r="R596" i="2"/>
  <c r="Q596" i="2"/>
  <c r="P596" i="2"/>
  <c r="O596" i="2"/>
  <c r="Z595" i="2"/>
  <c r="Y595" i="2"/>
  <c r="X595" i="2"/>
  <c r="W595" i="2"/>
  <c r="V595" i="2"/>
  <c r="U595" i="2"/>
  <c r="T595" i="2"/>
  <c r="S595" i="2"/>
  <c r="R595" i="2"/>
  <c r="Q595" i="2"/>
  <c r="P595" i="2"/>
  <c r="O595" i="2"/>
  <c r="Z594" i="2"/>
  <c r="Y594" i="2"/>
  <c r="X594" i="2"/>
  <c r="W594" i="2"/>
  <c r="V594" i="2"/>
  <c r="U594" i="2"/>
  <c r="T594" i="2"/>
  <c r="S594" i="2"/>
  <c r="R594" i="2"/>
  <c r="Q594" i="2"/>
  <c r="P594" i="2"/>
  <c r="O594" i="2"/>
  <c r="Z593" i="2"/>
  <c r="Y593" i="2"/>
  <c r="X593" i="2"/>
  <c r="W593" i="2"/>
  <c r="V593" i="2"/>
  <c r="U593" i="2"/>
  <c r="T593" i="2"/>
  <c r="S593" i="2"/>
  <c r="R593" i="2"/>
  <c r="Q593" i="2"/>
  <c r="P593" i="2"/>
  <c r="O593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Z591" i="2"/>
  <c r="Y591" i="2"/>
  <c r="X591" i="2"/>
  <c r="W591" i="2"/>
  <c r="V591" i="2"/>
  <c r="U591" i="2"/>
  <c r="T591" i="2"/>
  <c r="S591" i="2"/>
  <c r="R591" i="2"/>
  <c r="Q591" i="2"/>
  <c r="P591" i="2"/>
  <c r="O591" i="2"/>
  <c r="Z590" i="2"/>
  <c r="Y590" i="2"/>
  <c r="X590" i="2"/>
  <c r="W590" i="2"/>
  <c r="V590" i="2"/>
  <c r="U590" i="2"/>
  <c r="T590" i="2"/>
  <c r="S590" i="2"/>
  <c r="R590" i="2"/>
  <c r="Q590" i="2"/>
  <c r="P590" i="2"/>
  <c r="O590" i="2"/>
  <c r="Z589" i="2"/>
  <c r="Y589" i="2"/>
  <c r="X589" i="2"/>
  <c r="W589" i="2"/>
  <c r="V589" i="2"/>
  <c r="U589" i="2"/>
  <c r="T589" i="2"/>
  <c r="S589" i="2"/>
  <c r="R589" i="2"/>
  <c r="Q589" i="2"/>
  <c r="P589" i="2"/>
  <c r="O589" i="2"/>
  <c r="Z588" i="2"/>
  <c r="Y588" i="2"/>
  <c r="X588" i="2"/>
  <c r="W588" i="2"/>
  <c r="V588" i="2"/>
  <c r="U588" i="2"/>
  <c r="T588" i="2"/>
  <c r="S588" i="2"/>
  <c r="R588" i="2"/>
  <c r="Q588" i="2"/>
  <c r="P588" i="2"/>
  <c r="O588" i="2"/>
  <c r="Z587" i="2"/>
  <c r="Y587" i="2"/>
  <c r="X587" i="2"/>
  <c r="W587" i="2"/>
  <c r="V587" i="2"/>
  <c r="U587" i="2"/>
  <c r="T587" i="2"/>
  <c r="S587" i="2"/>
  <c r="R587" i="2"/>
  <c r="Q587" i="2"/>
  <c r="P587" i="2"/>
  <c r="O587" i="2"/>
  <c r="Z586" i="2"/>
  <c r="Y586" i="2"/>
  <c r="X586" i="2"/>
  <c r="W586" i="2"/>
  <c r="V586" i="2"/>
  <c r="U586" i="2"/>
  <c r="T586" i="2"/>
  <c r="S586" i="2"/>
  <c r="R586" i="2"/>
  <c r="Q586" i="2"/>
  <c r="P586" i="2"/>
  <c r="O586" i="2"/>
  <c r="Z585" i="2"/>
  <c r="Y585" i="2"/>
  <c r="X585" i="2"/>
  <c r="W585" i="2"/>
  <c r="V585" i="2"/>
  <c r="U585" i="2"/>
  <c r="T585" i="2"/>
  <c r="S585" i="2"/>
  <c r="R585" i="2"/>
  <c r="Q585" i="2"/>
  <c r="P585" i="2"/>
  <c r="O585" i="2"/>
  <c r="Z584" i="2"/>
  <c r="Y584" i="2"/>
  <c r="X584" i="2"/>
  <c r="W584" i="2"/>
  <c r="V584" i="2"/>
  <c r="U584" i="2"/>
  <c r="T584" i="2"/>
  <c r="S584" i="2"/>
  <c r="R584" i="2"/>
  <c r="Q584" i="2"/>
  <c r="P584" i="2"/>
  <c r="O584" i="2"/>
  <c r="Z583" i="2"/>
  <c r="Y583" i="2"/>
  <c r="X583" i="2"/>
  <c r="W583" i="2"/>
  <c r="V583" i="2"/>
  <c r="U583" i="2"/>
  <c r="T583" i="2"/>
  <c r="S583" i="2"/>
  <c r="R583" i="2"/>
  <c r="Q583" i="2"/>
  <c r="P583" i="2"/>
  <c r="O583" i="2"/>
  <c r="Z582" i="2"/>
  <c r="Y582" i="2"/>
  <c r="X582" i="2"/>
  <c r="W582" i="2"/>
  <c r="V582" i="2"/>
  <c r="U582" i="2"/>
  <c r="T582" i="2"/>
  <c r="S582" i="2"/>
  <c r="R582" i="2"/>
  <c r="Q582" i="2"/>
  <c r="P582" i="2"/>
  <c r="O582" i="2"/>
  <c r="Z581" i="2"/>
  <c r="Y581" i="2"/>
  <c r="X581" i="2"/>
  <c r="W581" i="2"/>
  <c r="V581" i="2"/>
  <c r="U581" i="2"/>
  <c r="T581" i="2"/>
  <c r="S581" i="2"/>
  <c r="R581" i="2"/>
  <c r="Q581" i="2"/>
  <c r="P581" i="2"/>
  <c r="O581" i="2"/>
  <c r="Z580" i="2"/>
  <c r="Y580" i="2"/>
  <c r="X580" i="2"/>
  <c r="W580" i="2"/>
  <c r="V580" i="2"/>
  <c r="U580" i="2"/>
  <c r="T580" i="2"/>
  <c r="S580" i="2"/>
  <c r="R580" i="2"/>
  <c r="Q580" i="2"/>
  <c r="P580" i="2"/>
  <c r="O580" i="2"/>
  <c r="Z579" i="2"/>
  <c r="Y579" i="2"/>
  <c r="X579" i="2"/>
  <c r="W579" i="2"/>
  <c r="V579" i="2"/>
  <c r="U579" i="2"/>
  <c r="T579" i="2"/>
  <c r="S579" i="2"/>
  <c r="R579" i="2"/>
  <c r="Q579" i="2"/>
  <c r="P579" i="2"/>
  <c r="O579" i="2"/>
  <c r="Z578" i="2"/>
  <c r="Y578" i="2"/>
  <c r="X578" i="2"/>
  <c r="W578" i="2"/>
  <c r="V578" i="2"/>
  <c r="U578" i="2"/>
  <c r="T578" i="2"/>
  <c r="S578" i="2"/>
  <c r="R578" i="2"/>
  <c r="Q578" i="2"/>
  <c r="P578" i="2"/>
  <c r="O578" i="2"/>
  <c r="Z577" i="2"/>
  <c r="Y577" i="2"/>
  <c r="X577" i="2"/>
  <c r="W577" i="2"/>
  <c r="V577" i="2"/>
  <c r="U577" i="2"/>
  <c r="T577" i="2"/>
  <c r="S577" i="2"/>
  <c r="R577" i="2"/>
  <c r="Q577" i="2"/>
  <c r="P577" i="2"/>
  <c r="O577" i="2"/>
  <c r="Z576" i="2"/>
  <c r="Y576" i="2"/>
  <c r="X576" i="2"/>
  <c r="W576" i="2"/>
  <c r="V576" i="2"/>
  <c r="U576" i="2"/>
  <c r="T576" i="2"/>
  <c r="S576" i="2"/>
  <c r="R576" i="2"/>
  <c r="Q576" i="2"/>
  <c r="P576" i="2"/>
  <c r="O576" i="2"/>
  <c r="Z575" i="2"/>
  <c r="Y575" i="2"/>
  <c r="X575" i="2"/>
  <c r="W575" i="2"/>
  <c r="V575" i="2"/>
  <c r="U575" i="2"/>
  <c r="T575" i="2"/>
  <c r="S575" i="2"/>
  <c r="R575" i="2"/>
  <c r="Q575" i="2"/>
  <c r="P575" i="2"/>
  <c r="O575" i="2"/>
  <c r="Z574" i="2"/>
  <c r="Y574" i="2"/>
  <c r="X574" i="2"/>
  <c r="W574" i="2"/>
  <c r="V574" i="2"/>
  <c r="U574" i="2"/>
  <c r="T574" i="2"/>
  <c r="S574" i="2"/>
  <c r="R574" i="2"/>
  <c r="Q574" i="2"/>
  <c r="P574" i="2"/>
  <c r="O574" i="2"/>
  <c r="Z573" i="2"/>
  <c r="Y573" i="2"/>
  <c r="X573" i="2"/>
  <c r="W573" i="2"/>
  <c r="V573" i="2"/>
  <c r="U573" i="2"/>
  <c r="T573" i="2"/>
  <c r="S573" i="2"/>
  <c r="R573" i="2"/>
  <c r="Q573" i="2"/>
  <c r="P573" i="2"/>
  <c r="O573" i="2"/>
  <c r="Z572" i="2"/>
  <c r="Y572" i="2"/>
  <c r="X572" i="2"/>
  <c r="W572" i="2"/>
  <c r="V572" i="2"/>
  <c r="U572" i="2"/>
  <c r="T572" i="2"/>
  <c r="S572" i="2"/>
  <c r="R572" i="2"/>
  <c r="Q572" i="2"/>
  <c r="P572" i="2"/>
  <c r="O572" i="2"/>
  <c r="Z571" i="2"/>
  <c r="Y571" i="2"/>
  <c r="X571" i="2"/>
  <c r="W571" i="2"/>
  <c r="V571" i="2"/>
  <c r="U571" i="2"/>
  <c r="T571" i="2"/>
  <c r="S571" i="2"/>
  <c r="R571" i="2"/>
  <c r="Q571" i="2"/>
  <c r="P571" i="2"/>
  <c r="O571" i="2"/>
  <c r="Z570" i="2"/>
  <c r="Y570" i="2"/>
  <c r="X570" i="2"/>
  <c r="W570" i="2"/>
  <c r="V570" i="2"/>
  <c r="U570" i="2"/>
  <c r="T570" i="2"/>
  <c r="S570" i="2"/>
  <c r="R570" i="2"/>
  <c r="Q570" i="2"/>
  <c r="P570" i="2"/>
  <c r="O570" i="2"/>
  <c r="Z569" i="2"/>
  <c r="Y569" i="2"/>
  <c r="X569" i="2"/>
  <c r="W569" i="2"/>
  <c r="V569" i="2"/>
  <c r="U569" i="2"/>
  <c r="T569" i="2"/>
  <c r="S569" i="2"/>
  <c r="R569" i="2"/>
  <c r="Q569" i="2"/>
  <c r="P569" i="2"/>
  <c r="O569" i="2"/>
  <c r="Z568" i="2"/>
  <c r="Y568" i="2"/>
  <c r="X568" i="2"/>
  <c r="W568" i="2"/>
  <c r="V568" i="2"/>
  <c r="U568" i="2"/>
  <c r="T568" i="2"/>
  <c r="S568" i="2"/>
  <c r="R568" i="2"/>
  <c r="Q568" i="2"/>
  <c r="P568" i="2"/>
  <c r="O568" i="2"/>
  <c r="Z567" i="2"/>
  <c r="Y567" i="2"/>
  <c r="X567" i="2"/>
  <c r="W567" i="2"/>
  <c r="V567" i="2"/>
  <c r="U567" i="2"/>
  <c r="T567" i="2"/>
  <c r="S567" i="2"/>
  <c r="R567" i="2"/>
  <c r="Q567" i="2"/>
  <c r="P567" i="2"/>
  <c r="O567" i="2"/>
  <c r="Z566" i="2"/>
  <c r="Y566" i="2"/>
  <c r="X566" i="2"/>
  <c r="W566" i="2"/>
  <c r="V566" i="2"/>
  <c r="U566" i="2"/>
  <c r="T566" i="2"/>
  <c r="S566" i="2"/>
  <c r="R566" i="2"/>
  <c r="Q566" i="2"/>
  <c r="P566" i="2"/>
  <c r="O566" i="2"/>
  <c r="Z565" i="2"/>
  <c r="Y565" i="2"/>
  <c r="X565" i="2"/>
  <c r="W565" i="2"/>
  <c r="V565" i="2"/>
  <c r="U565" i="2"/>
  <c r="T565" i="2"/>
  <c r="S565" i="2"/>
  <c r="R565" i="2"/>
  <c r="Q565" i="2"/>
  <c r="P565" i="2"/>
  <c r="O565" i="2"/>
  <c r="Z564" i="2"/>
  <c r="Y564" i="2"/>
  <c r="X564" i="2"/>
  <c r="W564" i="2"/>
  <c r="V564" i="2"/>
  <c r="U564" i="2"/>
  <c r="T564" i="2"/>
  <c r="S564" i="2"/>
  <c r="R564" i="2"/>
  <c r="Q564" i="2"/>
  <c r="P564" i="2"/>
  <c r="O564" i="2"/>
  <c r="Z563" i="2"/>
  <c r="Y563" i="2"/>
  <c r="X563" i="2"/>
  <c r="W563" i="2"/>
  <c r="V563" i="2"/>
  <c r="U563" i="2"/>
  <c r="T563" i="2"/>
  <c r="S563" i="2"/>
  <c r="R563" i="2"/>
  <c r="Q563" i="2"/>
  <c r="P563" i="2"/>
  <c r="O563" i="2"/>
  <c r="Z562" i="2"/>
  <c r="Y562" i="2"/>
  <c r="X562" i="2"/>
  <c r="W562" i="2"/>
  <c r="V562" i="2"/>
  <c r="U562" i="2"/>
  <c r="T562" i="2"/>
  <c r="S562" i="2"/>
  <c r="R562" i="2"/>
  <c r="Q562" i="2"/>
  <c r="P562" i="2"/>
  <c r="O562" i="2"/>
  <c r="Z561" i="2"/>
  <c r="Y561" i="2"/>
  <c r="X561" i="2"/>
  <c r="W561" i="2"/>
  <c r="V561" i="2"/>
  <c r="U561" i="2"/>
  <c r="T561" i="2"/>
  <c r="S561" i="2"/>
  <c r="R561" i="2"/>
  <c r="Q561" i="2"/>
  <c r="P561" i="2"/>
  <c r="O561" i="2"/>
  <c r="Z560" i="2"/>
  <c r="Y560" i="2"/>
  <c r="X560" i="2"/>
  <c r="W560" i="2"/>
  <c r="V560" i="2"/>
  <c r="U560" i="2"/>
  <c r="T560" i="2"/>
  <c r="S560" i="2"/>
  <c r="R560" i="2"/>
  <c r="Q560" i="2"/>
  <c r="P560" i="2"/>
  <c r="O560" i="2"/>
  <c r="Z559" i="2"/>
  <c r="Y559" i="2"/>
  <c r="X559" i="2"/>
  <c r="W559" i="2"/>
  <c r="V559" i="2"/>
  <c r="U559" i="2"/>
  <c r="T559" i="2"/>
  <c r="S559" i="2"/>
  <c r="R559" i="2"/>
  <c r="Q559" i="2"/>
  <c r="P559" i="2"/>
  <c r="O559" i="2"/>
  <c r="Z558" i="2"/>
  <c r="Y558" i="2"/>
  <c r="X558" i="2"/>
  <c r="W558" i="2"/>
  <c r="V558" i="2"/>
  <c r="U558" i="2"/>
  <c r="T558" i="2"/>
  <c r="S558" i="2"/>
  <c r="R558" i="2"/>
  <c r="Q558" i="2"/>
  <c r="P558" i="2"/>
  <c r="O558" i="2"/>
  <c r="Z557" i="2"/>
  <c r="Y557" i="2"/>
  <c r="X557" i="2"/>
  <c r="W557" i="2"/>
  <c r="V557" i="2"/>
  <c r="U557" i="2"/>
  <c r="T557" i="2"/>
  <c r="S557" i="2"/>
  <c r="R557" i="2"/>
  <c r="Q557" i="2"/>
  <c r="P557" i="2"/>
  <c r="O557" i="2"/>
  <c r="Z556" i="2"/>
  <c r="Y556" i="2"/>
  <c r="X556" i="2"/>
  <c r="W556" i="2"/>
  <c r="V556" i="2"/>
  <c r="U556" i="2"/>
  <c r="T556" i="2"/>
  <c r="S556" i="2"/>
  <c r="R556" i="2"/>
  <c r="Q556" i="2"/>
  <c r="P556" i="2"/>
  <c r="O556" i="2"/>
  <c r="Z555" i="2"/>
  <c r="Y555" i="2"/>
  <c r="X555" i="2"/>
  <c r="W555" i="2"/>
  <c r="V555" i="2"/>
  <c r="U555" i="2"/>
  <c r="T555" i="2"/>
  <c r="S555" i="2"/>
  <c r="R555" i="2"/>
  <c r="Q555" i="2"/>
  <c r="P555" i="2"/>
  <c r="O555" i="2"/>
  <c r="Z554" i="2"/>
  <c r="Y554" i="2"/>
  <c r="X554" i="2"/>
  <c r="W554" i="2"/>
  <c r="V554" i="2"/>
  <c r="U554" i="2"/>
  <c r="T554" i="2"/>
  <c r="S554" i="2"/>
  <c r="R554" i="2"/>
  <c r="Q554" i="2"/>
  <c r="P554" i="2"/>
  <c r="O554" i="2"/>
  <c r="Z553" i="2"/>
  <c r="Y553" i="2"/>
  <c r="X553" i="2"/>
  <c r="W553" i="2"/>
  <c r="V553" i="2"/>
  <c r="U553" i="2"/>
  <c r="T553" i="2"/>
  <c r="S553" i="2"/>
  <c r="R553" i="2"/>
  <c r="Q553" i="2"/>
  <c r="P553" i="2"/>
  <c r="O553" i="2"/>
  <c r="Z552" i="2"/>
  <c r="Y552" i="2"/>
  <c r="X552" i="2"/>
  <c r="W552" i="2"/>
  <c r="V552" i="2"/>
  <c r="U552" i="2"/>
  <c r="T552" i="2"/>
  <c r="S552" i="2"/>
  <c r="R552" i="2"/>
  <c r="Q552" i="2"/>
  <c r="P552" i="2"/>
  <c r="O552" i="2"/>
  <c r="O504" i="2"/>
  <c r="Z503" i="2"/>
  <c r="X503" i="2"/>
  <c r="V503" i="2"/>
  <c r="T503" i="2"/>
  <c r="R503" i="2"/>
  <c r="P503" i="2"/>
  <c r="X502" i="2"/>
  <c r="V502" i="2"/>
  <c r="T502" i="2"/>
  <c r="R502" i="2"/>
  <c r="P502" i="2"/>
  <c r="Y501" i="2"/>
  <c r="W501" i="2"/>
  <c r="U501" i="2"/>
  <c r="S501" i="2"/>
  <c r="Q501" i="2"/>
  <c r="O501" i="2"/>
  <c r="Z500" i="2"/>
  <c r="Y500" i="2"/>
  <c r="W500" i="2"/>
  <c r="V500" i="2"/>
  <c r="T500" i="2"/>
  <c r="R500" i="2"/>
  <c r="P500" i="2"/>
  <c r="Z499" i="2"/>
  <c r="U499" i="2"/>
  <c r="Z498" i="2"/>
  <c r="U498" i="2"/>
  <c r="P498" i="2"/>
  <c r="W497" i="2"/>
  <c r="R497" i="2"/>
  <c r="V496" i="2"/>
  <c r="W38" i="2"/>
  <c r="S38" i="2"/>
  <c r="Z37" i="2"/>
  <c r="P37" i="2"/>
  <c r="T36" i="2"/>
  <c r="Q36" i="2"/>
  <c r="U35" i="2"/>
  <c r="Q35" i="2"/>
  <c r="V33" i="2"/>
  <c r="O32" i="2"/>
  <c r="P31" i="2"/>
  <c r="T30" i="2"/>
  <c r="X29" i="2"/>
  <c r="Y28" i="2"/>
  <c r="V28" i="2"/>
  <c r="Y27" i="2"/>
  <c r="T25" i="2"/>
  <c r="W22" i="2"/>
  <c r="W20" i="2"/>
  <c r="S20" i="2"/>
  <c r="O20" i="2"/>
  <c r="S17" i="2"/>
  <c r="Z16" i="2"/>
  <c r="U16" i="2"/>
  <c r="P14" i="2"/>
  <c r="Z13" i="2"/>
  <c r="W12" i="2"/>
  <c r="W10" i="2"/>
  <c r="S10" i="2"/>
  <c r="T8" i="2"/>
  <c r="X7" i="2"/>
  <c r="V6" i="2"/>
  <c r="T6" i="2"/>
  <c r="O6" i="2"/>
  <c r="Y5" i="2"/>
  <c r="S4" i="2"/>
  <c r="Z3" i="2"/>
  <c r="X841" i="2"/>
  <c r="V840" i="2"/>
  <c r="T838" i="2"/>
  <c r="R812" i="2"/>
  <c r="R805" i="2"/>
  <c r="R794" i="2"/>
  <c r="T788" i="2"/>
  <c r="S551" i="2"/>
  <c r="R551" i="2"/>
  <c r="Q551" i="2"/>
  <c r="P551" i="2"/>
  <c r="O551" i="2"/>
  <c r="Z550" i="2"/>
  <c r="Y550" i="2"/>
  <c r="X550" i="2"/>
  <c r="W550" i="2"/>
  <c r="V550" i="2"/>
  <c r="U550" i="2"/>
  <c r="T550" i="2"/>
  <c r="S550" i="2"/>
  <c r="R550" i="2"/>
  <c r="Q550" i="2"/>
  <c r="P550" i="2"/>
  <c r="O550" i="2"/>
  <c r="Z549" i="2"/>
  <c r="Y549" i="2"/>
  <c r="X549" i="2"/>
  <c r="W549" i="2"/>
  <c r="V549" i="2"/>
  <c r="U549" i="2"/>
  <c r="T549" i="2"/>
  <c r="S549" i="2"/>
  <c r="R549" i="2"/>
  <c r="Q549" i="2"/>
  <c r="P549" i="2"/>
  <c r="O549" i="2"/>
  <c r="Z548" i="2"/>
  <c r="Y548" i="2"/>
  <c r="X548" i="2"/>
  <c r="W548" i="2"/>
  <c r="V548" i="2"/>
  <c r="U548" i="2"/>
  <c r="T548" i="2"/>
  <c r="S548" i="2"/>
  <c r="R548" i="2"/>
  <c r="Q548" i="2"/>
  <c r="P548" i="2"/>
  <c r="O548" i="2"/>
  <c r="Z547" i="2"/>
  <c r="Y547" i="2"/>
  <c r="X547" i="2"/>
  <c r="W547" i="2"/>
  <c r="V547" i="2"/>
  <c r="U547" i="2"/>
  <c r="T547" i="2"/>
  <c r="S547" i="2"/>
  <c r="R547" i="2"/>
  <c r="Q547" i="2"/>
  <c r="P547" i="2"/>
  <c r="O547" i="2"/>
  <c r="Z546" i="2"/>
  <c r="Y546" i="2"/>
  <c r="X546" i="2"/>
  <c r="W546" i="2"/>
  <c r="V546" i="2"/>
  <c r="U546" i="2"/>
  <c r="T546" i="2"/>
  <c r="S546" i="2"/>
  <c r="R546" i="2"/>
  <c r="Q546" i="2"/>
  <c r="P546" i="2"/>
  <c r="O546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Z544" i="2"/>
  <c r="Y544" i="2"/>
  <c r="X544" i="2"/>
  <c r="W544" i="2"/>
  <c r="V544" i="2"/>
  <c r="U544" i="2"/>
  <c r="T544" i="2"/>
  <c r="S544" i="2"/>
  <c r="R544" i="2"/>
  <c r="Q544" i="2"/>
  <c r="P544" i="2"/>
  <c r="O544" i="2"/>
  <c r="Z543" i="2"/>
  <c r="Y543" i="2"/>
  <c r="X543" i="2"/>
  <c r="W543" i="2"/>
  <c r="V543" i="2"/>
  <c r="U543" i="2"/>
  <c r="T543" i="2"/>
  <c r="S543" i="2"/>
  <c r="R543" i="2"/>
  <c r="Q543" i="2"/>
  <c r="P543" i="2"/>
  <c r="O543" i="2"/>
  <c r="Z542" i="2"/>
  <c r="Y542" i="2"/>
  <c r="X542" i="2"/>
  <c r="W542" i="2"/>
  <c r="V542" i="2"/>
  <c r="U542" i="2"/>
  <c r="T542" i="2"/>
  <c r="S542" i="2"/>
  <c r="R542" i="2"/>
  <c r="Q542" i="2"/>
  <c r="P542" i="2"/>
  <c r="O542" i="2"/>
  <c r="Z541" i="2"/>
  <c r="Y541" i="2"/>
  <c r="X541" i="2"/>
  <c r="W541" i="2"/>
  <c r="V541" i="2"/>
  <c r="U541" i="2"/>
  <c r="T541" i="2"/>
  <c r="S541" i="2"/>
  <c r="R541" i="2"/>
  <c r="Q541" i="2"/>
  <c r="P541" i="2"/>
  <c r="O541" i="2"/>
  <c r="Z540" i="2"/>
  <c r="Y540" i="2"/>
  <c r="X540" i="2"/>
  <c r="W540" i="2"/>
  <c r="V540" i="2"/>
  <c r="U540" i="2"/>
  <c r="T540" i="2"/>
  <c r="S540" i="2"/>
  <c r="R540" i="2"/>
  <c r="Q540" i="2"/>
  <c r="P540" i="2"/>
  <c r="O540" i="2"/>
  <c r="Z539" i="2"/>
  <c r="Y539" i="2"/>
  <c r="X539" i="2"/>
  <c r="W539" i="2"/>
  <c r="V539" i="2"/>
  <c r="U539" i="2"/>
  <c r="T539" i="2"/>
  <c r="S539" i="2"/>
  <c r="R539" i="2"/>
  <c r="Q539" i="2"/>
  <c r="P539" i="2"/>
  <c r="O539" i="2"/>
  <c r="Z538" i="2"/>
  <c r="Y538" i="2"/>
  <c r="X538" i="2"/>
  <c r="W538" i="2"/>
  <c r="V538" i="2"/>
  <c r="U538" i="2"/>
  <c r="T538" i="2"/>
  <c r="S538" i="2"/>
  <c r="R538" i="2"/>
  <c r="Q538" i="2"/>
  <c r="P538" i="2"/>
  <c r="O538" i="2"/>
  <c r="Z537" i="2"/>
  <c r="Y537" i="2"/>
  <c r="X537" i="2"/>
  <c r="W537" i="2"/>
  <c r="V537" i="2"/>
  <c r="U537" i="2"/>
  <c r="T537" i="2"/>
  <c r="S537" i="2"/>
  <c r="R537" i="2"/>
  <c r="Q537" i="2"/>
  <c r="P537" i="2"/>
  <c r="O537" i="2"/>
  <c r="Z536" i="2"/>
  <c r="Y536" i="2"/>
  <c r="X536" i="2"/>
  <c r="W536" i="2"/>
  <c r="V536" i="2"/>
  <c r="U536" i="2"/>
  <c r="T536" i="2"/>
  <c r="S536" i="2"/>
  <c r="R536" i="2"/>
  <c r="Q536" i="2"/>
  <c r="P536" i="2"/>
  <c r="O536" i="2"/>
  <c r="Z535" i="2"/>
  <c r="Y535" i="2"/>
  <c r="X535" i="2"/>
  <c r="W535" i="2"/>
  <c r="V535" i="2"/>
  <c r="U535" i="2"/>
  <c r="T535" i="2"/>
  <c r="S535" i="2"/>
  <c r="R535" i="2"/>
  <c r="Q535" i="2"/>
  <c r="P535" i="2"/>
  <c r="O535" i="2"/>
  <c r="Z534" i="2"/>
  <c r="Y534" i="2"/>
  <c r="X534" i="2"/>
  <c r="W534" i="2"/>
  <c r="V534" i="2"/>
  <c r="U534" i="2"/>
  <c r="T534" i="2"/>
  <c r="S534" i="2"/>
  <c r="R534" i="2"/>
  <c r="Q534" i="2"/>
  <c r="P534" i="2"/>
  <c r="O534" i="2"/>
  <c r="Z533" i="2"/>
  <c r="Y533" i="2"/>
  <c r="X533" i="2"/>
  <c r="W533" i="2"/>
  <c r="V533" i="2"/>
  <c r="U533" i="2"/>
  <c r="T533" i="2"/>
  <c r="S533" i="2"/>
  <c r="R533" i="2"/>
  <c r="Q533" i="2"/>
  <c r="P533" i="2"/>
  <c r="O533" i="2"/>
  <c r="Z532" i="2"/>
  <c r="Y532" i="2"/>
  <c r="X532" i="2"/>
  <c r="W532" i="2"/>
  <c r="V532" i="2"/>
  <c r="U532" i="2"/>
  <c r="T532" i="2"/>
  <c r="S532" i="2"/>
  <c r="R532" i="2"/>
  <c r="Q532" i="2"/>
  <c r="P532" i="2"/>
  <c r="O532" i="2"/>
  <c r="Z530" i="2"/>
  <c r="Y530" i="2"/>
  <c r="X530" i="2"/>
  <c r="W530" i="2"/>
  <c r="V530" i="2"/>
  <c r="U530" i="2"/>
  <c r="T530" i="2"/>
  <c r="S530" i="2"/>
  <c r="R530" i="2"/>
  <c r="Q530" i="2"/>
  <c r="P530" i="2"/>
  <c r="O530" i="2"/>
  <c r="Z529" i="2"/>
  <c r="Y529" i="2"/>
  <c r="X529" i="2"/>
  <c r="W529" i="2"/>
  <c r="V529" i="2"/>
  <c r="U529" i="2"/>
  <c r="T529" i="2"/>
  <c r="S529" i="2"/>
  <c r="R529" i="2"/>
  <c r="Q529" i="2"/>
  <c r="P529" i="2"/>
  <c r="O529" i="2"/>
  <c r="Z528" i="2"/>
  <c r="Y528" i="2"/>
  <c r="X528" i="2"/>
  <c r="W528" i="2"/>
  <c r="V528" i="2"/>
  <c r="U528" i="2"/>
  <c r="T528" i="2"/>
  <c r="S528" i="2"/>
  <c r="R528" i="2"/>
  <c r="Q528" i="2"/>
  <c r="P528" i="2"/>
  <c r="O528" i="2"/>
  <c r="Z527" i="2"/>
  <c r="Y527" i="2"/>
  <c r="X527" i="2"/>
  <c r="W527" i="2"/>
  <c r="V527" i="2"/>
  <c r="U527" i="2"/>
  <c r="T527" i="2"/>
  <c r="S527" i="2"/>
  <c r="R527" i="2"/>
  <c r="Q527" i="2"/>
  <c r="P527" i="2"/>
  <c r="O527" i="2"/>
  <c r="Z526" i="2"/>
  <c r="Y526" i="2"/>
  <c r="X526" i="2"/>
  <c r="W526" i="2"/>
  <c r="V526" i="2"/>
  <c r="U526" i="2"/>
  <c r="T526" i="2"/>
  <c r="S526" i="2"/>
  <c r="R526" i="2"/>
  <c r="Q526" i="2"/>
  <c r="P526" i="2"/>
  <c r="O526" i="2"/>
  <c r="Z525" i="2"/>
  <c r="Y525" i="2"/>
  <c r="X525" i="2"/>
  <c r="W525" i="2"/>
  <c r="V525" i="2"/>
  <c r="U525" i="2"/>
  <c r="T525" i="2"/>
  <c r="S525" i="2"/>
  <c r="R525" i="2"/>
  <c r="Q525" i="2"/>
  <c r="P525" i="2"/>
  <c r="O525" i="2"/>
  <c r="Z524" i="2"/>
  <c r="Y524" i="2"/>
  <c r="X524" i="2"/>
  <c r="W524" i="2"/>
  <c r="V524" i="2"/>
  <c r="U524" i="2"/>
  <c r="T524" i="2"/>
  <c r="S524" i="2"/>
  <c r="R524" i="2"/>
  <c r="Q524" i="2"/>
  <c r="P524" i="2"/>
  <c r="O524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Z518" i="2"/>
  <c r="Y518" i="2"/>
  <c r="X518" i="2"/>
  <c r="W518" i="2"/>
  <c r="V518" i="2"/>
  <c r="U518" i="2"/>
  <c r="T518" i="2"/>
  <c r="S518" i="2"/>
  <c r="R518" i="2"/>
  <c r="Q518" i="2"/>
  <c r="P518" i="2"/>
  <c r="O518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Z512" i="2"/>
  <c r="Y512" i="2"/>
  <c r="X512" i="2"/>
  <c r="W512" i="2"/>
  <c r="V512" i="2"/>
  <c r="U512" i="2"/>
  <c r="T512" i="2"/>
  <c r="S512" i="2"/>
  <c r="R512" i="2"/>
  <c r="Q512" i="2"/>
  <c r="P512" i="2"/>
  <c r="O512" i="2"/>
  <c r="Z511" i="2"/>
  <c r="Y511" i="2"/>
  <c r="X511" i="2"/>
  <c r="W511" i="2"/>
  <c r="V511" i="2"/>
  <c r="U511" i="2"/>
  <c r="T511" i="2"/>
  <c r="S511" i="2"/>
  <c r="R511" i="2"/>
  <c r="Q511" i="2"/>
  <c r="P511" i="2"/>
  <c r="O511" i="2"/>
  <c r="Z510" i="2"/>
  <c r="Y510" i="2"/>
  <c r="X510" i="2"/>
  <c r="W510" i="2"/>
  <c r="V510" i="2"/>
  <c r="U510" i="2"/>
  <c r="T510" i="2"/>
  <c r="S510" i="2"/>
  <c r="R510" i="2"/>
  <c r="Q510" i="2"/>
  <c r="P510" i="2"/>
  <c r="O510" i="2"/>
  <c r="Z509" i="2"/>
  <c r="Y509" i="2"/>
  <c r="X509" i="2"/>
  <c r="W509" i="2"/>
  <c r="V509" i="2"/>
  <c r="U509" i="2"/>
  <c r="T509" i="2"/>
  <c r="S509" i="2"/>
  <c r="R509" i="2"/>
  <c r="Q509" i="2"/>
  <c r="P509" i="2"/>
  <c r="O509" i="2"/>
  <c r="Z508" i="2"/>
  <c r="Y508" i="2"/>
  <c r="X508" i="2"/>
  <c r="W508" i="2"/>
  <c r="V508" i="2"/>
  <c r="U508" i="2"/>
  <c r="T508" i="2"/>
  <c r="S508" i="2"/>
  <c r="R508" i="2"/>
  <c r="Q508" i="2"/>
  <c r="P508" i="2"/>
  <c r="O508" i="2"/>
  <c r="Z507" i="2"/>
  <c r="Y507" i="2"/>
  <c r="X507" i="2"/>
  <c r="W507" i="2"/>
  <c r="V507" i="2"/>
  <c r="U507" i="2"/>
  <c r="T507" i="2"/>
  <c r="S507" i="2"/>
  <c r="R507" i="2"/>
  <c r="Q507" i="2"/>
  <c r="P507" i="2"/>
  <c r="O507" i="2"/>
  <c r="Z506" i="2"/>
  <c r="Y506" i="2"/>
  <c r="X506" i="2"/>
  <c r="W506" i="2"/>
  <c r="V506" i="2"/>
  <c r="U506" i="2"/>
  <c r="T506" i="2"/>
  <c r="S506" i="2"/>
  <c r="R506" i="2"/>
  <c r="Q506" i="2"/>
  <c r="P506" i="2"/>
  <c r="O506" i="2"/>
  <c r="Z505" i="2"/>
  <c r="Y505" i="2"/>
  <c r="X505" i="2"/>
  <c r="W505" i="2"/>
  <c r="V505" i="2"/>
  <c r="U505" i="2"/>
  <c r="T505" i="2"/>
  <c r="S505" i="2"/>
  <c r="R505" i="2"/>
  <c r="Q505" i="2"/>
  <c r="P505" i="2"/>
  <c r="O505" i="2"/>
  <c r="Z504" i="2"/>
  <c r="Y504" i="2"/>
  <c r="X504" i="2"/>
  <c r="W504" i="2"/>
  <c r="V504" i="2"/>
  <c r="U504" i="2"/>
  <c r="T504" i="2"/>
  <c r="S504" i="2"/>
  <c r="R504" i="2"/>
  <c r="Q504" i="2"/>
  <c r="P504" i="2"/>
  <c r="Y503" i="2"/>
  <c r="W503" i="2"/>
  <c r="U503" i="2"/>
  <c r="S503" i="2"/>
  <c r="Q503" i="2"/>
  <c r="O503" i="2"/>
  <c r="Z502" i="2"/>
  <c r="Y502" i="2"/>
  <c r="W502" i="2"/>
  <c r="U502" i="2"/>
  <c r="S502" i="2"/>
  <c r="Q502" i="2"/>
  <c r="O502" i="2"/>
  <c r="Z501" i="2"/>
  <c r="X501" i="2"/>
  <c r="V501" i="2"/>
  <c r="T501" i="2"/>
  <c r="R501" i="2"/>
  <c r="P501" i="2"/>
  <c r="X500" i="2"/>
  <c r="U500" i="2"/>
  <c r="S500" i="2"/>
  <c r="Q500" i="2"/>
  <c r="X499" i="2"/>
  <c r="S499" i="2"/>
  <c r="P499" i="2"/>
  <c r="T498" i="2"/>
  <c r="O498" i="2"/>
  <c r="V497" i="2"/>
  <c r="Q497" i="2"/>
  <c r="Z496" i="2"/>
  <c r="T496" i="2"/>
  <c r="P496" i="2"/>
  <c r="Y37" i="2"/>
  <c r="P36" i="2"/>
  <c r="Z34" i="2"/>
  <c r="S34" i="2"/>
  <c r="U33" i="2"/>
  <c r="Q32" i="2"/>
  <c r="U31" i="2"/>
  <c r="Q30" i="2"/>
  <c r="T29" i="2"/>
  <c r="P29" i="2"/>
  <c r="O28" i="2"/>
  <c r="Y26" i="2"/>
  <c r="Q26" i="2"/>
  <c r="Z25" i="2"/>
  <c r="W25" i="2"/>
  <c r="O25" i="2"/>
  <c r="S23" i="2"/>
  <c r="V22" i="2"/>
  <c r="R22" i="2"/>
  <c r="R21" i="2"/>
  <c r="U19" i="2"/>
  <c r="W18" i="2"/>
  <c r="S18" i="2"/>
  <c r="U17" i="2"/>
  <c r="R17" i="2"/>
  <c r="W16" i="2"/>
  <c r="R16" i="2"/>
  <c r="Z15" i="2"/>
  <c r="W15" i="2"/>
  <c r="S15" i="2"/>
  <c r="P15" i="2"/>
  <c r="V14" i="2"/>
  <c r="R14" i="2"/>
  <c r="P13" i="2"/>
  <c r="Y12" i="2"/>
  <c r="Z11" i="2"/>
  <c r="U11" i="2"/>
  <c r="R10" i="2"/>
  <c r="V9" i="2"/>
  <c r="O8" i="2"/>
  <c r="Y7" i="2"/>
  <c r="T7" i="2"/>
  <c r="Q7" i="2"/>
  <c r="Y6" i="2"/>
  <c r="R6" i="2"/>
  <c r="W5" i="2"/>
  <c r="S5" i="2"/>
  <c r="P5" i="2"/>
  <c r="Z4" i="2"/>
  <c r="W4" i="2"/>
  <c r="R4" i="2"/>
  <c r="T3" i="2"/>
  <c r="R842" i="2"/>
  <c r="T841" i="2"/>
  <c r="R840" i="2"/>
  <c r="Y838" i="2"/>
  <c r="S838" i="2"/>
  <c r="V816" i="2"/>
  <c r="X812" i="2"/>
  <c r="X806" i="2"/>
  <c r="P806" i="2"/>
  <c r="Y795" i="2"/>
  <c r="R789" i="2"/>
  <c r="R788" i="2"/>
  <c r="Q495" i="2"/>
  <c r="P495" i="2"/>
  <c r="O495" i="2"/>
  <c r="Z494" i="2"/>
  <c r="Y494" i="2"/>
  <c r="X494" i="2"/>
  <c r="W494" i="2"/>
  <c r="V494" i="2"/>
  <c r="U494" i="2"/>
  <c r="T494" i="2"/>
  <c r="S494" i="2"/>
  <c r="R494" i="2"/>
  <c r="Q494" i="2"/>
  <c r="P494" i="2"/>
  <c r="O494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Z487" i="2"/>
  <c r="Y487" i="2"/>
  <c r="X487" i="2"/>
  <c r="W487" i="2"/>
  <c r="V487" i="2"/>
  <c r="U487" i="2"/>
  <c r="T487" i="2"/>
  <c r="S487" i="2"/>
  <c r="R487" i="2"/>
  <c r="Q487" i="2"/>
  <c r="P487" i="2"/>
  <c r="O487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Z481" i="2"/>
  <c r="Y481" i="2"/>
  <c r="X481" i="2"/>
  <c r="W481" i="2"/>
  <c r="V481" i="2"/>
  <c r="U481" i="2"/>
  <c r="T481" i="2"/>
  <c r="S481" i="2"/>
  <c r="R481" i="2"/>
  <c r="Q481" i="2"/>
  <c r="P481" i="2"/>
  <c r="O481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Z478" i="2"/>
  <c r="Y478" i="2"/>
  <c r="X478" i="2"/>
  <c r="W478" i="2"/>
  <c r="V478" i="2"/>
  <c r="U478" i="2"/>
  <c r="T478" i="2"/>
  <c r="S478" i="2"/>
  <c r="R478" i="2"/>
  <c r="Q478" i="2"/>
  <c r="P478" i="2"/>
  <c r="O478" i="2"/>
  <c r="Y477" i="2"/>
  <c r="W477" i="2"/>
  <c r="U477" i="2"/>
  <c r="T477" i="2"/>
  <c r="R477" i="2"/>
  <c r="P477" i="2"/>
  <c r="Z476" i="2"/>
  <c r="X476" i="2"/>
  <c r="V476" i="2"/>
  <c r="T476" i="2"/>
  <c r="R476" i="2"/>
  <c r="P476" i="2"/>
  <c r="X475" i="2"/>
  <c r="V475" i="2"/>
  <c r="T475" i="2"/>
  <c r="R475" i="2"/>
  <c r="P475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Z447" i="2"/>
  <c r="Y447" i="2"/>
  <c r="X447" i="2"/>
  <c r="W447" i="2"/>
  <c r="V447" i="2"/>
  <c r="U447" i="2"/>
  <c r="T447" i="2"/>
  <c r="S447" i="2"/>
  <c r="R447" i="2"/>
  <c r="Q447" i="2"/>
  <c r="P447" i="2"/>
  <c r="O447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Z444" i="2"/>
  <c r="Y444" i="2"/>
  <c r="X444" i="2"/>
  <c r="W444" i="2"/>
  <c r="V444" i="2"/>
  <c r="U444" i="2"/>
  <c r="T444" i="2"/>
  <c r="S444" i="2"/>
  <c r="R444" i="2"/>
  <c r="Q444" i="2"/>
  <c r="P444" i="2"/>
  <c r="O444" i="2"/>
  <c r="Z443" i="2"/>
  <c r="Y443" i="2"/>
  <c r="X443" i="2"/>
  <c r="W443" i="2"/>
  <c r="V443" i="2"/>
  <c r="U443" i="2"/>
  <c r="T443" i="2"/>
  <c r="S443" i="2"/>
  <c r="R443" i="2"/>
  <c r="Q443" i="2"/>
  <c r="P443" i="2"/>
  <c r="O443" i="2"/>
  <c r="Z442" i="2"/>
  <c r="Y442" i="2"/>
  <c r="X442" i="2"/>
  <c r="W442" i="2"/>
  <c r="V442" i="2"/>
  <c r="U442" i="2"/>
  <c r="T442" i="2"/>
  <c r="S442" i="2"/>
  <c r="R442" i="2"/>
  <c r="Q442" i="2"/>
  <c r="P442" i="2"/>
  <c r="O442" i="2"/>
  <c r="Z441" i="2"/>
  <c r="Y441" i="2"/>
  <c r="X441" i="2"/>
  <c r="W441" i="2"/>
  <c r="V441" i="2"/>
  <c r="U441" i="2"/>
  <c r="T441" i="2"/>
  <c r="S441" i="2"/>
  <c r="R441" i="2"/>
  <c r="Q441" i="2"/>
  <c r="P441" i="2"/>
  <c r="O441" i="2"/>
  <c r="Z440" i="2"/>
  <c r="Y440" i="2"/>
  <c r="X440" i="2"/>
  <c r="W440" i="2"/>
  <c r="V440" i="2"/>
  <c r="U440" i="2"/>
  <c r="T440" i="2"/>
  <c r="S440" i="2"/>
  <c r="R440" i="2"/>
  <c r="Q440" i="2"/>
  <c r="P440" i="2"/>
  <c r="O440" i="2"/>
  <c r="Z439" i="2"/>
  <c r="Y439" i="2"/>
  <c r="X439" i="2"/>
  <c r="W439" i="2"/>
  <c r="V439" i="2"/>
  <c r="U439" i="2"/>
  <c r="T439" i="2"/>
  <c r="S439" i="2"/>
  <c r="R439" i="2"/>
  <c r="Q439" i="2"/>
  <c r="P439" i="2"/>
  <c r="O439" i="2"/>
  <c r="Z438" i="2"/>
  <c r="Y438" i="2"/>
  <c r="X438" i="2"/>
  <c r="W438" i="2"/>
  <c r="V438" i="2"/>
  <c r="U438" i="2"/>
  <c r="T438" i="2"/>
  <c r="S438" i="2"/>
  <c r="R438" i="2"/>
  <c r="Q438" i="2"/>
  <c r="P438" i="2"/>
  <c r="O438" i="2"/>
  <c r="Z437" i="2"/>
  <c r="Y437" i="2"/>
  <c r="X437" i="2"/>
  <c r="W437" i="2"/>
  <c r="V437" i="2"/>
  <c r="U437" i="2"/>
  <c r="T437" i="2"/>
  <c r="S437" i="2"/>
  <c r="R437" i="2"/>
  <c r="Q437" i="2"/>
  <c r="P437" i="2"/>
  <c r="O437" i="2"/>
  <c r="Z436" i="2"/>
  <c r="Y436" i="2"/>
  <c r="X436" i="2"/>
  <c r="W436" i="2"/>
  <c r="V436" i="2"/>
  <c r="U436" i="2"/>
  <c r="T436" i="2"/>
  <c r="S436" i="2"/>
  <c r="R436" i="2"/>
  <c r="Q436" i="2"/>
  <c r="P436" i="2"/>
  <c r="O436" i="2"/>
  <c r="Z435" i="2"/>
  <c r="Y435" i="2"/>
  <c r="X435" i="2"/>
  <c r="W435" i="2"/>
  <c r="V435" i="2"/>
  <c r="U435" i="2"/>
  <c r="T435" i="2"/>
  <c r="S435" i="2"/>
  <c r="R435" i="2"/>
  <c r="Q435" i="2"/>
  <c r="P435" i="2"/>
  <c r="O435" i="2"/>
  <c r="Z434" i="2"/>
  <c r="Y434" i="2"/>
  <c r="X434" i="2"/>
  <c r="W434" i="2"/>
  <c r="V434" i="2"/>
  <c r="U434" i="2"/>
  <c r="T434" i="2"/>
  <c r="S434" i="2"/>
  <c r="R434" i="2"/>
  <c r="Q434" i="2"/>
  <c r="P434" i="2"/>
  <c r="O434" i="2"/>
  <c r="Z433" i="2"/>
  <c r="Y433" i="2"/>
  <c r="X433" i="2"/>
  <c r="W433" i="2"/>
  <c r="V433" i="2"/>
  <c r="U433" i="2"/>
  <c r="T433" i="2"/>
  <c r="S433" i="2"/>
  <c r="R433" i="2"/>
  <c r="Q433" i="2"/>
  <c r="P433" i="2"/>
  <c r="O433" i="2"/>
  <c r="Z432" i="2"/>
  <c r="Y432" i="2"/>
  <c r="X432" i="2"/>
  <c r="W432" i="2"/>
  <c r="V432" i="2"/>
  <c r="U432" i="2"/>
  <c r="T432" i="2"/>
  <c r="S432" i="2"/>
  <c r="R432" i="2"/>
  <c r="Q432" i="2"/>
  <c r="P432" i="2"/>
  <c r="O432" i="2"/>
  <c r="Z431" i="2"/>
  <c r="Y431" i="2"/>
  <c r="X431" i="2"/>
  <c r="W431" i="2"/>
  <c r="V431" i="2"/>
  <c r="U431" i="2"/>
  <c r="T431" i="2"/>
  <c r="S431" i="2"/>
  <c r="R431" i="2"/>
  <c r="Q431" i="2"/>
  <c r="P431" i="2"/>
  <c r="O431" i="2"/>
  <c r="Z430" i="2"/>
  <c r="Y430" i="2"/>
  <c r="X430" i="2"/>
  <c r="W430" i="2"/>
  <c r="V430" i="2"/>
  <c r="U430" i="2"/>
  <c r="T430" i="2"/>
  <c r="S430" i="2"/>
  <c r="R430" i="2"/>
  <c r="Q430" i="2"/>
  <c r="P430" i="2"/>
  <c r="O430" i="2"/>
  <c r="Z429" i="2"/>
  <c r="Y429" i="2"/>
  <c r="X429" i="2"/>
  <c r="W429" i="2"/>
  <c r="V429" i="2"/>
  <c r="U429" i="2"/>
  <c r="T429" i="2"/>
  <c r="S429" i="2"/>
  <c r="R429" i="2"/>
  <c r="Q429" i="2"/>
  <c r="P429" i="2"/>
  <c r="O429" i="2"/>
  <c r="Z428" i="2"/>
  <c r="Y428" i="2"/>
  <c r="X428" i="2"/>
  <c r="W428" i="2"/>
  <c r="V428" i="2"/>
  <c r="U428" i="2"/>
  <c r="T428" i="2"/>
  <c r="S428" i="2"/>
  <c r="R428" i="2"/>
  <c r="Q428" i="2"/>
  <c r="P428" i="2"/>
  <c r="O428" i="2"/>
  <c r="Z427" i="2"/>
  <c r="Y427" i="2"/>
  <c r="X427" i="2"/>
  <c r="W427" i="2"/>
  <c r="V427" i="2"/>
  <c r="U427" i="2"/>
  <c r="T427" i="2"/>
  <c r="S427" i="2"/>
  <c r="R427" i="2"/>
  <c r="Q427" i="2"/>
  <c r="P427" i="2"/>
  <c r="O427" i="2"/>
  <c r="Z426" i="2"/>
  <c r="Y426" i="2"/>
  <c r="X426" i="2"/>
  <c r="W426" i="2"/>
  <c r="V426" i="2"/>
  <c r="U426" i="2"/>
  <c r="T426" i="2"/>
  <c r="S426" i="2"/>
  <c r="R426" i="2"/>
  <c r="Q426" i="2"/>
  <c r="P426" i="2"/>
  <c r="O426" i="2"/>
  <c r="Z425" i="2"/>
  <c r="Y425" i="2"/>
  <c r="X425" i="2"/>
  <c r="W425" i="2"/>
  <c r="V425" i="2"/>
  <c r="U425" i="2"/>
  <c r="T425" i="2"/>
  <c r="S425" i="2"/>
  <c r="R425" i="2"/>
  <c r="Q425" i="2"/>
  <c r="P425" i="2"/>
  <c r="O425" i="2"/>
  <c r="Z424" i="2"/>
  <c r="Y424" i="2"/>
  <c r="X424" i="2"/>
  <c r="W424" i="2"/>
  <c r="V424" i="2"/>
  <c r="U424" i="2"/>
  <c r="T424" i="2"/>
  <c r="S424" i="2"/>
  <c r="R424" i="2"/>
  <c r="Q424" i="2"/>
  <c r="P424" i="2"/>
  <c r="O424" i="2"/>
  <c r="Z423" i="2"/>
  <c r="Y423" i="2"/>
  <c r="X423" i="2"/>
  <c r="W423" i="2"/>
  <c r="V423" i="2"/>
  <c r="U423" i="2"/>
  <c r="T423" i="2"/>
  <c r="S423" i="2"/>
  <c r="R423" i="2"/>
  <c r="Q423" i="2"/>
  <c r="P423" i="2"/>
  <c r="O423" i="2"/>
  <c r="Z422" i="2"/>
  <c r="Y422" i="2"/>
  <c r="X422" i="2"/>
  <c r="W422" i="2"/>
  <c r="V422" i="2"/>
  <c r="U422" i="2"/>
  <c r="T422" i="2"/>
  <c r="S422" i="2"/>
  <c r="R422" i="2"/>
  <c r="Q422" i="2"/>
  <c r="P422" i="2"/>
  <c r="O422" i="2"/>
  <c r="Z421" i="2"/>
  <c r="Y421" i="2"/>
  <c r="X421" i="2"/>
  <c r="W421" i="2"/>
  <c r="V421" i="2"/>
  <c r="U421" i="2"/>
  <c r="T421" i="2"/>
  <c r="S421" i="2"/>
  <c r="R421" i="2"/>
  <c r="Q421" i="2"/>
  <c r="P421" i="2"/>
  <c r="O421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Z419" i="2"/>
  <c r="Y419" i="2"/>
  <c r="X419" i="2"/>
  <c r="W419" i="2"/>
  <c r="V419" i="2"/>
  <c r="U419" i="2"/>
  <c r="T419" i="2"/>
  <c r="S419" i="2"/>
  <c r="R419" i="2"/>
  <c r="Q419" i="2"/>
  <c r="P419" i="2"/>
  <c r="O419" i="2"/>
  <c r="Z418" i="2"/>
  <c r="Y418" i="2"/>
  <c r="X418" i="2"/>
  <c r="W418" i="2"/>
  <c r="V418" i="2"/>
  <c r="U418" i="2"/>
  <c r="T418" i="2"/>
  <c r="S418" i="2"/>
  <c r="R418" i="2"/>
  <c r="Q418" i="2"/>
  <c r="P418" i="2"/>
  <c r="O418" i="2"/>
  <c r="Z417" i="2"/>
  <c r="Y417" i="2"/>
  <c r="X417" i="2"/>
  <c r="W417" i="2"/>
  <c r="V417" i="2"/>
  <c r="U417" i="2"/>
  <c r="T417" i="2"/>
  <c r="S417" i="2"/>
  <c r="R417" i="2"/>
  <c r="Q417" i="2"/>
  <c r="P417" i="2"/>
  <c r="O417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U185" i="2"/>
  <c r="R185" i="2"/>
  <c r="O185" i="2"/>
  <c r="X184" i="2"/>
  <c r="V184" i="2"/>
  <c r="T184" i="2"/>
  <c r="R184" i="2"/>
  <c r="O184" i="2"/>
  <c r="Y183" i="2"/>
  <c r="W183" i="2"/>
  <c r="S183" i="2"/>
  <c r="Q183" i="2"/>
  <c r="P39" i="2"/>
  <c r="R37" i="2"/>
  <c r="Y36" i="2"/>
  <c r="U36" i="2"/>
  <c r="S36" i="2"/>
  <c r="Z35" i="2"/>
  <c r="O35" i="2"/>
  <c r="U34" i="2"/>
  <c r="O34" i="2"/>
  <c r="T32" i="2"/>
  <c r="P32" i="2"/>
  <c r="Y31" i="2"/>
  <c r="U30" i="2"/>
  <c r="O30" i="2"/>
  <c r="Y29" i="2"/>
  <c r="R29" i="2"/>
  <c r="Q28" i="2"/>
  <c r="Z26" i="2"/>
  <c r="U26" i="2"/>
  <c r="U25" i="2"/>
  <c r="R25" i="2"/>
  <c r="X24" i="2"/>
  <c r="V24" i="2"/>
  <c r="R24" i="2"/>
  <c r="Y22" i="2"/>
  <c r="P22" i="2"/>
  <c r="Z21" i="2"/>
  <c r="P19" i="2"/>
  <c r="O18" i="2"/>
  <c r="W17" i="2"/>
  <c r="X15" i="2"/>
  <c r="W14" i="2"/>
  <c r="U13" i="2"/>
  <c r="V12" i="2"/>
  <c r="P12" i="2"/>
  <c r="X11" i="2"/>
  <c r="Q11" i="2"/>
  <c r="X10" i="2"/>
  <c r="U10" i="2"/>
  <c r="O9" i="2"/>
  <c r="Y8" i="2"/>
  <c r="U8" i="2"/>
  <c r="S8" i="2"/>
  <c r="Q6" i="2"/>
  <c r="R5" i="2"/>
  <c r="V4" i="2"/>
  <c r="W3" i="2"/>
  <c r="O3" i="2"/>
  <c r="V838" i="2"/>
  <c r="O838" i="2"/>
  <c r="R816" i="2"/>
  <c r="V801" i="2"/>
  <c r="Q795" i="2"/>
  <c r="X788" i="2"/>
  <c r="X785" i="2"/>
  <c r="S412" i="2"/>
  <c r="R412" i="2"/>
  <c r="Q412" i="2"/>
  <c r="P412" i="2"/>
  <c r="O412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Z387" i="2"/>
  <c r="Y387" i="2"/>
  <c r="X387" i="2"/>
  <c r="W387" i="2"/>
  <c r="V387" i="2"/>
  <c r="U387" i="2"/>
  <c r="T387" i="2"/>
  <c r="S387" i="2"/>
  <c r="R387" i="2"/>
  <c r="Q387" i="2"/>
  <c r="P387" i="2"/>
  <c r="O387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Z370" i="2"/>
  <c r="Y370" i="2"/>
  <c r="X370" i="2"/>
  <c r="W370" i="2"/>
  <c r="V370" i="2"/>
  <c r="U370" i="2"/>
  <c r="T370" i="2"/>
  <c r="S370" i="2"/>
  <c r="R370" i="2"/>
  <c r="Q370" i="2"/>
  <c r="P370" i="2"/>
  <c r="O370" i="2"/>
  <c r="Z369" i="2"/>
  <c r="Y369" i="2"/>
  <c r="X369" i="2"/>
  <c r="W369" i="2"/>
  <c r="V369" i="2"/>
  <c r="U369" i="2"/>
  <c r="T369" i="2"/>
  <c r="S369" i="2"/>
  <c r="R369" i="2"/>
  <c r="Q369" i="2"/>
  <c r="P369" i="2"/>
  <c r="O369" i="2"/>
  <c r="Z368" i="2"/>
  <c r="Y368" i="2"/>
  <c r="X368" i="2"/>
  <c r="W368" i="2"/>
  <c r="V368" i="2"/>
  <c r="U368" i="2"/>
  <c r="T368" i="2"/>
  <c r="S368" i="2"/>
  <c r="R368" i="2"/>
  <c r="Q368" i="2"/>
  <c r="P368" i="2"/>
  <c r="O368" i="2"/>
  <c r="Z367" i="2"/>
  <c r="Y367" i="2"/>
  <c r="X367" i="2"/>
  <c r="W367" i="2"/>
  <c r="V367" i="2"/>
  <c r="U367" i="2"/>
  <c r="T367" i="2"/>
  <c r="S367" i="2"/>
  <c r="R367" i="2"/>
  <c r="Q367" i="2"/>
  <c r="P367" i="2"/>
  <c r="O367" i="2"/>
  <c r="Z366" i="2"/>
  <c r="Y366" i="2"/>
  <c r="X366" i="2"/>
  <c r="W366" i="2"/>
  <c r="V366" i="2"/>
  <c r="U366" i="2"/>
  <c r="T366" i="2"/>
  <c r="S366" i="2"/>
  <c r="R366" i="2"/>
  <c r="Q366" i="2"/>
  <c r="P366" i="2"/>
  <c r="O366" i="2"/>
  <c r="Z365" i="2"/>
  <c r="Y365" i="2"/>
  <c r="X365" i="2"/>
  <c r="W365" i="2"/>
  <c r="V365" i="2"/>
  <c r="U365" i="2"/>
  <c r="T365" i="2"/>
  <c r="S365" i="2"/>
  <c r="R365" i="2"/>
  <c r="Q365" i="2"/>
  <c r="P365" i="2"/>
  <c r="O365" i="2"/>
  <c r="Z364" i="2"/>
  <c r="Y364" i="2"/>
  <c r="X364" i="2"/>
  <c r="W364" i="2"/>
  <c r="V364" i="2"/>
  <c r="U364" i="2"/>
  <c r="T364" i="2"/>
  <c r="S364" i="2"/>
  <c r="R364" i="2"/>
  <c r="Q364" i="2"/>
  <c r="P364" i="2"/>
  <c r="O364" i="2"/>
  <c r="Z363" i="2"/>
  <c r="Y363" i="2"/>
  <c r="X363" i="2"/>
  <c r="W363" i="2"/>
  <c r="V363" i="2"/>
  <c r="U363" i="2"/>
  <c r="T363" i="2"/>
  <c r="S363" i="2"/>
  <c r="R363" i="2"/>
  <c r="Q363" i="2"/>
  <c r="P363" i="2"/>
  <c r="O363" i="2"/>
  <c r="Z362" i="2"/>
  <c r="Y362" i="2"/>
  <c r="X362" i="2"/>
  <c r="W362" i="2"/>
  <c r="V362" i="2"/>
  <c r="U362" i="2"/>
  <c r="T362" i="2"/>
  <c r="S362" i="2"/>
  <c r="R362" i="2"/>
  <c r="Q362" i="2"/>
  <c r="P362" i="2"/>
  <c r="O362" i="2"/>
  <c r="Z361" i="2"/>
  <c r="Y361" i="2"/>
  <c r="X361" i="2"/>
  <c r="W361" i="2"/>
  <c r="V361" i="2"/>
  <c r="U361" i="2"/>
  <c r="T361" i="2"/>
  <c r="S361" i="2"/>
  <c r="R361" i="2"/>
  <c r="Q361" i="2"/>
  <c r="P361" i="2"/>
  <c r="O361" i="2"/>
  <c r="Z360" i="2"/>
  <c r="Y360" i="2"/>
  <c r="X360" i="2"/>
  <c r="W360" i="2"/>
  <c r="V360" i="2"/>
  <c r="U360" i="2"/>
  <c r="T360" i="2"/>
  <c r="S360" i="2"/>
  <c r="R360" i="2"/>
  <c r="Q360" i="2"/>
  <c r="P360" i="2"/>
  <c r="O360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O273" i="2"/>
  <c r="Z272" i="2"/>
  <c r="X272" i="2"/>
  <c r="V272" i="2"/>
  <c r="T272" i="2"/>
  <c r="R272" i="2"/>
  <c r="P272" i="2"/>
  <c r="Y271" i="2"/>
  <c r="W271" i="2"/>
  <c r="U271" i="2"/>
  <c r="S271" i="2"/>
  <c r="Q271" i="2"/>
  <c r="O271" i="2"/>
  <c r="X185" i="2"/>
  <c r="T185" i="2"/>
  <c r="Q185" i="2"/>
  <c r="T183" i="2"/>
  <c r="P183" i="2"/>
  <c r="T39" i="2"/>
  <c r="X38" i="2"/>
  <c r="U38" i="2"/>
  <c r="O38" i="2"/>
  <c r="V37" i="2"/>
  <c r="V36" i="2"/>
  <c r="T35" i="2"/>
  <c r="T34" i="2"/>
  <c r="T33" i="2"/>
  <c r="R31" i="2"/>
  <c r="V30" i="2"/>
  <c r="S29" i="2"/>
  <c r="O29" i="2"/>
  <c r="X28" i="2"/>
  <c r="P24" i="2"/>
  <c r="P23" i="2"/>
  <c r="Z22" i="2"/>
  <c r="W21" i="2"/>
  <c r="Q21" i="2"/>
  <c r="P20" i="2"/>
  <c r="T19" i="2"/>
  <c r="Q19" i="2"/>
  <c r="Y18" i="2"/>
  <c r="R18" i="2"/>
  <c r="S16" i="2"/>
  <c r="P16" i="2"/>
  <c r="R15" i="2"/>
  <c r="X14" i="2"/>
  <c r="U14" i="2"/>
  <c r="R12" i="2"/>
  <c r="V11" i="2"/>
  <c r="Z9" i="2"/>
  <c r="X9" i="2"/>
  <c r="X8" i="2"/>
  <c r="U7" i="2"/>
  <c r="X6" i="2"/>
  <c r="X4" i="2"/>
  <c r="Q4" i="2"/>
  <c r="U3" i="2"/>
  <c r="X840" i="2"/>
  <c r="P816" i="2"/>
  <c r="T813" i="2"/>
  <c r="S795" i="2"/>
  <c r="V794" i="2"/>
  <c r="T789" i="2"/>
  <c r="V785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Z338" i="2"/>
  <c r="Y338" i="2"/>
  <c r="X338" i="2"/>
  <c r="W338" i="2"/>
  <c r="V338" i="2"/>
  <c r="U338" i="2"/>
  <c r="T338" i="2"/>
  <c r="S338" i="2"/>
  <c r="R338" i="2"/>
  <c r="Q338" i="2"/>
  <c r="P338" i="2"/>
  <c r="O338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Z336" i="2"/>
  <c r="Y336" i="2"/>
  <c r="X336" i="2"/>
  <c r="W336" i="2"/>
  <c r="V336" i="2"/>
  <c r="U336" i="2"/>
  <c r="T336" i="2"/>
  <c r="S336" i="2"/>
  <c r="R336" i="2"/>
  <c r="Q336" i="2"/>
  <c r="P336" i="2"/>
  <c r="O336" i="2"/>
  <c r="Z335" i="2"/>
  <c r="Y335" i="2"/>
  <c r="X335" i="2"/>
  <c r="W335" i="2"/>
  <c r="V335" i="2"/>
  <c r="U335" i="2"/>
  <c r="T335" i="2"/>
  <c r="S335" i="2"/>
  <c r="R335" i="2"/>
  <c r="Q335" i="2"/>
  <c r="P335" i="2"/>
  <c r="O335" i="2"/>
  <c r="Z334" i="2"/>
  <c r="Y334" i="2"/>
  <c r="X334" i="2"/>
  <c r="W334" i="2"/>
  <c r="V334" i="2"/>
  <c r="U334" i="2"/>
  <c r="T334" i="2"/>
  <c r="S334" i="2"/>
  <c r="R334" i="2"/>
  <c r="Q334" i="2"/>
  <c r="P334" i="2"/>
  <c r="O334" i="2"/>
  <c r="Z333" i="2"/>
  <c r="Y333" i="2"/>
  <c r="X333" i="2"/>
  <c r="W333" i="2"/>
  <c r="V333" i="2"/>
  <c r="U333" i="2"/>
  <c r="T333" i="2"/>
  <c r="S333" i="2"/>
  <c r="R333" i="2"/>
  <c r="Q333" i="2"/>
  <c r="P333" i="2"/>
  <c r="O333" i="2"/>
  <c r="Z332" i="2"/>
  <c r="Y332" i="2"/>
  <c r="X332" i="2"/>
  <c r="W332" i="2"/>
  <c r="V332" i="2"/>
  <c r="U332" i="2"/>
  <c r="T332" i="2"/>
  <c r="S332" i="2"/>
  <c r="R332" i="2"/>
  <c r="Q332" i="2"/>
  <c r="P332" i="2"/>
  <c r="O332" i="2"/>
  <c r="Z331" i="2"/>
  <c r="Y331" i="2"/>
  <c r="X331" i="2"/>
  <c r="W331" i="2"/>
  <c r="V331" i="2"/>
  <c r="U331" i="2"/>
  <c r="T331" i="2"/>
  <c r="S331" i="2"/>
  <c r="R331" i="2"/>
  <c r="Q331" i="2"/>
  <c r="P331" i="2"/>
  <c r="O331" i="2"/>
  <c r="Z330" i="2"/>
  <c r="Y330" i="2"/>
  <c r="X330" i="2"/>
  <c r="W330" i="2"/>
  <c r="V330" i="2"/>
  <c r="U330" i="2"/>
  <c r="T330" i="2"/>
  <c r="S330" i="2"/>
  <c r="R330" i="2"/>
  <c r="Q330" i="2"/>
  <c r="P330" i="2"/>
  <c r="O330" i="2"/>
  <c r="Z329" i="2"/>
  <c r="Y329" i="2"/>
  <c r="X329" i="2"/>
  <c r="W329" i="2"/>
  <c r="V329" i="2"/>
  <c r="U329" i="2"/>
  <c r="T329" i="2"/>
  <c r="S329" i="2"/>
  <c r="R329" i="2"/>
  <c r="Q329" i="2"/>
  <c r="P329" i="2"/>
  <c r="O329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Z307" i="2"/>
  <c r="Y307" i="2"/>
  <c r="X307" i="2"/>
  <c r="W307" i="2"/>
  <c r="V307" i="2"/>
  <c r="U307" i="2"/>
  <c r="T307" i="2"/>
  <c r="S307" i="2"/>
  <c r="R307" i="2"/>
  <c r="Q307" i="2"/>
  <c r="P307" i="2"/>
  <c r="O307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P291" i="2"/>
  <c r="O291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Z289" i="2"/>
  <c r="Y289" i="2"/>
  <c r="X289" i="2"/>
  <c r="W289" i="2"/>
  <c r="V289" i="2"/>
  <c r="U289" i="2"/>
  <c r="T289" i="2"/>
  <c r="S289" i="2"/>
  <c r="R289" i="2"/>
  <c r="Q289" i="2"/>
  <c r="P289" i="2"/>
  <c r="O289" i="2"/>
  <c r="Z288" i="2"/>
  <c r="Y288" i="2"/>
  <c r="X288" i="2"/>
  <c r="W288" i="2"/>
  <c r="V288" i="2"/>
  <c r="U288" i="2"/>
  <c r="T288" i="2"/>
  <c r="S288" i="2"/>
  <c r="R288" i="2"/>
  <c r="Q288" i="2"/>
  <c r="P288" i="2"/>
  <c r="O288" i="2"/>
  <c r="Z287" i="2"/>
  <c r="Y287" i="2"/>
  <c r="X287" i="2"/>
  <c r="W287" i="2"/>
  <c r="V287" i="2"/>
  <c r="U287" i="2"/>
  <c r="T287" i="2"/>
  <c r="S287" i="2"/>
  <c r="R287" i="2"/>
  <c r="Q287" i="2"/>
  <c r="P287" i="2"/>
  <c r="O287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Z285" i="2"/>
  <c r="Y285" i="2"/>
  <c r="X285" i="2"/>
  <c r="W285" i="2"/>
  <c r="V285" i="2"/>
  <c r="U285" i="2"/>
  <c r="T285" i="2"/>
  <c r="S285" i="2"/>
  <c r="R285" i="2"/>
  <c r="Q285" i="2"/>
  <c r="P285" i="2"/>
  <c r="O285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Z283" i="2"/>
  <c r="Y283" i="2"/>
  <c r="X283" i="2"/>
  <c r="W283" i="2"/>
  <c r="V283" i="2"/>
  <c r="U283" i="2"/>
  <c r="T283" i="2"/>
  <c r="S283" i="2"/>
  <c r="R283" i="2"/>
  <c r="Q283" i="2"/>
  <c r="P283" i="2"/>
  <c r="O283" i="2"/>
  <c r="Z282" i="2"/>
  <c r="Y282" i="2"/>
  <c r="X282" i="2"/>
  <c r="W282" i="2"/>
  <c r="V282" i="2"/>
  <c r="U282" i="2"/>
  <c r="T282" i="2"/>
  <c r="S282" i="2"/>
  <c r="R282" i="2"/>
  <c r="Q282" i="2"/>
  <c r="P282" i="2"/>
  <c r="O282" i="2"/>
  <c r="Z281" i="2"/>
  <c r="Y281" i="2"/>
  <c r="X281" i="2"/>
  <c r="W281" i="2"/>
  <c r="V281" i="2"/>
  <c r="U281" i="2"/>
  <c r="T281" i="2"/>
  <c r="S281" i="2"/>
  <c r="R281" i="2"/>
  <c r="Q281" i="2"/>
  <c r="P281" i="2"/>
  <c r="O281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Z279" i="2"/>
  <c r="Y279" i="2"/>
  <c r="X279" i="2"/>
  <c r="W279" i="2"/>
  <c r="V279" i="2"/>
  <c r="U279" i="2"/>
  <c r="T279" i="2"/>
  <c r="S279" i="2"/>
  <c r="R279" i="2"/>
  <c r="Q279" i="2"/>
  <c r="P279" i="2"/>
  <c r="O279" i="2"/>
  <c r="Z278" i="2"/>
  <c r="Y278" i="2"/>
  <c r="X278" i="2"/>
  <c r="W278" i="2"/>
  <c r="V278" i="2"/>
  <c r="U278" i="2"/>
  <c r="T278" i="2"/>
  <c r="S278" i="2"/>
  <c r="R278" i="2"/>
  <c r="Q278" i="2"/>
  <c r="P278" i="2"/>
  <c r="O278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Z273" i="2"/>
  <c r="Y273" i="2"/>
  <c r="X273" i="2"/>
  <c r="W273" i="2"/>
  <c r="V273" i="2"/>
  <c r="U273" i="2"/>
  <c r="T273" i="2"/>
  <c r="S273" i="2"/>
  <c r="R273" i="2"/>
  <c r="Q273" i="2"/>
  <c r="P273" i="2"/>
  <c r="Y272" i="2"/>
  <c r="W272" i="2"/>
  <c r="U272" i="2"/>
  <c r="S272" i="2"/>
  <c r="Q272" i="2"/>
  <c r="O272" i="2"/>
  <c r="Z271" i="2"/>
  <c r="X271" i="2"/>
  <c r="V271" i="2"/>
  <c r="T271" i="2"/>
  <c r="R271" i="2"/>
  <c r="P271" i="2"/>
  <c r="V185" i="2"/>
  <c r="P185" i="2"/>
  <c r="Y184" i="2"/>
  <c r="U184" i="2"/>
  <c r="S184" i="2"/>
  <c r="P184" i="2"/>
  <c r="Z183" i="2"/>
  <c r="V183" i="2"/>
  <c r="O39" i="2"/>
  <c r="U37" i="2"/>
  <c r="O37" i="2"/>
  <c r="Z36" i="2"/>
  <c r="V35" i="2"/>
  <c r="W33" i="2"/>
  <c r="Q33" i="2"/>
  <c r="Y32" i="2"/>
  <c r="S32" i="2"/>
  <c r="Z31" i="2"/>
  <c r="W31" i="2"/>
  <c r="X30" i="2"/>
  <c r="S28" i="2"/>
  <c r="W27" i="2"/>
  <c r="Q27" i="2"/>
  <c r="O27" i="2"/>
  <c r="X26" i="2"/>
  <c r="R26" i="2"/>
  <c r="S24" i="2"/>
  <c r="O24" i="2"/>
  <c r="W23" i="2"/>
  <c r="Q23" i="2"/>
  <c r="Q22" i="2"/>
  <c r="O22" i="2"/>
  <c r="S21" i="2"/>
  <c r="T20" i="2"/>
  <c r="O19" i="2"/>
  <c r="Y17" i="2"/>
  <c r="P17" i="2"/>
  <c r="X16" i="2"/>
  <c r="Y15" i="2"/>
  <c r="Q15" i="2"/>
  <c r="S12" i="2"/>
  <c r="Z10" i="2"/>
  <c r="V10" i="2"/>
  <c r="P10" i="2"/>
  <c r="Z8" i="2"/>
  <c r="U5" i="2"/>
  <c r="Q5" i="2"/>
  <c r="O5" i="2"/>
  <c r="R3" i="2"/>
  <c r="X842" i="2"/>
  <c r="P842" i="2"/>
  <c r="R841" i="2"/>
  <c r="T840" i="2"/>
  <c r="W838" i="2"/>
  <c r="R838" i="2"/>
  <c r="X816" i="2"/>
  <c r="U808" i="2"/>
  <c r="T806" i="2"/>
  <c r="R798" i="2"/>
  <c r="U795" i="2"/>
  <c r="P788" i="2"/>
  <c r="V270" i="2"/>
  <c r="U270" i="2"/>
  <c r="T270" i="2"/>
  <c r="S270" i="2"/>
  <c r="R270" i="2"/>
  <c r="Q270" i="2"/>
  <c r="P270" i="2"/>
  <c r="O270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Z262" i="2"/>
  <c r="Y262" i="2"/>
  <c r="X262" i="2"/>
  <c r="W262" i="2"/>
  <c r="V262" i="2"/>
  <c r="U262" i="2"/>
  <c r="T262" i="2"/>
  <c r="S262" i="2"/>
  <c r="R262" i="2"/>
  <c r="Q262" i="2"/>
  <c r="P262" i="2"/>
  <c r="O262" i="2"/>
  <c r="Z261" i="2"/>
  <c r="Y261" i="2"/>
  <c r="X261" i="2"/>
  <c r="W261" i="2"/>
  <c r="V261" i="2"/>
  <c r="U261" i="2"/>
  <c r="T261" i="2"/>
  <c r="S261" i="2"/>
  <c r="R261" i="2"/>
  <c r="Q261" i="2"/>
  <c r="P261" i="2"/>
  <c r="O261" i="2"/>
  <c r="Z260" i="2"/>
  <c r="Y260" i="2"/>
  <c r="X260" i="2"/>
  <c r="W260" i="2"/>
  <c r="V260" i="2"/>
  <c r="U260" i="2"/>
  <c r="T260" i="2"/>
  <c r="S260" i="2"/>
  <c r="R260" i="2"/>
  <c r="Q260" i="2"/>
  <c r="P260" i="2"/>
  <c r="O260" i="2"/>
  <c r="Z259" i="2"/>
  <c r="Y259" i="2"/>
  <c r="X259" i="2"/>
  <c r="W259" i="2"/>
  <c r="V259" i="2"/>
  <c r="U259" i="2"/>
  <c r="T259" i="2"/>
  <c r="S259" i="2"/>
  <c r="R259" i="2"/>
  <c r="Q259" i="2"/>
  <c r="P259" i="2"/>
  <c r="O259" i="2"/>
  <c r="Z258" i="2"/>
  <c r="Y258" i="2"/>
  <c r="X258" i="2"/>
  <c r="W258" i="2"/>
  <c r="V258" i="2"/>
  <c r="U258" i="2"/>
  <c r="T258" i="2"/>
  <c r="S258" i="2"/>
  <c r="R258" i="2"/>
  <c r="Q258" i="2"/>
  <c r="P258" i="2"/>
  <c r="O258" i="2"/>
  <c r="Z257" i="2"/>
  <c r="Y257" i="2"/>
  <c r="X257" i="2"/>
  <c r="W257" i="2"/>
  <c r="V257" i="2"/>
  <c r="U257" i="2"/>
  <c r="T257" i="2"/>
  <c r="S257" i="2"/>
  <c r="R257" i="2"/>
  <c r="Q257" i="2"/>
  <c r="P257" i="2"/>
  <c r="O257" i="2"/>
  <c r="Z256" i="2"/>
  <c r="Y256" i="2"/>
  <c r="X256" i="2"/>
  <c r="W256" i="2"/>
  <c r="V256" i="2"/>
  <c r="U256" i="2"/>
  <c r="T256" i="2"/>
  <c r="S256" i="2"/>
  <c r="R256" i="2"/>
  <c r="Q256" i="2"/>
  <c r="P256" i="2"/>
  <c r="O256" i="2"/>
  <c r="Z255" i="2"/>
  <c r="Y255" i="2"/>
  <c r="X255" i="2"/>
  <c r="W255" i="2"/>
  <c r="V255" i="2"/>
  <c r="U255" i="2"/>
  <c r="T255" i="2"/>
  <c r="S255" i="2"/>
  <c r="R255" i="2"/>
  <c r="Q255" i="2"/>
  <c r="P255" i="2"/>
  <c r="O255" i="2"/>
  <c r="Z254" i="2"/>
  <c r="Y254" i="2"/>
  <c r="X254" i="2"/>
  <c r="W254" i="2"/>
  <c r="V254" i="2"/>
  <c r="U254" i="2"/>
  <c r="T254" i="2"/>
  <c r="S254" i="2"/>
  <c r="R254" i="2"/>
  <c r="Q254" i="2"/>
  <c r="P254" i="2"/>
  <c r="O254" i="2"/>
  <c r="Z253" i="2"/>
  <c r="Y253" i="2"/>
  <c r="X253" i="2"/>
  <c r="W253" i="2"/>
  <c r="V253" i="2"/>
  <c r="U253" i="2"/>
  <c r="T253" i="2"/>
  <c r="S253" i="2"/>
  <c r="R253" i="2"/>
  <c r="Q253" i="2"/>
  <c r="P253" i="2"/>
  <c r="O253" i="2"/>
  <c r="Z252" i="2"/>
  <c r="Y252" i="2"/>
  <c r="X252" i="2"/>
  <c r="W252" i="2"/>
  <c r="V252" i="2"/>
  <c r="U252" i="2"/>
  <c r="T252" i="2"/>
  <c r="S252" i="2"/>
  <c r="R252" i="2"/>
  <c r="Q252" i="2"/>
  <c r="P252" i="2"/>
  <c r="O252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Z244" i="2"/>
  <c r="Y244" i="2"/>
  <c r="X244" i="2"/>
  <c r="W244" i="2"/>
  <c r="V244" i="2"/>
  <c r="U244" i="2"/>
  <c r="T244" i="2"/>
  <c r="S244" i="2"/>
  <c r="R244" i="2"/>
  <c r="Q244" i="2"/>
  <c r="P244" i="2"/>
  <c r="O244" i="2"/>
  <c r="Z243" i="2"/>
  <c r="Y243" i="2"/>
  <c r="X243" i="2"/>
  <c r="W243" i="2"/>
  <c r="V243" i="2"/>
  <c r="U243" i="2"/>
  <c r="T243" i="2"/>
  <c r="S243" i="2"/>
  <c r="R243" i="2"/>
  <c r="Q243" i="2"/>
  <c r="P243" i="2"/>
  <c r="O243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Q211" i="2"/>
  <c r="P211" i="2"/>
  <c r="O211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Z185" i="2"/>
  <c r="Y185" i="2"/>
  <c r="W185" i="2"/>
  <c r="S185" i="2"/>
  <c r="Z184" i="2"/>
  <c r="W184" i="2"/>
  <c r="Q184" i="2"/>
  <c r="X183" i="2"/>
  <c r="U183" i="2"/>
  <c r="R183" i="2"/>
  <c r="O183" i="2"/>
  <c r="W37" i="2"/>
  <c r="X36" i="2"/>
  <c r="P34" i="2"/>
  <c r="Y33" i="2"/>
  <c r="P33" i="2"/>
  <c r="Z32" i="2"/>
  <c r="S31" i="2"/>
  <c r="W29" i="2"/>
  <c r="X27" i="2"/>
  <c r="T27" i="2"/>
  <c r="R27" i="2"/>
  <c r="V26" i="2"/>
  <c r="P25" i="2"/>
  <c r="W24" i="2"/>
  <c r="Z23" i="2"/>
  <c r="U23" i="2"/>
  <c r="U22" i="2"/>
  <c r="T21" i="2"/>
  <c r="R20" i="2"/>
  <c r="X17" i="2"/>
  <c r="T17" i="2"/>
  <c r="Q17" i="2"/>
  <c r="T16" i="2"/>
  <c r="T14" i="2"/>
  <c r="W13" i="2"/>
  <c r="X12" i="2"/>
  <c r="Y11" i="2"/>
  <c r="O11" i="2"/>
  <c r="W9" i="2"/>
  <c r="S9" i="2"/>
  <c r="R8" i="2"/>
  <c r="U6" i="2"/>
  <c r="X5" i="2"/>
  <c r="V842" i="2"/>
  <c r="V841" i="2"/>
  <c r="P841" i="2"/>
  <c r="S808" i="2"/>
  <c r="W805" i="2"/>
  <c r="P805" i="2"/>
  <c r="X798" i="2"/>
  <c r="P794" i="2"/>
  <c r="P790" i="2"/>
  <c r="Z785" i="2"/>
  <c r="T182" i="2"/>
  <c r="S182" i="2"/>
  <c r="R182" i="2"/>
  <c r="Q182" i="2"/>
  <c r="P182" i="2"/>
  <c r="O182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S131" i="2"/>
  <c r="R131" i="2"/>
  <c r="Q131" i="2"/>
  <c r="P131" i="2"/>
  <c r="O131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T51" i="2"/>
  <c r="S51" i="2"/>
  <c r="R51" i="2"/>
  <c r="Q51" i="2"/>
  <c r="P51" i="2"/>
  <c r="O51" i="2"/>
  <c r="Z50" i="2"/>
  <c r="Y50" i="2"/>
  <c r="X50" i="2"/>
  <c r="W50" i="2"/>
  <c r="V50" i="2"/>
  <c r="U50" i="2"/>
  <c r="T50" i="2"/>
  <c r="S50" i="2"/>
  <c r="R50" i="2"/>
  <c r="Q50" i="2"/>
  <c r="P50" i="2"/>
  <c r="O50" i="2"/>
  <c r="Z49" i="2"/>
  <c r="Y49" i="2"/>
  <c r="X49" i="2"/>
  <c r="W49" i="2"/>
  <c r="V49" i="2"/>
  <c r="U49" i="2"/>
  <c r="T49" i="2"/>
  <c r="S49" i="2"/>
  <c r="R49" i="2"/>
  <c r="Q49" i="2"/>
  <c r="P49" i="2"/>
  <c r="O49" i="2"/>
  <c r="Z48" i="2"/>
  <c r="Y48" i="2"/>
  <c r="X48" i="2"/>
  <c r="W48" i="2"/>
  <c r="V48" i="2"/>
  <c r="U48" i="2"/>
  <c r="T48" i="2"/>
  <c r="S48" i="2"/>
  <c r="R48" i="2"/>
  <c r="Q48" i="2"/>
  <c r="P48" i="2"/>
  <c r="O48" i="2"/>
  <c r="Z47" i="2"/>
  <c r="Y47" i="2"/>
  <c r="X47" i="2"/>
  <c r="W47" i="2"/>
  <c r="V47" i="2"/>
  <c r="U47" i="2"/>
  <c r="T47" i="2"/>
  <c r="S47" i="2"/>
  <c r="R47" i="2"/>
  <c r="Q47" i="2"/>
  <c r="P47" i="2"/>
  <c r="O47" i="2"/>
  <c r="Z46" i="2"/>
  <c r="Y46" i="2"/>
  <c r="X46" i="2"/>
  <c r="W46" i="2"/>
  <c r="V46" i="2"/>
  <c r="U46" i="2"/>
  <c r="T46" i="2"/>
  <c r="S46" i="2"/>
  <c r="R46" i="2"/>
  <c r="Q46" i="2"/>
  <c r="P46" i="2"/>
  <c r="O46" i="2"/>
  <c r="Z45" i="2"/>
  <c r="Y45" i="2"/>
  <c r="X45" i="2"/>
  <c r="W45" i="2"/>
  <c r="V45" i="2"/>
  <c r="U45" i="2"/>
  <c r="T45" i="2"/>
  <c r="S45" i="2"/>
  <c r="R45" i="2"/>
  <c r="Q45" i="2"/>
  <c r="P45" i="2"/>
  <c r="O45" i="2"/>
  <c r="Z44" i="2"/>
  <c r="Y44" i="2"/>
  <c r="X44" i="2"/>
  <c r="W44" i="2"/>
  <c r="V44" i="2"/>
  <c r="U44" i="2"/>
  <c r="T44" i="2"/>
  <c r="S44" i="2"/>
  <c r="R44" i="2"/>
  <c r="Q44" i="2"/>
  <c r="P44" i="2"/>
  <c r="O44" i="2"/>
  <c r="Z43" i="2"/>
  <c r="Y43" i="2"/>
  <c r="X43" i="2"/>
  <c r="W43" i="2"/>
  <c r="V43" i="2"/>
  <c r="U43" i="2"/>
  <c r="T43" i="2"/>
  <c r="S43" i="2"/>
  <c r="R43" i="2"/>
  <c r="Q43" i="2"/>
  <c r="P43" i="2"/>
  <c r="O43" i="2"/>
  <c r="Z42" i="2"/>
  <c r="Y42" i="2"/>
  <c r="X42" i="2"/>
  <c r="W42" i="2"/>
  <c r="V42" i="2"/>
  <c r="U42" i="2"/>
  <c r="T42" i="2"/>
  <c r="S42" i="2"/>
  <c r="R42" i="2"/>
  <c r="Q42" i="2"/>
  <c r="P42" i="2"/>
  <c r="O42" i="2"/>
  <c r="Z41" i="2"/>
  <c r="Y41" i="2"/>
  <c r="X41" i="2"/>
  <c r="W41" i="2"/>
  <c r="V41" i="2"/>
  <c r="U41" i="2"/>
  <c r="T41" i="2"/>
  <c r="S41" i="2"/>
  <c r="R41" i="2"/>
  <c r="Q41" i="2"/>
  <c r="P41" i="2"/>
  <c r="O41" i="2"/>
  <c r="Z40" i="2"/>
  <c r="Y40" i="2"/>
  <c r="X40" i="2"/>
  <c r="W40" i="2"/>
  <c r="V40" i="2"/>
  <c r="U40" i="2"/>
  <c r="T40" i="2"/>
  <c r="S40" i="2"/>
  <c r="R40" i="2"/>
  <c r="Q40" i="2"/>
  <c r="P40" i="2"/>
  <c r="O40" i="2"/>
  <c r="Z39" i="2"/>
  <c r="Y39" i="2"/>
  <c r="X39" i="2"/>
  <c r="W39" i="2"/>
  <c r="V39" i="2"/>
  <c r="Y34" i="2"/>
  <c r="V34" i="2"/>
  <c r="Z33" i="2"/>
  <c r="W32" i="2"/>
  <c r="Z28" i="2"/>
  <c r="Z27" i="2"/>
  <c r="U27" i="2"/>
  <c r="P27" i="2"/>
  <c r="W26" i="2"/>
  <c r="P26" i="2"/>
  <c r="S25" i="2"/>
  <c r="Y24" i="2"/>
  <c r="Y23" i="2"/>
  <c r="Y21" i="2"/>
  <c r="X20" i="2"/>
  <c r="X19" i="2"/>
  <c r="V19" i="2"/>
  <c r="R19" i="2"/>
  <c r="X18" i="2"/>
  <c r="Q18" i="2"/>
  <c r="Z17" i="2"/>
  <c r="O16" i="2"/>
  <c r="V15" i="2"/>
  <c r="O15" i="2"/>
  <c r="Q14" i="2"/>
  <c r="V13" i="2"/>
  <c r="T13" i="2"/>
  <c r="Z12" i="2"/>
  <c r="Q12" i="2"/>
  <c r="R11" i="2"/>
  <c r="Y10" i="2"/>
  <c r="W8" i="2"/>
  <c r="P7" i="2"/>
  <c r="P6" i="2"/>
  <c r="X3" i="2"/>
  <c r="X838" i="2"/>
  <c r="U838" i="2"/>
  <c r="P838" i="2"/>
  <c r="T816" i="2"/>
  <c r="Z813" i="2"/>
  <c r="P813" i="2"/>
  <c r="P812" i="2"/>
  <c r="Y808" i="2"/>
  <c r="Z806" i="2"/>
  <c r="Z801" i="2"/>
  <c r="T801" i="2"/>
  <c r="T798" i="2"/>
  <c r="T794" i="2"/>
  <c r="Y790" i="2"/>
  <c r="V789" i="2"/>
  <c r="W784" i="2"/>
  <c r="U784" i="2"/>
  <c r="S784" i="2"/>
  <c r="Q784" i="2"/>
  <c r="O784" i="2"/>
  <c r="Z783" i="2"/>
  <c r="X783" i="2"/>
  <c r="V783" i="2"/>
  <c r="T783" i="2"/>
  <c r="R783" i="2"/>
  <c r="P783" i="2"/>
  <c r="Y782" i="2"/>
  <c r="W782" i="2"/>
  <c r="U782" i="2"/>
  <c r="S782" i="2"/>
  <c r="Q782" i="2"/>
  <c r="O782" i="2"/>
  <c r="Z781" i="2"/>
  <c r="Y781" i="2"/>
  <c r="W781" i="2"/>
  <c r="U781" i="2"/>
  <c r="S781" i="2"/>
  <c r="Q781" i="2"/>
  <c r="O781" i="2"/>
  <c r="Y780" i="2"/>
  <c r="X780" i="2"/>
  <c r="V780" i="2"/>
  <c r="T780" i="2"/>
  <c r="R780" i="2"/>
  <c r="P780" i="2"/>
  <c r="Z779" i="2"/>
  <c r="Y779" i="2"/>
  <c r="W779" i="2"/>
  <c r="U779" i="2"/>
  <c r="S779" i="2"/>
  <c r="Q779" i="2"/>
  <c r="O779" i="2"/>
  <c r="Z778" i="2"/>
  <c r="Y778" i="2"/>
  <c r="W778" i="2"/>
  <c r="U778" i="2"/>
  <c r="S778" i="2"/>
  <c r="Q778" i="2"/>
  <c r="O778" i="2"/>
  <c r="Z777" i="2"/>
  <c r="Y777" i="2"/>
  <c r="W777" i="2"/>
  <c r="U777" i="2"/>
  <c r="S777" i="2"/>
  <c r="Q777" i="2"/>
  <c r="O777" i="2"/>
  <c r="Z776" i="2"/>
  <c r="Y776" i="2"/>
  <c r="X776" i="2"/>
  <c r="Z774" i="2"/>
  <c r="Y774" i="2"/>
  <c r="X774" i="2"/>
  <c r="V774" i="2"/>
  <c r="T774" i="2"/>
  <c r="R774" i="2"/>
  <c r="P774" i="2"/>
  <c r="Z773" i="2"/>
  <c r="Y773" i="2"/>
  <c r="X773" i="2"/>
  <c r="V773" i="2"/>
  <c r="T773" i="2"/>
  <c r="R773" i="2"/>
  <c r="P773" i="2"/>
  <c r="Y772" i="2"/>
  <c r="W772" i="2"/>
  <c r="U772" i="2"/>
  <c r="S772" i="2"/>
  <c r="Q772" i="2"/>
  <c r="O772" i="2"/>
  <c r="Z697" i="2"/>
  <c r="X697" i="2"/>
  <c r="V697" i="2"/>
  <c r="T697" i="2"/>
  <c r="R697" i="2"/>
  <c r="P697" i="2"/>
  <c r="W696" i="2"/>
  <c r="T696" i="2"/>
  <c r="S696" i="2"/>
  <c r="Q696" i="2"/>
  <c r="Z695" i="2"/>
  <c r="W695" i="2"/>
  <c r="T695" i="2"/>
  <c r="Q695" i="2"/>
  <c r="T694" i="2"/>
  <c r="Q694" i="2"/>
  <c r="Y693" i="2"/>
  <c r="X693" i="2"/>
  <c r="W693" i="2"/>
  <c r="V693" i="2"/>
  <c r="U693" i="2"/>
  <c r="T693" i="2"/>
  <c r="S693" i="2"/>
  <c r="R693" i="2"/>
  <c r="Q693" i="2"/>
  <c r="P693" i="2"/>
  <c r="Z829" i="2"/>
  <c r="X829" i="2"/>
  <c r="V829" i="2"/>
  <c r="T829" i="2"/>
  <c r="R829" i="2"/>
  <c r="P829" i="2"/>
  <c r="Y828" i="2"/>
  <c r="V828" i="2"/>
  <c r="T828" i="2"/>
  <c r="R828" i="2"/>
  <c r="P828" i="2"/>
  <c r="X827" i="2"/>
  <c r="V827" i="2"/>
  <c r="T827" i="2"/>
  <c r="R827" i="2"/>
  <c r="P827" i="2"/>
  <c r="X826" i="2"/>
  <c r="V826" i="2"/>
  <c r="T826" i="2"/>
  <c r="R826" i="2"/>
  <c r="P826" i="2"/>
  <c r="X825" i="2"/>
  <c r="U825" i="2"/>
  <c r="S825" i="2"/>
  <c r="Q825" i="2"/>
  <c r="O825" i="2"/>
  <c r="Z824" i="2"/>
  <c r="Y824" i="2"/>
  <c r="W824" i="2"/>
  <c r="U824" i="2"/>
  <c r="S824" i="2"/>
  <c r="Q824" i="2"/>
  <c r="O824" i="2"/>
  <c r="Z823" i="2"/>
  <c r="X823" i="2"/>
  <c r="V823" i="2"/>
  <c r="T823" i="2"/>
  <c r="R823" i="2"/>
  <c r="P823" i="2"/>
  <c r="X822" i="2"/>
  <c r="V822" i="2"/>
  <c r="T822" i="2"/>
  <c r="R822" i="2"/>
  <c r="P822" i="2"/>
  <c r="X821" i="2"/>
  <c r="V821" i="2"/>
  <c r="T821" i="2"/>
  <c r="R821" i="2"/>
  <c r="P821" i="2"/>
  <c r="Y820" i="2"/>
  <c r="W820" i="2"/>
  <c r="U820" i="2"/>
  <c r="S820" i="2"/>
  <c r="Q820" i="2"/>
  <c r="O820" i="2"/>
  <c r="Z819" i="2"/>
  <c r="Y819" i="2"/>
  <c r="W819" i="2"/>
  <c r="U819" i="2"/>
  <c r="S819" i="2"/>
  <c r="Q819" i="2"/>
  <c r="O819" i="2"/>
  <c r="Z818" i="2"/>
  <c r="X818" i="2"/>
  <c r="V818" i="2"/>
  <c r="S818" i="2"/>
  <c r="Q818" i="2"/>
  <c r="O818" i="2"/>
  <c r="Z817" i="2"/>
  <c r="X817" i="2"/>
  <c r="V817" i="2"/>
  <c r="T817" i="2"/>
  <c r="R817" i="2"/>
  <c r="P817" i="2"/>
  <c r="Y816" i="2"/>
  <c r="U816" i="2"/>
  <c r="Q816" i="2"/>
  <c r="Z815" i="2"/>
  <c r="W815" i="2"/>
  <c r="S815" i="2"/>
  <c r="V814" i="2"/>
  <c r="R814" i="2"/>
  <c r="U813" i="2"/>
  <c r="Q813" i="2"/>
  <c r="Z812" i="2"/>
  <c r="W812" i="2"/>
  <c r="S812" i="2"/>
  <c r="O812" i="2"/>
  <c r="X811" i="2"/>
  <c r="T811" i="2"/>
  <c r="P811" i="2"/>
  <c r="X810" i="2"/>
  <c r="T810" i="2"/>
  <c r="P810" i="2"/>
  <c r="X809" i="2"/>
  <c r="R809" i="2"/>
  <c r="P809" i="2"/>
  <c r="X808" i="2"/>
  <c r="T808" i="2"/>
  <c r="Q808" i="2"/>
  <c r="Z807" i="2"/>
  <c r="V807" i="2"/>
  <c r="R807" i="2"/>
  <c r="W806" i="2"/>
  <c r="S806" i="2"/>
  <c r="O806" i="2"/>
  <c r="Y805" i="2"/>
  <c r="V805" i="2"/>
  <c r="S805" i="2"/>
  <c r="O805" i="2"/>
  <c r="Y804" i="2"/>
  <c r="T804" i="2"/>
  <c r="P804" i="2"/>
  <c r="Y803" i="2"/>
  <c r="V803" i="2"/>
  <c r="R803" i="2"/>
  <c r="P803" i="2"/>
  <c r="Y802" i="2"/>
  <c r="V802" i="2"/>
  <c r="T802" i="2"/>
  <c r="R802" i="2"/>
  <c r="W801" i="2"/>
  <c r="S801" i="2"/>
  <c r="O801" i="2"/>
  <c r="V800" i="2"/>
  <c r="R800" i="2"/>
  <c r="V799" i="2"/>
  <c r="R799" i="2"/>
  <c r="S798" i="2"/>
  <c r="O798" i="2"/>
  <c r="Y797" i="2"/>
  <c r="V797" i="2"/>
  <c r="R797" i="2"/>
  <c r="W796" i="2"/>
  <c r="S796" i="2"/>
  <c r="P796" i="2"/>
  <c r="X795" i="2"/>
  <c r="T795" i="2"/>
  <c r="P795" i="2"/>
  <c r="Y794" i="2"/>
  <c r="U794" i="2"/>
  <c r="Q794" i="2"/>
  <c r="Z793" i="2"/>
  <c r="X793" i="2"/>
  <c r="T793" i="2"/>
  <c r="P793" i="2"/>
  <c r="X792" i="2"/>
  <c r="V792" i="2"/>
  <c r="T792" i="2"/>
  <c r="P792" i="2"/>
  <c r="W791" i="2"/>
  <c r="T791" i="2"/>
  <c r="P791" i="2"/>
  <c r="Z790" i="2"/>
  <c r="X790" i="2"/>
  <c r="T790" i="2"/>
  <c r="Q790" i="2"/>
  <c r="Y789" i="2"/>
  <c r="U789" i="2"/>
  <c r="S789" i="2"/>
  <c r="O789" i="2"/>
  <c r="W788" i="2"/>
  <c r="S788" i="2"/>
  <c r="O788" i="2"/>
  <c r="X787" i="2"/>
  <c r="R787" i="2"/>
  <c r="T786" i="2"/>
  <c r="P786" i="2"/>
  <c r="Y785" i="2"/>
  <c r="U785" i="2"/>
  <c r="Q785" i="2"/>
  <c r="Z784" i="2"/>
  <c r="X784" i="2"/>
  <c r="T784" i="2"/>
  <c r="P784" i="2"/>
  <c r="Z782" i="2"/>
  <c r="X782" i="2"/>
  <c r="T782" i="2"/>
  <c r="P782" i="2"/>
  <c r="X781" i="2"/>
  <c r="V781" i="2"/>
  <c r="R781" i="2"/>
  <c r="R779" i="2"/>
  <c r="T778" i="2"/>
  <c r="P778" i="2"/>
  <c r="X777" i="2"/>
  <c r="T777" i="2"/>
  <c r="R777" i="2"/>
  <c r="T776" i="2"/>
  <c r="R776" i="2"/>
  <c r="P776" i="2"/>
  <c r="Y775" i="2"/>
  <c r="V775" i="2"/>
  <c r="T775" i="2"/>
  <c r="S775" i="2"/>
  <c r="Q775" i="2"/>
  <c r="O775" i="2"/>
  <c r="Z772" i="2"/>
  <c r="V772" i="2"/>
  <c r="T772" i="2"/>
  <c r="P772" i="2"/>
  <c r="W655" i="2"/>
  <c r="P655" i="2"/>
  <c r="V653" i="2"/>
  <c r="S653" i="2"/>
  <c r="O653" i="2"/>
  <c r="T652" i="2"/>
  <c r="Y650" i="2"/>
  <c r="V650" i="2"/>
  <c r="T650" i="2"/>
  <c r="U649" i="2"/>
  <c r="P649" i="2"/>
  <c r="X718" i="2"/>
  <c r="U718" i="2"/>
  <c r="R718" i="2"/>
  <c r="X717" i="2"/>
  <c r="U717" i="2"/>
  <c r="R717" i="2"/>
  <c r="Z716" i="2"/>
  <c r="V716" i="2"/>
  <c r="T716" i="2"/>
  <c r="P716" i="2"/>
  <c r="Z715" i="2"/>
  <c r="W715" i="2"/>
  <c r="Q715" i="2"/>
  <c r="S714" i="2"/>
  <c r="W713" i="2"/>
  <c r="T713" i="2"/>
  <c r="O713" i="2"/>
  <c r="Y712" i="2"/>
  <c r="W712" i="2"/>
  <c r="U712" i="2"/>
  <c r="R712" i="2"/>
  <c r="O712" i="2"/>
  <c r="Y711" i="2"/>
  <c r="V711" i="2"/>
  <c r="T711" i="2"/>
  <c r="R711" i="2"/>
  <c r="O711" i="2"/>
  <c r="Q659" i="2"/>
  <c r="Z658" i="2"/>
  <c r="V658" i="2"/>
  <c r="Q658" i="2"/>
  <c r="O500" i="2"/>
  <c r="V499" i="2"/>
  <c r="V498" i="2"/>
  <c r="R498" i="2"/>
  <c r="S497" i="2"/>
  <c r="Q496" i="2"/>
  <c r="S39" i="2"/>
  <c r="Z38" i="2"/>
  <c r="R38" i="2"/>
  <c r="X37" i="2"/>
  <c r="S37" i="2"/>
  <c r="Y35" i="2"/>
  <c r="X34" i="2"/>
  <c r="U32" i="2"/>
  <c r="X31" i="2"/>
  <c r="Y30" i="2"/>
  <c r="U29" i="2"/>
  <c r="W28" i="2"/>
  <c r="S26" i="2"/>
  <c r="V25" i="2"/>
  <c r="O21" i="2"/>
  <c r="Y19" i="2"/>
  <c r="W19" i="2"/>
  <c r="P18" i="2"/>
  <c r="Y16" i="2"/>
  <c r="Q16" i="2"/>
  <c r="U15" i="2"/>
  <c r="O14" i="2"/>
  <c r="Y13" i="2"/>
  <c r="R13" i="2"/>
  <c r="T12" i="2"/>
  <c r="W11" i="2"/>
  <c r="P11" i="2"/>
  <c r="Q10" i="2"/>
  <c r="Z7" i="2"/>
  <c r="W7" i="2"/>
  <c r="Z6" i="2"/>
  <c r="Y4" i="2"/>
  <c r="U4" i="2"/>
  <c r="Q3" i="2"/>
  <c r="T842" i="2"/>
  <c r="P840" i="2"/>
  <c r="V812" i="2"/>
  <c r="W808" i="2"/>
  <c r="X801" i="2"/>
  <c r="P801" i="2"/>
  <c r="Z798" i="2"/>
  <c r="W795" i="2"/>
  <c r="P789" i="2"/>
  <c r="AJ27" i="1"/>
  <c r="AG27" i="1"/>
  <c r="Q5" i="5" l="1"/>
  <c r="Q4" i="5"/>
  <c r="AJ4" i="5"/>
  <c r="Q6" i="5"/>
  <c r="Q4" i="4"/>
  <c r="Q5" i="4"/>
  <c r="Q6" i="4"/>
  <c r="AJ4" i="4"/>
  <c r="Q4" i="3"/>
  <c r="Q5" i="3"/>
  <c r="Q6" i="3"/>
  <c r="AJ4" i="3"/>
  <c r="AG5" i="5" l="1"/>
  <c r="AH5" i="5"/>
  <c r="AI5" i="5"/>
  <c r="AI5" i="4"/>
  <c r="AG5" i="4"/>
  <c r="AH5" i="4"/>
  <c r="AI5" i="3"/>
  <c r="AH5" i="3"/>
  <c r="AG5" i="3"/>
</calcChain>
</file>

<file path=xl/sharedStrings.xml><?xml version="1.0" encoding="utf-8"?>
<sst xmlns="http://schemas.openxmlformats.org/spreadsheetml/2006/main" count="227" uniqueCount="97">
  <si>
    <t>Точность расположения устьев фактических скважин относительно проектных</t>
  </si>
  <si>
    <t>XY accuracy</t>
  </si>
  <si>
    <t>Проектные данные</t>
  </si>
  <si>
    <t>Фактические данные</t>
  </si>
  <si>
    <t>Количество скважин, шт</t>
  </si>
  <si>
    <t>Погрешность, м</t>
  </si>
  <si>
    <t>In Spec</t>
  </si>
  <si>
    <t>Out of Spec</t>
  </si>
  <si>
    <t>Столбец1</t>
  </si>
  <si>
    <t>№ скв.</t>
  </si>
  <si>
    <t>Устье X</t>
  </si>
  <si>
    <t>Устье Y</t>
  </si>
  <si>
    <t>Устье Z</t>
  </si>
  <si>
    <t>Ввод данных</t>
  </si>
  <si>
    <t>Максимальное отклонение, м</t>
  </si>
  <si>
    <t>% скважин по проекту</t>
  </si>
  <si>
    <t>X</t>
  </si>
  <si>
    <t>Y</t>
  </si>
  <si>
    <t>XY Accuracy</t>
  </si>
  <si>
    <t>Tolerance</t>
  </si>
  <si>
    <t>Accuracy circle data - DO NOT EDIT</t>
  </si>
  <si>
    <t>Среднее отклонение, м</t>
  </si>
  <si>
    <t>% скважин не по проекту</t>
  </si>
  <si>
    <t>Среднее</t>
  </si>
  <si>
    <t>Стандартная ошибка</t>
  </si>
  <si>
    <t>Медиана</t>
  </si>
  <si>
    <t>Мода</t>
  </si>
  <si>
    <t>Стандартное отклонение</t>
  </si>
  <si>
    <t>Дисперсия выборки</t>
  </si>
  <si>
    <t>Эксцесс</t>
  </si>
  <si>
    <t>Асимметричность</t>
  </si>
  <si>
    <t>Интервал</t>
  </si>
  <si>
    <t>Минимум</t>
  </si>
  <si>
    <t>Максимум</t>
  </si>
  <si>
    <t>Сумма</t>
  </si>
  <si>
    <t>Счет</t>
  </si>
  <si>
    <t>-</t>
  </si>
  <si>
    <t>Below Tolerance</t>
  </si>
  <si>
    <t>Above Tolerance</t>
  </si>
  <si>
    <t>Distance</t>
  </si>
  <si>
    <t>Count</t>
  </si>
  <si>
    <t>Для построения проект</t>
  </si>
  <si>
    <t>Для построения факт</t>
  </si>
  <si>
    <t>Допуск</t>
  </si>
  <si>
    <t>0-0.1 м</t>
  </si>
  <si>
    <t>0.1-0.2 м</t>
  </si>
  <si>
    <t>0.2-0.3 м</t>
  </si>
  <si>
    <t>0.3-0.4 м</t>
  </si>
  <si>
    <t>0.4-0.5 м</t>
  </si>
  <si>
    <t>&gt;0.5 м</t>
  </si>
  <si>
    <t>№</t>
  </si>
  <si>
    <t>Z</t>
  </si>
  <si>
    <t>Отклонение</t>
  </si>
  <si>
    <t>Глубина фактических скважин относительно проектных</t>
  </si>
  <si>
    <t>Недобуренные</t>
  </si>
  <si>
    <t>Перебуренные</t>
  </si>
  <si>
    <t>Проектные</t>
  </si>
  <si>
    <t>Глубина скважин. м</t>
  </si>
  <si>
    <t>Количество скважин. шт</t>
  </si>
  <si>
    <t>Погрешность. м</t>
  </si>
  <si>
    <t>Deviation</t>
  </si>
  <si>
    <t>Underdrilled</t>
  </si>
  <si>
    <t>Overdrilled</t>
  </si>
  <si>
    <t>In Spec.</t>
  </si>
  <si>
    <t>Design</t>
  </si>
  <si>
    <t>Максимальное отклонение. м</t>
  </si>
  <si>
    <t>Количество скважин по проекту. шт</t>
  </si>
  <si>
    <t>Total</t>
  </si>
  <si>
    <t>Минимальное отклонение. м</t>
  </si>
  <si>
    <t>Количество перебуренных скважин. шт</t>
  </si>
  <si>
    <t>%</t>
  </si>
  <si>
    <t>Количество недобуренных скважин. шт</t>
  </si>
  <si>
    <t>Фактическая масса ВВ в скважинах относительно проектной</t>
  </si>
  <si>
    <t>Недозаряженные</t>
  </si>
  <si>
    <t>Перезаряженные</t>
  </si>
  <si>
    <t>Масса ВВ в скв. без ПБ. кг</t>
  </si>
  <si>
    <t>Погрешность. кг</t>
  </si>
  <si>
    <t>Undercharged</t>
  </si>
  <si>
    <t>Overchared</t>
  </si>
  <si>
    <t>Overcharged</t>
  </si>
  <si>
    <t>Максимальный перелив. кг</t>
  </si>
  <si>
    <t>Максимальный недолив. кг</t>
  </si>
  <si>
    <t>Количество перезаряженных скважин. шт</t>
  </si>
  <si>
    <t>Количество недозаряженных скважин. шт</t>
  </si>
  <si>
    <t>Confidence Level(95.0%)</t>
  </si>
  <si>
    <t>Фактическая длина недозаряда в скважинах относительно проектной</t>
  </si>
  <si>
    <t>Длина недозаряда &lt; проектного</t>
  </si>
  <si>
    <t>Длина недозаряда &gt; проектного</t>
  </si>
  <si>
    <t>Проектная</t>
  </si>
  <si>
    <t>Длина недозаряда. м</t>
  </si>
  <si>
    <t>Understemmed</t>
  </si>
  <si>
    <t>Overstemmed</t>
  </si>
  <si>
    <t>Максимальное отклонение (недолив). м</t>
  </si>
  <si>
    <t>Lнед. меньше проектного</t>
  </si>
  <si>
    <t>Минимальное отклонение (перелив). м</t>
  </si>
  <si>
    <t>Lнед. больше проектного</t>
  </si>
  <si>
    <t>Lнед. проектная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</si>
</sst>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"/>
    <numFmt numFmtId="169" formatCode="0.0%"/>
    <numFmt numFmtId="170" formatCode="0.000"/>
  </numFmts>
  <fonts count="22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0"/>
      <color theme="0"/>
      <name val="Arial"/>
      <family val="2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color rgb="FFFF0000"/>
      <name val="Times New Roman"/>
      <family val="1"/>
      <charset val="204"/>
    </font>
    <font>
      <i/>
      <sz val="11"/>
      <color theme="1"/>
      <name val="Calibri"/>
      <family val="2"/>
      <scheme val="minor"/>
    </font>
    <font>
      <sz val="36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sz val="9"/>
      <name val="Arial"/>
      <family val="2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Google Sans Mono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99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DCE6F1"/>
        <bgColor indexed="64"/>
      </patternFill>
    </fill>
  </fills>
  <borders count="4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99CC"/>
      </left>
      <right style="thin">
        <color rgb="FF0099CC"/>
      </right>
      <top style="thin">
        <color rgb="FF0099CC"/>
      </top>
      <bottom style="thin">
        <color rgb="FF0099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99CC"/>
      </left>
      <right/>
      <top style="thin">
        <color rgb="FF0099CC"/>
      </top>
      <bottom style="thin">
        <color rgb="FF006386"/>
      </bottom>
      <diagonal/>
    </border>
    <border>
      <left/>
      <right/>
      <top style="thin">
        <color rgb="FF0099CC"/>
      </top>
      <bottom style="thin">
        <color rgb="FF006386"/>
      </bottom>
      <diagonal/>
    </border>
    <border>
      <left/>
      <right style="thin">
        <color rgb="FF0099CC"/>
      </right>
      <top style="thin">
        <color rgb="FF0099CC"/>
      </top>
      <bottom style="thin">
        <color rgb="FF006386"/>
      </bottom>
      <diagonal/>
    </border>
    <border>
      <left style="thin">
        <color rgb="FF0099CC"/>
      </left>
      <right/>
      <top style="thin">
        <color rgb="FF006386"/>
      </top>
      <bottom style="thin">
        <color rgb="FF006386"/>
      </bottom>
      <diagonal/>
    </border>
    <border>
      <left/>
      <right style="thin">
        <color rgb="FF006386"/>
      </right>
      <top style="thin">
        <color rgb="FF006386"/>
      </top>
      <bottom style="thin">
        <color rgb="FF006386"/>
      </bottom>
      <diagonal/>
    </border>
    <border>
      <left style="thin">
        <color rgb="FF006386"/>
      </left>
      <right/>
      <top style="thin">
        <color rgb="FF006386"/>
      </top>
      <bottom style="thin">
        <color rgb="FF006386"/>
      </bottom>
      <diagonal/>
    </border>
    <border>
      <left/>
      <right style="thin">
        <color rgb="FF0099CC"/>
      </right>
      <top style="thin">
        <color rgb="FF006386"/>
      </top>
      <bottom style="thin">
        <color rgb="FF006386"/>
      </bottom>
      <diagonal/>
    </border>
    <border>
      <left/>
      <right style="thin">
        <color rgb="FF006386"/>
      </right>
      <top/>
      <bottom/>
      <diagonal/>
    </border>
    <border>
      <left style="thin">
        <color rgb="FF0099CC"/>
      </left>
      <right style="thin">
        <color rgb="FF006386"/>
      </right>
      <top style="thin">
        <color rgb="FF006386"/>
      </top>
      <bottom style="thin">
        <color rgb="FF0099CC"/>
      </bottom>
      <diagonal/>
    </border>
    <border>
      <left style="thin">
        <color rgb="FF006386"/>
      </left>
      <right style="thin">
        <color rgb="FF006386"/>
      </right>
      <top style="thin">
        <color rgb="FF006386"/>
      </top>
      <bottom style="thin">
        <color rgb="FF0099CC"/>
      </bottom>
      <diagonal/>
    </border>
    <border>
      <left/>
      <right style="thin">
        <color rgb="FF006386"/>
      </right>
      <top style="thin">
        <color rgb="FF006386"/>
      </top>
      <bottom style="thin">
        <color rgb="FF0099CC"/>
      </bottom>
      <diagonal/>
    </border>
    <border>
      <left style="thin">
        <color rgb="FF006386"/>
      </left>
      <right style="thin">
        <color rgb="FF0099CC"/>
      </right>
      <top style="thin">
        <color rgb="FF006386"/>
      </top>
      <bottom style="thin">
        <color rgb="FF0099CC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3366"/>
      </left>
      <right style="thin">
        <color rgb="FF003366"/>
      </right>
      <top style="thin">
        <color rgb="FF003366"/>
      </top>
      <bottom style="thin">
        <color rgb="FF003366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99CC"/>
      </left>
      <right style="thin">
        <color rgb="FF006386"/>
      </right>
      <top style="thin">
        <color rgb="FF0099CC"/>
      </top>
      <bottom style="thin">
        <color rgb="FF006386"/>
      </bottom>
      <diagonal/>
    </border>
    <border>
      <left style="thin">
        <color rgb="FF006386"/>
      </left>
      <right style="thin">
        <color rgb="FF0099CC"/>
      </right>
      <top style="thin">
        <color rgb="FF0099CC"/>
      </top>
      <bottom style="thin">
        <color rgb="FF006386"/>
      </bottom>
      <diagonal/>
    </border>
    <border>
      <left style="thin">
        <color rgb="FF0099CC"/>
      </left>
      <right style="thin">
        <color rgb="FF006386"/>
      </right>
      <top style="thin">
        <color rgb="FF006386"/>
      </top>
      <bottom/>
      <diagonal/>
    </border>
    <border>
      <left style="thin">
        <color rgb="FF006386"/>
      </left>
      <right style="thin">
        <color rgb="FF0099CC"/>
      </right>
      <top style="thin">
        <color rgb="FF006386"/>
      </top>
      <bottom/>
      <diagonal/>
    </border>
    <border>
      <left style="thin">
        <color rgb="FF8A8D91"/>
      </left>
      <right style="thin">
        <color rgb="FF8A8D91"/>
      </right>
      <top style="thin">
        <color rgb="FF8A8D91"/>
      </top>
      <bottom style="thin">
        <color rgb="FF8A8D91"/>
      </bottom>
      <diagonal/>
    </border>
    <border>
      <left style="thin">
        <color rgb="FF8A8D91"/>
      </left>
      <right style="thin">
        <color rgb="FF8A8D91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8">
    <xf numFmtId="0" fontId="0" fillId="0" borderId="0"/>
    <xf numFmtId="0" fontId="1" fillId="0" borderId="0"/>
    <xf numFmtId="0" fontId="4" fillId="3" borderId="2">
      <alignment horizontal="center" vertical="center"/>
    </xf>
    <xf numFmtId="9" fontId="7" fillId="0" borderId="0" applyFont="0" applyFill="0" applyBorder="0" applyAlignment="0" applyProtection="0"/>
    <xf numFmtId="0" fontId="7" fillId="0" borderId="0"/>
    <xf numFmtId="0" fontId="7" fillId="0" borderId="0" applyAlignment="0"/>
    <xf numFmtId="0" fontId="13" fillId="2" borderId="1" applyNumberFormat="0" applyAlignment="0" applyProtection="0"/>
    <xf numFmtId="0" fontId="4" fillId="9" borderId="28">
      <alignment horizontal="center" vertical="center"/>
    </xf>
  </cellStyleXfs>
  <cellXfs count="105">
    <xf numFmtId="0" fontId="0" fillId="0" borderId="0" xfId="0"/>
    <xf numFmtId="0" fontId="5" fillId="6" borderId="17" xfId="2" applyFont="1" applyFill="1" applyBorder="1" applyAlignment="1">
      <alignment vertical="center"/>
    </xf>
    <xf numFmtId="0" fontId="5" fillId="6" borderId="18" xfId="2" applyFont="1" applyFill="1" applyBorder="1">
      <alignment horizontal="center" vertical="center"/>
    </xf>
    <xf numFmtId="0" fontId="5" fillId="6" borderId="19" xfId="2" applyFont="1" applyFill="1" applyBorder="1">
      <alignment horizontal="center" vertical="center"/>
    </xf>
    <xf numFmtId="0" fontId="5" fillId="6" borderId="20" xfId="2" applyFont="1" applyFill="1" applyBorder="1">
      <alignment horizontal="center" vertical="center"/>
    </xf>
    <xf numFmtId="0" fontId="5" fillId="6" borderId="21" xfId="2" applyFont="1" applyFill="1" applyBorder="1">
      <alignment horizontal="center" vertical="center"/>
    </xf>
    <xf numFmtId="0" fontId="5" fillId="6" borderId="0" xfId="2" applyFont="1" applyFill="1" applyBorder="1" applyAlignment="1">
      <alignment vertical="center"/>
    </xf>
    <xf numFmtId="2" fontId="6" fillId="6" borderId="0" xfId="4" applyNumberFormat="1" applyFont="1" applyFill="1" applyAlignment="1">
      <alignment horizontal="center" vertical="center"/>
    </xf>
    <xf numFmtId="2" fontId="6" fillId="6" borderId="0" xfId="5" applyNumberFormat="1" applyFont="1" applyFill="1" applyAlignment="1">
      <alignment horizontal="center" vertical="center"/>
    </xf>
    <xf numFmtId="2" fontId="9" fillId="6" borderId="0" xfId="4" applyNumberFormat="1" applyFont="1" applyFill="1" applyAlignment="1">
      <alignment horizontal="center"/>
    </xf>
    <xf numFmtId="0" fontId="5" fillId="4" borderId="26" xfId="2" applyFont="1" applyFill="1" applyBorder="1" applyAlignment="1">
      <alignment horizontal="center" vertical="center" wrapText="1"/>
    </xf>
    <xf numFmtId="0" fontId="5" fillId="4" borderId="25" xfId="2" applyFont="1" applyFill="1" applyBorder="1" applyAlignment="1">
      <alignment horizontal="center" vertical="center" wrapText="1"/>
    </xf>
    <xf numFmtId="0" fontId="5" fillId="4" borderId="6" xfId="2" applyFont="1" applyFill="1" applyBorder="1" applyAlignment="1">
      <alignment horizontal="center" vertical="center" wrapText="1"/>
    </xf>
    <xf numFmtId="0" fontId="14" fillId="0" borderId="0" xfId="6" applyNumberFormat="1" applyFont="1" applyFill="1" applyBorder="1" applyAlignment="1">
      <alignment horizontal="center"/>
    </xf>
    <xf numFmtId="0" fontId="7" fillId="0" borderId="0" xfId="4" applyAlignment="1">
      <alignment horizontal="center" vertical="center"/>
    </xf>
    <xf numFmtId="0" fontId="5" fillId="4" borderId="7" xfId="2" applyFont="1" applyFill="1" applyBorder="1" applyAlignment="1">
      <alignment horizontal="center" vertical="center" wrapText="1"/>
    </xf>
    <xf numFmtId="0" fontId="5" fillId="0" borderId="0" xfId="2" applyFont="1" applyFill="1" applyBorder="1" applyAlignment="1">
      <alignment vertical="center"/>
    </xf>
    <xf numFmtId="0" fontId="5" fillId="4" borderId="8" xfId="2" applyFont="1" applyFill="1" applyBorder="1" applyAlignment="1">
      <alignment horizontal="center" vertical="center" wrapText="1"/>
    </xf>
    <xf numFmtId="0" fontId="8" fillId="0" borderId="9" xfId="3" applyNumberFormat="1" applyFont="1" applyFill="1" applyBorder="1" applyAlignment="1">
      <alignment horizontal="right" vertical="center"/>
    </xf>
    <xf numFmtId="168" fontId="18" fillId="10" borderId="0" xfId="4" applyNumberFormat="1" applyFont="1" applyFill="1" applyAlignment="1">
      <alignment horizontal="center" vertical="center"/>
    </xf>
    <xf numFmtId="0" fontId="4" fillId="3" borderId="33" xfId="2" applyBorder="1">
      <alignment horizontal="center" vertical="center"/>
    </xf>
    <xf numFmtId="0" fontId="4" fillId="3" borderId="34" xfId="2" applyBorder="1">
      <alignment horizontal="center" vertical="center"/>
    </xf>
    <xf numFmtId="168" fontId="7" fillId="10" borderId="35" xfId="4" applyNumberFormat="1" applyFill="1" applyBorder="1" applyAlignment="1">
      <alignment horizontal="center" vertical="center"/>
    </xf>
    <xf numFmtId="1" fontId="7" fillId="10" borderId="35" xfId="4" applyNumberFormat="1" applyFill="1" applyBorder="1" applyAlignment="1">
      <alignment horizontal="center" vertical="center"/>
    </xf>
    <xf numFmtId="169" fontId="8" fillId="10" borderId="9" xfId="3" applyNumberFormat="1" applyFont="1" applyFill="1" applyBorder="1" applyAlignment="1">
      <alignment horizontal="right" vertical="center"/>
    </xf>
    <xf numFmtId="1" fontId="7" fillId="10" borderId="36" xfId="4" applyNumberFormat="1" applyFill="1" applyBorder="1" applyAlignment="1">
      <alignment horizontal="center" vertical="center"/>
    </xf>
    <xf numFmtId="168" fontId="13" fillId="2" borderId="1" xfId="6" applyNumberFormat="1" applyAlignment="1">
      <alignment horizontal="center"/>
    </xf>
    <xf numFmtId="0" fontId="5" fillId="6" borderId="10" xfId="2" applyFont="1" applyFill="1" applyBorder="1">
      <alignment horizontal="center" vertical="center"/>
    </xf>
    <xf numFmtId="0" fontId="5" fillId="6" borderId="11" xfId="2" applyFont="1" applyFill="1" applyBorder="1">
      <alignment horizontal="center" vertical="center"/>
    </xf>
    <xf numFmtId="0" fontId="5" fillId="6" borderId="12" xfId="2" applyFont="1" applyFill="1" applyBorder="1">
      <alignment horizontal="center" vertical="center"/>
    </xf>
    <xf numFmtId="0" fontId="5" fillId="6" borderId="13" xfId="2" applyFont="1" applyFill="1" applyBorder="1">
      <alignment horizontal="center" vertical="center"/>
    </xf>
    <xf numFmtId="0" fontId="5" fillId="6" borderId="14" xfId="2" applyFont="1" applyFill="1" applyBorder="1">
      <alignment horizontal="center" vertical="center"/>
    </xf>
    <xf numFmtId="0" fontId="5" fillId="6" borderId="15" xfId="2" applyFont="1" applyFill="1" applyBorder="1">
      <alignment horizontal="center" vertical="center"/>
    </xf>
    <xf numFmtId="0" fontId="5" fillId="6" borderId="16" xfId="2" applyFont="1" applyFill="1" applyBorder="1">
      <alignment horizontal="center" vertical="center"/>
    </xf>
    <xf numFmtId="0" fontId="5" fillId="10" borderId="9" xfId="2" applyFont="1" applyFill="1" applyBorder="1" applyAlignment="1">
      <alignment horizontal="center" vertical="center" wrapText="1"/>
    </xf>
    <xf numFmtId="0" fontId="4" fillId="3" borderId="10" xfId="2" applyBorder="1">
      <alignment horizontal="center" vertical="center"/>
    </xf>
    <xf numFmtId="0" fontId="4" fillId="3" borderId="12" xfId="2" applyBorder="1">
      <alignment horizontal="center" vertical="center"/>
    </xf>
    <xf numFmtId="0" fontId="5" fillId="4" borderId="3" xfId="2" applyFont="1" applyFill="1" applyBorder="1">
      <alignment horizontal="center" vertical="center"/>
    </xf>
    <xf numFmtId="0" fontId="5" fillId="4" borderId="4" xfId="2" applyFont="1" applyFill="1" applyBorder="1">
      <alignment horizontal="center" vertical="center"/>
    </xf>
    <xf numFmtId="0" fontId="5" fillId="4" borderId="5" xfId="2" applyFont="1" applyFill="1" applyBorder="1">
      <alignment horizontal="center" vertical="center"/>
    </xf>
    <xf numFmtId="0" fontId="5" fillId="4" borderId="27" xfId="2" applyFont="1" applyFill="1" applyBorder="1">
      <alignment horizontal="center" vertical="center"/>
    </xf>
    <xf numFmtId="0" fontId="5" fillId="4" borderId="24" xfId="2" applyFont="1" applyFill="1" applyBorder="1">
      <alignment horizontal="center" vertical="center"/>
    </xf>
    <xf numFmtId="0" fontId="5" fillId="4" borderId="30" xfId="2" applyFont="1" applyFill="1" applyBorder="1">
      <alignment horizontal="center" vertical="center"/>
    </xf>
    <xf numFmtId="0" fontId="9" fillId="6" borderId="0" xfId="4" applyFont="1" applyFill="1" applyAlignment="1">
      <alignment horizontal="center" vertical="center"/>
    </xf>
    <xf numFmtId="0" fontId="9" fillId="6" borderId="22" xfId="4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10" borderId="0" xfId="0" applyFill="1"/>
    <xf numFmtId="0" fontId="6" fillId="6" borderId="0" xfId="0" applyFont="1" applyFill="1"/>
    <xf numFmtId="0" fontId="6" fillId="10" borderId="9" xfId="0" applyFont="1" applyFill="1" applyBorder="1" applyAlignment="1">
      <alignment horizontal="left"/>
    </xf>
    <xf numFmtId="1" fontId="5" fillId="10" borderId="9" xfId="0" applyNumberFormat="1" applyFont="1" applyFill="1" applyBorder="1" applyAlignment="1">
      <alignment horizontal="right"/>
    </xf>
    <xf numFmtId="0" fontId="6" fillId="10" borderId="0" xfId="0" applyFont="1" applyFill="1"/>
    <xf numFmtId="168" fontId="5" fillId="10" borderId="9" xfId="0" applyNumberFormat="1" applyFont="1" applyFill="1" applyBorder="1" applyAlignment="1">
      <alignment horizontal="right"/>
    </xf>
    <xf numFmtId="0" fontId="10" fillId="0" borderId="24" xfId="0" applyFont="1" applyBorder="1" applyAlignment="1">
      <alignment horizontal="centerContinuous"/>
    </xf>
    <xf numFmtId="0" fontId="11" fillId="0" borderId="0" xfId="0" applyFont="1" applyAlignment="1">
      <alignment horizontal="center" textRotation="90"/>
    </xf>
    <xf numFmtId="168" fontId="6" fillId="5" borderId="0" xfId="0" applyNumberFormat="1" applyFont="1" applyFill="1"/>
    <xf numFmtId="0" fontId="0" fillId="0" borderId="23" xfId="0" applyBorder="1"/>
    <xf numFmtId="0" fontId="12" fillId="0" borderId="0" xfId="0" applyFont="1" applyAlignment="1">
      <alignment horizontal="center" textRotation="90"/>
    </xf>
    <xf numFmtId="0" fontId="2" fillId="7" borderId="0" xfId="0" applyFont="1" applyFill="1" applyAlignment="1">
      <alignment horizontal="center"/>
    </xf>
    <xf numFmtId="1" fontId="0" fillId="0" borderId="0" xfId="0" applyNumberFormat="1"/>
    <xf numFmtId="49" fontId="0" fillId="0" borderId="0" xfId="0" applyNumberFormat="1"/>
    <xf numFmtId="0" fontId="0" fillId="0" borderId="9" xfId="0" applyBorder="1" applyAlignment="1">
      <alignment horizontal="center"/>
    </xf>
    <xf numFmtId="0" fontId="0" fillId="0" borderId="9" xfId="0" applyBorder="1"/>
    <xf numFmtId="170" fontId="0" fillId="0" borderId="0" xfId="0" applyNumberFormat="1"/>
    <xf numFmtId="0" fontId="5" fillId="0" borderId="9" xfId="2" applyFont="1" applyFill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10" fillId="0" borderId="0" xfId="0" applyFont="1" applyAlignment="1">
      <alignment horizontal="centerContinuous"/>
    </xf>
    <xf numFmtId="0" fontId="10" fillId="0" borderId="0" xfId="0" applyFont="1" applyAlignment="1">
      <alignment horizontal="center"/>
    </xf>
    <xf numFmtId="0" fontId="6" fillId="0" borderId="9" xfId="0" applyFont="1" applyBorder="1" applyAlignment="1">
      <alignment horizontal="left"/>
    </xf>
    <xf numFmtId="0" fontId="5" fillId="0" borderId="9" xfId="0" applyFont="1" applyBorder="1" applyAlignment="1">
      <alignment horizontal="right"/>
    </xf>
    <xf numFmtId="0" fontId="6" fillId="0" borderId="0" xfId="0" applyFont="1"/>
    <xf numFmtId="0" fontId="14" fillId="8" borderId="29" xfId="0" applyFont="1" applyFill="1" applyBorder="1"/>
    <xf numFmtId="0" fontId="0" fillId="8" borderId="29" xfId="0" applyFill="1" applyBorder="1"/>
    <xf numFmtId="0" fontId="15" fillId="8" borderId="0" xfId="0" applyFont="1" applyFill="1"/>
    <xf numFmtId="0" fontId="14" fillId="8" borderId="0" xfId="0" applyFont="1" applyFill="1"/>
    <xf numFmtId="0" fontId="10" fillId="8" borderId="0" xfId="0" applyFont="1" applyFill="1" applyAlignment="1">
      <alignment horizontal="center"/>
    </xf>
    <xf numFmtId="0" fontId="0" fillId="8" borderId="0" xfId="0" applyFill="1"/>
    <xf numFmtId="0" fontId="19" fillId="11" borderId="42" xfId="0" applyFont="1" applyFill="1" applyBorder="1" applyAlignment="1">
      <alignment horizontal="right" wrapText="1"/>
    </xf>
    <xf numFmtId="0" fontId="19" fillId="12" borderId="38" xfId="0" applyFont="1" applyFill="1" applyBorder="1" applyAlignment="1">
      <alignment horizontal="right" wrapText="1"/>
    </xf>
    <xf numFmtId="0" fontId="19" fillId="11" borderId="38" xfId="0" applyFont="1" applyFill="1" applyBorder="1" applyAlignment="1">
      <alignment horizontal="right" wrapText="1"/>
    </xf>
    <xf numFmtId="0" fontId="14" fillId="8" borderId="9" xfId="0" applyFont="1" applyFill="1" applyBorder="1"/>
    <xf numFmtId="0" fontId="14" fillId="5" borderId="0" xfId="0" applyFont="1" applyFill="1"/>
    <xf numFmtId="0" fontId="19" fillId="11" borderId="37" xfId="0" applyFont="1" applyFill="1" applyBorder="1" applyAlignment="1">
      <alignment horizontal="right" wrapText="1"/>
    </xf>
    <xf numFmtId="0" fontId="19" fillId="12" borderId="39" xfId="0" applyFont="1" applyFill="1" applyBorder="1" applyAlignment="1">
      <alignment horizontal="right" wrapText="1"/>
    </xf>
    <xf numFmtId="0" fontId="19" fillId="11" borderId="39" xfId="0" applyFont="1" applyFill="1" applyBorder="1" applyAlignment="1">
      <alignment horizontal="right" wrapText="1"/>
    </xf>
    <xf numFmtId="0" fontId="6" fillId="0" borderId="0" xfId="0" applyFont="1" applyAlignment="1">
      <alignment horizontal="left"/>
    </xf>
    <xf numFmtId="0" fontId="5" fillId="0" borderId="0" xfId="0" applyFont="1"/>
    <xf numFmtId="0" fontId="0" fillId="8" borderId="23" xfId="0" applyFill="1" applyBorder="1"/>
    <xf numFmtId="0" fontId="20" fillId="11" borderId="37" xfId="0" applyFont="1" applyFill="1" applyBorder="1" applyAlignment="1">
      <alignment horizontal="right" wrapText="1"/>
    </xf>
    <xf numFmtId="0" fontId="20" fillId="12" borderId="39" xfId="0" applyFont="1" applyFill="1" applyBorder="1" applyAlignment="1">
      <alignment horizontal="right" wrapText="1"/>
    </xf>
    <xf numFmtId="0" fontId="20" fillId="11" borderId="39" xfId="0" applyFont="1" applyFill="1" applyBorder="1" applyAlignment="1">
      <alignment horizontal="right" wrapText="1"/>
    </xf>
    <xf numFmtId="1" fontId="14" fillId="0" borderId="0" xfId="0" applyNumberFormat="1" applyFont="1"/>
    <xf numFmtId="0" fontId="4" fillId="3" borderId="31" xfId="2" applyBorder="1">
      <alignment horizontal="center" vertical="center"/>
    </xf>
    <xf numFmtId="0" fontId="4" fillId="3" borderId="32" xfId="2" applyBorder="1">
      <alignment horizontal="center" vertical="center"/>
    </xf>
    <xf numFmtId="0" fontId="5" fillId="0" borderId="9" xfId="0" applyFont="1" applyBorder="1"/>
    <xf numFmtId="0" fontId="21" fillId="11" borderId="40" xfId="0" applyFont="1" applyFill="1" applyBorder="1" applyAlignment="1">
      <alignment horizontal="right" wrapText="1"/>
    </xf>
    <xf numFmtId="0" fontId="21" fillId="11" borderId="41" xfId="0" applyFont="1" applyFill="1" applyBorder="1" applyAlignment="1">
      <alignment horizontal="right" wrapText="1"/>
    </xf>
    <xf numFmtId="0" fontId="19" fillId="11" borderId="40" xfId="0" applyFont="1" applyFill="1" applyBorder="1" applyAlignment="1">
      <alignment horizontal="right" wrapText="1"/>
    </xf>
    <xf numFmtId="0" fontId="20" fillId="11" borderId="40" xfId="0" applyFont="1" applyFill="1" applyBorder="1" applyAlignment="1">
      <alignment horizontal="right" wrapText="1"/>
    </xf>
    <xf numFmtId="0" fontId="17" fillId="0" borderId="0" xfId="0" applyFont="1"/>
    <xf numFmtId="0" fontId="14" fillId="0" borderId="0" xfId="0" applyFont="1" applyAlignment="1">
      <alignment wrapText="1"/>
    </xf>
    <xf numFmtId="0" fontId="16" fillId="0" borderId="9" xfId="0" applyFont="1" applyBorder="1"/>
    <xf numFmtId="0" fontId="16" fillId="0" borderId="9" xfId="0" applyFont="1" applyBorder="1" applyAlignment="1">
      <alignment horizontal="right"/>
    </xf>
    <xf numFmtId="0" fontId="6" fillId="0" borderId="9" xfId="0" applyFont="1" applyBorder="1" applyAlignment="1">
      <alignment horizontal="left" wrapText="1"/>
    </xf>
  </cellXfs>
  <cellStyles count="8">
    <cellStyle name="Normal 2" xfId="4" xr:uid="{10C39234-5DDF-47E1-9F4C-6AF6B5BBEBC0}"/>
    <cellStyle name="Normal_Collar Position analysis" xfId="5" xr:uid="{0D4B0CD2-2716-41AD-A8ED-EE873B869715}"/>
    <cellStyle name="Orica blue" xfId="2" xr:uid="{DE858B8A-1319-4F0E-BA3B-631AB2F420D7}"/>
    <cellStyle name="Orica navy 2" xfId="7" xr:uid="{68C7CD43-B64C-4CD9-A1E8-104A04E80D7A}"/>
    <cellStyle name="Percent 2" xfId="3" xr:uid="{E3A8050D-518B-4B10-8F79-43B0FE3070B9}"/>
    <cellStyle name="Ввод  2" xfId="6" xr:uid="{DEFC7131-695E-4542-82ED-040BB2286D26}"/>
    <cellStyle name="Обычный" xfId="0" builtinId="0"/>
    <cellStyle name="Обычный 2" xfId="1" xr:uid="{0ED07AD2-0F6F-4AA6-AD1B-50AC950EF6FE}"/>
  </cellStyles>
  <dxfs count="5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4867141742643895E-2"/>
          <c:y val="3.1404002992264902E-2"/>
          <c:w val="0.93309856079924547"/>
          <c:h val="0.95326505768946568"/>
        </c:manualLayout>
      </c:layout>
      <c:scatterChart>
        <c:scatterStyle val="lineMarker"/>
        <c:varyColors val="0"/>
        <c:ser>
          <c:idx val="0"/>
          <c:order val="0"/>
          <c:tx>
            <c:strRef>
              <c:f>'[1]Точность устьев скважин'!$AD$4</c:f>
              <c:strCache>
                <c:ptCount val="1"/>
                <c:pt idx="0">
                  <c:v>Tolerance</c:v>
                </c:pt>
              </c:strCache>
            </c:strRef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'[1]Точность устьев скважин'!$AH$5:$AH$25</c:f>
              <c:numCache>
                <c:formatCode>0.00</c:formatCode>
                <c:ptCount val="21"/>
                <c:pt idx="0">
                  <c:v>0.5</c:v>
                </c:pt>
                <c:pt idx="1">
                  <c:v>0.47552814463916837</c:v>
                </c:pt>
                <c:pt idx="2">
                  <c:v>0.40450806537587941</c:v>
                </c:pt>
                <c:pt idx="3">
                  <c:v>0.29389173463991708</c:v>
                </c:pt>
                <c:pt idx="4">
                  <c:v>0.15450709981654692</c:v>
                </c:pt>
                <c:pt idx="5">
                  <c:v>-1.8366025516732743E-6</c:v>
                </c:pt>
                <c:pt idx="6">
                  <c:v>-0.15451059324136227</c:v>
                </c:pt>
                <c:pt idx="7">
                  <c:v>-0.29389470632209735</c:v>
                </c:pt>
                <c:pt idx="8">
                  <c:v>-0.40451022442511841</c:v>
                </c:pt>
                <c:pt idx="9">
                  <c:v>-0.4755292797117035</c:v>
                </c:pt>
                <c:pt idx="10">
                  <c:v>-0.49999999998650757</c:v>
                </c:pt>
                <c:pt idx="11">
                  <c:v>-0.4755270095409691</c:v>
                </c:pt>
                <c:pt idx="12">
                  <c:v>-0.4045059063048092</c:v>
                </c:pt>
                <c:pt idx="13">
                  <c:v>-0.29388876294187555</c:v>
                </c:pt>
                <c:pt idx="14">
                  <c:v>-0.15450360638339264</c:v>
                </c:pt>
                <c:pt idx="15">
                  <c:v>5.5098076548096798E-6</c:v>
                </c:pt>
                <c:pt idx="16">
                  <c:v>0.15451408665783872</c:v>
                </c:pt>
                <c:pt idx="17">
                  <c:v>0.2938976779884161</c:v>
                </c:pt>
                <c:pt idx="18">
                  <c:v>0.40451238345252627</c:v>
                </c:pt>
                <c:pt idx="19">
                  <c:v>0.47553041475857438</c:v>
                </c:pt>
                <c:pt idx="20">
                  <c:v>0.49999999994603028</c:v>
                </c:pt>
              </c:numCache>
            </c:numRef>
          </c:xVal>
          <c:yVal>
            <c:numRef>
              <c:f>'[1]Точность устьев скважин'!$AI$5:$AI$25</c:f>
              <c:numCache>
                <c:formatCode>0.00</c:formatCode>
                <c:ptCount val="21"/>
                <c:pt idx="0">
                  <c:v>0</c:v>
                </c:pt>
                <c:pt idx="1">
                  <c:v>0.15450884652999694</c:v>
                </c:pt>
                <c:pt idx="2">
                  <c:v>0.29389322048298983</c:v>
                </c:pt>
                <c:pt idx="3">
                  <c:v>0.40450914490322781</c:v>
                </c:pt>
                <c:pt idx="4">
                  <c:v>0.47552871217864395</c:v>
                </c:pt>
                <c:pt idx="5">
                  <c:v>0.49999999999662686</c:v>
                </c:pt>
                <c:pt idx="6">
                  <c:v>0.47552757709327681</c:v>
                </c:pt>
                <c:pt idx="7">
                  <c:v>0.40450698584307315</c:v>
                </c:pt>
                <c:pt idx="8">
                  <c:v>0.29389024879287901</c:v>
                </c:pt>
                <c:pt idx="9">
                  <c:v>0.1545053531010121</c:v>
                </c:pt>
                <c:pt idx="10">
                  <c:v>-3.6732051033217686E-6</c:v>
                </c:pt>
                <c:pt idx="11">
                  <c:v>-0.15451233995064298</c:v>
                </c:pt>
                <c:pt idx="12">
                  <c:v>-0.29389619215723928</c:v>
                </c:pt>
                <c:pt idx="13">
                  <c:v>-0.40451130394155127</c:v>
                </c:pt>
                <c:pt idx="14">
                  <c:v>-0.47552984723834701</c:v>
                </c:pt>
                <c:pt idx="15">
                  <c:v>-0.49999999996964201</c:v>
                </c:pt>
                <c:pt idx="16">
                  <c:v>-0.47552644198224553</c:v>
                </c:pt>
                <c:pt idx="17">
                  <c:v>-0.40450482676108734</c:v>
                </c:pt>
                <c:pt idx="18">
                  <c:v>-0.29388727708690682</c:v>
                </c:pt>
                <c:pt idx="19">
                  <c:v>-0.15450185966368898</c:v>
                </c:pt>
                <c:pt idx="20">
                  <c:v>7.346410206445295E-6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22-4CC9-A068-7CC725CE083B}"/>
            </c:ext>
          </c:extLst>
        </c:ser>
        <c:ser>
          <c:idx val="1"/>
          <c:order val="1"/>
          <c:tx>
            <c:strRef>
              <c:f>'[1]Точность устьев скважин'!$X$3</c:f>
              <c:strCache>
                <c:ptCount val="1"/>
                <c:pt idx="0">
                  <c:v>In Spec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5"/>
            <c:spPr>
              <a:solidFill>
                <a:srgbClr val="0070C0"/>
              </a:solidFill>
              <a:ln w="9525">
                <a:solidFill>
                  <a:schemeClr val="tx1"/>
                </a:solidFill>
              </a:ln>
            </c:spPr>
          </c:marker>
          <c:xVal>
            <c:numRef>
              <c:f>'[1]Точность устьев скважин'!$X$5:$X$151</c:f>
              <c:numCache>
                <c:formatCode>0.00</c:formatCode>
                <c:ptCount val="147"/>
                <c:pt idx="0">
                  <c:v>-0.18000000000029104</c:v>
                </c:pt>
                <c:pt idx="1">
                  <c:v>-0.16999999999825377</c:v>
                </c:pt>
                <c:pt idx="2">
                  <c:v>0.1599999999962165</c:v>
                </c:pt>
                <c:pt idx="3">
                  <c:v>-0.2199999999938882</c:v>
                </c:pt>
                <c:pt idx="4">
                  <c:v>-0.16999999999825377</c:v>
                </c:pt>
                <c:pt idx="5">
                  <c:v>-0.31000000000494765</c:v>
                </c:pt>
                <c:pt idx="6">
                  <c:v>-8.999999999650754E-2</c:v>
                </c:pt>
                <c:pt idx="7">
                  <c:v>100</c:v>
                </c:pt>
                <c:pt idx="8">
                  <c:v>-1.9999999996798579E-2</c:v>
                </c:pt>
                <c:pt idx="9">
                  <c:v>-0.25</c:v>
                </c:pt>
                <c:pt idx="10">
                  <c:v>-0.27000000000407454</c:v>
                </c:pt>
                <c:pt idx="11">
                  <c:v>-5.0000000002910383E-2</c:v>
                </c:pt>
                <c:pt idx="12">
                  <c:v>-0.23000000000320142</c:v>
                </c:pt>
                <c:pt idx="13">
                  <c:v>-2.0000000004074536E-2</c:v>
                </c:pt>
                <c:pt idx="14">
                  <c:v>-0.15000000000145519</c:v>
                </c:pt>
                <c:pt idx="15">
                  <c:v>8.000000000174623E-2</c:v>
                </c:pt>
                <c:pt idx="16">
                  <c:v>-0.13999999999941792</c:v>
                </c:pt>
                <c:pt idx="17">
                  <c:v>-0.20000000000436557</c:v>
                </c:pt>
                <c:pt idx="18">
                  <c:v>-5.0000000002910383E-2</c:v>
                </c:pt>
                <c:pt idx="19">
                  <c:v>0.42000000000552973</c:v>
                </c:pt>
                <c:pt idx="20">
                  <c:v>-6.0000000004947651E-2</c:v>
                </c:pt>
                <c:pt idx="21">
                  <c:v>0.29000000000087311</c:v>
                </c:pt>
                <c:pt idx="22">
                  <c:v>-0.11000000000058208</c:v>
                </c:pt>
                <c:pt idx="23">
                  <c:v>0.29999999999563443</c:v>
                </c:pt>
                <c:pt idx="24">
                  <c:v>0.12000000000261934</c:v>
                </c:pt>
                <c:pt idx="25">
                  <c:v>0.26000000000203727</c:v>
                </c:pt>
                <c:pt idx="26">
                  <c:v>100</c:v>
                </c:pt>
                <c:pt idx="27">
                  <c:v>-0.18000000000029104</c:v>
                </c:pt>
                <c:pt idx="28">
                  <c:v>1.0000000002037268E-2</c:v>
                </c:pt>
                <c:pt idx="29">
                  <c:v>-0.13999999999941792</c:v>
                </c:pt>
                <c:pt idx="30">
                  <c:v>-0.20000000000436557</c:v>
                </c:pt>
                <c:pt idx="31">
                  <c:v>-0.34999999999854481</c:v>
                </c:pt>
                <c:pt idx="32">
                  <c:v>-0.13999999999941792</c:v>
                </c:pt>
                <c:pt idx="33">
                  <c:v>-0.33999999999650754</c:v>
                </c:pt>
                <c:pt idx="34">
                  <c:v>0.18000000000029104</c:v>
                </c:pt>
                <c:pt idx="35">
                  <c:v>0.26999999999679858</c:v>
                </c:pt>
                <c:pt idx="36">
                  <c:v>0</c:v>
                </c:pt>
                <c:pt idx="37">
                  <c:v>-9.9999999947613105E-3</c:v>
                </c:pt>
                <c:pt idx="38">
                  <c:v>0.22000000000116415</c:v>
                </c:pt>
                <c:pt idx="39">
                  <c:v>0.19999999999708962</c:v>
                </c:pt>
                <c:pt idx="40">
                  <c:v>-8.999999999650754E-2</c:v>
                </c:pt>
                <c:pt idx="41">
                  <c:v>0.24000000000523869</c:v>
                </c:pt>
                <c:pt idx="42">
                  <c:v>-0.35000000000582077</c:v>
                </c:pt>
                <c:pt idx="43">
                  <c:v>-0.38000000000465661</c:v>
                </c:pt>
                <c:pt idx="44">
                  <c:v>0.12999999999738066</c:v>
                </c:pt>
                <c:pt idx="45">
                  <c:v>-0.18000000000029104</c:v>
                </c:pt>
                <c:pt idx="46">
                  <c:v>4.9999999995634425E-2</c:v>
                </c:pt>
                <c:pt idx="47">
                  <c:v>-0.23000000000320142</c:v>
                </c:pt>
                <c:pt idx="48">
                  <c:v>-9.9999999998544808E-2</c:v>
                </c:pt>
                <c:pt idx="49">
                  <c:v>-8.999999999650754E-2</c:v>
                </c:pt>
                <c:pt idx="50">
                  <c:v>-0.34999999999854481</c:v>
                </c:pt>
                <c:pt idx="51">
                  <c:v>-4.0000000000873115E-2</c:v>
                </c:pt>
                <c:pt idx="52">
                  <c:v>0</c:v>
                </c:pt>
                <c:pt idx="53">
                  <c:v>-2.9999999998835847E-2</c:v>
                </c:pt>
                <c:pt idx="54">
                  <c:v>-2.9999999998835847E-2</c:v>
                </c:pt>
                <c:pt idx="55">
                  <c:v>0.33000000000174623</c:v>
                </c:pt>
                <c:pt idx="56">
                  <c:v>-0.16000000000349246</c:v>
                </c:pt>
                <c:pt idx="57">
                  <c:v>-0.22999999999592546</c:v>
                </c:pt>
                <c:pt idx="58">
                  <c:v>9.0000000003783498E-2</c:v>
                </c:pt>
                <c:pt idx="59">
                  <c:v>-0.16000000000349246</c:v>
                </c:pt>
                <c:pt idx="60">
                  <c:v>1.9999999996798579E-2</c:v>
                </c:pt>
                <c:pt idx="61">
                  <c:v>-0.33999999999650754</c:v>
                </c:pt>
                <c:pt idx="62">
                  <c:v>5.0000000002910383E-2</c:v>
                </c:pt>
                <c:pt idx="63">
                  <c:v>-0.12000000000261934</c:v>
                </c:pt>
                <c:pt idx="64">
                  <c:v>-0.22000000000116415</c:v>
                </c:pt>
                <c:pt idx="65">
                  <c:v>0</c:v>
                </c:pt>
                <c:pt idx="66">
                  <c:v>-0.12999999999738066</c:v>
                </c:pt>
                <c:pt idx="67">
                  <c:v>-0.25</c:v>
                </c:pt>
                <c:pt idx="68">
                  <c:v>-6.9999999999708962E-2</c:v>
                </c:pt>
                <c:pt idx="69">
                  <c:v>-0.23000000000320142</c:v>
                </c:pt>
                <c:pt idx="70">
                  <c:v>-5.0000000002910383E-2</c:v>
                </c:pt>
                <c:pt idx="71">
                  <c:v>-0.28999999999359716</c:v>
                </c:pt>
                <c:pt idx="72">
                  <c:v>-3.0000000006111804E-2</c:v>
                </c:pt>
                <c:pt idx="73">
                  <c:v>0.13999999999941792</c:v>
                </c:pt>
                <c:pt idx="74">
                  <c:v>-0.10999999999330612</c:v>
                </c:pt>
                <c:pt idx="75">
                  <c:v>-0.20000000000436557</c:v>
                </c:pt>
                <c:pt idx="76">
                  <c:v>-0.19999999999708962</c:v>
                </c:pt>
                <c:pt idx="77">
                  <c:v>0.11000000000058208</c:v>
                </c:pt>
                <c:pt idx="78">
                  <c:v>-0.20999999999912689</c:v>
                </c:pt>
                <c:pt idx="79">
                  <c:v>-8.999999999650754E-2</c:v>
                </c:pt>
                <c:pt idx="80">
                  <c:v>-0.13999999999941792</c:v>
                </c:pt>
                <c:pt idx="81">
                  <c:v>0.12999999999738066</c:v>
                </c:pt>
                <c:pt idx="82">
                  <c:v>0.16000000000349246</c:v>
                </c:pt>
                <c:pt idx="83">
                  <c:v>0.41000000000349246</c:v>
                </c:pt>
                <c:pt idx="84">
                  <c:v>-0.36999999999534339</c:v>
                </c:pt>
                <c:pt idx="85">
                  <c:v>-0.20000000000436557</c:v>
                </c:pt>
                <c:pt idx="86">
                  <c:v>0.19999999999708962</c:v>
                </c:pt>
                <c:pt idx="87">
                  <c:v>0.44000000000232831</c:v>
                </c:pt>
                <c:pt idx="88">
                  <c:v>1.0000000002037268E-2</c:v>
                </c:pt>
                <c:pt idx="89">
                  <c:v>100</c:v>
                </c:pt>
                <c:pt idx="90">
                  <c:v>8.999999999650754E-2</c:v>
                </c:pt>
                <c:pt idx="91">
                  <c:v>-8.000000000174623E-2</c:v>
                </c:pt>
                <c:pt idx="92">
                  <c:v>-0.16999999999825377</c:v>
                </c:pt>
                <c:pt idx="93">
                  <c:v>-8.999999999650754E-2</c:v>
                </c:pt>
                <c:pt idx="94">
                  <c:v>0.39999999999417923</c:v>
                </c:pt>
                <c:pt idx="95">
                  <c:v>1.9999999996798579E-2</c:v>
                </c:pt>
                <c:pt idx="96">
                  <c:v>-0.11000000000058208</c:v>
                </c:pt>
                <c:pt idx="97">
                  <c:v>5.9999999997671694E-2</c:v>
                </c:pt>
                <c:pt idx="98">
                  <c:v>1.0000000002037268E-2</c:v>
                </c:pt>
                <c:pt idx="99">
                  <c:v>0.21000000000640284</c:v>
                </c:pt>
                <c:pt idx="100">
                  <c:v>100</c:v>
                </c:pt>
                <c:pt idx="101">
                  <c:v>-0.19999999999708962</c:v>
                </c:pt>
                <c:pt idx="102">
                  <c:v>-0.43999999999505235</c:v>
                </c:pt>
                <c:pt idx="103">
                  <c:v>-0.22000000000116415</c:v>
                </c:pt>
                <c:pt idx="104">
                  <c:v>4.0000000000873115E-2</c:v>
                </c:pt>
                <c:pt idx="105">
                  <c:v>0.21000000000640284</c:v>
                </c:pt>
                <c:pt idx="106">
                  <c:v>0.19999999999708962</c:v>
                </c:pt>
                <c:pt idx="107">
                  <c:v>5.0000000002910383E-2</c:v>
                </c:pt>
                <c:pt idx="108">
                  <c:v>-0.11000000000058208</c:v>
                </c:pt>
                <c:pt idx="109">
                  <c:v>0.12000000000261934</c:v>
                </c:pt>
                <c:pt idx="110">
                  <c:v>-9.9999999998544808E-2</c:v>
                </c:pt>
                <c:pt idx="111">
                  <c:v>0.33000000000174623</c:v>
                </c:pt>
                <c:pt idx="112">
                  <c:v>6.9999999999708962E-2</c:v>
                </c:pt>
                <c:pt idx="113">
                  <c:v>-0.26000000000203727</c:v>
                </c:pt>
                <c:pt idx="114">
                  <c:v>-0.23000000000320142</c:v>
                </c:pt>
                <c:pt idx="115">
                  <c:v>8.999999999650754E-2</c:v>
                </c:pt>
                <c:pt idx="116">
                  <c:v>-0.11999999999534339</c:v>
                </c:pt>
                <c:pt idx="117">
                  <c:v>2.9999999998835847E-2</c:v>
                </c:pt>
                <c:pt idx="118">
                  <c:v>0.13000000000465661</c:v>
                </c:pt>
                <c:pt idx="119">
                  <c:v>-6.9999999999708962E-2</c:v>
                </c:pt>
                <c:pt idx="120">
                  <c:v>0.15000000000145519</c:v>
                </c:pt>
                <c:pt idx="121">
                  <c:v>-6.9999999999708962E-2</c:v>
                </c:pt>
                <c:pt idx="122">
                  <c:v>-0.26999999999679858</c:v>
                </c:pt>
                <c:pt idx="123">
                  <c:v>0.11999999999534339</c:v>
                </c:pt>
                <c:pt idx="124">
                  <c:v>9.9999999998544808E-2</c:v>
                </c:pt>
                <c:pt idx="125">
                  <c:v>-0.14000000000669388</c:v>
                </c:pt>
                <c:pt idx="126">
                  <c:v>-0.20999999999912689</c:v>
                </c:pt>
                <c:pt idx="127">
                  <c:v>-0.19999999999708962</c:v>
                </c:pt>
                <c:pt idx="128">
                  <c:v>-0.25</c:v>
                </c:pt>
                <c:pt idx="129">
                  <c:v>0</c:v>
                </c:pt>
                <c:pt idx="130">
                  <c:v>4.0000000000873115E-2</c:v>
                </c:pt>
                <c:pt idx="131">
                  <c:v>6.0000000004947651E-2</c:v>
                </c:pt>
                <c:pt idx="132">
                  <c:v>-0.29000000000087311</c:v>
                </c:pt>
                <c:pt idx="133">
                  <c:v>-0.41999999999825377</c:v>
                </c:pt>
                <c:pt idx="134">
                  <c:v>-0.22000000000116415</c:v>
                </c:pt>
                <c:pt idx="135">
                  <c:v>0.38999999999941792</c:v>
                </c:pt>
                <c:pt idx="136">
                  <c:v>9.9999999998544808E-2</c:v>
                </c:pt>
                <c:pt idx="137">
                  <c:v>0.42000000000552973</c:v>
                </c:pt>
                <c:pt idx="138">
                  <c:v>2.9999999998835847E-2</c:v>
                </c:pt>
                <c:pt idx="139">
                  <c:v>-0.12000000000261934</c:v>
                </c:pt>
                <c:pt idx="140">
                  <c:v>0.13999999999941792</c:v>
                </c:pt>
                <c:pt idx="141">
                  <c:v>-0.30000000000291038</c:v>
                </c:pt>
                <c:pt idx="142">
                  <c:v>-0.27000000000407454</c:v>
                </c:pt>
                <c:pt idx="143">
                  <c:v>-0.20000000000436557</c:v>
                </c:pt>
                <c:pt idx="144">
                  <c:v>-0.18000000000029104</c:v>
                </c:pt>
                <c:pt idx="145">
                  <c:v>-0.42000000000552973</c:v>
                </c:pt>
                <c:pt idx="146">
                  <c:v>-0.45999999999912689</c:v>
                </c:pt>
              </c:numCache>
            </c:numRef>
          </c:xVal>
          <c:yVal>
            <c:numRef>
              <c:f>'[1]Точность устьев скважин'!$Y$5:$Y$151</c:f>
              <c:numCache>
                <c:formatCode>0.00</c:formatCode>
                <c:ptCount val="147"/>
                <c:pt idx="0">
                  <c:v>0.17000000000189175</c:v>
                </c:pt>
                <c:pt idx="1">
                  <c:v>0.18000000000029104</c:v>
                </c:pt>
                <c:pt idx="2">
                  <c:v>0.13000000000101863</c:v>
                </c:pt>
                <c:pt idx="3">
                  <c:v>-0.11999999999898137</c:v>
                </c:pt>
                <c:pt idx="4">
                  <c:v>0.15000000000145519</c:v>
                </c:pt>
                <c:pt idx="5">
                  <c:v>0.30999999999767169</c:v>
                </c:pt>
                <c:pt idx="6">
                  <c:v>-8.000000000174623E-2</c:v>
                </c:pt>
                <c:pt idx="7">
                  <c:v>100</c:v>
                </c:pt>
                <c:pt idx="8">
                  <c:v>0.2000000000007276</c:v>
                </c:pt>
                <c:pt idx="9">
                  <c:v>4.9999999999272404E-2</c:v>
                </c:pt>
                <c:pt idx="10">
                  <c:v>-0.15999999999985448</c:v>
                </c:pt>
                <c:pt idx="11">
                  <c:v>-0.20999999999912689</c:v>
                </c:pt>
                <c:pt idx="12">
                  <c:v>-0.15000000000145519</c:v>
                </c:pt>
                <c:pt idx="13">
                  <c:v>0.29000000000087311</c:v>
                </c:pt>
                <c:pt idx="14">
                  <c:v>0.38999999999941792</c:v>
                </c:pt>
                <c:pt idx="15">
                  <c:v>0.2999999999992724</c:v>
                </c:pt>
                <c:pt idx="16">
                  <c:v>2.9999999998835847E-2</c:v>
                </c:pt>
                <c:pt idx="17">
                  <c:v>0.22000000000116415</c:v>
                </c:pt>
                <c:pt idx="18">
                  <c:v>-2.0000000000436557E-2</c:v>
                </c:pt>
                <c:pt idx="19">
                  <c:v>0.13999999999941792</c:v>
                </c:pt>
                <c:pt idx="20">
                  <c:v>-6.0000000001309672E-2</c:v>
                </c:pt>
                <c:pt idx="21">
                  <c:v>0</c:v>
                </c:pt>
                <c:pt idx="22">
                  <c:v>-0.19000000000232831</c:v>
                </c:pt>
                <c:pt idx="23">
                  <c:v>-0.27000000000043656</c:v>
                </c:pt>
                <c:pt idx="24">
                  <c:v>2.9999999998835847E-2</c:v>
                </c:pt>
                <c:pt idx="25">
                  <c:v>0.33000000000174623</c:v>
                </c:pt>
                <c:pt idx="26">
                  <c:v>100</c:v>
                </c:pt>
                <c:pt idx="27">
                  <c:v>-6.0000000001309672E-2</c:v>
                </c:pt>
                <c:pt idx="28">
                  <c:v>3.0000000002473826E-2</c:v>
                </c:pt>
                <c:pt idx="29">
                  <c:v>1.0000000002037268E-2</c:v>
                </c:pt>
                <c:pt idx="30">
                  <c:v>0.20999999999912689</c:v>
                </c:pt>
                <c:pt idx="31">
                  <c:v>9.9999999998544808E-2</c:v>
                </c:pt>
                <c:pt idx="32">
                  <c:v>2.9999999998835847E-2</c:v>
                </c:pt>
                <c:pt idx="33">
                  <c:v>7.0000000003346941E-2</c:v>
                </c:pt>
                <c:pt idx="34">
                  <c:v>0.14999999999781721</c:v>
                </c:pt>
                <c:pt idx="35">
                  <c:v>-0.15999999999985448</c:v>
                </c:pt>
                <c:pt idx="36">
                  <c:v>-0.2999999999992724</c:v>
                </c:pt>
                <c:pt idx="37">
                  <c:v>-0.22000000000116415</c:v>
                </c:pt>
                <c:pt idx="38">
                  <c:v>-0.25</c:v>
                </c:pt>
                <c:pt idx="39">
                  <c:v>0.32999999999810825</c:v>
                </c:pt>
                <c:pt idx="40">
                  <c:v>-0.38999999999941792</c:v>
                </c:pt>
                <c:pt idx="41">
                  <c:v>-0.34999999999854481</c:v>
                </c:pt>
                <c:pt idx="42">
                  <c:v>-0.15999999999985448</c:v>
                </c:pt>
                <c:pt idx="43">
                  <c:v>0.12000000000261934</c:v>
                </c:pt>
                <c:pt idx="44">
                  <c:v>-0.11999999999898137</c:v>
                </c:pt>
                <c:pt idx="45">
                  <c:v>-0.12999999999738066</c:v>
                </c:pt>
                <c:pt idx="46">
                  <c:v>-0.36000000000058208</c:v>
                </c:pt>
                <c:pt idx="47">
                  <c:v>-0.1400000000030559</c:v>
                </c:pt>
                <c:pt idx="48">
                  <c:v>0.12000000000261934</c:v>
                </c:pt>
                <c:pt idx="49">
                  <c:v>6.9999999999708962E-2</c:v>
                </c:pt>
                <c:pt idx="50">
                  <c:v>0.15999999999985448</c:v>
                </c:pt>
                <c:pt idx="51">
                  <c:v>6.0000000001309672E-2</c:v>
                </c:pt>
                <c:pt idx="52">
                  <c:v>-4.9999999999272404E-2</c:v>
                </c:pt>
                <c:pt idx="53">
                  <c:v>-6.0000000001309672E-2</c:v>
                </c:pt>
                <c:pt idx="54">
                  <c:v>-0.13000000000101863</c:v>
                </c:pt>
                <c:pt idx="55">
                  <c:v>-0.27000000000043656</c:v>
                </c:pt>
                <c:pt idx="56">
                  <c:v>-0.38000000000101863</c:v>
                </c:pt>
                <c:pt idx="57">
                  <c:v>-4.9999999999272404E-2</c:v>
                </c:pt>
                <c:pt idx="58">
                  <c:v>-0.43000000000029104</c:v>
                </c:pt>
                <c:pt idx="59">
                  <c:v>-4.0000000000873115E-2</c:v>
                </c:pt>
                <c:pt idx="60">
                  <c:v>-2.9999999998835847E-2</c:v>
                </c:pt>
                <c:pt idx="61">
                  <c:v>4.0000000000873115E-2</c:v>
                </c:pt>
                <c:pt idx="62">
                  <c:v>2.0000000000436557E-2</c:v>
                </c:pt>
                <c:pt idx="63">
                  <c:v>-4.9999999999272404E-2</c:v>
                </c:pt>
                <c:pt idx="64">
                  <c:v>-0.30999999999767169</c:v>
                </c:pt>
                <c:pt idx="65">
                  <c:v>-0.31999999999970896</c:v>
                </c:pt>
                <c:pt idx="66">
                  <c:v>0.10000000000218279</c:v>
                </c:pt>
                <c:pt idx="67">
                  <c:v>-3.0000000002473826E-2</c:v>
                </c:pt>
                <c:pt idx="68">
                  <c:v>-0.11000000000058208</c:v>
                </c:pt>
                <c:pt idx="69">
                  <c:v>-0.13999999999941792</c:v>
                </c:pt>
                <c:pt idx="70">
                  <c:v>-0.15999999999985448</c:v>
                </c:pt>
                <c:pt idx="71">
                  <c:v>-4.0000000000873115E-2</c:v>
                </c:pt>
                <c:pt idx="72">
                  <c:v>-0.18000000000029104</c:v>
                </c:pt>
                <c:pt idx="73">
                  <c:v>-9.0000000000145519E-2</c:v>
                </c:pt>
                <c:pt idx="74">
                  <c:v>4.0000000000873115E-2</c:v>
                </c:pt>
                <c:pt idx="75">
                  <c:v>0.17000000000189175</c:v>
                </c:pt>
                <c:pt idx="76">
                  <c:v>0.27000000000043656</c:v>
                </c:pt>
                <c:pt idx="77">
                  <c:v>0.10000000000218279</c:v>
                </c:pt>
                <c:pt idx="78">
                  <c:v>-5.0000000002910383E-2</c:v>
                </c:pt>
                <c:pt idx="79">
                  <c:v>-6.9999999999708962E-2</c:v>
                </c:pt>
                <c:pt idx="80">
                  <c:v>-1.0000000002037268E-2</c:v>
                </c:pt>
                <c:pt idx="81">
                  <c:v>5.0000000002910383E-2</c:v>
                </c:pt>
                <c:pt idx="82">
                  <c:v>0.13000000000101863</c:v>
                </c:pt>
                <c:pt idx="83">
                  <c:v>0.22000000000116415</c:v>
                </c:pt>
                <c:pt idx="84">
                  <c:v>-4.0000000000873115E-2</c:v>
                </c:pt>
                <c:pt idx="85">
                  <c:v>0.27999999999883585</c:v>
                </c:pt>
                <c:pt idx="86">
                  <c:v>-2.9999999998835847E-2</c:v>
                </c:pt>
                <c:pt idx="87">
                  <c:v>-4.0000000000873115E-2</c:v>
                </c:pt>
                <c:pt idx="88">
                  <c:v>0.11999999999898137</c:v>
                </c:pt>
                <c:pt idx="89">
                  <c:v>100</c:v>
                </c:pt>
                <c:pt idx="90">
                  <c:v>0.28000000000247383</c:v>
                </c:pt>
                <c:pt idx="91">
                  <c:v>0.12999999999738066</c:v>
                </c:pt>
                <c:pt idx="92">
                  <c:v>-0.20999999999912689</c:v>
                </c:pt>
                <c:pt idx="93">
                  <c:v>0.25999999999839929</c:v>
                </c:pt>
                <c:pt idx="94">
                  <c:v>0.15999999999985448</c:v>
                </c:pt>
                <c:pt idx="95">
                  <c:v>0.11999999999898137</c:v>
                </c:pt>
                <c:pt idx="96">
                  <c:v>-2.0000000000436557E-2</c:v>
                </c:pt>
                <c:pt idx="97">
                  <c:v>-2.9999999998835847E-2</c:v>
                </c:pt>
                <c:pt idx="98">
                  <c:v>-0.21000000000276486</c:v>
                </c:pt>
                <c:pt idx="99">
                  <c:v>1.0000000002037268E-2</c:v>
                </c:pt>
                <c:pt idx="100">
                  <c:v>100</c:v>
                </c:pt>
                <c:pt idx="101">
                  <c:v>3.9999999997235136E-2</c:v>
                </c:pt>
                <c:pt idx="102">
                  <c:v>9.9999999998544808E-2</c:v>
                </c:pt>
                <c:pt idx="103">
                  <c:v>0.11000000000058208</c:v>
                </c:pt>
                <c:pt idx="104">
                  <c:v>0.20999999999912689</c:v>
                </c:pt>
                <c:pt idx="105">
                  <c:v>-2.9999999998835847E-2</c:v>
                </c:pt>
                <c:pt idx="106">
                  <c:v>-9.0000000000145519E-2</c:v>
                </c:pt>
                <c:pt idx="107">
                  <c:v>0.27000000000043656</c:v>
                </c:pt>
                <c:pt idx="108">
                  <c:v>-0.13000000000101863</c:v>
                </c:pt>
                <c:pt idx="109">
                  <c:v>-2.9999999998835847E-2</c:v>
                </c:pt>
                <c:pt idx="110">
                  <c:v>-1.0000000002037268E-2</c:v>
                </c:pt>
                <c:pt idx="111">
                  <c:v>8.000000000174623E-2</c:v>
                </c:pt>
                <c:pt idx="112">
                  <c:v>-0.15000000000145519</c:v>
                </c:pt>
                <c:pt idx="113">
                  <c:v>0.10000000000218279</c:v>
                </c:pt>
                <c:pt idx="114">
                  <c:v>9.9999999998544808E-2</c:v>
                </c:pt>
                <c:pt idx="115">
                  <c:v>0.22999999999956344</c:v>
                </c:pt>
                <c:pt idx="116">
                  <c:v>0.10000000000218279</c:v>
                </c:pt>
                <c:pt idx="117">
                  <c:v>0.34999999999854481</c:v>
                </c:pt>
                <c:pt idx="118">
                  <c:v>0.18999999999869033</c:v>
                </c:pt>
                <c:pt idx="119">
                  <c:v>0.35000000000218279</c:v>
                </c:pt>
                <c:pt idx="120">
                  <c:v>-0.2000000000007276</c:v>
                </c:pt>
                <c:pt idx="121">
                  <c:v>0.15999999999985448</c:v>
                </c:pt>
                <c:pt idx="122">
                  <c:v>0.12999999999738066</c:v>
                </c:pt>
                <c:pt idx="123">
                  <c:v>-4.9999999999272404E-2</c:v>
                </c:pt>
                <c:pt idx="124">
                  <c:v>-0.13999999999941792</c:v>
                </c:pt>
                <c:pt idx="125">
                  <c:v>-0.13999999999941792</c:v>
                </c:pt>
                <c:pt idx="126">
                  <c:v>0.22000000000116415</c:v>
                </c:pt>
                <c:pt idx="127">
                  <c:v>-9.9999999983992893E-3</c:v>
                </c:pt>
                <c:pt idx="128">
                  <c:v>0</c:v>
                </c:pt>
                <c:pt idx="129">
                  <c:v>-0.21000000000276486</c:v>
                </c:pt>
                <c:pt idx="130">
                  <c:v>0.34000000000014552</c:v>
                </c:pt>
                <c:pt idx="131">
                  <c:v>0.20999999999912689</c:v>
                </c:pt>
                <c:pt idx="132">
                  <c:v>0.18000000000029104</c:v>
                </c:pt>
                <c:pt idx="133">
                  <c:v>-0.18999999999869033</c:v>
                </c:pt>
                <c:pt idx="134">
                  <c:v>-2.0000000000436557E-2</c:v>
                </c:pt>
                <c:pt idx="135">
                  <c:v>-3.0000000002473826E-2</c:v>
                </c:pt>
                <c:pt idx="136">
                  <c:v>0.25999999999839929</c:v>
                </c:pt>
                <c:pt idx="137">
                  <c:v>0.18999999999869033</c:v>
                </c:pt>
                <c:pt idx="138">
                  <c:v>6.9999999999708962E-2</c:v>
                </c:pt>
                <c:pt idx="139">
                  <c:v>0.15999999999985448</c:v>
                </c:pt>
                <c:pt idx="140">
                  <c:v>-0.13000000000101863</c:v>
                </c:pt>
                <c:pt idx="141">
                  <c:v>-5.9999999997671694E-2</c:v>
                </c:pt>
                <c:pt idx="142">
                  <c:v>-0.18999999999869033</c:v>
                </c:pt>
                <c:pt idx="143">
                  <c:v>-0.20999999999912689</c:v>
                </c:pt>
                <c:pt idx="144">
                  <c:v>-0.21999999999752617</c:v>
                </c:pt>
                <c:pt idx="145">
                  <c:v>-7.9999999998108251E-2</c:v>
                </c:pt>
                <c:pt idx="146">
                  <c:v>5.0000000002910383E-2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22-4CC9-A068-7CC725CE083B}"/>
            </c:ext>
          </c:extLst>
        </c:ser>
        <c:ser>
          <c:idx val="2"/>
          <c:order val="2"/>
          <c:tx>
            <c:strRef>
              <c:f>'[1]Точность устьев скважин'!$Z$3</c:f>
              <c:strCache>
                <c:ptCount val="1"/>
                <c:pt idx="0">
                  <c:v>Out of Spec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5"/>
            <c:spPr>
              <a:solidFill>
                <a:srgbClr val="0033CC"/>
              </a:solidFill>
              <a:ln>
                <a:solidFill>
                  <a:srgbClr val="0033CC"/>
                </a:solidFill>
              </a:ln>
            </c:spPr>
          </c:marker>
          <c:xVal>
            <c:numRef>
              <c:f>'[1]Точность устьев скважин'!$Z$5:$Z$151</c:f>
              <c:numCache>
                <c:formatCode>0.00</c:formatCode>
                <c:ptCount val="14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-0.27999999999883585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0.37999999999738066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0.43999999999505235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0.48999999999796273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</c:numCache>
            </c:numRef>
          </c:xVal>
          <c:yVal>
            <c:numRef>
              <c:f>'[1]Точность устьев скважин'!$AA$5:$AA$151</c:f>
              <c:numCache>
                <c:formatCode>0.00</c:formatCode>
                <c:ptCount val="14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0.61000000000058208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0.5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0.33000000000174623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0.27000000000043656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  <c:pt idx="126">
                  <c:v>100</c:v>
                </c:pt>
                <c:pt idx="127">
                  <c:v>100</c:v>
                </c:pt>
                <c:pt idx="128">
                  <c:v>100</c:v>
                </c:pt>
                <c:pt idx="129">
                  <c:v>100</c:v>
                </c:pt>
                <c:pt idx="130">
                  <c:v>100</c:v>
                </c:pt>
                <c:pt idx="131">
                  <c:v>100</c:v>
                </c:pt>
                <c:pt idx="132">
                  <c:v>100</c:v>
                </c:pt>
                <c:pt idx="133">
                  <c:v>100</c:v>
                </c:pt>
                <c:pt idx="134">
                  <c:v>100</c:v>
                </c:pt>
                <c:pt idx="135">
                  <c:v>100</c:v>
                </c:pt>
                <c:pt idx="136">
                  <c:v>100</c:v>
                </c:pt>
                <c:pt idx="137">
                  <c:v>100</c:v>
                </c:pt>
                <c:pt idx="138">
                  <c:v>100</c:v>
                </c:pt>
                <c:pt idx="139">
                  <c:v>100</c:v>
                </c:pt>
                <c:pt idx="140">
                  <c:v>100</c:v>
                </c:pt>
                <c:pt idx="141">
                  <c:v>100</c:v>
                </c:pt>
                <c:pt idx="142">
                  <c:v>100</c:v>
                </c:pt>
                <c:pt idx="143">
                  <c:v>100</c:v>
                </c:pt>
                <c:pt idx="144">
                  <c:v>100</c:v>
                </c:pt>
                <c:pt idx="145">
                  <c:v>100</c:v>
                </c:pt>
                <c:pt idx="146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22-4CC9-A068-7CC725CE0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0946944"/>
        <c:axId val="400946552"/>
      </c:scatterChart>
      <c:valAx>
        <c:axId val="400946944"/>
        <c:scaling>
          <c:orientation val="minMax"/>
          <c:max val="2.5"/>
          <c:min val="-2.5"/>
        </c:scaling>
        <c:delete val="0"/>
        <c:axPos val="b"/>
        <c:majorGridlines>
          <c:spPr>
            <a:ln>
              <a:solidFill>
                <a:sysClr val="window" lastClr="FFFFFF">
                  <a:lumMod val="85000"/>
                </a:sysClr>
              </a:solidFill>
            </a:ln>
          </c:spPr>
        </c:majorGridlines>
        <c:numFmt formatCode="0.00" sourceLinked="0"/>
        <c:majorTickMark val="out"/>
        <c:minorTickMark val="none"/>
        <c:tickLblPos val="nextTo"/>
        <c:spPr>
          <a:ln w="19050"/>
        </c:spPr>
        <c:crossAx val="400946552"/>
        <c:crosses val="autoZero"/>
        <c:crossBetween val="midCat"/>
      </c:valAx>
      <c:valAx>
        <c:axId val="400946552"/>
        <c:scaling>
          <c:orientation val="minMax"/>
          <c:max val="2.5"/>
          <c:min val="-2.5"/>
        </c:scaling>
        <c:delete val="0"/>
        <c:axPos val="l"/>
        <c:majorGridlines>
          <c:spPr>
            <a:ln>
              <a:solidFill>
                <a:schemeClr val="bg1">
                  <a:lumMod val="85000"/>
                </a:schemeClr>
              </a:solidFill>
            </a:ln>
          </c:spPr>
        </c:majorGridlines>
        <c:numFmt formatCode="0.0\ &quot;m&quot;" sourceLinked="0"/>
        <c:majorTickMark val="out"/>
        <c:minorTickMark val="none"/>
        <c:tickLblPos val="nextTo"/>
        <c:crossAx val="400946944"/>
        <c:crosses val="autoZero"/>
        <c:crossBetween val="midCat"/>
      </c:valAx>
      <c:spPr>
        <a:ln w="25400">
          <a:solidFill>
            <a:schemeClr val="tx1"/>
          </a:solidFill>
        </a:ln>
      </c:spPr>
    </c:plotArea>
    <c:plotVisOnly val="1"/>
    <c:dispBlanksAs val="gap"/>
    <c:showDLblsOverMax val="0"/>
  </c:chart>
  <c:spPr>
    <a:noFill/>
    <a:ln w="3175">
      <a:noFill/>
    </a:ln>
  </c:spPr>
  <c:txPr>
    <a:bodyPr/>
    <a:lstStyle/>
    <a:p>
      <a:pPr>
        <a:defRPr>
          <a:solidFill>
            <a:schemeClr val="tx1"/>
          </a:solidFill>
        </a:defRPr>
      </a:pPr>
      <a:endParaRPr lang="ru-RU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8.5324334458192763E-2"/>
          <c:y val="3.2997407710660481E-2"/>
          <c:w val="0.89577524048432056"/>
          <c:h val="0.855873055232314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'[1]Точность устьев скважин'!$AF$29:$AG$29</c:f>
              <c:strCache>
                <c:ptCount val="1"/>
                <c:pt idx="0">
                  <c:v>Below Tolerance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84-45A8-AC69-171CBC194CD5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1C84-45A8-AC69-171CBC194CD5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1C84-45A8-AC69-171CBC194CD5}"/>
              </c:ext>
            </c:extLst>
          </c:dPt>
          <c:dLbls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C84-45A8-AC69-171CBC194CD5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C84-45A8-AC69-171CBC194CD5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C84-45A8-AC69-171CBC194CD5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C84-45A8-AC69-171CBC194CD5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C84-45A8-AC69-171CBC194CD5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C84-45A8-AC69-171CBC194CD5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C84-45A8-AC69-171CBC194CD5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C84-45A8-AC69-171CBC194CD5}"/>
                </c:ext>
              </c:extLst>
            </c:dLbl>
            <c:numFmt formatCode="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'[1]Точность устьев скважин'!$AH$31:$AH$71</c:f>
              <c:numCache>
                <c:formatCode>0.0</c:formatCode>
                <c:ptCount val="41"/>
                <c:pt idx="0">
                  <c:v>-0.2</c:v>
                </c:pt>
                <c:pt idx="1">
                  <c:v>-0.1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1.3</c:v>
                </c:pt>
                <c:pt idx="16">
                  <c:v>1.4</c:v>
                </c:pt>
                <c:pt idx="17">
                  <c:v>1.5</c:v>
                </c:pt>
                <c:pt idx="18">
                  <c:v>1.6</c:v>
                </c:pt>
                <c:pt idx="19">
                  <c:v>1.7</c:v>
                </c:pt>
                <c:pt idx="20">
                  <c:v>1.8</c:v>
                </c:pt>
                <c:pt idx="21">
                  <c:v>1.9</c:v>
                </c:pt>
                <c:pt idx="22">
                  <c:v>2</c:v>
                </c:pt>
                <c:pt idx="23">
                  <c:v>2.1</c:v>
                </c:pt>
                <c:pt idx="24">
                  <c:v>2.2000000000000002</c:v>
                </c:pt>
                <c:pt idx="25">
                  <c:v>2.2999999999999998</c:v>
                </c:pt>
                <c:pt idx="26">
                  <c:v>2.4</c:v>
                </c:pt>
                <c:pt idx="27">
                  <c:v>2.5</c:v>
                </c:pt>
                <c:pt idx="28">
                  <c:v>2.6</c:v>
                </c:pt>
                <c:pt idx="29">
                  <c:v>2.7</c:v>
                </c:pt>
                <c:pt idx="30">
                  <c:v>2.8</c:v>
                </c:pt>
                <c:pt idx="31">
                  <c:v>2.9</c:v>
                </c:pt>
                <c:pt idx="32">
                  <c:v>3</c:v>
                </c:pt>
              </c:numCache>
            </c:numRef>
          </c:cat>
          <c:val>
            <c:numRef>
              <c:f>'[1]Точность устьев скважин'!$AG$31:$AG$63</c:f>
              <c:numCache>
                <c:formatCode>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45</c:v>
                </c:pt>
                <c:pt idx="4">
                  <c:v>58</c:v>
                </c:pt>
                <c:pt idx="5">
                  <c:v>41</c:v>
                </c:pt>
                <c:pt idx="6">
                  <c:v>28</c:v>
                </c:pt>
                <c:pt idx="7">
                  <c:v>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C84-45A8-AC69-171CBC194CD5}"/>
            </c:ext>
          </c:extLst>
        </c:ser>
        <c:ser>
          <c:idx val="1"/>
          <c:order val="1"/>
          <c:tx>
            <c:strRef>
              <c:f>'[1]Точность устьев скважин'!$AI$29:$AJ$29</c:f>
              <c:strCache>
                <c:ptCount val="1"/>
                <c:pt idx="0">
                  <c:v>Above Tolerance</c:v>
                </c:pt>
              </c:strCache>
            </c:strRef>
          </c:tx>
          <c:spPr>
            <a:solidFill>
              <a:srgbClr val="159E0A"/>
            </a:solidFill>
            <a:ln>
              <a:noFill/>
            </a:ln>
            <a:effectLst/>
          </c:spPr>
          <c:invertIfNegative val="0"/>
          <c:dLbls>
            <c:numFmt formatCode="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'[1]Точность устьев скважин'!$AH$31:$AH$71</c:f>
              <c:numCache>
                <c:formatCode>0.0</c:formatCode>
                <c:ptCount val="41"/>
                <c:pt idx="0">
                  <c:v>-0.2</c:v>
                </c:pt>
                <c:pt idx="1">
                  <c:v>-0.1</c:v>
                </c:pt>
                <c:pt idx="2">
                  <c:v>0</c:v>
                </c:pt>
                <c:pt idx="3">
                  <c:v>0.1</c:v>
                </c:pt>
                <c:pt idx="4">
                  <c:v>0.2</c:v>
                </c:pt>
                <c:pt idx="5">
                  <c:v>0.3</c:v>
                </c:pt>
                <c:pt idx="6">
                  <c:v>0.4</c:v>
                </c:pt>
                <c:pt idx="7">
                  <c:v>0.5</c:v>
                </c:pt>
                <c:pt idx="8">
                  <c:v>0.6</c:v>
                </c:pt>
                <c:pt idx="9">
                  <c:v>0.7</c:v>
                </c:pt>
                <c:pt idx="10">
                  <c:v>0.8</c:v>
                </c:pt>
                <c:pt idx="11">
                  <c:v>0.9</c:v>
                </c:pt>
                <c:pt idx="12">
                  <c:v>1</c:v>
                </c:pt>
                <c:pt idx="13">
                  <c:v>1.1000000000000001</c:v>
                </c:pt>
                <c:pt idx="14">
                  <c:v>1.2</c:v>
                </c:pt>
                <c:pt idx="15">
                  <c:v>1.3</c:v>
                </c:pt>
                <c:pt idx="16">
                  <c:v>1.4</c:v>
                </c:pt>
                <c:pt idx="17">
                  <c:v>1.5</c:v>
                </c:pt>
                <c:pt idx="18">
                  <c:v>1.6</c:v>
                </c:pt>
                <c:pt idx="19">
                  <c:v>1.7</c:v>
                </c:pt>
                <c:pt idx="20">
                  <c:v>1.8</c:v>
                </c:pt>
                <c:pt idx="21">
                  <c:v>1.9</c:v>
                </c:pt>
                <c:pt idx="22">
                  <c:v>2</c:v>
                </c:pt>
                <c:pt idx="23">
                  <c:v>2.1</c:v>
                </c:pt>
                <c:pt idx="24">
                  <c:v>2.2000000000000002</c:v>
                </c:pt>
                <c:pt idx="25">
                  <c:v>2.2999999999999998</c:v>
                </c:pt>
                <c:pt idx="26">
                  <c:v>2.4</c:v>
                </c:pt>
                <c:pt idx="27">
                  <c:v>2.5</c:v>
                </c:pt>
                <c:pt idx="28">
                  <c:v>2.6</c:v>
                </c:pt>
                <c:pt idx="29">
                  <c:v>2.7</c:v>
                </c:pt>
                <c:pt idx="30">
                  <c:v>2.8</c:v>
                </c:pt>
                <c:pt idx="31">
                  <c:v>2.9</c:v>
                </c:pt>
                <c:pt idx="32">
                  <c:v>3</c:v>
                </c:pt>
              </c:numCache>
            </c:numRef>
          </c:cat>
          <c:val>
            <c:numRef>
              <c:f>'[1]Точность устьев скважин'!$AJ$31:$AJ$63</c:f>
              <c:numCache>
                <c:formatCode>0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C84-45A8-AC69-171CBC194C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80"/>
        <c:axId val="509787928"/>
        <c:axId val="657834768"/>
      </c:barChart>
      <c:catAx>
        <c:axId val="509787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Отклонение от проектного расположения</a:t>
                </a:r>
                <a:r>
                  <a:rPr lang="ru-RU" sz="1200" baseline="0"/>
                  <a:t> (м)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31163739073083885"/>
              <c:y val="0.953653580704769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783476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5783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Количество скважин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cross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97879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'[1]Для построения'!$A$3:$A$850</c:f>
              <c:strCache>
                <c:ptCount val="848"/>
                <c:pt idx="0">
                  <c:v>1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11</c:v>
                </c:pt>
                <c:pt idx="5">
                  <c:v>12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  <c:pt idx="31">
                  <c:v>42</c:v>
                </c:pt>
                <c:pt idx="32">
                  <c:v>43</c:v>
                </c:pt>
                <c:pt idx="33">
                  <c:v>44</c:v>
                </c:pt>
                <c:pt idx="34">
                  <c:v>45</c:v>
                </c:pt>
                <c:pt idx="35">
                  <c:v>46</c:v>
                </c:pt>
                <c:pt idx="36">
                  <c:v>47</c:v>
                </c:pt>
                <c:pt idx="37">
                  <c:v>48</c:v>
                </c:pt>
                <c:pt idx="38">
                  <c:v>49</c:v>
                </c:pt>
                <c:pt idx="39">
                  <c:v>50</c:v>
                </c:pt>
                <c:pt idx="40">
                  <c:v>51</c:v>
                </c:pt>
                <c:pt idx="41">
                  <c:v>52</c:v>
                </c:pt>
                <c:pt idx="42">
                  <c:v>53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59</c:v>
                </c:pt>
                <c:pt idx="49">
                  <c:v>60</c:v>
                </c:pt>
                <c:pt idx="50">
                  <c:v>61</c:v>
                </c:pt>
                <c:pt idx="51">
                  <c:v>62</c:v>
                </c:pt>
                <c:pt idx="52">
                  <c:v>63</c:v>
                </c:pt>
                <c:pt idx="53">
                  <c:v>64</c:v>
                </c:pt>
                <c:pt idx="54">
                  <c:v>65</c:v>
                </c:pt>
                <c:pt idx="55">
                  <c:v>66</c:v>
                </c:pt>
                <c:pt idx="56">
                  <c:v>67</c:v>
                </c:pt>
                <c:pt idx="57">
                  <c:v>68</c:v>
                </c:pt>
                <c:pt idx="58">
                  <c:v>69</c:v>
                </c:pt>
                <c:pt idx="59">
                  <c:v>70</c:v>
                </c:pt>
                <c:pt idx="60">
                  <c:v>71</c:v>
                </c:pt>
                <c:pt idx="61">
                  <c:v>72</c:v>
                </c:pt>
                <c:pt idx="62">
                  <c:v>73</c:v>
                </c:pt>
                <c:pt idx="63">
                  <c:v>74</c:v>
                </c:pt>
                <c:pt idx="64">
                  <c:v>75</c:v>
                </c:pt>
                <c:pt idx="65">
                  <c:v>76</c:v>
                </c:pt>
                <c:pt idx="66">
                  <c:v>77</c:v>
                </c:pt>
                <c:pt idx="67">
                  <c:v>78</c:v>
                </c:pt>
                <c:pt idx="68">
                  <c:v>79</c:v>
                </c:pt>
                <c:pt idx="69">
                  <c:v>80</c:v>
                </c:pt>
                <c:pt idx="70">
                  <c:v>81</c:v>
                </c:pt>
                <c:pt idx="71">
                  <c:v>82</c:v>
                </c:pt>
                <c:pt idx="72">
                  <c:v>83</c:v>
                </c:pt>
                <c:pt idx="73">
                  <c:v>84</c:v>
                </c:pt>
                <c:pt idx="74">
                  <c:v>85</c:v>
                </c:pt>
                <c:pt idx="75">
                  <c:v>86</c:v>
                </c:pt>
                <c:pt idx="76">
                  <c:v>87</c:v>
                </c:pt>
                <c:pt idx="77">
                  <c:v>88</c:v>
                </c:pt>
                <c:pt idx="78">
                  <c:v>89</c:v>
                </c:pt>
                <c:pt idx="79">
                  <c:v>90</c:v>
                </c:pt>
                <c:pt idx="80">
                  <c:v>91</c:v>
                </c:pt>
                <c:pt idx="81">
                  <c:v>92</c:v>
                </c:pt>
                <c:pt idx="82">
                  <c:v>93</c:v>
                </c:pt>
                <c:pt idx="83">
                  <c:v>94</c:v>
                </c:pt>
                <c:pt idx="84">
                  <c:v>95</c:v>
                </c:pt>
                <c:pt idx="85">
                  <c:v>96</c:v>
                </c:pt>
                <c:pt idx="86">
                  <c:v>97</c:v>
                </c:pt>
                <c:pt idx="87">
                  <c:v>98</c:v>
                </c:pt>
                <c:pt idx="88">
                  <c:v>99</c:v>
                </c:pt>
                <c:pt idx="89">
                  <c:v>100</c:v>
                </c:pt>
                <c:pt idx="90">
                  <c:v>101</c:v>
                </c:pt>
                <c:pt idx="91">
                  <c:v>102</c:v>
                </c:pt>
                <c:pt idx="92">
                  <c:v>103</c:v>
                </c:pt>
                <c:pt idx="93">
                  <c:v>104</c:v>
                </c:pt>
                <c:pt idx="94">
                  <c:v>105</c:v>
                </c:pt>
                <c:pt idx="95">
                  <c:v>106</c:v>
                </c:pt>
                <c:pt idx="96">
                  <c:v>107</c:v>
                </c:pt>
                <c:pt idx="97">
                  <c:v>108</c:v>
                </c:pt>
                <c:pt idx="98">
                  <c:v>109</c:v>
                </c:pt>
                <c:pt idx="99">
                  <c:v>110</c:v>
                </c:pt>
                <c:pt idx="100">
                  <c:v>111</c:v>
                </c:pt>
                <c:pt idx="101">
                  <c:v>112</c:v>
                </c:pt>
                <c:pt idx="102">
                  <c:v>113</c:v>
                </c:pt>
                <c:pt idx="103">
                  <c:v>114</c:v>
                </c:pt>
                <c:pt idx="104">
                  <c:v>115</c:v>
                </c:pt>
                <c:pt idx="105">
                  <c:v>116</c:v>
                </c:pt>
                <c:pt idx="106">
                  <c:v>117</c:v>
                </c:pt>
                <c:pt idx="107">
                  <c:v>118</c:v>
                </c:pt>
                <c:pt idx="108">
                  <c:v>119</c:v>
                </c:pt>
                <c:pt idx="109">
                  <c:v>120</c:v>
                </c:pt>
                <c:pt idx="110">
                  <c:v>121</c:v>
                </c:pt>
                <c:pt idx="111">
                  <c:v>122</c:v>
                </c:pt>
                <c:pt idx="112">
                  <c:v>128</c:v>
                </c:pt>
                <c:pt idx="113">
                  <c:v>131</c:v>
                </c:pt>
                <c:pt idx="114">
                  <c:v>132</c:v>
                </c:pt>
                <c:pt idx="115">
                  <c:v>134</c:v>
                </c:pt>
                <c:pt idx="116">
                  <c:v>135</c:v>
                </c:pt>
                <c:pt idx="117">
                  <c:v>136</c:v>
                </c:pt>
                <c:pt idx="118">
                  <c:v>139</c:v>
                </c:pt>
                <c:pt idx="119">
                  <c:v>140</c:v>
                </c:pt>
                <c:pt idx="120">
                  <c:v>142</c:v>
                </c:pt>
                <c:pt idx="121">
                  <c:v>143</c:v>
                </c:pt>
                <c:pt idx="122">
                  <c:v>146</c:v>
                </c:pt>
                <c:pt idx="123">
                  <c:v>147</c:v>
                </c:pt>
                <c:pt idx="124">
                  <c:v>149</c:v>
                </c:pt>
                <c:pt idx="125">
                  <c:v>149</c:v>
                </c:pt>
                <c:pt idx="126">
                  <c:v>150</c:v>
                </c:pt>
                <c:pt idx="127">
                  <c:v>151</c:v>
                </c:pt>
                <c:pt idx="128">
                  <c:v>152</c:v>
                </c:pt>
                <c:pt idx="129">
                  <c:v>153</c:v>
                </c:pt>
                <c:pt idx="130">
                  <c:v>154</c:v>
                </c:pt>
                <c:pt idx="131">
                  <c:v>155</c:v>
                </c:pt>
                <c:pt idx="132">
                  <c:v>156</c:v>
                </c:pt>
                <c:pt idx="133">
                  <c:v>157</c:v>
                </c:pt>
                <c:pt idx="134">
                  <c:v>158</c:v>
                </c:pt>
                <c:pt idx="135">
                  <c:v>159</c:v>
                </c:pt>
                <c:pt idx="136">
                  <c:v>160</c:v>
                </c:pt>
                <c:pt idx="137">
                  <c:v>161</c:v>
                </c:pt>
                <c:pt idx="138">
                  <c:v>162</c:v>
                </c:pt>
                <c:pt idx="139">
                  <c:v>163</c:v>
                </c:pt>
                <c:pt idx="140">
                  <c:v>165</c:v>
                </c:pt>
                <c:pt idx="141">
                  <c:v>166</c:v>
                </c:pt>
                <c:pt idx="142">
                  <c:v>167</c:v>
                </c:pt>
                <c:pt idx="143">
                  <c:v>168</c:v>
                </c:pt>
                <c:pt idx="144">
                  <c:v>169</c:v>
                </c:pt>
                <c:pt idx="145">
                  <c:v>170</c:v>
                </c:pt>
                <c:pt idx="146">
                  <c:v>171</c:v>
                </c:pt>
                <c:pt idx="147">
                  <c:v>172</c:v>
                </c:pt>
                <c:pt idx="148">
                  <c:v>173</c:v>
                </c:pt>
                <c:pt idx="149">
                  <c:v>174</c:v>
                </c:pt>
                <c:pt idx="150">
                  <c:v>175</c:v>
                </c:pt>
                <c:pt idx="151">
                  <c:v>177</c:v>
                </c:pt>
                <c:pt idx="152">
                  <c:v>178</c:v>
                </c:pt>
                <c:pt idx="153">
                  <c:v>179</c:v>
                </c:pt>
                <c:pt idx="154">
                  <c:v>180</c:v>
                </c:pt>
                <c:pt idx="155">
                  <c:v>181</c:v>
                </c:pt>
                <c:pt idx="156">
                  <c:v>182</c:v>
                </c:pt>
                <c:pt idx="157">
                  <c:v>183</c:v>
                </c:pt>
                <c:pt idx="158">
                  <c:v>184</c:v>
                </c:pt>
                <c:pt idx="159">
                  <c:v>185</c:v>
                </c:pt>
                <c:pt idx="160">
                  <c:v>189</c:v>
                </c:pt>
                <c:pt idx="161">
                  <c:v>190</c:v>
                </c:pt>
                <c:pt idx="162">
                  <c:v>193</c:v>
                </c:pt>
                <c:pt idx="163">
                  <c:v>195</c:v>
                </c:pt>
                <c:pt idx="164">
                  <c:v>196</c:v>
                </c:pt>
                <c:pt idx="165">
                  <c:v>197</c:v>
                </c:pt>
                <c:pt idx="166">
                  <c:v>198</c:v>
                </c:pt>
                <c:pt idx="167">
                  <c:v>203</c:v>
                </c:pt>
                <c:pt idx="168">
                  <c:v>205</c:v>
                </c:pt>
                <c:pt idx="169">
                  <c:v>206</c:v>
                </c:pt>
                <c:pt idx="170">
                  <c:v>215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229</c:v>
                </c:pt>
                <c:pt idx="179">
                  <c:v>230</c:v>
                </c:pt>
                <c:pt idx="180">
                  <c:v>233</c:v>
                </c:pt>
                <c:pt idx="181">
                  <c:v>235</c:v>
                </c:pt>
                <c:pt idx="182">
                  <c:v>236</c:v>
                </c:pt>
                <c:pt idx="183">
                  <c:v>243</c:v>
                </c:pt>
                <c:pt idx="184">
                  <c:v>244</c:v>
                </c:pt>
                <c:pt idx="185">
                  <c:v>245</c:v>
                </c:pt>
                <c:pt idx="186">
                  <c:v>246</c:v>
                </c:pt>
                <c:pt idx="187">
                  <c:v>250</c:v>
                </c:pt>
                <c:pt idx="188">
                  <c:v>251</c:v>
                </c:pt>
                <c:pt idx="189">
                  <c:v>252</c:v>
                </c:pt>
                <c:pt idx="190">
                  <c:v>253</c:v>
                </c:pt>
                <c:pt idx="191">
                  <c:v>255</c:v>
                </c:pt>
                <c:pt idx="192">
                  <c:v>256</c:v>
                </c:pt>
                <c:pt idx="193">
                  <c:v>257</c:v>
                </c:pt>
                <c:pt idx="194">
                  <c:v>258</c:v>
                </c:pt>
                <c:pt idx="195">
                  <c:v>#Н/Д</c:v>
                </c:pt>
                <c:pt idx="196">
                  <c:v>#Н/Д</c:v>
                </c:pt>
                <c:pt idx="197">
                  <c:v>#Н/Д</c:v>
                </c:pt>
                <c:pt idx="198">
                  <c:v>#Н/Д</c:v>
                </c:pt>
                <c:pt idx="199">
                  <c:v>#Н/Д</c:v>
                </c:pt>
                <c:pt idx="200">
                  <c:v>#Н/Д</c:v>
                </c:pt>
                <c:pt idx="201">
                  <c:v>#Н/Д</c:v>
                </c:pt>
                <c:pt idx="202">
                  <c:v>#Н/Д</c:v>
                </c:pt>
                <c:pt idx="203">
                  <c:v>#Н/Д</c:v>
                </c:pt>
                <c:pt idx="204">
                  <c:v>#Н/Д</c:v>
                </c:pt>
                <c:pt idx="205">
                  <c:v>#Н/Д</c:v>
                </c:pt>
                <c:pt idx="206">
                  <c:v>#Н/Д</c:v>
                </c:pt>
                <c:pt idx="207">
                  <c:v>#Н/Д</c:v>
                </c:pt>
                <c:pt idx="208">
                  <c:v>#Н/Д</c:v>
                </c:pt>
                <c:pt idx="209">
                  <c:v>#Н/Д</c:v>
                </c:pt>
                <c:pt idx="210">
                  <c:v>#Н/Д</c:v>
                </c:pt>
                <c:pt idx="211">
                  <c:v>#Н/Д</c:v>
                </c:pt>
                <c:pt idx="212">
                  <c:v>#Н/Д</c:v>
                </c:pt>
                <c:pt idx="213">
                  <c:v>#Н/Д</c:v>
                </c:pt>
                <c:pt idx="214">
                  <c:v>#Н/Д</c:v>
                </c:pt>
                <c:pt idx="215">
                  <c:v>#Н/Д</c:v>
                </c:pt>
                <c:pt idx="216">
                  <c:v>#Н/Д</c:v>
                </c:pt>
                <c:pt idx="217">
                  <c:v>#Н/Д</c:v>
                </c:pt>
                <c:pt idx="218">
                  <c:v>#Н/Д</c:v>
                </c:pt>
                <c:pt idx="219">
                  <c:v>#Н/Д</c:v>
                </c:pt>
                <c:pt idx="220">
                  <c:v>#Н/Д</c:v>
                </c:pt>
                <c:pt idx="221">
                  <c:v>#Н/Д</c:v>
                </c:pt>
                <c:pt idx="222">
                  <c:v>#Н/Д</c:v>
                </c:pt>
                <c:pt idx="223">
                  <c:v>#Н/Д</c:v>
                </c:pt>
                <c:pt idx="224">
                  <c:v>#Н/Д</c:v>
                </c:pt>
                <c:pt idx="225">
                  <c:v>#Н/Д</c:v>
                </c:pt>
                <c:pt idx="226">
                  <c:v>#Н/Д</c:v>
                </c:pt>
                <c:pt idx="227">
                  <c:v>#Н/Д</c:v>
                </c:pt>
                <c:pt idx="228">
                  <c:v>#Н/Д</c:v>
                </c:pt>
                <c:pt idx="229">
                  <c:v>#Н/Д</c:v>
                </c:pt>
                <c:pt idx="230">
                  <c:v>#Н/Д</c:v>
                </c:pt>
                <c:pt idx="231">
                  <c:v>#Н/Д</c:v>
                </c:pt>
                <c:pt idx="232">
                  <c:v>#Н/Д</c:v>
                </c:pt>
                <c:pt idx="233">
                  <c:v>#Н/Д</c:v>
                </c:pt>
                <c:pt idx="234">
                  <c:v>#Н/Д</c:v>
                </c:pt>
                <c:pt idx="235">
                  <c:v>#Н/Д</c:v>
                </c:pt>
                <c:pt idx="236">
                  <c:v>#Н/Д</c:v>
                </c:pt>
                <c:pt idx="237">
                  <c:v>#Н/Д</c:v>
                </c:pt>
                <c:pt idx="238">
                  <c:v>#Н/Д</c:v>
                </c:pt>
                <c:pt idx="239">
                  <c:v>#Н/Д</c:v>
                </c:pt>
                <c:pt idx="240">
                  <c:v>#Н/Д</c:v>
                </c:pt>
                <c:pt idx="241">
                  <c:v>#Н/Д</c:v>
                </c:pt>
                <c:pt idx="242">
                  <c:v>#Н/Д</c:v>
                </c:pt>
                <c:pt idx="243">
                  <c:v>#Н/Д</c:v>
                </c:pt>
                <c:pt idx="244">
                  <c:v>#Н/Д</c:v>
                </c:pt>
                <c:pt idx="245">
                  <c:v>#Н/Д</c:v>
                </c:pt>
                <c:pt idx="246">
                  <c:v>#Н/Д</c:v>
                </c:pt>
                <c:pt idx="247">
                  <c:v>#Н/Д</c:v>
                </c:pt>
                <c:pt idx="248">
                  <c:v>#Н/Д</c:v>
                </c:pt>
                <c:pt idx="249">
                  <c:v>#Н/Д</c:v>
                </c:pt>
                <c:pt idx="250">
                  <c:v>#Н/Д</c:v>
                </c:pt>
                <c:pt idx="251">
                  <c:v>#Н/Д</c:v>
                </c:pt>
                <c:pt idx="252">
                  <c:v>#Н/Д</c:v>
                </c:pt>
                <c:pt idx="253">
                  <c:v>#Н/Д</c:v>
                </c:pt>
                <c:pt idx="254">
                  <c:v>#Н/Д</c:v>
                </c:pt>
                <c:pt idx="255">
                  <c:v>#Н/Д</c:v>
                </c:pt>
                <c:pt idx="256">
                  <c:v>#Н/Д</c:v>
                </c:pt>
                <c:pt idx="257">
                  <c:v>#Н/Д</c:v>
                </c:pt>
                <c:pt idx="258">
                  <c:v>#Н/Д</c:v>
                </c:pt>
                <c:pt idx="259">
                  <c:v>#Н/Д</c:v>
                </c:pt>
                <c:pt idx="260">
                  <c:v>#Н/Д</c:v>
                </c:pt>
                <c:pt idx="261">
                  <c:v>#Н/Д</c:v>
                </c:pt>
                <c:pt idx="262">
                  <c:v>#Н/Д</c:v>
                </c:pt>
                <c:pt idx="263">
                  <c:v>#Н/Д</c:v>
                </c:pt>
                <c:pt idx="264">
                  <c:v>#Н/Д</c:v>
                </c:pt>
                <c:pt idx="265">
                  <c:v>#Н/Д</c:v>
                </c:pt>
                <c:pt idx="266">
                  <c:v>#Н/Д</c:v>
                </c:pt>
                <c:pt idx="267">
                  <c:v>#Н/Д</c:v>
                </c:pt>
                <c:pt idx="268">
                  <c:v>#Н/Д</c:v>
                </c:pt>
                <c:pt idx="269">
                  <c:v>#Н/Д</c:v>
                </c:pt>
                <c:pt idx="270">
                  <c:v>#Н/Д</c:v>
                </c:pt>
                <c:pt idx="271">
                  <c:v>#Н/Д</c:v>
                </c:pt>
                <c:pt idx="272">
                  <c:v>#Н/Д</c:v>
                </c:pt>
                <c:pt idx="273">
                  <c:v>#Н/Д</c:v>
                </c:pt>
                <c:pt idx="274">
                  <c:v>#Н/Д</c:v>
                </c:pt>
                <c:pt idx="275">
                  <c:v>#Н/Д</c:v>
                </c:pt>
                <c:pt idx="276">
                  <c:v>#Н/Д</c:v>
                </c:pt>
                <c:pt idx="277">
                  <c:v>#Н/Д</c:v>
                </c:pt>
                <c:pt idx="278">
                  <c:v>#Н/Д</c:v>
                </c:pt>
                <c:pt idx="279">
                  <c:v>#Н/Д</c:v>
                </c:pt>
                <c:pt idx="280">
                  <c:v>#Н/Д</c:v>
                </c:pt>
                <c:pt idx="281">
                  <c:v>#Н/Д</c:v>
                </c:pt>
                <c:pt idx="282">
                  <c:v>#Н/Д</c:v>
                </c:pt>
                <c:pt idx="283">
                  <c:v>#Н/Д</c:v>
                </c:pt>
                <c:pt idx="284">
                  <c:v>#Н/Д</c:v>
                </c:pt>
                <c:pt idx="285">
                  <c:v>#Н/Д</c:v>
                </c:pt>
                <c:pt idx="286">
                  <c:v>#Н/Д</c:v>
                </c:pt>
                <c:pt idx="287">
                  <c:v>#Н/Д</c:v>
                </c:pt>
                <c:pt idx="288">
                  <c:v>#Н/Д</c:v>
                </c:pt>
                <c:pt idx="289">
                  <c:v>#Н/Д</c:v>
                </c:pt>
                <c:pt idx="290">
                  <c:v>#Н/Д</c:v>
                </c:pt>
                <c:pt idx="291">
                  <c:v>#Н/Д</c:v>
                </c:pt>
                <c:pt idx="292">
                  <c:v>#Н/Д</c:v>
                </c:pt>
                <c:pt idx="293">
                  <c:v>#Н/Д</c:v>
                </c:pt>
                <c:pt idx="294">
                  <c:v>#Н/Д</c:v>
                </c:pt>
                <c:pt idx="295">
                  <c:v>#Н/Д</c:v>
                </c:pt>
                <c:pt idx="296">
                  <c:v>#Н/Д</c:v>
                </c:pt>
                <c:pt idx="297">
                  <c:v>#Н/Д</c:v>
                </c:pt>
                <c:pt idx="298">
                  <c:v>#Н/Д</c:v>
                </c:pt>
                <c:pt idx="299">
                  <c:v>#Н/Д</c:v>
                </c:pt>
                <c:pt idx="300">
                  <c:v>#Н/Д</c:v>
                </c:pt>
                <c:pt idx="301">
                  <c:v>#Н/Д</c:v>
                </c:pt>
                <c:pt idx="302">
                  <c:v>#Н/Д</c:v>
                </c:pt>
                <c:pt idx="303">
                  <c:v>#Н/Д</c:v>
                </c:pt>
                <c:pt idx="304">
                  <c:v>#Н/Д</c:v>
                </c:pt>
                <c:pt idx="305">
                  <c:v>#Н/Д</c:v>
                </c:pt>
                <c:pt idx="306">
                  <c:v>#Н/Д</c:v>
                </c:pt>
                <c:pt idx="307">
                  <c:v>#Н/Д</c:v>
                </c:pt>
                <c:pt idx="308">
                  <c:v>#Н/Д</c:v>
                </c:pt>
                <c:pt idx="309">
                  <c:v>#Н/Д</c:v>
                </c:pt>
                <c:pt idx="310">
                  <c:v>#Н/Д</c:v>
                </c:pt>
                <c:pt idx="311">
                  <c:v>#Н/Д</c:v>
                </c:pt>
                <c:pt idx="312">
                  <c:v>#Н/Д</c:v>
                </c:pt>
                <c:pt idx="313">
                  <c:v>#Н/Д</c:v>
                </c:pt>
                <c:pt idx="314">
                  <c:v>#Н/Д</c:v>
                </c:pt>
                <c:pt idx="315">
                  <c:v>#Н/Д</c:v>
                </c:pt>
                <c:pt idx="316">
                  <c:v>#Н/Д</c:v>
                </c:pt>
                <c:pt idx="317">
                  <c:v>#Н/Д</c:v>
                </c:pt>
                <c:pt idx="318">
                  <c:v>#Н/Д</c:v>
                </c:pt>
                <c:pt idx="319">
                  <c:v>#Н/Д</c:v>
                </c:pt>
                <c:pt idx="320">
                  <c:v>#Н/Д</c:v>
                </c:pt>
                <c:pt idx="321">
                  <c:v>#Н/Д</c:v>
                </c:pt>
                <c:pt idx="322">
                  <c:v>#Н/Д</c:v>
                </c:pt>
                <c:pt idx="323">
                  <c:v>#Н/Д</c:v>
                </c:pt>
                <c:pt idx="324">
                  <c:v>#Н/Д</c:v>
                </c:pt>
                <c:pt idx="325">
                  <c:v>#Н/Д</c:v>
                </c:pt>
                <c:pt idx="326">
                  <c:v>#Н/Д</c:v>
                </c:pt>
                <c:pt idx="327">
                  <c:v>#Н/Д</c:v>
                </c:pt>
                <c:pt idx="328">
                  <c:v>#Н/Д</c:v>
                </c:pt>
                <c:pt idx="329">
                  <c:v>#Н/Д</c:v>
                </c:pt>
                <c:pt idx="330">
                  <c:v>#Н/Д</c:v>
                </c:pt>
                <c:pt idx="331">
                  <c:v>#Н/Д</c:v>
                </c:pt>
                <c:pt idx="332">
                  <c:v>#Н/Д</c:v>
                </c:pt>
                <c:pt idx="333">
                  <c:v>#Н/Д</c:v>
                </c:pt>
                <c:pt idx="334">
                  <c:v>#Н/Д</c:v>
                </c:pt>
                <c:pt idx="335">
                  <c:v>#Н/Д</c:v>
                </c:pt>
                <c:pt idx="336">
                  <c:v>#Н/Д</c:v>
                </c:pt>
                <c:pt idx="337">
                  <c:v>#Н/Д</c:v>
                </c:pt>
                <c:pt idx="338">
                  <c:v>#Н/Д</c:v>
                </c:pt>
                <c:pt idx="339">
                  <c:v>#Н/Д</c:v>
                </c:pt>
                <c:pt idx="340">
                  <c:v>#Н/Д</c:v>
                </c:pt>
                <c:pt idx="341">
                  <c:v>#Н/Д</c:v>
                </c:pt>
                <c:pt idx="342">
                  <c:v>#Н/Д</c:v>
                </c:pt>
                <c:pt idx="343">
                  <c:v>#Н/Д</c:v>
                </c:pt>
                <c:pt idx="344">
                  <c:v>#Н/Д</c:v>
                </c:pt>
                <c:pt idx="345">
                  <c:v>#Н/Д</c:v>
                </c:pt>
                <c:pt idx="346">
                  <c:v>#Н/Д</c:v>
                </c:pt>
                <c:pt idx="347">
                  <c:v>#Н/Д</c:v>
                </c:pt>
                <c:pt idx="348">
                  <c:v>#Н/Д</c:v>
                </c:pt>
                <c:pt idx="349">
                  <c:v>#Н/Д</c:v>
                </c:pt>
                <c:pt idx="350">
                  <c:v>#Н/Д</c:v>
                </c:pt>
                <c:pt idx="351">
                  <c:v>#Н/Д</c:v>
                </c:pt>
                <c:pt idx="352">
                  <c:v>#Н/Д</c:v>
                </c:pt>
                <c:pt idx="353">
                  <c:v>#Н/Д</c:v>
                </c:pt>
                <c:pt idx="354">
                  <c:v>#Н/Д</c:v>
                </c:pt>
                <c:pt idx="355">
                  <c:v>#Н/Д</c:v>
                </c:pt>
                <c:pt idx="356">
                  <c:v>#Н/Д</c:v>
                </c:pt>
                <c:pt idx="357">
                  <c:v>#Н/Д</c:v>
                </c:pt>
                <c:pt idx="358">
                  <c:v>#Н/Д</c:v>
                </c:pt>
                <c:pt idx="359">
                  <c:v>#Н/Д</c:v>
                </c:pt>
                <c:pt idx="360">
                  <c:v>#Н/Д</c:v>
                </c:pt>
                <c:pt idx="361">
                  <c:v>#Н/Д</c:v>
                </c:pt>
                <c:pt idx="362">
                  <c:v>#Н/Д</c:v>
                </c:pt>
                <c:pt idx="363">
                  <c:v>#Н/Д</c:v>
                </c:pt>
                <c:pt idx="364">
                  <c:v>#Н/Д</c:v>
                </c:pt>
                <c:pt idx="365">
                  <c:v>#Н/Д</c:v>
                </c:pt>
                <c:pt idx="366">
                  <c:v>#Н/Д</c:v>
                </c:pt>
                <c:pt idx="367">
                  <c:v>#Н/Д</c:v>
                </c:pt>
                <c:pt idx="368">
                  <c:v>#Н/Д</c:v>
                </c:pt>
                <c:pt idx="369">
                  <c:v>#Н/Д</c:v>
                </c:pt>
                <c:pt idx="370">
                  <c:v>#Н/Д</c:v>
                </c:pt>
                <c:pt idx="371">
                  <c:v>#Н/Д</c:v>
                </c:pt>
                <c:pt idx="372">
                  <c:v>#Н/Д</c:v>
                </c:pt>
                <c:pt idx="373">
                  <c:v>#Н/Д</c:v>
                </c:pt>
                <c:pt idx="374">
                  <c:v>#Н/Д</c:v>
                </c:pt>
                <c:pt idx="375">
                  <c:v>#Н/Д</c:v>
                </c:pt>
                <c:pt idx="376">
                  <c:v>#Н/Д</c:v>
                </c:pt>
                <c:pt idx="377">
                  <c:v>#Н/Д</c:v>
                </c:pt>
                <c:pt idx="378">
                  <c:v>#Н/Д</c:v>
                </c:pt>
                <c:pt idx="379">
                  <c:v>#Н/Д</c:v>
                </c:pt>
                <c:pt idx="380">
                  <c:v>#Н/Д</c:v>
                </c:pt>
                <c:pt idx="381">
                  <c:v>#Н/Д</c:v>
                </c:pt>
                <c:pt idx="382">
                  <c:v>#Н/Д</c:v>
                </c:pt>
                <c:pt idx="383">
                  <c:v>#Н/Д</c:v>
                </c:pt>
                <c:pt idx="384">
                  <c:v>#Н/Д</c:v>
                </c:pt>
                <c:pt idx="385">
                  <c:v>#Н/Д</c:v>
                </c:pt>
                <c:pt idx="386">
                  <c:v>#Н/Д</c:v>
                </c:pt>
                <c:pt idx="387">
                  <c:v>#Н/Д</c:v>
                </c:pt>
                <c:pt idx="388">
                  <c:v>#Н/Д</c:v>
                </c:pt>
                <c:pt idx="389">
                  <c:v>#Н/Д</c:v>
                </c:pt>
                <c:pt idx="390">
                  <c:v>#Н/Д</c:v>
                </c:pt>
                <c:pt idx="391">
                  <c:v>#Н/Д</c:v>
                </c:pt>
                <c:pt idx="392">
                  <c:v>#Н/Д</c:v>
                </c:pt>
                <c:pt idx="393">
                  <c:v>#Н/Д</c:v>
                </c:pt>
                <c:pt idx="394">
                  <c:v>#Н/Д</c:v>
                </c:pt>
                <c:pt idx="395">
                  <c:v>#Н/Д</c:v>
                </c:pt>
                <c:pt idx="396">
                  <c:v>#Н/Д</c:v>
                </c:pt>
                <c:pt idx="397">
                  <c:v>#Н/Д</c:v>
                </c:pt>
                <c:pt idx="398">
                  <c:v>#Н/Д</c:v>
                </c:pt>
                <c:pt idx="399">
                  <c:v>#Н/Д</c:v>
                </c:pt>
                <c:pt idx="400">
                  <c:v>#Н/Д</c:v>
                </c:pt>
                <c:pt idx="401">
                  <c:v>#Н/Д</c:v>
                </c:pt>
                <c:pt idx="402">
                  <c:v>#Н/Д</c:v>
                </c:pt>
                <c:pt idx="403">
                  <c:v>#Н/Д</c:v>
                </c:pt>
                <c:pt idx="404">
                  <c:v>#Н/Д</c:v>
                </c:pt>
                <c:pt idx="405">
                  <c:v>#Н/Д</c:v>
                </c:pt>
                <c:pt idx="406">
                  <c:v>#Н/Д</c:v>
                </c:pt>
                <c:pt idx="407">
                  <c:v>#Н/Д</c:v>
                </c:pt>
                <c:pt idx="408">
                  <c:v>#Н/Д</c:v>
                </c:pt>
                <c:pt idx="409">
                  <c:v>#Н/Д</c:v>
                </c:pt>
                <c:pt idx="410">
                  <c:v>#Н/Д</c:v>
                </c:pt>
                <c:pt idx="411">
                  <c:v>#Н/Д</c:v>
                </c:pt>
                <c:pt idx="412">
                  <c:v>#Н/Д</c:v>
                </c:pt>
                <c:pt idx="413">
                  <c:v>#Н/Д</c:v>
                </c:pt>
                <c:pt idx="414">
                  <c:v>#Н/Д</c:v>
                </c:pt>
                <c:pt idx="415">
                  <c:v>#Н/Д</c:v>
                </c:pt>
                <c:pt idx="416">
                  <c:v>#Н/Д</c:v>
                </c:pt>
                <c:pt idx="417">
                  <c:v>#Н/Д</c:v>
                </c:pt>
                <c:pt idx="418">
                  <c:v>#Н/Д</c:v>
                </c:pt>
                <c:pt idx="419">
                  <c:v>#Н/Д</c:v>
                </c:pt>
                <c:pt idx="420">
                  <c:v>#Н/Д</c:v>
                </c:pt>
                <c:pt idx="421">
                  <c:v>#Н/Д</c:v>
                </c:pt>
                <c:pt idx="422">
                  <c:v>#Н/Д</c:v>
                </c:pt>
                <c:pt idx="423">
                  <c:v>#Н/Д</c:v>
                </c:pt>
                <c:pt idx="424">
                  <c:v>#Н/Д</c:v>
                </c:pt>
                <c:pt idx="425">
                  <c:v>#Н/Д</c:v>
                </c:pt>
                <c:pt idx="426">
                  <c:v>#Н/Д</c:v>
                </c:pt>
                <c:pt idx="427">
                  <c:v>#Н/Д</c:v>
                </c:pt>
                <c:pt idx="428">
                  <c:v>#Н/Д</c:v>
                </c:pt>
                <c:pt idx="429">
                  <c:v>#Н/Д</c:v>
                </c:pt>
                <c:pt idx="430">
                  <c:v>#Н/Д</c:v>
                </c:pt>
                <c:pt idx="431">
                  <c:v>#Н/Д</c:v>
                </c:pt>
                <c:pt idx="432">
                  <c:v>#Н/Д</c:v>
                </c:pt>
                <c:pt idx="433">
                  <c:v>#Н/Д</c:v>
                </c:pt>
                <c:pt idx="434">
                  <c:v>#Н/Д</c:v>
                </c:pt>
                <c:pt idx="435">
                  <c:v>#Н/Д</c:v>
                </c:pt>
                <c:pt idx="436">
                  <c:v>#Н/Д</c:v>
                </c:pt>
                <c:pt idx="437">
                  <c:v>#Н/Д</c:v>
                </c:pt>
                <c:pt idx="438">
                  <c:v>#Н/Д</c:v>
                </c:pt>
                <c:pt idx="439">
                  <c:v>#Н/Д</c:v>
                </c:pt>
                <c:pt idx="440">
                  <c:v>#Н/Д</c:v>
                </c:pt>
                <c:pt idx="441">
                  <c:v>#Н/Д</c:v>
                </c:pt>
                <c:pt idx="442">
                  <c:v>#Н/Д</c:v>
                </c:pt>
                <c:pt idx="443">
                  <c:v>#Н/Д</c:v>
                </c:pt>
                <c:pt idx="444">
                  <c:v>#Н/Д</c:v>
                </c:pt>
                <c:pt idx="445">
                  <c:v>#Н/Д</c:v>
                </c:pt>
                <c:pt idx="446">
                  <c:v>#Н/Д</c:v>
                </c:pt>
                <c:pt idx="447">
                  <c:v>#Н/Д</c:v>
                </c:pt>
                <c:pt idx="448">
                  <c:v>#Н/Д</c:v>
                </c:pt>
                <c:pt idx="449">
                  <c:v>#Н/Д</c:v>
                </c:pt>
                <c:pt idx="450">
                  <c:v>#Н/Д</c:v>
                </c:pt>
                <c:pt idx="451">
                  <c:v>#Н/Д</c:v>
                </c:pt>
                <c:pt idx="452">
                  <c:v>#Н/Д</c:v>
                </c:pt>
                <c:pt idx="453">
                  <c:v>#Н/Д</c:v>
                </c:pt>
                <c:pt idx="454">
                  <c:v>#Н/Д</c:v>
                </c:pt>
                <c:pt idx="455">
                  <c:v>#Н/Д</c:v>
                </c:pt>
                <c:pt idx="456">
                  <c:v>#Н/Д</c:v>
                </c:pt>
                <c:pt idx="457">
                  <c:v>#Н/Д</c:v>
                </c:pt>
                <c:pt idx="458">
                  <c:v>#Н/Д</c:v>
                </c:pt>
                <c:pt idx="459">
                  <c:v>#Н/Д</c:v>
                </c:pt>
                <c:pt idx="460">
                  <c:v>#Н/Д</c:v>
                </c:pt>
                <c:pt idx="461">
                  <c:v>#Н/Д</c:v>
                </c:pt>
                <c:pt idx="462">
                  <c:v>#Н/Д</c:v>
                </c:pt>
                <c:pt idx="463">
                  <c:v>#Н/Д</c:v>
                </c:pt>
                <c:pt idx="464">
                  <c:v>#Н/Д</c:v>
                </c:pt>
                <c:pt idx="465">
                  <c:v>#Н/Д</c:v>
                </c:pt>
                <c:pt idx="466">
                  <c:v>#Н/Д</c:v>
                </c:pt>
                <c:pt idx="467">
                  <c:v>#Н/Д</c:v>
                </c:pt>
                <c:pt idx="468">
                  <c:v>#Н/Д</c:v>
                </c:pt>
                <c:pt idx="469">
                  <c:v>#Н/Д</c:v>
                </c:pt>
                <c:pt idx="470">
                  <c:v>#Н/Д</c:v>
                </c:pt>
                <c:pt idx="471">
                  <c:v>#Н/Д</c:v>
                </c:pt>
                <c:pt idx="472">
                  <c:v>#Н/Д</c:v>
                </c:pt>
                <c:pt idx="473">
                  <c:v>#Н/Д</c:v>
                </c:pt>
                <c:pt idx="474">
                  <c:v>#Н/Д</c:v>
                </c:pt>
                <c:pt idx="475">
                  <c:v>#Н/Д</c:v>
                </c:pt>
                <c:pt idx="476">
                  <c:v>#Н/Д</c:v>
                </c:pt>
                <c:pt idx="477">
                  <c:v>#Н/Д</c:v>
                </c:pt>
                <c:pt idx="478">
                  <c:v>#Н/Д</c:v>
                </c:pt>
                <c:pt idx="479">
                  <c:v>#Н/Д</c:v>
                </c:pt>
                <c:pt idx="480">
                  <c:v>#Н/Д</c:v>
                </c:pt>
                <c:pt idx="481">
                  <c:v>#Н/Д</c:v>
                </c:pt>
                <c:pt idx="482">
                  <c:v>#Н/Д</c:v>
                </c:pt>
                <c:pt idx="483">
                  <c:v>#Н/Д</c:v>
                </c:pt>
                <c:pt idx="484">
                  <c:v>#Н/Д</c:v>
                </c:pt>
                <c:pt idx="485">
                  <c:v>#Н/Д</c:v>
                </c:pt>
                <c:pt idx="486">
                  <c:v>#Н/Д</c:v>
                </c:pt>
                <c:pt idx="487">
                  <c:v>#Н/Д</c:v>
                </c:pt>
                <c:pt idx="488">
                  <c:v>#Н/Д</c:v>
                </c:pt>
                <c:pt idx="489">
                  <c:v>#Н/Д</c:v>
                </c:pt>
                <c:pt idx="490">
                  <c:v>#Н/Д</c:v>
                </c:pt>
                <c:pt idx="491">
                  <c:v>#Н/Д</c:v>
                </c:pt>
                <c:pt idx="492">
                  <c:v>#Н/Д</c:v>
                </c:pt>
                <c:pt idx="493">
                  <c:v>#Н/Д</c:v>
                </c:pt>
                <c:pt idx="494">
                  <c:v>#Н/Д</c:v>
                </c:pt>
                <c:pt idx="495">
                  <c:v>#Н/Д</c:v>
                </c:pt>
                <c:pt idx="496">
                  <c:v>#Н/Д</c:v>
                </c:pt>
                <c:pt idx="497">
                  <c:v>#Н/Д</c:v>
                </c:pt>
                <c:pt idx="498">
                  <c:v>#Н/Д</c:v>
                </c:pt>
                <c:pt idx="499">
                  <c:v>#Н/Д</c:v>
                </c:pt>
                <c:pt idx="500">
                  <c:v>#Н/Д</c:v>
                </c:pt>
                <c:pt idx="501">
                  <c:v>#Н/Д</c:v>
                </c:pt>
                <c:pt idx="502">
                  <c:v>#Н/Д</c:v>
                </c:pt>
                <c:pt idx="503">
                  <c:v>#Н/Д</c:v>
                </c:pt>
                <c:pt idx="504">
                  <c:v>#Н/Д</c:v>
                </c:pt>
                <c:pt idx="505">
                  <c:v>#Н/Д</c:v>
                </c:pt>
                <c:pt idx="506">
                  <c:v>#Н/Д</c:v>
                </c:pt>
                <c:pt idx="507">
                  <c:v>#Н/Д</c:v>
                </c:pt>
                <c:pt idx="508">
                  <c:v>#Н/Д</c:v>
                </c:pt>
                <c:pt idx="509">
                  <c:v>#Н/Д</c:v>
                </c:pt>
                <c:pt idx="510">
                  <c:v>#Н/Д</c:v>
                </c:pt>
                <c:pt idx="511">
                  <c:v>#Н/Д</c:v>
                </c:pt>
                <c:pt idx="512">
                  <c:v>#Н/Д</c:v>
                </c:pt>
                <c:pt idx="513">
                  <c:v>#Н/Д</c:v>
                </c:pt>
                <c:pt idx="514">
                  <c:v>#Н/Д</c:v>
                </c:pt>
                <c:pt idx="515">
                  <c:v>#Н/Д</c:v>
                </c:pt>
                <c:pt idx="516">
                  <c:v>#Н/Д</c:v>
                </c:pt>
                <c:pt idx="517">
                  <c:v>#Н/Д</c:v>
                </c:pt>
                <c:pt idx="518">
                  <c:v>#Н/Д</c:v>
                </c:pt>
                <c:pt idx="519">
                  <c:v>#Н/Д</c:v>
                </c:pt>
                <c:pt idx="520">
                  <c:v>#Н/Д</c:v>
                </c:pt>
                <c:pt idx="521">
                  <c:v>#Н/Д</c:v>
                </c:pt>
                <c:pt idx="522">
                  <c:v>#Н/Д</c:v>
                </c:pt>
                <c:pt idx="523">
                  <c:v>#Н/Д</c:v>
                </c:pt>
                <c:pt idx="524">
                  <c:v>#Н/Д</c:v>
                </c:pt>
                <c:pt idx="525">
                  <c:v>#Н/Д</c:v>
                </c:pt>
                <c:pt idx="526">
                  <c:v>#Н/Д</c:v>
                </c:pt>
                <c:pt idx="527">
                  <c:v>#Н/Д</c:v>
                </c:pt>
                <c:pt idx="528">
                  <c:v>#Н/Д</c:v>
                </c:pt>
                <c:pt idx="529">
                  <c:v>#Н/Д</c:v>
                </c:pt>
                <c:pt idx="530">
                  <c:v>#Н/Д</c:v>
                </c:pt>
                <c:pt idx="531">
                  <c:v>#Н/Д</c:v>
                </c:pt>
                <c:pt idx="532">
                  <c:v>#Н/Д</c:v>
                </c:pt>
                <c:pt idx="533">
                  <c:v>#Н/Д</c:v>
                </c:pt>
                <c:pt idx="534">
                  <c:v>#Н/Д</c:v>
                </c:pt>
                <c:pt idx="535">
                  <c:v>#Н/Д</c:v>
                </c:pt>
                <c:pt idx="536">
                  <c:v>#Н/Д</c:v>
                </c:pt>
                <c:pt idx="537">
                  <c:v>#Н/Д</c:v>
                </c:pt>
                <c:pt idx="538">
                  <c:v>#Н/Д</c:v>
                </c:pt>
                <c:pt idx="539">
                  <c:v>#Н/Д</c:v>
                </c:pt>
                <c:pt idx="540">
                  <c:v>#Н/Д</c:v>
                </c:pt>
                <c:pt idx="541">
                  <c:v>#Н/Д</c:v>
                </c:pt>
                <c:pt idx="542">
                  <c:v>#Н/Д</c:v>
                </c:pt>
                <c:pt idx="543">
                  <c:v>#Н/Д</c:v>
                </c:pt>
                <c:pt idx="544">
                  <c:v>#Н/Д</c:v>
                </c:pt>
                <c:pt idx="545">
                  <c:v>#Н/Д</c:v>
                </c:pt>
                <c:pt idx="546">
                  <c:v>#Н/Д</c:v>
                </c:pt>
                <c:pt idx="547">
                  <c:v>#Н/Д</c:v>
                </c:pt>
                <c:pt idx="548">
                  <c:v>#Н/Д</c:v>
                </c:pt>
                <c:pt idx="549">
                  <c:v>#Н/Д</c:v>
                </c:pt>
                <c:pt idx="550">
                  <c:v>#Н/Д</c:v>
                </c:pt>
                <c:pt idx="551">
                  <c:v>#Н/Д</c:v>
                </c:pt>
                <c:pt idx="552">
                  <c:v>#Н/Д</c:v>
                </c:pt>
                <c:pt idx="553">
                  <c:v>#Н/Д</c:v>
                </c:pt>
                <c:pt idx="554">
                  <c:v>#Н/Д</c:v>
                </c:pt>
                <c:pt idx="555">
                  <c:v>#Н/Д</c:v>
                </c:pt>
                <c:pt idx="556">
                  <c:v>#Н/Д</c:v>
                </c:pt>
                <c:pt idx="557">
                  <c:v>#Н/Д</c:v>
                </c:pt>
                <c:pt idx="558">
                  <c:v>#Н/Д</c:v>
                </c:pt>
                <c:pt idx="559">
                  <c:v>#Н/Д</c:v>
                </c:pt>
                <c:pt idx="560">
                  <c:v>#Н/Д</c:v>
                </c:pt>
                <c:pt idx="561">
                  <c:v>#Н/Д</c:v>
                </c:pt>
                <c:pt idx="562">
                  <c:v>#Н/Д</c:v>
                </c:pt>
                <c:pt idx="563">
                  <c:v>#Н/Д</c:v>
                </c:pt>
                <c:pt idx="564">
                  <c:v>#Н/Д</c:v>
                </c:pt>
                <c:pt idx="565">
                  <c:v>#Н/Д</c:v>
                </c:pt>
                <c:pt idx="566">
                  <c:v>#Н/Д</c:v>
                </c:pt>
                <c:pt idx="567">
                  <c:v>#Н/Д</c:v>
                </c:pt>
                <c:pt idx="568">
                  <c:v>#Н/Д</c:v>
                </c:pt>
                <c:pt idx="569">
                  <c:v>#Н/Д</c:v>
                </c:pt>
                <c:pt idx="570">
                  <c:v>#Н/Д</c:v>
                </c:pt>
                <c:pt idx="571">
                  <c:v>#Н/Д</c:v>
                </c:pt>
                <c:pt idx="572">
                  <c:v>#Н/Д</c:v>
                </c:pt>
                <c:pt idx="573">
                  <c:v>#Н/Д</c:v>
                </c:pt>
                <c:pt idx="574">
                  <c:v>#Н/Д</c:v>
                </c:pt>
                <c:pt idx="575">
                  <c:v>#Н/Д</c:v>
                </c:pt>
                <c:pt idx="576">
                  <c:v>#Н/Д</c:v>
                </c:pt>
                <c:pt idx="577">
                  <c:v>#Н/Д</c:v>
                </c:pt>
                <c:pt idx="578">
                  <c:v>#Н/Д</c:v>
                </c:pt>
                <c:pt idx="579">
                  <c:v>#Н/Д</c:v>
                </c:pt>
                <c:pt idx="580">
                  <c:v>#Н/Д</c:v>
                </c:pt>
                <c:pt idx="581">
                  <c:v>#Н/Д</c:v>
                </c:pt>
                <c:pt idx="582">
                  <c:v>#Н/Д</c:v>
                </c:pt>
                <c:pt idx="583">
                  <c:v>#Н/Д</c:v>
                </c:pt>
                <c:pt idx="584">
                  <c:v>#Н/Д</c:v>
                </c:pt>
                <c:pt idx="585">
                  <c:v>#Н/Д</c:v>
                </c:pt>
                <c:pt idx="586">
                  <c:v>#Н/Д</c:v>
                </c:pt>
                <c:pt idx="587">
                  <c:v>#Н/Д</c:v>
                </c:pt>
                <c:pt idx="588">
                  <c:v>#Н/Д</c:v>
                </c:pt>
                <c:pt idx="589">
                  <c:v>#Н/Д</c:v>
                </c:pt>
                <c:pt idx="590">
                  <c:v>#Н/Д</c:v>
                </c:pt>
                <c:pt idx="591">
                  <c:v>#Н/Д</c:v>
                </c:pt>
                <c:pt idx="592">
                  <c:v>#Н/Д</c:v>
                </c:pt>
                <c:pt idx="593">
                  <c:v>#Н/Д</c:v>
                </c:pt>
                <c:pt idx="594">
                  <c:v>#Н/Д</c:v>
                </c:pt>
                <c:pt idx="595">
                  <c:v>#Н/Д</c:v>
                </c:pt>
                <c:pt idx="596">
                  <c:v>#Н/Д</c:v>
                </c:pt>
                <c:pt idx="597">
                  <c:v>#Н/Д</c:v>
                </c:pt>
                <c:pt idx="598">
                  <c:v>#Н/Д</c:v>
                </c:pt>
                <c:pt idx="599">
                  <c:v>#Н/Д</c:v>
                </c:pt>
                <c:pt idx="600">
                  <c:v>#Н/Д</c:v>
                </c:pt>
                <c:pt idx="601">
                  <c:v>#Н/Д</c:v>
                </c:pt>
                <c:pt idx="602">
                  <c:v>#Н/Д</c:v>
                </c:pt>
                <c:pt idx="603">
                  <c:v>#Н/Д</c:v>
                </c:pt>
                <c:pt idx="604">
                  <c:v>#Н/Д</c:v>
                </c:pt>
                <c:pt idx="605">
                  <c:v>#Н/Д</c:v>
                </c:pt>
                <c:pt idx="606">
                  <c:v>#Н/Д</c:v>
                </c:pt>
                <c:pt idx="607">
                  <c:v>#Н/Д</c:v>
                </c:pt>
                <c:pt idx="608">
                  <c:v>#Н/Д</c:v>
                </c:pt>
                <c:pt idx="609">
                  <c:v>#Н/Д</c:v>
                </c:pt>
                <c:pt idx="610">
                  <c:v>#Н/Д</c:v>
                </c:pt>
                <c:pt idx="611">
                  <c:v>#Н/Д</c:v>
                </c:pt>
                <c:pt idx="612">
                  <c:v>#Н/Д</c:v>
                </c:pt>
                <c:pt idx="613">
                  <c:v>#Н/Д</c:v>
                </c:pt>
                <c:pt idx="614">
                  <c:v>#Н/Д</c:v>
                </c:pt>
                <c:pt idx="615">
                  <c:v>#Н/Д</c:v>
                </c:pt>
                <c:pt idx="616">
                  <c:v>#Н/Д</c:v>
                </c:pt>
                <c:pt idx="617">
                  <c:v>#Н/Д</c:v>
                </c:pt>
                <c:pt idx="618">
                  <c:v>#Н/Д</c:v>
                </c:pt>
                <c:pt idx="619">
                  <c:v>#Н/Д</c:v>
                </c:pt>
                <c:pt idx="620">
                  <c:v>#Н/Д</c:v>
                </c:pt>
                <c:pt idx="621">
                  <c:v>#Н/Д</c:v>
                </c:pt>
                <c:pt idx="622">
                  <c:v>#Н/Д</c:v>
                </c:pt>
                <c:pt idx="623">
                  <c:v>#Н/Д</c:v>
                </c:pt>
                <c:pt idx="624">
                  <c:v>#Н/Д</c:v>
                </c:pt>
                <c:pt idx="625">
                  <c:v>#Н/Д</c:v>
                </c:pt>
                <c:pt idx="626">
                  <c:v>#Н/Д</c:v>
                </c:pt>
                <c:pt idx="627">
                  <c:v>#Н/Д</c:v>
                </c:pt>
                <c:pt idx="628">
                  <c:v>#Н/Д</c:v>
                </c:pt>
                <c:pt idx="629">
                  <c:v>#Н/Д</c:v>
                </c:pt>
                <c:pt idx="630">
                  <c:v>#Н/Д</c:v>
                </c:pt>
                <c:pt idx="631">
                  <c:v>#Н/Д</c:v>
                </c:pt>
                <c:pt idx="632">
                  <c:v>#Н/Д</c:v>
                </c:pt>
                <c:pt idx="633">
                  <c:v>#Н/Д</c:v>
                </c:pt>
                <c:pt idx="634">
                  <c:v>#Н/Д</c:v>
                </c:pt>
                <c:pt idx="635">
                  <c:v>#Н/Д</c:v>
                </c:pt>
                <c:pt idx="636">
                  <c:v>#Н/Д</c:v>
                </c:pt>
                <c:pt idx="637">
                  <c:v>#Н/Д</c:v>
                </c:pt>
                <c:pt idx="638">
                  <c:v>#Н/Д</c:v>
                </c:pt>
                <c:pt idx="639">
                  <c:v>#Н/Д</c:v>
                </c:pt>
                <c:pt idx="640">
                  <c:v>#Н/Д</c:v>
                </c:pt>
                <c:pt idx="641">
                  <c:v>#Н/Д</c:v>
                </c:pt>
                <c:pt idx="642">
                  <c:v>#Н/Д</c:v>
                </c:pt>
                <c:pt idx="643">
                  <c:v>#Н/Д</c:v>
                </c:pt>
                <c:pt idx="644">
                  <c:v>#Н/Д</c:v>
                </c:pt>
                <c:pt idx="645">
                  <c:v>#Н/Д</c:v>
                </c:pt>
                <c:pt idx="646">
                  <c:v>#Н/Д</c:v>
                </c:pt>
                <c:pt idx="647">
                  <c:v>#Н/Д</c:v>
                </c:pt>
                <c:pt idx="648">
                  <c:v>#Н/Д</c:v>
                </c:pt>
                <c:pt idx="649">
                  <c:v>#Н/Д</c:v>
                </c:pt>
                <c:pt idx="650">
                  <c:v>#Н/Д</c:v>
                </c:pt>
                <c:pt idx="651">
                  <c:v>#Н/Д</c:v>
                </c:pt>
                <c:pt idx="652">
                  <c:v>#Н/Д</c:v>
                </c:pt>
                <c:pt idx="653">
                  <c:v>#Н/Д</c:v>
                </c:pt>
                <c:pt idx="654">
                  <c:v>#Н/Д</c:v>
                </c:pt>
                <c:pt idx="655">
                  <c:v>#Н/Д</c:v>
                </c:pt>
                <c:pt idx="656">
                  <c:v>#Н/Д</c:v>
                </c:pt>
                <c:pt idx="657">
                  <c:v>#Н/Д</c:v>
                </c:pt>
                <c:pt idx="658">
                  <c:v>#Н/Д</c:v>
                </c:pt>
                <c:pt idx="659">
                  <c:v>#Н/Д</c:v>
                </c:pt>
                <c:pt idx="660">
                  <c:v>#Н/Д</c:v>
                </c:pt>
                <c:pt idx="661">
                  <c:v>#Н/Д</c:v>
                </c:pt>
                <c:pt idx="662">
                  <c:v>#Н/Д</c:v>
                </c:pt>
                <c:pt idx="663">
                  <c:v>#Н/Д</c:v>
                </c:pt>
                <c:pt idx="664">
                  <c:v>#Н/Д</c:v>
                </c:pt>
                <c:pt idx="665">
                  <c:v>#Н/Д</c:v>
                </c:pt>
                <c:pt idx="666">
                  <c:v>#Н/Д</c:v>
                </c:pt>
                <c:pt idx="667">
                  <c:v>#Н/Д</c:v>
                </c:pt>
                <c:pt idx="668">
                  <c:v>#Н/Д</c:v>
                </c:pt>
                <c:pt idx="669">
                  <c:v>#Н/Д</c:v>
                </c:pt>
                <c:pt idx="670">
                  <c:v>#Н/Д</c:v>
                </c:pt>
                <c:pt idx="671">
                  <c:v>#Н/Д</c:v>
                </c:pt>
                <c:pt idx="672">
                  <c:v>#Н/Д</c:v>
                </c:pt>
                <c:pt idx="673">
                  <c:v>#Н/Д</c:v>
                </c:pt>
                <c:pt idx="674">
                  <c:v>#Н/Д</c:v>
                </c:pt>
                <c:pt idx="675">
                  <c:v>#Н/Д</c:v>
                </c:pt>
                <c:pt idx="676">
                  <c:v>#Н/Д</c:v>
                </c:pt>
                <c:pt idx="677">
                  <c:v>#Н/Д</c:v>
                </c:pt>
                <c:pt idx="678">
                  <c:v>#Н/Д</c:v>
                </c:pt>
                <c:pt idx="679">
                  <c:v>#Н/Д</c:v>
                </c:pt>
                <c:pt idx="680">
                  <c:v>#Н/Д</c:v>
                </c:pt>
                <c:pt idx="681">
                  <c:v>#Н/Д</c:v>
                </c:pt>
                <c:pt idx="682">
                  <c:v>#Н/Д</c:v>
                </c:pt>
                <c:pt idx="683">
                  <c:v>#Н/Д</c:v>
                </c:pt>
                <c:pt idx="684">
                  <c:v>#Н/Д</c:v>
                </c:pt>
                <c:pt idx="685">
                  <c:v>#Н/Д</c:v>
                </c:pt>
                <c:pt idx="686">
                  <c:v>#Н/Д</c:v>
                </c:pt>
                <c:pt idx="687">
                  <c:v>#Н/Д</c:v>
                </c:pt>
                <c:pt idx="688">
                  <c:v>#Н/Д</c:v>
                </c:pt>
                <c:pt idx="689">
                  <c:v>#Н/Д</c:v>
                </c:pt>
                <c:pt idx="690">
                  <c:v>#Н/Д</c:v>
                </c:pt>
                <c:pt idx="691">
                  <c:v>#Н/Д</c:v>
                </c:pt>
                <c:pt idx="692">
                  <c:v>#Н/Д</c:v>
                </c:pt>
                <c:pt idx="693">
                  <c:v>#Н/Д</c:v>
                </c:pt>
                <c:pt idx="694">
                  <c:v>#Н/Д</c:v>
                </c:pt>
                <c:pt idx="695">
                  <c:v>#Н/Д</c:v>
                </c:pt>
                <c:pt idx="696">
                  <c:v>#Н/Д</c:v>
                </c:pt>
                <c:pt idx="697">
                  <c:v>#Н/Д</c:v>
                </c:pt>
                <c:pt idx="698">
                  <c:v>#Н/Д</c:v>
                </c:pt>
                <c:pt idx="699">
                  <c:v>#Н/Д</c:v>
                </c:pt>
                <c:pt idx="700">
                  <c:v>#Н/Д</c:v>
                </c:pt>
                <c:pt idx="701">
                  <c:v>#Н/Д</c:v>
                </c:pt>
                <c:pt idx="702">
                  <c:v>#Н/Д</c:v>
                </c:pt>
                <c:pt idx="703">
                  <c:v>#Н/Д</c:v>
                </c:pt>
                <c:pt idx="704">
                  <c:v>#Н/Д</c:v>
                </c:pt>
                <c:pt idx="705">
                  <c:v>#Н/Д</c:v>
                </c:pt>
                <c:pt idx="706">
                  <c:v>#Н/Д</c:v>
                </c:pt>
                <c:pt idx="707">
                  <c:v>#Н/Д</c:v>
                </c:pt>
                <c:pt idx="708">
                  <c:v>#Н/Д</c:v>
                </c:pt>
                <c:pt idx="709">
                  <c:v>#Н/Д</c:v>
                </c:pt>
                <c:pt idx="710">
                  <c:v>#Н/Д</c:v>
                </c:pt>
                <c:pt idx="711">
                  <c:v>#Н/Д</c:v>
                </c:pt>
                <c:pt idx="712">
                  <c:v>#Н/Д</c:v>
                </c:pt>
                <c:pt idx="713">
                  <c:v>#Н/Д</c:v>
                </c:pt>
                <c:pt idx="714">
                  <c:v>#Н/Д</c:v>
                </c:pt>
                <c:pt idx="715">
                  <c:v>#Н/Д</c:v>
                </c:pt>
                <c:pt idx="716">
                  <c:v>#Н/Д</c:v>
                </c:pt>
                <c:pt idx="717">
                  <c:v>#Н/Д</c:v>
                </c:pt>
                <c:pt idx="718">
                  <c:v>#Н/Д</c:v>
                </c:pt>
                <c:pt idx="719">
                  <c:v>#Н/Д</c:v>
                </c:pt>
                <c:pt idx="720">
                  <c:v>#Н/Д</c:v>
                </c:pt>
                <c:pt idx="721">
                  <c:v>#Н/Д</c:v>
                </c:pt>
                <c:pt idx="722">
                  <c:v>#Н/Д</c:v>
                </c:pt>
                <c:pt idx="723">
                  <c:v>#Н/Д</c:v>
                </c:pt>
                <c:pt idx="724">
                  <c:v>#Н/Д</c:v>
                </c:pt>
                <c:pt idx="725">
                  <c:v>#Н/Д</c:v>
                </c:pt>
                <c:pt idx="726">
                  <c:v>#Н/Д</c:v>
                </c:pt>
                <c:pt idx="727">
                  <c:v>#Н/Д</c:v>
                </c:pt>
                <c:pt idx="728">
                  <c:v>#Н/Д</c:v>
                </c:pt>
                <c:pt idx="729">
                  <c:v>#Н/Д</c:v>
                </c:pt>
                <c:pt idx="730">
                  <c:v>#Н/Д</c:v>
                </c:pt>
                <c:pt idx="731">
                  <c:v>#Н/Д</c:v>
                </c:pt>
                <c:pt idx="732">
                  <c:v>#Н/Д</c:v>
                </c:pt>
                <c:pt idx="733">
                  <c:v>#Н/Д</c:v>
                </c:pt>
                <c:pt idx="734">
                  <c:v>#Н/Д</c:v>
                </c:pt>
                <c:pt idx="735">
                  <c:v>#Н/Д</c:v>
                </c:pt>
                <c:pt idx="736">
                  <c:v>#Н/Д</c:v>
                </c:pt>
                <c:pt idx="737">
                  <c:v>#Н/Д</c:v>
                </c:pt>
                <c:pt idx="738">
                  <c:v>#Н/Д</c:v>
                </c:pt>
                <c:pt idx="739">
                  <c:v>#Н/Д</c:v>
                </c:pt>
                <c:pt idx="740">
                  <c:v>#Н/Д</c:v>
                </c:pt>
                <c:pt idx="741">
                  <c:v>#Н/Д</c:v>
                </c:pt>
                <c:pt idx="742">
                  <c:v>#Н/Д</c:v>
                </c:pt>
                <c:pt idx="743">
                  <c:v>#Н/Д</c:v>
                </c:pt>
                <c:pt idx="744">
                  <c:v>#Н/Д</c:v>
                </c:pt>
                <c:pt idx="745">
                  <c:v>#Н/Д</c:v>
                </c:pt>
                <c:pt idx="746">
                  <c:v>#Н/Д</c:v>
                </c:pt>
                <c:pt idx="747">
                  <c:v>#Н/Д</c:v>
                </c:pt>
                <c:pt idx="748">
                  <c:v>#Н/Д</c:v>
                </c:pt>
                <c:pt idx="749">
                  <c:v>#Н/Д</c:v>
                </c:pt>
                <c:pt idx="750">
                  <c:v>#Н/Д</c:v>
                </c:pt>
                <c:pt idx="751">
                  <c:v>#Н/Д</c:v>
                </c:pt>
                <c:pt idx="752">
                  <c:v>#Н/Д</c:v>
                </c:pt>
                <c:pt idx="753">
                  <c:v>#Н/Д</c:v>
                </c:pt>
                <c:pt idx="754">
                  <c:v>#Н/Д</c:v>
                </c:pt>
                <c:pt idx="755">
                  <c:v>#Н/Д</c:v>
                </c:pt>
                <c:pt idx="756">
                  <c:v>#Н/Д</c:v>
                </c:pt>
                <c:pt idx="757">
                  <c:v>#Н/Д</c:v>
                </c:pt>
                <c:pt idx="758">
                  <c:v>#Н/Д</c:v>
                </c:pt>
                <c:pt idx="759">
                  <c:v>#Н/Д</c:v>
                </c:pt>
                <c:pt idx="760">
                  <c:v>#Н/Д</c:v>
                </c:pt>
                <c:pt idx="761">
                  <c:v>#Н/Д</c:v>
                </c:pt>
                <c:pt idx="762">
                  <c:v>#Н/Д</c:v>
                </c:pt>
                <c:pt idx="763">
                  <c:v>#Н/Д</c:v>
                </c:pt>
                <c:pt idx="764">
                  <c:v>#Н/Д</c:v>
                </c:pt>
                <c:pt idx="765">
                  <c:v>#Н/Д</c:v>
                </c:pt>
                <c:pt idx="766">
                  <c:v>#Н/Д</c:v>
                </c:pt>
                <c:pt idx="767">
                  <c:v>#Н/Д</c:v>
                </c:pt>
                <c:pt idx="768">
                  <c:v>#Н/Д</c:v>
                </c:pt>
                <c:pt idx="769">
                  <c:v>#Н/Д</c:v>
                </c:pt>
                <c:pt idx="770">
                  <c:v>#Н/Д</c:v>
                </c:pt>
                <c:pt idx="771">
                  <c:v>#Н/Д</c:v>
                </c:pt>
                <c:pt idx="772">
                  <c:v>#Н/Д</c:v>
                </c:pt>
                <c:pt idx="773">
                  <c:v>#Н/Д</c:v>
                </c:pt>
                <c:pt idx="774">
                  <c:v>#Н/Д</c:v>
                </c:pt>
                <c:pt idx="775">
                  <c:v>#Н/Д</c:v>
                </c:pt>
                <c:pt idx="776">
                  <c:v>#Н/Д</c:v>
                </c:pt>
                <c:pt idx="777">
                  <c:v>#Н/Д</c:v>
                </c:pt>
                <c:pt idx="778">
                  <c:v>#Н/Д</c:v>
                </c:pt>
                <c:pt idx="779">
                  <c:v>#Н/Д</c:v>
                </c:pt>
                <c:pt idx="780">
                  <c:v>#Н/Д</c:v>
                </c:pt>
                <c:pt idx="781">
                  <c:v>#Н/Д</c:v>
                </c:pt>
                <c:pt idx="782">
                  <c:v>#Н/Д</c:v>
                </c:pt>
                <c:pt idx="783">
                  <c:v>#Н/Д</c:v>
                </c:pt>
                <c:pt idx="784">
                  <c:v>#Н/Д</c:v>
                </c:pt>
                <c:pt idx="785">
                  <c:v>#Н/Д</c:v>
                </c:pt>
                <c:pt idx="786">
                  <c:v>#Н/Д</c:v>
                </c:pt>
                <c:pt idx="787">
                  <c:v>#Н/Д</c:v>
                </c:pt>
                <c:pt idx="788">
                  <c:v>#Н/Д</c:v>
                </c:pt>
                <c:pt idx="789">
                  <c:v>#Н/Д</c:v>
                </c:pt>
                <c:pt idx="790">
                  <c:v>#Н/Д</c:v>
                </c:pt>
                <c:pt idx="791">
                  <c:v>#Н/Д</c:v>
                </c:pt>
                <c:pt idx="792">
                  <c:v>#Н/Д</c:v>
                </c:pt>
                <c:pt idx="793">
                  <c:v>#Н/Д</c:v>
                </c:pt>
                <c:pt idx="794">
                  <c:v>#Н/Д</c:v>
                </c:pt>
                <c:pt idx="795">
                  <c:v>#Н/Д</c:v>
                </c:pt>
                <c:pt idx="796">
                  <c:v>#Н/Д</c:v>
                </c:pt>
                <c:pt idx="797">
                  <c:v>#Н/Д</c:v>
                </c:pt>
                <c:pt idx="798">
                  <c:v>#Н/Д</c:v>
                </c:pt>
                <c:pt idx="799">
                  <c:v>#Н/Д</c:v>
                </c:pt>
                <c:pt idx="800">
                  <c:v>#Н/Д</c:v>
                </c:pt>
                <c:pt idx="801">
                  <c:v>#Н/Д</c:v>
                </c:pt>
                <c:pt idx="802">
                  <c:v>#Н/Д</c:v>
                </c:pt>
                <c:pt idx="803">
                  <c:v>#Н/Д</c:v>
                </c:pt>
                <c:pt idx="804">
                  <c:v>#Н/Д</c:v>
                </c:pt>
                <c:pt idx="805">
                  <c:v>#Н/Д</c:v>
                </c:pt>
                <c:pt idx="806">
                  <c:v>#Н/Д</c:v>
                </c:pt>
                <c:pt idx="807">
                  <c:v>#Н/Д</c:v>
                </c:pt>
                <c:pt idx="808">
                  <c:v>#Н/Д</c:v>
                </c:pt>
                <c:pt idx="809">
                  <c:v>#Н/Д</c:v>
                </c:pt>
                <c:pt idx="810">
                  <c:v>#Н/Д</c:v>
                </c:pt>
                <c:pt idx="811">
                  <c:v>#Н/Д</c:v>
                </c:pt>
                <c:pt idx="812">
                  <c:v>#Н/Д</c:v>
                </c:pt>
                <c:pt idx="813">
                  <c:v>#Н/Д</c:v>
                </c:pt>
                <c:pt idx="814">
                  <c:v>#Н/Д</c:v>
                </c:pt>
                <c:pt idx="815">
                  <c:v>#Н/Д</c:v>
                </c:pt>
                <c:pt idx="816">
                  <c:v>#Н/Д</c:v>
                </c:pt>
                <c:pt idx="817">
                  <c:v>#Н/Д</c:v>
                </c:pt>
                <c:pt idx="818">
                  <c:v>#Н/Д</c:v>
                </c:pt>
                <c:pt idx="819">
                  <c:v>#Н/Д</c:v>
                </c:pt>
                <c:pt idx="820">
                  <c:v>#Н/Д</c:v>
                </c:pt>
                <c:pt idx="821">
                  <c:v>#Н/Д</c:v>
                </c:pt>
                <c:pt idx="822">
                  <c:v>#Н/Д</c:v>
                </c:pt>
                <c:pt idx="823">
                  <c:v>#Н/Д</c:v>
                </c:pt>
                <c:pt idx="824">
                  <c:v>#Н/Д</c:v>
                </c:pt>
                <c:pt idx="825">
                  <c:v>#Н/Д</c:v>
                </c:pt>
                <c:pt idx="826">
                  <c:v>#Н/Д</c:v>
                </c:pt>
                <c:pt idx="827">
                  <c:v>#Н/Д</c:v>
                </c:pt>
                <c:pt idx="828">
                  <c:v>#Н/Д</c:v>
                </c:pt>
                <c:pt idx="829">
                  <c:v>#Н/Д</c:v>
                </c:pt>
                <c:pt idx="830">
                  <c:v>#Н/Д</c:v>
                </c:pt>
                <c:pt idx="831">
                  <c:v>#Н/Д</c:v>
                </c:pt>
                <c:pt idx="832">
                  <c:v>#Н/Д</c:v>
                </c:pt>
                <c:pt idx="833">
                  <c:v>#Н/Д</c:v>
                </c:pt>
                <c:pt idx="834">
                  <c:v>#Н/Д</c:v>
                </c:pt>
                <c:pt idx="835">
                  <c:v>#Н/Д</c:v>
                </c:pt>
                <c:pt idx="836">
                  <c:v>#Н/Д</c:v>
                </c:pt>
                <c:pt idx="837">
                  <c:v>#Н/Д</c:v>
                </c:pt>
                <c:pt idx="838">
                  <c:v>#Н/Д</c:v>
                </c:pt>
                <c:pt idx="839">
                  <c:v>#Н/Д</c:v>
                </c:pt>
                <c:pt idx="840">
                  <c:v>#Н/Д</c:v>
                </c:pt>
                <c:pt idx="841">
                  <c:v>#Н/Д</c:v>
                </c:pt>
                <c:pt idx="842">
                  <c:v>#Н/Д</c:v>
                </c:pt>
                <c:pt idx="843">
                  <c:v>#Н/Д</c:v>
                </c:pt>
                <c:pt idx="844">
                  <c:v>#Н/Д</c:v>
                </c:pt>
                <c:pt idx="845">
                  <c:v>#Н/Д</c:v>
                </c:pt>
                <c:pt idx="846">
                  <c:v>#Н/Д</c:v>
                </c:pt>
                <c:pt idx="847">
                  <c:v>#Н/Д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06DD3BFB-6493-456B-9A2B-F4B34296E395}" type="CELLRANGE">
                      <a:rPr lang="en-US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277-4CEE-86A7-0F4DD3458E3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176E122-FA62-4D6C-997B-BB623B13F6E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277-4CEE-86A7-0F4DD3458E3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28FB49D-DDBA-468D-BCFE-67C6094D033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277-4CEE-86A7-0F4DD3458E3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FE2E192-326D-4B59-9F61-4E00CF8ABA4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277-4CEE-86A7-0F4DD3458E3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4E0C3BD-35C2-4149-A0B2-3A7D1C48465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277-4CEE-86A7-0F4DD3458E3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585085F-07E3-4ADB-8913-6FB3211D45C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277-4CEE-86A7-0F4DD3458E3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1242164-825B-4628-AA7A-1171BB0B439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277-4CEE-86A7-0F4DD3458E3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C79864D-4812-45B8-930F-01C00A82448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277-4CEE-86A7-0F4DD3458E3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CA87F7A-BFA3-4B9D-9450-021480CFC7E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277-4CEE-86A7-0F4DD3458E3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DDA8FDE-BBCB-4B26-BF51-0A90BCBA128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277-4CEE-86A7-0F4DD3458E3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21AEA6B-E061-4E69-8B2E-0C7A855FE04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277-4CEE-86A7-0F4DD3458E3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0B99210-E8FC-4A47-8FA1-73BEEED6D9E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277-4CEE-86A7-0F4DD3458E3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E1C8C0E-14E7-452C-B6EA-6B700F87C68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277-4CEE-86A7-0F4DD3458E3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502628D-2BB3-46BB-BA2E-E09C46FC73F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277-4CEE-86A7-0F4DD3458E3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AEC8DE2-9CC8-4949-A33E-441E52893E2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277-4CEE-86A7-0F4DD3458E3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50CA38E-0225-42C9-A35C-2054F8C4164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277-4CEE-86A7-0F4DD3458E3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79A67F2-3696-4991-94FA-C49A0C07A17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277-4CEE-86A7-0F4DD3458E3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42FCC03-EC77-4EE7-9F49-CAB93A33134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277-4CEE-86A7-0F4DD3458E3A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488D6E5-DCF9-4731-BD07-2B05F2F0012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277-4CEE-86A7-0F4DD3458E3A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2DFC74B-12D7-4A86-967A-DC61198C09D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277-4CEE-86A7-0F4DD3458E3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C1C6CC5-D770-45B4-91C5-D5ECA0B5887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277-4CEE-86A7-0F4DD3458E3A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68795B1-4B1F-48AB-931B-01F8B6E5927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277-4CEE-86A7-0F4DD3458E3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8A3E63E-61DE-4B2A-8107-126A009E65C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277-4CEE-86A7-0F4DD3458E3A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B7E81B3-EB6E-42B5-A82F-082060CC1D1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277-4CEE-86A7-0F4DD3458E3A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45CAB77B-5B99-4166-9DCA-8479F0AB428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277-4CEE-86A7-0F4DD3458E3A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2EB85EC5-CCE8-4EA9-968F-25B90516A96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277-4CEE-86A7-0F4DD3458E3A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87C83185-9C4D-4AF0-A610-0EC270585CF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277-4CEE-86A7-0F4DD3458E3A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5B481CD0-B6DE-4492-B6DC-E6F30F67C66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277-4CEE-86A7-0F4DD3458E3A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16269685-90A1-4C60-995E-506F39AA123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277-4CEE-86A7-0F4DD3458E3A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7C4376B0-C2E6-4542-8A3E-71E2F1ED6F4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0277-4CEE-86A7-0F4DD3458E3A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8B4D99B5-FC52-421E-8B12-BFBA98FF9F8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0277-4CEE-86A7-0F4DD3458E3A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073F2C49-E531-4B59-9191-42796922CEE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277-4CEE-86A7-0F4DD3458E3A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BCF78416-F6AE-4DEC-AF06-5E6614A46EC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0277-4CEE-86A7-0F4DD3458E3A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93DF7A6E-B389-4450-97EF-29FED4E8ED5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277-4CEE-86A7-0F4DD3458E3A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652AEF16-F638-42CD-9258-23CF0D26C22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0277-4CEE-86A7-0F4DD3458E3A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85255324-BE4C-46A8-83F2-A731D60979D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277-4CEE-86A7-0F4DD3458E3A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39776F86-283A-4A44-943A-3A111CE55EE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0277-4CEE-86A7-0F4DD3458E3A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1C522026-6361-4C59-91A0-CEBE8AF5FEB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0277-4CEE-86A7-0F4DD3458E3A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E11CE762-7687-4DB8-81AA-FD242020579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0277-4CEE-86A7-0F4DD3458E3A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61E0BBB0-6D69-41EA-91AB-4EA333C9712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0277-4CEE-86A7-0F4DD3458E3A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6EBF05C1-D454-4A0E-A820-EC1E16D4A0B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0277-4CEE-86A7-0F4DD3458E3A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542675CF-5C55-4178-AE51-4CB894BB576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0277-4CEE-86A7-0F4DD3458E3A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E449ECDB-9BDC-42E9-B01B-8A2B975F39F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0277-4CEE-86A7-0F4DD3458E3A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616F8A2E-31E5-49BC-A5BF-C18D3F92216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0277-4CEE-86A7-0F4DD3458E3A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10932514-2543-4F1D-8992-127BEE15A39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0277-4CEE-86A7-0F4DD3458E3A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140A75D0-E411-438A-9FE9-65B0DBD6BF7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0277-4CEE-86A7-0F4DD3458E3A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1BFB858A-26C6-4B93-B237-130F33C680C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277-4CEE-86A7-0F4DD3458E3A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C58BCF4C-359A-4176-9300-46B8BFEAB8A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277-4CEE-86A7-0F4DD3458E3A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A80CC8A5-4D34-47E2-BF47-3A8572F22E8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277-4CEE-86A7-0F4DD3458E3A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671C1F5B-E1F3-4FF1-A750-D8F58EE4AE2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277-4CEE-86A7-0F4DD3458E3A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78B8E8F9-06E3-4DB5-81D1-C4B3E291908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0277-4CEE-86A7-0F4DD3458E3A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AE8F7B4C-663A-4C7B-AE50-9F106883C3E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0277-4CEE-86A7-0F4DD3458E3A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6CB8CEA1-BDD4-4C6F-8C0F-557FEB580A4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0277-4CEE-86A7-0F4DD3458E3A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A5259FF0-4134-4411-AB6B-F786031C63C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0277-4CEE-86A7-0F4DD3458E3A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404C3609-D5D9-4507-A0E4-91727420BD0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0277-4CEE-86A7-0F4DD3458E3A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CD37F593-6251-4A0E-A09E-360544AC3CF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0277-4CEE-86A7-0F4DD3458E3A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AE80616E-CDDF-44B3-8B6B-382E4717EC5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0277-4CEE-86A7-0F4DD3458E3A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617B0472-3550-44A3-816D-841B10B299D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0277-4CEE-86A7-0F4DD3458E3A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8DE5B96D-E09A-4700-ADDC-94B99F3082E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0277-4CEE-86A7-0F4DD3458E3A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832163D4-CEFA-490F-8438-BC398CE37A9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0277-4CEE-86A7-0F4DD3458E3A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C6426D5B-7F23-4F3B-AAC0-0A3A8D30290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0277-4CEE-86A7-0F4DD3458E3A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6B11EF88-AC4E-49BB-911C-2C73397F131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0277-4CEE-86A7-0F4DD3458E3A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8B4C0EFE-E320-486E-9AC9-5C7ED00B4C5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0277-4CEE-86A7-0F4DD3458E3A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21ABF471-D22E-4325-9689-7152C0A8AE2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0277-4CEE-86A7-0F4DD3458E3A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E7F467C1-11F9-40CA-8B55-CAD60B30F3B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0277-4CEE-86A7-0F4DD3458E3A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F9B2E881-D0D3-41D5-B7B9-1FB9B998AA1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0277-4CEE-86A7-0F4DD3458E3A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F6C72AF7-9FED-474F-A220-76A6C1F9B8D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0277-4CEE-86A7-0F4DD3458E3A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721196DE-E7D5-41BC-B9A1-308B048AFFC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0277-4CEE-86A7-0F4DD3458E3A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FCB0C4C1-8203-4A27-9BBD-474922D708E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0277-4CEE-86A7-0F4DD3458E3A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B10894EC-2ACD-4F8D-995C-29AF5573FBA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0277-4CEE-86A7-0F4DD3458E3A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D6DE8665-C9C8-452C-9A0A-9C66E7E8C02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0277-4CEE-86A7-0F4DD3458E3A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BE584E66-92E9-43A7-AC57-58AF862DDCA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0277-4CEE-86A7-0F4DD3458E3A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A9C4C02E-8315-4473-A208-34AFBF63DD4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0277-4CEE-86A7-0F4DD3458E3A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A915DF8B-9815-4609-8A36-8769B79C206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0277-4CEE-86A7-0F4DD3458E3A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CEFA5886-4BF4-4673-84AB-B002A34CE25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0277-4CEE-86A7-0F4DD3458E3A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E7E70AFB-C24D-4937-BC97-7477FE406D3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0277-4CEE-86A7-0F4DD3458E3A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80702C3D-5ED0-41BC-903F-2B1B77E83D2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0277-4CEE-86A7-0F4DD3458E3A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F59A0652-F41D-4C2D-96FB-A6DCB2B0CA0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0277-4CEE-86A7-0F4DD3458E3A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ECA8FA39-FD3D-4F8C-9A32-B118A89D6A2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0277-4CEE-86A7-0F4DD3458E3A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5B417FD3-13F7-4D01-AD96-AC88E2359D1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0277-4CEE-86A7-0F4DD3458E3A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18AF509B-8E77-4B49-8C65-DF4D531BC26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0277-4CEE-86A7-0F4DD3458E3A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96D11DB4-E814-4062-9FBF-4A19EA15300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0277-4CEE-86A7-0F4DD3458E3A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EECF3281-F9C3-45D8-83E5-6ABACCC1E17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0277-4CEE-86A7-0F4DD3458E3A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EA0FD94F-1546-4D02-96C2-32312991E1F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0277-4CEE-86A7-0F4DD3458E3A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61E54FEA-4F7C-4424-AD92-022B65F948E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0277-4CEE-86A7-0F4DD3458E3A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058BE3F6-2184-4256-BC1A-EA8931D0B0C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0277-4CEE-86A7-0F4DD3458E3A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1A2C5A7A-BD17-49BC-9F6E-73923B94C20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0277-4CEE-86A7-0F4DD3458E3A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6034DA89-BF10-4EC2-AACE-AF72B2558A5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0277-4CEE-86A7-0F4DD3458E3A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B7B15F4A-C863-4C7E-A739-088653EBC7F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0277-4CEE-86A7-0F4DD3458E3A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B81A7348-C065-4669-AAC1-14CE70FC5B2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0277-4CEE-86A7-0F4DD3458E3A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F3022B34-F631-4486-AE74-D3F728A9825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0277-4CEE-86A7-0F4DD3458E3A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AEE5ADB9-DDD2-4133-8E01-C0D9BF6BD3E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0277-4CEE-86A7-0F4DD3458E3A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C86E9AAD-AE3E-4668-9E58-B04DB9C05B1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0277-4CEE-86A7-0F4DD3458E3A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6BF6BD76-6C35-4A22-8212-72E831EEEAF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0277-4CEE-86A7-0F4DD3458E3A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034C52EC-7E3E-4BD7-BBC1-5053B3511E2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0277-4CEE-86A7-0F4DD3458E3A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40EB011A-601A-4072-8C74-06C771676EA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0277-4CEE-86A7-0F4DD3458E3A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76BC2BD2-97C4-4CE0-9217-39B5250C783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0277-4CEE-86A7-0F4DD3458E3A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9D7934E1-C388-4566-A051-3D17BC49FDD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0277-4CEE-86A7-0F4DD3458E3A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B798CDA3-FD00-4775-8A62-AE197844B57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0277-4CEE-86A7-0F4DD3458E3A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4C4F5983-1658-4A14-BFD4-A286E283347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0277-4CEE-86A7-0F4DD3458E3A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08BE7DD1-41FE-43B5-8EE0-EB7115B99B1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0277-4CEE-86A7-0F4DD3458E3A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90B3B447-1A20-4A57-96B6-385DEDDB507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0277-4CEE-86A7-0F4DD3458E3A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669CEF98-EEAB-48BB-8C79-CEC8BAAF7C6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0277-4CEE-86A7-0F4DD3458E3A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7F39F292-E415-4768-B826-D9C58A3CB72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0277-4CEE-86A7-0F4DD3458E3A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308A1994-5238-4C15-98C2-E3FF820E85E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0277-4CEE-86A7-0F4DD3458E3A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714C3C1B-AD7A-4F97-9987-9F399D62E8C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0277-4CEE-86A7-0F4DD3458E3A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79DB36B7-03C8-48B8-996A-112481D1BAC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0277-4CEE-86A7-0F4DD3458E3A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1C1617E7-F2D1-4AF0-9BB4-30100CCE888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0277-4CEE-86A7-0F4DD3458E3A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A64BD4A8-01E5-4C4D-9101-76F86BB9B4D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0277-4CEE-86A7-0F4DD3458E3A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7C903AF7-4D5C-4062-B2AC-8599D2080E8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0277-4CEE-86A7-0F4DD3458E3A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C1405D36-5E88-4BB3-BE27-B3FC30FF2A9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0277-4CEE-86A7-0F4DD3458E3A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7CED6435-A2B2-43D3-A836-CE5DEA34219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0277-4CEE-86A7-0F4DD3458E3A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02C0314C-7759-4024-B0AD-2675682D688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0277-4CEE-86A7-0F4DD3458E3A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29579E02-1513-4F42-A113-ED9F4348495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0277-4CEE-86A7-0F4DD3458E3A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DAE15FB4-7A87-4B1C-872E-989AB90A74E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0277-4CEE-86A7-0F4DD3458E3A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3F959EF3-C8C8-48B2-94CC-AF2B7D5B346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0277-4CEE-86A7-0F4DD3458E3A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B1F81B80-643B-4F51-B75C-56F04791702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0277-4CEE-86A7-0F4DD3458E3A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E23507CA-3D83-4070-8EA4-CB1FFCA9560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0277-4CEE-86A7-0F4DD3458E3A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E7CE80D4-985F-4403-8A16-7CC45F499FC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0277-4CEE-86A7-0F4DD3458E3A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E6A227D5-DAC9-4FD5-BE9D-84E432F9784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0277-4CEE-86A7-0F4DD3458E3A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72994949-22C7-4932-A08A-48E2527D08D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0277-4CEE-86A7-0F4DD3458E3A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560997D4-B051-4BC1-85B6-05B06B81503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0277-4CEE-86A7-0F4DD3458E3A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80C9CD97-3ED0-4CDB-830F-C75B614D5C4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0277-4CEE-86A7-0F4DD3458E3A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B4D117EC-FF6F-4629-A42B-EA7E61E8196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0277-4CEE-86A7-0F4DD3458E3A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0A7EE0AD-7965-4390-83AE-D752EA34136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0277-4CEE-86A7-0F4DD3458E3A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8EE9312E-A972-46CD-8470-253C5D23F99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0277-4CEE-86A7-0F4DD3458E3A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FD7FA2CC-A16D-4A0C-BD51-AACCF14C48C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0277-4CEE-86A7-0F4DD3458E3A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F0189157-6355-4550-A78E-7D1FFAAAD11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0277-4CEE-86A7-0F4DD3458E3A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824890E2-856B-46E6-A554-2C392A3BE3D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0277-4CEE-86A7-0F4DD3458E3A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095A9553-30D3-4865-9795-7E8BD5CDC46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0277-4CEE-86A7-0F4DD3458E3A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F23B654E-F8E0-4531-8796-F757FAAE3F3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0277-4CEE-86A7-0F4DD3458E3A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4C3C079F-8E18-4F1F-B236-5A30A56EC49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0277-4CEE-86A7-0F4DD3458E3A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1B1A3B22-E592-401A-A03B-BA2DCAAAB45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0277-4CEE-86A7-0F4DD3458E3A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6ED9F3DC-C781-4580-9743-CF8643BBBF0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0277-4CEE-86A7-0F4DD3458E3A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2A21ACB7-DD15-4439-B75A-4CCFC601487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0277-4CEE-86A7-0F4DD3458E3A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BE99D949-6CBC-42A1-8338-105DEB202E8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0277-4CEE-86A7-0F4DD3458E3A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8335B8C8-0EF9-44D4-8118-68A59460884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0277-4CEE-86A7-0F4DD3458E3A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B34E16A7-A41D-4AA5-8243-273ADAF31E5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0277-4CEE-86A7-0F4DD3458E3A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B57FB7A1-7119-445A-9DF8-44A03152FAF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0277-4CEE-86A7-0F4DD3458E3A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BE2AF055-DED2-4491-B3C0-7119E26E78D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0277-4CEE-86A7-0F4DD3458E3A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AB1BBE50-1B5C-447D-A35C-96AD92E524B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0277-4CEE-86A7-0F4DD3458E3A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D4444BE8-4303-4969-9E80-1E1748B2BE0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0277-4CEE-86A7-0F4DD3458E3A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62DBDC85-E4BF-4F6D-A016-EBA0A949FA8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0277-4CEE-86A7-0F4DD3458E3A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565C6CA1-DA5A-409C-8E41-3AF5FE5567B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0277-4CEE-86A7-0F4DD3458E3A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B053054F-10C0-46F9-9ECB-617C6EB7681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0277-4CEE-86A7-0F4DD3458E3A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8529527B-066A-4559-8A9B-2DEA879D393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0277-4CEE-86A7-0F4DD3458E3A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FBBC4722-6746-4EE7-AB77-7CF412C5245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0277-4CEE-86A7-0F4DD3458E3A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95257486-7671-403F-9AF9-D403AB6F49E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0277-4CEE-86A7-0F4DD3458E3A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7F1C1DED-F907-4CB2-9BAE-598AF9FA891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0277-4CEE-86A7-0F4DD3458E3A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29ADE666-91CA-44DD-ADA7-445A6B9A769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0277-4CEE-86A7-0F4DD3458E3A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062984CB-2A5E-4D5C-A0CD-BBD750CF27F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0277-4CEE-86A7-0F4DD3458E3A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1007B40A-8366-49F5-A993-33D8552927A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0277-4CEE-86A7-0F4DD3458E3A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A067EDF8-2C52-44EA-9584-B2040451F99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0277-4CEE-86A7-0F4DD3458E3A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1C59B77C-0101-4BFE-8D33-A524D13C896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0277-4CEE-86A7-0F4DD3458E3A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5186492E-5993-4BC8-A2D7-70B33F4C786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0277-4CEE-86A7-0F4DD3458E3A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C69E84E8-4609-4F7E-BD8B-6C7AD35CF49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0277-4CEE-86A7-0F4DD3458E3A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003890C7-DEAD-4F13-A02C-72CFD14A72B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0277-4CEE-86A7-0F4DD3458E3A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F0523E99-1BE2-4010-8747-B9B8B5E6C28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0277-4CEE-86A7-0F4DD3458E3A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DBC45377-BF30-4087-8A10-E467EE5C82F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0277-4CEE-86A7-0F4DD3458E3A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6041F877-4214-4FB0-8C4E-A01575685F0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0277-4CEE-86A7-0F4DD3458E3A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28CEDF29-59E6-45A5-8E8A-1760F65475E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0277-4CEE-86A7-0F4DD3458E3A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E287E9B3-13D4-42E8-8151-8409D97F654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0277-4CEE-86A7-0F4DD3458E3A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19751309-5FDD-4CE0-AB06-62DA7E439FE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0277-4CEE-86A7-0F4DD3458E3A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BA65BEB3-14BB-4F72-89F3-DDE1C3E8E0D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0277-4CEE-86A7-0F4DD3458E3A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C185CDDA-13CA-45B8-83DC-533955AC25F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0277-4CEE-86A7-0F4DD3458E3A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7C56E6ED-4B88-4C63-8217-8425CA49389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0277-4CEE-86A7-0F4DD3458E3A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92A188C8-B8D9-410D-BA49-5280C314D8C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0277-4CEE-86A7-0F4DD3458E3A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B1B96B72-AFE3-408B-8B59-E304655097E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0277-4CEE-86A7-0F4DD3458E3A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D3CED15B-CA15-4AE5-8A93-4763EF94484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0277-4CEE-86A7-0F4DD3458E3A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DE30857E-BE22-4642-9226-C7DC99179B7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0277-4CEE-86A7-0F4DD3458E3A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3B08411A-5F8E-485D-BF73-1F68681E8C6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0277-4CEE-86A7-0F4DD3458E3A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FE82FEB4-2A56-417D-8A4A-BE05B006C10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0277-4CEE-86A7-0F4DD3458E3A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4CFC66D7-9395-49B0-B52F-5755B4D7BD3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0277-4CEE-86A7-0F4DD3458E3A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8997B4B0-8E81-4119-9C28-355B2FCD2AE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0277-4CEE-86A7-0F4DD3458E3A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53063DA0-0808-418D-92DB-91BFCFD4A04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0277-4CEE-86A7-0F4DD3458E3A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A19C8CEB-0B7D-49BB-B8F0-A633DF68D02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0277-4CEE-86A7-0F4DD3458E3A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497A8167-FCBE-4532-9C90-4F4687FD61E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0277-4CEE-86A7-0F4DD3458E3A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F87C7A66-CF3F-44EC-AA72-2F4BC374DC5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0277-4CEE-86A7-0F4DD3458E3A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8D176178-C63A-45B5-BF37-ECD6C816480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0277-4CEE-86A7-0F4DD3458E3A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C1D99385-0826-4011-99EE-E1DEBAB2147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0277-4CEE-86A7-0F4DD3458E3A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6E85FF4A-D84F-4FB0-8564-EBF66C78E43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0277-4CEE-86A7-0F4DD3458E3A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C92FA48D-F98A-4E2F-85D6-5148B7B4A6E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0277-4CEE-86A7-0F4DD3458E3A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C6F2B4FF-2B32-4492-AA32-BD08309E359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0277-4CEE-86A7-0F4DD3458E3A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10FF35CF-B600-4EAD-AFE0-33E02FF161C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0277-4CEE-86A7-0F4DD3458E3A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B145EEA9-E9C3-44B7-8846-82982EA5A63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0277-4CEE-86A7-0F4DD3458E3A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E6DF9283-3333-49EB-AA17-4BE2218E192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0277-4CEE-86A7-0F4DD3458E3A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F8A32727-4E40-4CBA-9D52-7A3CABD5616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0277-4CEE-86A7-0F4DD3458E3A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E970AD0E-4762-4A21-9B10-57187DDDCCC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0277-4CEE-86A7-0F4DD3458E3A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4A86198C-71EB-4DB2-8F0F-33139281E3D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0277-4CEE-86A7-0F4DD3458E3A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538F7F20-83E7-43AF-92F4-863A53E9A3D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0277-4CEE-86A7-0F4DD3458E3A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BD320889-5C34-4517-ADF1-81C5F3978EB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0277-4CEE-86A7-0F4DD3458E3A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84A8F220-C7F3-4635-878B-418726978B9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0277-4CEE-86A7-0F4DD3458E3A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4125A60C-CA6F-4860-B2F3-6CC843F1630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0277-4CEE-86A7-0F4DD3458E3A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332DE5A1-2FA6-41E5-B3E3-D0908E2BF57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0277-4CEE-86A7-0F4DD3458E3A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0A30E5A2-6576-4E84-A1E0-06BB61A60DC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0277-4CEE-86A7-0F4DD3458E3A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0277-4CEE-86A7-0F4DD3458E3A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0277-4CEE-86A7-0F4DD3458E3A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0277-4CEE-86A7-0F4DD3458E3A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0277-4CEE-86A7-0F4DD3458E3A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0277-4CEE-86A7-0F4DD3458E3A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0277-4CEE-86A7-0F4DD3458E3A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0277-4CEE-86A7-0F4DD3458E3A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0277-4CEE-86A7-0F4DD3458E3A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0277-4CEE-86A7-0F4DD3458E3A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0277-4CEE-86A7-0F4DD3458E3A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0277-4CEE-86A7-0F4DD3458E3A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0277-4CEE-86A7-0F4DD3458E3A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0277-4CEE-86A7-0F4DD3458E3A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0277-4CEE-86A7-0F4DD3458E3A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0277-4CEE-86A7-0F4DD3458E3A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0277-4CEE-86A7-0F4DD3458E3A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0277-4CEE-86A7-0F4DD3458E3A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0277-4CEE-86A7-0F4DD3458E3A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0277-4CEE-86A7-0F4DD3458E3A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0277-4CEE-86A7-0F4DD3458E3A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0277-4CEE-86A7-0F4DD3458E3A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0277-4CEE-86A7-0F4DD3458E3A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0277-4CEE-86A7-0F4DD3458E3A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0277-4CEE-86A7-0F4DD3458E3A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0277-4CEE-86A7-0F4DD3458E3A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0277-4CEE-86A7-0F4DD3458E3A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0277-4CEE-86A7-0F4DD3458E3A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0277-4CEE-86A7-0F4DD3458E3A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0277-4CEE-86A7-0F4DD3458E3A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0277-4CEE-86A7-0F4DD3458E3A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0277-4CEE-86A7-0F4DD3458E3A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0277-4CEE-86A7-0F4DD3458E3A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0277-4CEE-86A7-0F4DD3458E3A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0277-4CEE-86A7-0F4DD3458E3A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0277-4CEE-86A7-0F4DD3458E3A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0277-4CEE-86A7-0F4DD3458E3A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0277-4CEE-86A7-0F4DD3458E3A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0277-4CEE-86A7-0F4DD3458E3A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0277-4CEE-86A7-0F4DD3458E3A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0277-4CEE-86A7-0F4DD3458E3A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0277-4CEE-86A7-0F4DD3458E3A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0277-4CEE-86A7-0F4DD3458E3A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0277-4CEE-86A7-0F4DD3458E3A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0277-4CEE-86A7-0F4DD3458E3A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0277-4CEE-86A7-0F4DD3458E3A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0277-4CEE-86A7-0F4DD3458E3A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0277-4CEE-86A7-0F4DD3458E3A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0277-4CEE-86A7-0F4DD3458E3A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0277-4CEE-86A7-0F4DD3458E3A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0277-4CEE-86A7-0F4DD3458E3A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0277-4CEE-86A7-0F4DD3458E3A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0277-4CEE-86A7-0F4DD3458E3A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0277-4CEE-86A7-0F4DD3458E3A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0277-4CEE-86A7-0F4DD3458E3A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0277-4CEE-86A7-0F4DD3458E3A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0277-4CEE-86A7-0F4DD3458E3A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0277-4CEE-86A7-0F4DD3458E3A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0277-4CEE-86A7-0F4DD3458E3A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0277-4CEE-86A7-0F4DD3458E3A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0277-4CEE-86A7-0F4DD3458E3A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0277-4CEE-86A7-0F4DD3458E3A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0277-4CEE-86A7-0F4DD3458E3A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0277-4CEE-86A7-0F4DD3458E3A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0277-4CEE-86A7-0F4DD3458E3A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0277-4CEE-86A7-0F4DD3458E3A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0277-4CEE-86A7-0F4DD3458E3A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0277-4CEE-86A7-0F4DD3458E3A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0277-4CEE-86A7-0F4DD3458E3A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0277-4CEE-86A7-0F4DD3458E3A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0277-4CEE-86A7-0F4DD3458E3A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0277-4CEE-86A7-0F4DD3458E3A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0277-4CEE-86A7-0F4DD3458E3A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0277-4CEE-86A7-0F4DD3458E3A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0277-4CEE-86A7-0F4DD3458E3A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0277-4CEE-86A7-0F4DD3458E3A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0277-4CEE-86A7-0F4DD3458E3A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0277-4CEE-86A7-0F4DD3458E3A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0277-4CEE-86A7-0F4DD3458E3A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0277-4CEE-86A7-0F4DD3458E3A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0277-4CEE-86A7-0F4DD3458E3A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0277-4CEE-86A7-0F4DD3458E3A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0277-4CEE-86A7-0F4DD3458E3A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0277-4CEE-86A7-0F4DD3458E3A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0277-4CEE-86A7-0F4DD3458E3A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0277-4CEE-86A7-0F4DD3458E3A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0277-4CEE-86A7-0F4DD3458E3A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0277-4CEE-86A7-0F4DD3458E3A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0277-4CEE-86A7-0F4DD3458E3A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0277-4CEE-86A7-0F4DD3458E3A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0277-4CEE-86A7-0F4DD3458E3A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0277-4CEE-86A7-0F4DD3458E3A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0277-4CEE-86A7-0F4DD3458E3A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0277-4CEE-86A7-0F4DD3458E3A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0277-4CEE-86A7-0F4DD3458E3A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0277-4CEE-86A7-0F4DD3458E3A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2-0277-4CEE-86A7-0F4DD3458E3A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3-0277-4CEE-86A7-0F4DD3458E3A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4-0277-4CEE-86A7-0F4DD3458E3A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0277-4CEE-86A7-0F4DD3458E3A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6-0277-4CEE-86A7-0F4DD3458E3A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7-0277-4CEE-86A7-0F4DD3458E3A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8-0277-4CEE-86A7-0F4DD3458E3A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9-0277-4CEE-86A7-0F4DD3458E3A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A-0277-4CEE-86A7-0F4DD3458E3A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B-0277-4CEE-86A7-0F4DD3458E3A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C-0277-4CEE-86A7-0F4DD3458E3A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D-0277-4CEE-86A7-0F4DD3458E3A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E-0277-4CEE-86A7-0F4DD3458E3A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F-0277-4CEE-86A7-0F4DD3458E3A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0-0277-4CEE-86A7-0F4DD3458E3A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1-0277-4CEE-86A7-0F4DD3458E3A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2-0277-4CEE-86A7-0F4DD3458E3A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3-0277-4CEE-86A7-0F4DD3458E3A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4-0277-4CEE-86A7-0F4DD3458E3A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5-0277-4CEE-86A7-0F4DD3458E3A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6-0277-4CEE-86A7-0F4DD3458E3A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7-0277-4CEE-86A7-0F4DD3458E3A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8-0277-4CEE-86A7-0F4DD3458E3A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9-0277-4CEE-86A7-0F4DD3458E3A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A-0277-4CEE-86A7-0F4DD3458E3A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B-0277-4CEE-86A7-0F4DD3458E3A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C-0277-4CEE-86A7-0F4DD3458E3A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D-0277-4CEE-86A7-0F4DD3458E3A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E-0277-4CEE-86A7-0F4DD3458E3A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F-0277-4CEE-86A7-0F4DD3458E3A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0277-4CEE-86A7-0F4DD3458E3A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0277-4CEE-86A7-0F4DD3458E3A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0277-4CEE-86A7-0F4DD3458E3A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0277-4CEE-86A7-0F4DD3458E3A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0277-4CEE-86A7-0F4DD3458E3A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0277-4CEE-86A7-0F4DD3458E3A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0277-4CEE-86A7-0F4DD3458E3A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0277-4CEE-86A7-0F4DD3458E3A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0277-4CEE-86A7-0F4DD3458E3A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0277-4CEE-86A7-0F4DD3458E3A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0277-4CEE-86A7-0F4DD3458E3A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0277-4CEE-86A7-0F4DD3458E3A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0277-4CEE-86A7-0F4DD3458E3A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D-0277-4CEE-86A7-0F4DD3458E3A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E-0277-4CEE-86A7-0F4DD3458E3A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F-0277-4CEE-86A7-0F4DD3458E3A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0-0277-4CEE-86A7-0F4DD3458E3A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1-0277-4CEE-86A7-0F4DD3458E3A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2-0277-4CEE-86A7-0F4DD3458E3A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3-0277-4CEE-86A7-0F4DD3458E3A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0277-4CEE-86A7-0F4DD3458E3A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5-0277-4CEE-86A7-0F4DD3458E3A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0277-4CEE-86A7-0F4DD3458E3A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7-0277-4CEE-86A7-0F4DD3458E3A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0277-4CEE-86A7-0F4DD3458E3A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9-0277-4CEE-86A7-0F4DD3458E3A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0277-4CEE-86A7-0F4DD3458E3A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B-0277-4CEE-86A7-0F4DD3458E3A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0277-4CEE-86A7-0F4DD3458E3A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D-0277-4CEE-86A7-0F4DD3458E3A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0277-4CEE-86A7-0F4DD3458E3A}"/>
                </c:ext>
              </c:extLst>
            </c:dLbl>
            <c:dLbl>
              <c:idx val="35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F-0277-4CEE-86A7-0F4DD3458E3A}"/>
                </c:ext>
              </c:extLst>
            </c:dLbl>
            <c:dLbl>
              <c:idx val="35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0-0277-4CEE-86A7-0F4DD3458E3A}"/>
                </c:ext>
              </c:extLst>
            </c:dLbl>
            <c:dLbl>
              <c:idx val="35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1-0277-4CEE-86A7-0F4DD3458E3A}"/>
                </c:ext>
              </c:extLst>
            </c:dLbl>
            <c:dLbl>
              <c:idx val="35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2-0277-4CEE-86A7-0F4DD3458E3A}"/>
                </c:ext>
              </c:extLst>
            </c:dLbl>
            <c:dLbl>
              <c:idx val="35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3-0277-4CEE-86A7-0F4DD3458E3A}"/>
                </c:ext>
              </c:extLst>
            </c:dLbl>
            <c:dLbl>
              <c:idx val="35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4-0277-4CEE-86A7-0F4DD3458E3A}"/>
                </c:ext>
              </c:extLst>
            </c:dLbl>
            <c:dLbl>
              <c:idx val="35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5-0277-4CEE-86A7-0F4DD3458E3A}"/>
                </c:ext>
              </c:extLst>
            </c:dLbl>
            <c:dLbl>
              <c:idx val="35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6-0277-4CEE-86A7-0F4DD3458E3A}"/>
                </c:ext>
              </c:extLst>
            </c:dLbl>
            <c:dLbl>
              <c:idx val="35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7-0277-4CEE-86A7-0F4DD3458E3A}"/>
                </c:ext>
              </c:extLst>
            </c:dLbl>
            <c:dLbl>
              <c:idx val="36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8-0277-4CEE-86A7-0F4DD3458E3A}"/>
                </c:ext>
              </c:extLst>
            </c:dLbl>
            <c:dLbl>
              <c:idx val="36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9-0277-4CEE-86A7-0F4DD3458E3A}"/>
                </c:ext>
              </c:extLst>
            </c:dLbl>
            <c:dLbl>
              <c:idx val="36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A-0277-4CEE-86A7-0F4DD3458E3A}"/>
                </c:ext>
              </c:extLst>
            </c:dLbl>
            <c:dLbl>
              <c:idx val="36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B-0277-4CEE-86A7-0F4DD3458E3A}"/>
                </c:ext>
              </c:extLst>
            </c:dLbl>
            <c:dLbl>
              <c:idx val="36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C-0277-4CEE-86A7-0F4DD3458E3A}"/>
                </c:ext>
              </c:extLst>
            </c:dLbl>
            <c:dLbl>
              <c:idx val="36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D-0277-4CEE-86A7-0F4DD3458E3A}"/>
                </c:ext>
              </c:extLst>
            </c:dLbl>
            <c:dLbl>
              <c:idx val="36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E-0277-4CEE-86A7-0F4DD3458E3A}"/>
                </c:ext>
              </c:extLst>
            </c:dLbl>
            <c:dLbl>
              <c:idx val="36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F-0277-4CEE-86A7-0F4DD3458E3A}"/>
                </c:ext>
              </c:extLst>
            </c:dLbl>
            <c:dLbl>
              <c:idx val="36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0-0277-4CEE-86A7-0F4DD3458E3A}"/>
                </c:ext>
              </c:extLst>
            </c:dLbl>
            <c:dLbl>
              <c:idx val="36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1-0277-4CEE-86A7-0F4DD3458E3A}"/>
                </c:ext>
              </c:extLst>
            </c:dLbl>
            <c:dLbl>
              <c:idx val="37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2-0277-4CEE-86A7-0F4DD3458E3A}"/>
                </c:ext>
              </c:extLst>
            </c:dLbl>
            <c:dLbl>
              <c:idx val="37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3-0277-4CEE-86A7-0F4DD3458E3A}"/>
                </c:ext>
              </c:extLst>
            </c:dLbl>
            <c:dLbl>
              <c:idx val="37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4-0277-4CEE-86A7-0F4DD3458E3A}"/>
                </c:ext>
              </c:extLst>
            </c:dLbl>
            <c:dLbl>
              <c:idx val="37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5-0277-4CEE-86A7-0F4DD3458E3A}"/>
                </c:ext>
              </c:extLst>
            </c:dLbl>
            <c:dLbl>
              <c:idx val="37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6-0277-4CEE-86A7-0F4DD3458E3A}"/>
                </c:ext>
              </c:extLst>
            </c:dLbl>
            <c:dLbl>
              <c:idx val="37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7-0277-4CEE-86A7-0F4DD3458E3A}"/>
                </c:ext>
              </c:extLst>
            </c:dLbl>
            <c:dLbl>
              <c:idx val="37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8-0277-4CEE-86A7-0F4DD3458E3A}"/>
                </c:ext>
              </c:extLst>
            </c:dLbl>
            <c:dLbl>
              <c:idx val="37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9-0277-4CEE-86A7-0F4DD3458E3A}"/>
                </c:ext>
              </c:extLst>
            </c:dLbl>
            <c:dLbl>
              <c:idx val="37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A-0277-4CEE-86A7-0F4DD3458E3A}"/>
                </c:ext>
              </c:extLst>
            </c:dLbl>
            <c:dLbl>
              <c:idx val="37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B-0277-4CEE-86A7-0F4DD3458E3A}"/>
                </c:ext>
              </c:extLst>
            </c:dLbl>
            <c:dLbl>
              <c:idx val="38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C-0277-4CEE-86A7-0F4DD3458E3A}"/>
                </c:ext>
              </c:extLst>
            </c:dLbl>
            <c:dLbl>
              <c:idx val="38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D-0277-4CEE-86A7-0F4DD3458E3A}"/>
                </c:ext>
              </c:extLst>
            </c:dLbl>
            <c:dLbl>
              <c:idx val="38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E-0277-4CEE-86A7-0F4DD3458E3A}"/>
                </c:ext>
              </c:extLst>
            </c:dLbl>
            <c:dLbl>
              <c:idx val="38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F-0277-4CEE-86A7-0F4DD3458E3A}"/>
                </c:ext>
              </c:extLst>
            </c:dLbl>
            <c:dLbl>
              <c:idx val="38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0-0277-4CEE-86A7-0F4DD3458E3A}"/>
                </c:ext>
              </c:extLst>
            </c:dLbl>
            <c:dLbl>
              <c:idx val="38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1-0277-4CEE-86A7-0F4DD3458E3A}"/>
                </c:ext>
              </c:extLst>
            </c:dLbl>
            <c:dLbl>
              <c:idx val="38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2-0277-4CEE-86A7-0F4DD3458E3A}"/>
                </c:ext>
              </c:extLst>
            </c:dLbl>
            <c:dLbl>
              <c:idx val="38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3-0277-4CEE-86A7-0F4DD3458E3A}"/>
                </c:ext>
              </c:extLst>
            </c:dLbl>
            <c:dLbl>
              <c:idx val="38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4-0277-4CEE-86A7-0F4DD3458E3A}"/>
                </c:ext>
              </c:extLst>
            </c:dLbl>
            <c:dLbl>
              <c:idx val="38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5-0277-4CEE-86A7-0F4DD3458E3A}"/>
                </c:ext>
              </c:extLst>
            </c:dLbl>
            <c:dLbl>
              <c:idx val="39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6-0277-4CEE-86A7-0F4DD3458E3A}"/>
                </c:ext>
              </c:extLst>
            </c:dLbl>
            <c:dLbl>
              <c:idx val="39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7-0277-4CEE-86A7-0F4DD3458E3A}"/>
                </c:ext>
              </c:extLst>
            </c:dLbl>
            <c:dLbl>
              <c:idx val="39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8-0277-4CEE-86A7-0F4DD3458E3A}"/>
                </c:ext>
              </c:extLst>
            </c:dLbl>
            <c:dLbl>
              <c:idx val="39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9-0277-4CEE-86A7-0F4DD3458E3A}"/>
                </c:ext>
              </c:extLst>
            </c:dLbl>
            <c:dLbl>
              <c:idx val="39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A-0277-4CEE-86A7-0F4DD3458E3A}"/>
                </c:ext>
              </c:extLst>
            </c:dLbl>
            <c:dLbl>
              <c:idx val="39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B-0277-4CEE-86A7-0F4DD3458E3A}"/>
                </c:ext>
              </c:extLst>
            </c:dLbl>
            <c:dLbl>
              <c:idx val="39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C-0277-4CEE-86A7-0F4DD3458E3A}"/>
                </c:ext>
              </c:extLst>
            </c:dLbl>
            <c:dLbl>
              <c:idx val="39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D-0277-4CEE-86A7-0F4DD3458E3A}"/>
                </c:ext>
              </c:extLst>
            </c:dLbl>
            <c:dLbl>
              <c:idx val="39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E-0277-4CEE-86A7-0F4DD3458E3A}"/>
                </c:ext>
              </c:extLst>
            </c:dLbl>
            <c:dLbl>
              <c:idx val="39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F-0277-4CEE-86A7-0F4DD3458E3A}"/>
                </c:ext>
              </c:extLst>
            </c:dLbl>
            <c:dLbl>
              <c:idx val="40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0-0277-4CEE-86A7-0F4DD3458E3A}"/>
                </c:ext>
              </c:extLst>
            </c:dLbl>
            <c:dLbl>
              <c:idx val="40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1-0277-4CEE-86A7-0F4DD3458E3A}"/>
                </c:ext>
              </c:extLst>
            </c:dLbl>
            <c:dLbl>
              <c:idx val="40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2-0277-4CEE-86A7-0F4DD3458E3A}"/>
                </c:ext>
              </c:extLst>
            </c:dLbl>
            <c:dLbl>
              <c:idx val="40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3-0277-4CEE-86A7-0F4DD3458E3A}"/>
                </c:ext>
              </c:extLst>
            </c:dLbl>
            <c:dLbl>
              <c:idx val="40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4-0277-4CEE-86A7-0F4DD3458E3A}"/>
                </c:ext>
              </c:extLst>
            </c:dLbl>
            <c:dLbl>
              <c:idx val="40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5-0277-4CEE-86A7-0F4DD3458E3A}"/>
                </c:ext>
              </c:extLst>
            </c:dLbl>
            <c:dLbl>
              <c:idx val="40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6-0277-4CEE-86A7-0F4DD3458E3A}"/>
                </c:ext>
              </c:extLst>
            </c:dLbl>
            <c:dLbl>
              <c:idx val="40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7-0277-4CEE-86A7-0F4DD3458E3A}"/>
                </c:ext>
              </c:extLst>
            </c:dLbl>
            <c:dLbl>
              <c:idx val="40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8-0277-4CEE-86A7-0F4DD3458E3A}"/>
                </c:ext>
              </c:extLst>
            </c:dLbl>
            <c:dLbl>
              <c:idx val="40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9-0277-4CEE-86A7-0F4DD3458E3A}"/>
                </c:ext>
              </c:extLst>
            </c:dLbl>
            <c:dLbl>
              <c:idx val="41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A-0277-4CEE-86A7-0F4DD3458E3A}"/>
                </c:ext>
              </c:extLst>
            </c:dLbl>
            <c:dLbl>
              <c:idx val="41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B-0277-4CEE-86A7-0F4DD3458E3A}"/>
                </c:ext>
              </c:extLst>
            </c:dLbl>
            <c:dLbl>
              <c:idx val="41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C-0277-4CEE-86A7-0F4DD3458E3A}"/>
                </c:ext>
              </c:extLst>
            </c:dLbl>
            <c:dLbl>
              <c:idx val="41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D-0277-4CEE-86A7-0F4DD3458E3A}"/>
                </c:ext>
              </c:extLst>
            </c:dLbl>
            <c:dLbl>
              <c:idx val="41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E-0277-4CEE-86A7-0F4DD3458E3A}"/>
                </c:ext>
              </c:extLst>
            </c:dLbl>
            <c:dLbl>
              <c:idx val="41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F-0277-4CEE-86A7-0F4DD3458E3A}"/>
                </c:ext>
              </c:extLst>
            </c:dLbl>
            <c:dLbl>
              <c:idx val="41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0-0277-4CEE-86A7-0F4DD3458E3A}"/>
                </c:ext>
              </c:extLst>
            </c:dLbl>
            <c:dLbl>
              <c:idx val="41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1-0277-4CEE-86A7-0F4DD3458E3A}"/>
                </c:ext>
              </c:extLst>
            </c:dLbl>
            <c:dLbl>
              <c:idx val="41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2-0277-4CEE-86A7-0F4DD3458E3A}"/>
                </c:ext>
              </c:extLst>
            </c:dLbl>
            <c:dLbl>
              <c:idx val="41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3-0277-4CEE-86A7-0F4DD3458E3A}"/>
                </c:ext>
              </c:extLst>
            </c:dLbl>
            <c:dLbl>
              <c:idx val="42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4-0277-4CEE-86A7-0F4DD3458E3A}"/>
                </c:ext>
              </c:extLst>
            </c:dLbl>
            <c:dLbl>
              <c:idx val="42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5-0277-4CEE-86A7-0F4DD3458E3A}"/>
                </c:ext>
              </c:extLst>
            </c:dLbl>
            <c:dLbl>
              <c:idx val="42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6-0277-4CEE-86A7-0F4DD3458E3A}"/>
                </c:ext>
              </c:extLst>
            </c:dLbl>
            <c:dLbl>
              <c:idx val="42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7-0277-4CEE-86A7-0F4DD3458E3A}"/>
                </c:ext>
              </c:extLst>
            </c:dLbl>
            <c:dLbl>
              <c:idx val="42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8-0277-4CEE-86A7-0F4DD3458E3A}"/>
                </c:ext>
              </c:extLst>
            </c:dLbl>
            <c:dLbl>
              <c:idx val="42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9-0277-4CEE-86A7-0F4DD3458E3A}"/>
                </c:ext>
              </c:extLst>
            </c:dLbl>
            <c:dLbl>
              <c:idx val="42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A-0277-4CEE-86A7-0F4DD3458E3A}"/>
                </c:ext>
              </c:extLst>
            </c:dLbl>
            <c:dLbl>
              <c:idx val="42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B-0277-4CEE-86A7-0F4DD3458E3A}"/>
                </c:ext>
              </c:extLst>
            </c:dLbl>
            <c:dLbl>
              <c:idx val="42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C-0277-4CEE-86A7-0F4DD3458E3A}"/>
                </c:ext>
              </c:extLst>
            </c:dLbl>
            <c:dLbl>
              <c:idx val="42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D-0277-4CEE-86A7-0F4DD3458E3A}"/>
                </c:ext>
              </c:extLst>
            </c:dLbl>
            <c:dLbl>
              <c:idx val="43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E-0277-4CEE-86A7-0F4DD3458E3A}"/>
                </c:ext>
              </c:extLst>
            </c:dLbl>
            <c:dLbl>
              <c:idx val="43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F-0277-4CEE-86A7-0F4DD3458E3A}"/>
                </c:ext>
              </c:extLst>
            </c:dLbl>
            <c:dLbl>
              <c:idx val="43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0-0277-4CEE-86A7-0F4DD3458E3A}"/>
                </c:ext>
              </c:extLst>
            </c:dLbl>
            <c:dLbl>
              <c:idx val="43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1-0277-4CEE-86A7-0F4DD3458E3A}"/>
                </c:ext>
              </c:extLst>
            </c:dLbl>
            <c:dLbl>
              <c:idx val="43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2-0277-4CEE-86A7-0F4DD3458E3A}"/>
                </c:ext>
              </c:extLst>
            </c:dLbl>
            <c:dLbl>
              <c:idx val="43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3-0277-4CEE-86A7-0F4DD3458E3A}"/>
                </c:ext>
              </c:extLst>
            </c:dLbl>
            <c:dLbl>
              <c:idx val="43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4-0277-4CEE-86A7-0F4DD3458E3A}"/>
                </c:ext>
              </c:extLst>
            </c:dLbl>
            <c:dLbl>
              <c:idx val="43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5-0277-4CEE-86A7-0F4DD3458E3A}"/>
                </c:ext>
              </c:extLst>
            </c:dLbl>
            <c:dLbl>
              <c:idx val="43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6-0277-4CEE-86A7-0F4DD3458E3A}"/>
                </c:ext>
              </c:extLst>
            </c:dLbl>
            <c:dLbl>
              <c:idx val="43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7-0277-4CEE-86A7-0F4DD3458E3A}"/>
                </c:ext>
              </c:extLst>
            </c:dLbl>
            <c:dLbl>
              <c:idx val="44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8-0277-4CEE-86A7-0F4DD3458E3A}"/>
                </c:ext>
              </c:extLst>
            </c:dLbl>
            <c:dLbl>
              <c:idx val="44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9-0277-4CEE-86A7-0F4DD3458E3A}"/>
                </c:ext>
              </c:extLst>
            </c:dLbl>
            <c:dLbl>
              <c:idx val="44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A-0277-4CEE-86A7-0F4DD3458E3A}"/>
                </c:ext>
              </c:extLst>
            </c:dLbl>
            <c:dLbl>
              <c:idx val="44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B-0277-4CEE-86A7-0F4DD3458E3A}"/>
                </c:ext>
              </c:extLst>
            </c:dLbl>
            <c:dLbl>
              <c:idx val="44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C-0277-4CEE-86A7-0F4DD3458E3A}"/>
                </c:ext>
              </c:extLst>
            </c:dLbl>
            <c:dLbl>
              <c:idx val="44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D-0277-4CEE-86A7-0F4DD3458E3A}"/>
                </c:ext>
              </c:extLst>
            </c:dLbl>
            <c:dLbl>
              <c:idx val="44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E-0277-4CEE-86A7-0F4DD3458E3A}"/>
                </c:ext>
              </c:extLst>
            </c:dLbl>
            <c:dLbl>
              <c:idx val="44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F-0277-4CEE-86A7-0F4DD3458E3A}"/>
                </c:ext>
              </c:extLst>
            </c:dLbl>
            <c:dLbl>
              <c:idx val="44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0-0277-4CEE-86A7-0F4DD3458E3A}"/>
                </c:ext>
              </c:extLst>
            </c:dLbl>
            <c:dLbl>
              <c:idx val="44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1-0277-4CEE-86A7-0F4DD3458E3A}"/>
                </c:ext>
              </c:extLst>
            </c:dLbl>
            <c:dLbl>
              <c:idx val="45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2-0277-4CEE-86A7-0F4DD3458E3A}"/>
                </c:ext>
              </c:extLst>
            </c:dLbl>
            <c:dLbl>
              <c:idx val="45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3-0277-4CEE-86A7-0F4DD3458E3A}"/>
                </c:ext>
              </c:extLst>
            </c:dLbl>
            <c:dLbl>
              <c:idx val="45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4-0277-4CEE-86A7-0F4DD3458E3A}"/>
                </c:ext>
              </c:extLst>
            </c:dLbl>
            <c:dLbl>
              <c:idx val="45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5-0277-4CEE-86A7-0F4DD3458E3A}"/>
                </c:ext>
              </c:extLst>
            </c:dLbl>
            <c:dLbl>
              <c:idx val="45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6-0277-4CEE-86A7-0F4DD3458E3A}"/>
                </c:ext>
              </c:extLst>
            </c:dLbl>
            <c:dLbl>
              <c:idx val="45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7-0277-4CEE-86A7-0F4DD3458E3A}"/>
                </c:ext>
              </c:extLst>
            </c:dLbl>
            <c:dLbl>
              <c:idx val="45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8-0277-4CEE-86A7-0F4DD3458E3A}"/>
                </c:ext>
              </c:extLst>
            </c:dLbl>
            <c:dLbl>
              <c:idx val="45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9-0277-4CEE-86A7-0F4DD3458E3A}"/>
                </c:ext>
              </c:extLst>
            </c:dLbl>
            <c:dLbl>
              <c:idx val="45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A-0277-4CEE-86A7-0F4DD3458E3A}"/>
                </c:ext>
              </c:extLst>
            </c:dLbl>
            <c:dLbl>
              <c:idx val="45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B-0277-4CEE-86A7-0F4DD3458E3A}"/>
                </c:ext>
              </c:extLst>
            </c:dLbl>
            <c:dLbl>
              <c:idx val="46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C-0277-4CEE-86A7-0F4DD3458E3A}"/>
                </c:ext>
              </c:extLst>
            </c:dLbl>
            <c:dLbl>
              <c:idx val="46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D-0277-4CEE-86A7-0F4DD3458E3A}"/>
                </c:ext>
              </c:extLst>
            </c:dLbl>
            <c:dLbl>
              <c:idx val="46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E-0277-4CEE-86A7-0F4DD3458E3A}"/>
                </c:ext>
              </c:extLst>
            </c:dLbl>
            <c:dLbl>
              <c:idx val="46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F-0277-4CEE-86A7-0F4DD3458E3A}"/>
                </c:ext>
              </c:extLst>
            </c:dLbl>
            <c:dLbl>
              <c:idx val="46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0-0277-4CEE-86A7-0F4DD3458E3A}"/>
                </c:ext>
              </c:extLst>
            </c:dLbl>
            <c:dLbl>
              <c:idx val="46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1-0277-4CEE-86A7-0F4DD3458E3A}"/>
                </c:ext>
              </c:extLst>
            </c:dLbl>
            <c:dLbl>
              <c:idx val="46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2-0277-4CEE-86A7-0F4DD3458E3A}"/>
                </c:ext>
              </c:extLst>
            </c:dLbl>
            <c:dLbl>
              <c:idx val="46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3-0277-4CEE-86A7-0F4DD3458E3A}"/>
                </c:ext>
              </c:extLst>
            </c:dLbl>
            <c:dLbl>
              <c:idx val="46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4-0277-4CEE-86A7-0F4DD3458E3A}"/>
                </c:ext>
              </c:extLst>
            </c:dLbl>
            <c:dLbl>
              <c:idx val="46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5-0277-4CEE-86A7-0F4DD3458E3A}"/>
                </c:ext>
              </c:extLst>
            </c:dLbl>
            <c:dLbl>
              <c:idx val="47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6-0277-4CEE-86A7-0F4DD3458E3A}"/>
                </c:ext>
              </c:extLst>
            </c:dLbl>
            <c:dLbl>
              <c:idx val="47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7-0277-4CEE-86A7-0F4DD3458E3A}"/>
                </c:ext>
              </c:extLst>
            </c:dLbl>
            <c:dLbl>
              <c:idx val="47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8-0277-4CEE-86A7-0F4DD3458E3A}"/>
                </c:ext>
              </c:extLst>
            </c:dLbl>
            <c:dLbl>
              <c:idx val="47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9-0277-4CEE-86A7-0F4DD3458E3A}"/>
                </c:ext>
              </c:extLst>
            </c:dLbl>
            <c:dLbl>
              <c:idx val="47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A-0277-4CEE-86A7-0F4DD3458E3A}"/>
                </c:ext>
              </c:extLst>
            </c:dLbl>
            <c:dLbl>
              <c:idx val="47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B-0277-4CEE-86A7-0F4DD3458E3A}"/>
                </c:ext>
              </c:extLst>
            </c:dLbl>
            <c:dLbl>
              <c:idx val="47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C-0277-4CEE-86A7-0F4DD3458E3A}"/>
                </c:ext>
              </c:extLst>
            </c:dLbl>
            <c:dLbl>
              <c:idx val="47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D-0277-4CEE-86A7-0F4DD3458E3A}"/>
                </c:ext>
              </c:extLst>
            </c:dLbl>
            <c:dLbl>
              <c:idx val="47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E-0277-4CEE-86A7-0F4DD3458E3A}"/>
                </c:ext>
              </c:extLst>
            </c:dLbl>
            <c:dLbl>
              <c:idx val="47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F-0277-4CEE-86A7-0F4DD3458E3A}"/>
                </c:ext>
              </c:extLst>
            </c:dLbl>
            <c:dLbl>
              <c:idx val="48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0-0277-4CEE-86A7-0F4DD3458E3A}"/>
                </c:ext>
              </c:extLst>
            </c:dLbl>
            <c:dLbl>
              <c:idx val="48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1-0277-4CEE-86A7-0F4DD3458E3A}"/>
                </c:ext>
              </c:extLst>
            </c:dLbl>
            <c:dLbl>
              <c:idx val="48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2-0277-4CEE-86A7-0F4DD3458E3A}"/>
                </c:ext>
              </c:extLst>
            </c:dLbl>
            <c:dLbl>
              <c:idx val="48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3-0277-4CEE-86A7-0F4DD3458E3A}"/>
                </c:ext>
              </c:extLst>
            </c:dLbl>
            <c:dLbl>
              <c:idx val="48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4-0277-4CEE-86A7-0F4DD3458E3A}"/>
                </c:ext>
              </c:extLst>
            </c:dLbl>
            <c:dLbl>
              <c:idx val="48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5-0277-4CEE-86A7-0F4DD3458E3A}"/>
                </c:ext>
              </c:extLst>
            </c:dLbl>
            <c:dLbl>
              <c:idx val="48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6-0277-4CEE-86A7-0F4DD3458E3A}"/>
                </c:ext>
              </c:extLst>
            </c:dLbl>
            <c:dLbl>
              <c:idx val="48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7-0277-4CEE-86A7-0F4DD3458E3A}"/>
                </c:ext>
              </c:extLst>
            </c:dLbl>
            <c:dLbl>
              <c:idx val="48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8-0277-4CEE-86A7-0F4DD3458E3A}"/>
                </c:ext>
              </c:extLst>
            </c:dLbl>
            <c:dLbl>
              <c:idx val="48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9-0277-4CEE-86A7-0F4DD3458E3A}"/>
                </c:ext>
              </c:extLst>
            </c:dLbl>
            <c:dLbl>
              <c:idx val="49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A-0277-4CEE-86A7-0F4DD3458E3A}"/>
                </c:ext>
              </c:extLst>
            </c:dLbl>
            <c:dLbl>
              <c:idx val="49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B-0277-4CEE-86A7-0F4DD3458E3A}"/>
                </c:ext>
              </c:extLst>
            </c:dLbl>
            <c:dLbl>
              <c:idx val="49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C-0277-4CEE-86A7-0F4DD3458E3A}"/>
                </c:ext>
              </c:extLst>
            </c:dLbl>
            <c:dLbl>
              <c:idx val="49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D-0277-4CEE-86A7-0F4DD3458E3A}"/>
                </c:ext>
              </c:extLst>
            </c:dLbl>
            <c:dLbl>
              <c:idx val="49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E-0277-4CEE-86A7-0F4DD3458E3A}"/>
                </c:ext>
              </c:extLst>
            </c:dLbl>
            <c:dLbl>
              <c:idx val="49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F-0277-4CEE-86A7-0F4DD3458E3A}"/>
                </c:ext>
              </c:extLst>
            </c:dLbl>
            <c:dLbl>
              <c:idx val="49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0-0277-4CEE-86A7-0F4DD3458E3A}"/>
                </c:ext>
              </c:extLst>
            </c:dLbl>
            <c:dLbl>
              <c:idx val="49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1-0277-4CEE-86A7-0F4DD3458E3A}"/>
                </c:ext>
              </c:extLst>
            </c:dLbl>
            <c:dLbl>
              <c:idx val="49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2-0277-4CEE-86A7-0F4DD3458E3A}"/>
                </c:ext>
              </c:extLst>
            </c:dLbl>
            <c:dLbl>
              <c:idx val="49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3-0277-4CEE-86A7-0F4DD3458E3A}"/>
                </c:ext>
              </c:extLst>
            </c:dLbl>
            <c:dLbl>
              <c:idx val="50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4-0277-4CEE-86A7-0F4DD3458E3A}"/>
                </c:ext>
              </c:extLst>
            </c:dLbl>
            <c:dLbl>
              <c:idx val="50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5-0277-4CEE-86A7-0F4DD3458E3A}"/>
                </c:ext>
              </c:extLst>
            </c:dLbl>
            <c:dLbl>
              <c:idx val="50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6-0277-4CEE-86A7-0F4DD3458E3A}"/>
                </c:ext>
              </c:extLst>
            </c:dLbl>
            <c:dLbl>
              <c:idx val="50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7-0277-4CEE-86A7-0F4DD3458E3A}"/>
                </c:ext>
              </c:extLst>
            </c:dLbl>
            <c:dLbl>
              <c:idx val="50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8-0277-4CEE-86A7-0F4DD3458E3A}"/>
                </c:ext>
              </c:extLst>
            </c:dLbl>
            <c:dLbl>
              <c:idx val="50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9-0277-4CEE-86A7-0F4DD3458E3A}"/>
                </c:ext>
              </c:extLst>
            </c:dLbl>
            <c:dLbl>
              <c:idx val="50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A-0277-4CEE-86A7-0F4DD3458E3A}"/>
                </c:ext>
              </c:extLst>
            </c:dLbl>
            <c:dLbl>
              <c:idx val="50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B-0277-4CEE-86A7-0F4DD3458E3A}"/>
                </c:ext>
              </c:extLst>
            </c:dLbl>
            <c:dLbl>
              <c:idx val="50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C-0277-4CEE-86A7-0F4DD3458E3A}"/>
                </c:ext>
              </c:extLst>
            </c:dLbl>
            <c:dLbl>
              <c:idx val="50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D-0277-4CEE-86A7-0F4DD3458E3A}"/>
                </c:ext>
              </c:extLst>
            </c:dLbl>
            <c:dLbl>
              <c:idx val="51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E-0277-4CEE-86A7-0F4DD3458E3A}"/>
                </c:ext>
              </c:extLst>
            </c:dLbl>
            <c:dLbl>
              <c:idx val="51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F-0277-4CEE-86A7-0F4DD3458E3A}"/>
                </c:ext>
              </c:extLst>
            </c:dLbl>
            <c:dLbl>
              <c:idx val="51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0-0277-4CEE-86A7-0F4DD3458E3A}"/>
                </c:ext>
              </c:extLst>
            </c:dLbl>
            <c:dLbl>
              <c:idx val="51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1-0277-4CEE-86A7-0F4DD3458E3A}"/>
                </c:ext>
              </c:extLst>
            </c:dLbl>
            <c:dLbl>
              <c:idx val="51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2-0277-4CEE-86A7-0F4DD3458E3A}"/>
                </c:ext>
              </c:extLst>
            </c:dLbl>
            <c:dLbl>
              <c:idx val="51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3-0277-4CEE-86A7-0F4DD3458E3A}"/>
                </c:ext>
              </c:extLst>
            </c:dLbl>
            <c:dLbl>
              <c:idx val="51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4-0277-4CEE-86A7-0F4DD3458E3A}"/>
                </c:ext>
              </c:extLst>
            </c:dLbl>
            <c:dLbl>
              <c:idx val="51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5-0277-4CEE-86A7-0F4DD3458E3A}"/>
                </c:ext>
              </c:extLst>
            </c:dLbl>
            <c:dLbl>
              <c:idx val="51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6-0277-4CEE-86A7-0F4DD3458E3A}"/>
                </c:ext>
              </c:extLst>
            </c:dLbl>
            <c:dLbl>
              <c:idx val="51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7-0277-4CEE-86A7-0F4DD3458E3A}"/>
                </c:ext>
              </c:extLst>
            </c:dLbl>
            <c:dLbl>
              <c:idx val="52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8-0277-4CEE-86A7-0F4DD3458E3A}"/>
                </c:ext>
              </c:extLst>
            </c:dLbl>
            <c:dLbl>
              <c:idx val="52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9-0277-4CEE-86A7-0F4DD3458E3A}"/>
                </c:ext>
              </c:extLst>
            </c:dLbl>
            <c:dLbl>
              <c:idx val="52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A-0277-4CEE-86A7-0F4DD3458E3A}"/>
                </c:ext>
              </c:extLst>
            </c:dLbl>
            <c:dLbl>
              <c:idx val="52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B-0277-4CEE-86A7-0F4DD3458E3A}"/>
                </c:ext>
              </c:extLst>
            </c:dLbl>
            <c:dLbl>
              <c:idx val="52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C-0277-4CEE-86A7-0F4DD3458E3A}"/>
                </c:ext>
              </c:extLst>
            </c:dLbl>
            <c:dLbl>
              <c:idx val="52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D-0277-4CEE-86A7-0F4DD3458E3A}"/>
                </c:ext>
              </c:extLst>
            </c:dLbl>
            <c:dLbl>
              <c:idx val="52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E-0277-4CEE-86A7-0F4DD3458E3A}"/>
                </c:ext>
              </c:extLst>
            </c:dLbl>
            <c:dLbl>
              <c:idx val="52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F-0277-4CEE-86A7-0F4DD3458E3A}"/>
                </c:ext>
              </c:extLst>
            </c:dLbl>
            <c:dLbl>
              <c:idx val="52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0-0277-4CEE-86A7-0F4DD3458E3A}"/>
                </c:ext>
              </c:extLst>
            </c:dLbl>
            <c:dLbl>
              <c:idx val="52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1-0277-4CEE-86A7-0F4DD3458E3A}"/>
                </c:ext>
              </c:extLst>
            </c:dLbl>
            <c:dLbl>
              <c:idx val="53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2-0277-4CEE-86A7-0F4DD3458E3A}"/>
                </c:ext>
              </c:extLst>
            </c:dLbl>
            <c:dLbl>
              <c:idx val="53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3-0277-4CEE-86A7-0F4DD3458E3A}"/>
                </c:ext>
              </c:extLst>
            </c:dLbl>
            <c:dLbl>
              <c:idx val="53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4-0277-4CEE-86A7-0F4DD3458E3A}"/>
                </c:ext>
              </c:extLst>
            </c:dLbl>
            <c:dLbl>
              <c:idx val="53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5-0277-4CEE-86A7-0F4DD3458E3A}"/>
                </c:ext>
              </c:extLst>
            </c:dLbl>
            <c:dLbl>
              <c:idx val="53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6-0277-4CEE-86A7-0F4DD3458E3A}"/>
                </c:ext>
              </c:extLst>
            </c:dLbl>
            <c:dLbl>
              <c:idx val="53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7-0277-4CEE-86A7-0F4DD3458E3A}"/>
                </c:ext>
              </c:extLst>
            </c:dLbl>
            <c:dLbl>
              <c:idx val="53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8-0277-4CEE-86A7-0F4DD3458E3A}"/>
                </c:ext>
              </c:extLst>
            </c:dLbl>
            <c:dLbl>
              <c:idx val="53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9-0277-4CEE-86A7-0F4DD3458E3A}"/>
                </c:ext>
              </c:extLst>
            </c:dLbl>
            <c:dLbl>
              <c:idx val="53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A-0277-4CEE-86A7-0F4DD3458E3A}"/>
                </c:ext>
              </c:extLst>
            </c:dLbl>
            <c:dLbl>
              <c:idx val="53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B-0277-4CEE-86A7-0F4DD3458E3A}"/>
                </c:ext>
              </c:extLst>
            </c:dLbl>
            <c:dLbl>
              <c:idx val="54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C-0277-4CEE-86A7-0F4DD3458E3A}"/>
                </c:ext>
              </c:extLst>
            </c:dLbl>
            <c:dLbl>
              <c:idx val="54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D-0277-4CEE-86A7-0F4DD3458E3A}"/>
                </c:ext>
              </c:extLst>
            </c:dLbl>
            <c:dLbl>
              <c:idx val="54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E-0277-4CEE-86A7-0F4DD3458E3A}"/>
                </c:ext>
              </c:extLst>
            </c:dLbl>
            <c:dLbl>
              <c:idx val="54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F-0277-4CEE-86A7-0F4DD3458E3A}"/>
                </c:ext>
              </c:extLst>
            </c:dLbl>
            <c:dLbl>
              <c:idx val="54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0-0277-4CEE-86A7-0F4DD3458E3A}"/>
                </c:ext>
              </c:extLst>
            </c:dLbl>
            <c:dLbl>
              <c:idx val="54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1-0277-4CEE-86A7-0F4DD3458E3A}"/>
                </c:ext>
              </c:extLst>
            </c:dLbl>
            <c:dLbl>
              <c:idx val="54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2-0277-4CEE-86A7-0F4DD3458E3A}"/>
                </c:ext>
              </c:extLst>
            </c:dLbl>
            <c:dLbl>
              <c:idx val="54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3-0277-4CEE-86A7-0F4DD3458E3A}"/>
                </c:ext>
              </c:extLst>
            </c:dLbl>
            <c:dLbl>
              <c:idx val="54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4-0277-4CEE-86A7-0F4DD3458E3A}"/>
                </c:ext>
              </c:extLst>
            </c:dLbl>
            <c:dLbl>
              <c:idx val="54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5-0277-4CEE-86A7-0F4DD3458E3A}"/>
                </c:ext>
              </c:extLst>
            </c:dLbl>
            <c:dLbl>
              <c:idx val="55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6-0277-4CEE-86A7-0F4DD3458E3A}"/>
                </c:ext>
              </c:extLst>
            </c:dLbl>
            <c:dLbl>
              <c:idx val="55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7-0277-4CEE-86A7-0F4DD3458E3A}"/>
                </c:ext>
              </c:extLst>
            </c:dLbl>
            <c:dLbl>
              <c:idx val="55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8-0277-4CEE-86A7-0F4DD3458E3A}"/>
                </c:ext>
              </c:extLst>
            </c:dLbl>
            <c:dLbl>
              <c:idx val="55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9-0277-4CEE-86A7-0F4DD3458E3A}"/>
                </c:ext>
              </c:extLst>
            </c:dLbl>
            <c:dLbl>
              <c:idx val="55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A-0277-4CEE-86A7-0F4DD3458E3A}"/>
                </c:ext>
              </c:extLst>
            </c:dLbl>
            <c:dLbl>
              <c:idx val="55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B-0277-4CEE-86A7-0F4DD3458E3A}"/>
                </c:ext>
              </c:extLst>
            </c:dLbl>
            <c:dLbl>
              <c:idx val="55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C-0277-4CEE-86A7-0F4DD3458E3A}"/>
                </c:ext>
              </c:extLst>
            </c:dLbl>
            <c:dLbl>
              <c:idx val="55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D-0277-4CEE-86A7-0F4DD3458E3A}"/>
                </c:ext>
              </c:extLst>
            </c:dLbl>
            <c:dLbl>
              <c:idx val="55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E-0277-4CEE-86A7-0F4DD3458E3A}"/>
                </c:ext>
              </c:extLst>
            </c:dLbl>
            <c:dLbl>
              <c:idx val="55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F-0277-4CEE-86A7-0F4DD3458E3A}"/>
                </c:ext>
              </c:extLst>
            </c:dLbl>
            <c:dLbl>
              <c:idx val="56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0-0277-4CEE-86A7-0F4DD3458E3A}"/>
                </c:ext>
              </c:extLst>
            </c:dLbl>
            <c:dLbl>
              <c:idx val="56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1-0277-4CEE-86A7-0F4DD3458E3A}"/>
                </c:ext>
              </c:extLst>
            </c:dLbl>
            <c:dLbl>
              <c:idx val="56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2-0277-4CEE-86A7-0F4DD3458E3A}"/>
                </c:ext>
              </c:extLst>
            </c:dLbl>
            <c:dLbl>
              <c:idx val="56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3-0277-4CEE-86A7-0F4DD3458E3A}"/>
                </c:ext>
              </c:extLst>
            </c:dLbl>
            <c:dLbl>
              <c:idx val="56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4-0277-4CEE-86A7-0F4DD3458E3A}"/>
                </c:ext>
              </c:extLst>
            </c:dLbl>
            <c:dLbl>
              <c:idx val="56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5-0277-4CEE-86A7-0F4DD3458E3A}"/>
                </c:ext>
              </c:extLst>
            </c:dLbl>
            <c:dLbl>
              <c:idx val="56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6-0277-4CEE-86A7-0F4DD3458E3A}"/>
                </c:ext>
              </c:extLst>
            </c:dLbl>
            <c:dLbl>
              <c:idx val="56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7-0277-4CEE-86A7-0F4DD3458E3A}"/>
                </c:ext>
              </c:extLst>
            </c:dLbl>
            <c:dLbl>
              <c:idx val="56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8-0277-4CEE-86A7-0F4DD3458E3A}"/>
                </c:ext>
              </c:extLst>
            </c:dLbl>
            <c:dLbl>
              <c:idx val="56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9-0277-4CEE-86A7-0F4DD3458E3A}"/>
                </c:ext>
              </c:extLst>
            </c:dLbl>
            <c:dLbl>
              <c:idx val="57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A-0277-4CEE-86A7-0F4DD3458E3A}"/>
                </c:ext>
              </c:extLst>
            </c:dLbl>
            <c:dLbl>
              <c:idx val="57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B-0277-4CEE-86A7-0F4DD3458E3A}"/>
                </c:ext>
              </c:extLst>
            </c:dLbl>
            <c:dLbl>
              <c:idx val="57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C-0277-4CEE-86A7-0F4DD3458E3A}"/>
                </c:ext>
              </c:extLst>
            </c:dLbl>
            <c:dLbl>
              <c:idx val="57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D-0277-4CEE-86A7-0F4DD3458E3A}"/>
                </c:ext>
              </c:extLst>
            </c:dLbl>
            <c:dLbl>
              <c:idx val="57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E-0277-4CEE-86A7-0F4DD3458E3A}"/>
                </c:ext>
              </c:extLst>
            </c:dLbl>
            <c:dLbl>
              <c:idx val="57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F-0277-4CEE-86A7-0F4DD3458E3A}"/>
                </c:ext>
              </c:extLst>
            </c:dLbl>
            <c:dLbl>
              <c:idx val="57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0-0277-4CEE-86A7-0F4DD3458E3A}"/>
                </c:ext>
              </c:extLst>
            </c:dLbl>
            <c:dLbl>
              <c:idx val="57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1-0277-4CEE-86A7-0F4DD3458E3A}"/>
                </c:ext>
              </c:extLst>
            </c:dLbl>
            <c:dLbl>
              <c:idx val="57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2-0277-4CEE-86A7-0F4DD3458E3A}"/>
                </c:ext>
              </c:extLst>
            </c:dLbl>
            <c:dLbl>
              <c:idx val="57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3-0277-4CEE-86A7-0F4DD3458E3A}"/>
                </c:ext>
              </c:extLst>
            </c:dLbl>
            <c:dLbl>
              <c:idx val="58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4-0277-4CEE-86A7-0F4DD3458E3A}"/>
                </c:ext>
              </c:extLst>
            </c:dLbl>
            <c:dLbl>
              <c:idx val="58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5-0277-4CEE-86A7-0F4DD3458E3A}"/>
                </c:ext>
              </c:extLst>
            </c:dLbl>
            <c:dLbl>
              <c:idx val="58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6-0277-4CEE-86A7-0F4DD3458E3A}"/>
                </c:ext>
              </c:extLst>
            </c:dLbl>
            <c:dLbl>
              <c:idx val="58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7-0277-4CEE-86A7-0F4DD3458E3A}"/>
                </c:ext>
              </c:extLst>
            </c:dLbl>
            <c:dLbl>
              <c:idx val="58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8-0277-4CEE-86A7-0F4DD3458E3A}"/>
                </c:ext>
              </c:extLst>
            </c:dLbl>
            <c:dLbl>
              <c:idx val="58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9-0277-4CEE-86A7-0F4DD3458E3A}"/>
                </c:ext>
              </c:extLst>
            </c:dLbl>
            <c:dLbl>
              <c:idx val="58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A-0277-4CEE-86A7-0F4DD3458E3A}"/>
                </c:ext>
              </c:extLst>
            </c:dLbl>
            <c:dLbl>
              <c:idx val="58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B-0277-4CEE-86A7-0F4DD3458E3A}"/>
                </c:ext>
              </c:extLst>
            </c:dLbl>
            <c:dLbl>
              <c:idx val="58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C-0277-4CEE-86A7-0F4DD3458E3A}"/>
                </c:ext>
              </c:extLst>
            </c:dLbl>
            <c:dLbl>
              <c:idx val="58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D-0277-4CEE-86A7-0F4DD3458E3A}"/>
                </c:ext>
              </c:extLst>
            </c:dLbl>
            <c:dLbl>
              <c:idx val="59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E-0277-4CEE-86A7-0F4DD3458E3A}"/>
                </c:ext>
              </c:extLst>
            </c:dLbl>
            <c:dLbl>
              <c:idx val="59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F-0277-4CEE-86A7-0F4DD3458E3A}"/>
                </c:ext>
              </c:extLst>
            </c:dLbl>
            <c:dLbl>
              <c:idx val="59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0-0277-4CEE-86A7-0F4DD3458E3A}"/>
                </c:ext>
              </c:extLst>
            </c:dLbl>
            <c:dLbl>
              <c:idx val="59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1-0277-4CEE-86A7-0F4DD3458E3A}"/>
                </c:ext>
              </c:extLst>
            </c:dLbl>
            <c:dLbl>
              <c:idx val="59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2-0277-4CEE-86A7-0F4DD3458E3A}"/>
                </c:ext>
              </c:extLst>
            </c:dLbl>
            <c:dLbl>
              <c:idx val="59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3-0277-4CEE-86A7-0F4DD3458E3A}"/>
                </c:ext>
              </c:extLst>
            </c:dLbl>
            <c:dLbl>
              <c:idx val="59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4-0277-4CEE-86A7-0F4DD3458E3A}"/>
                </c:ext>
              </c:extLst>
            </c:dLbl>
            <c:dLbl>
              <c:idx val="59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5-0277-4CEE-86A7-0F4DD3458E3A}"/>
                </c:ext>
              </c:extLst>
            </c:dLbl>
            <c:dLbl>
              <c:idx val="59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6-0277-4CEE-86A7-0F4DD3458E3A}"/>
                </c:ext>
              </c:extLst>
            </c:dLbl>
            <c:dLbl>
              <c:idx val="59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7-0277-4CEE-86A7-0F4DD3458E3A}"/>
                </c:ext>
              </c:extLst>
            </c:dLbl>
            <c:dLbl>
              <c:idx val="60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8-0277-4CEE-86A7-0F4DD3458E3A}"/>
                </c:ext>
              </c:extLst>
            </c:dLbl>
            <c:dLbl>
              <c:idx val="60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9-0277-4CEE-86A7-0F4DD3458E3A}"/>
                </c:ext>
              </c:extLst>
            </c:dLbl>
            <c:dLbl>
              <c:idx val="60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A-0277-4CEE-86A7-0F4DD3458E3A}"/>
                </c:ext>
              </c:extLst>
            </c:dLbl>
            <c:dLbl>
              <c:idx val="60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B-0277-4CEE-86A7-0F4DD3458E3A}"/>
                </c:ext>
              </c:extLst>
            </c:dLbl>
            <c:dLbl>
              <c:idx val="60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C-0277-4CEE-86A7-0F4DD3458E3A}"/>
                </c:ext>
              </c:extLst>
            </c:dLbl>
            <c:dLbl>
              <c:idx val="60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D-0277-4CEE-86A7-0F4DD3458E3A}"/>
                </c:ext>
              </c:extLst>
            </c:dLbl>
            <c:dLbl>
              <c:idx val="60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E-0277-4CEE-86A7-0F4DD3458E3A}"/>
                </c:ext>
              </c:extLst>
            </c:dLbl>
            <c:dLbl>
              <c:idx val="60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F-0277-4CEE-86A7-0F4DD3458E3A}"/>
                </c:ext>
              </c:extLst>
            </c:dLbl>
            <c:dLbl>
              <c:idx val="60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0-0277-4CEE-86A7-0F4DD3458E3A}"/>
                </c:ext>
              </c:extLst>
            </c:dLbl>
            <c:dLbl>
              <c:idx val="60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1-0277-4CEE-86A7-0F4DD3458E3A}"/>
                </c:ext>
              </c:extLst>
            </c:dLbl>
            <c:dLbl>
              <c:idx val="61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2-0277-4CEE-86A7-0F4DD3458E3A}"/>
                </c:ext>
              </c:extLst>
            </c:dLbl>
            <c:dLbl>
              <c:idx val="61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3-0277-4CEE-86A7-0F4DD3458E3A}"/>
                </c:ext>
              </c:extLst>
            </c:dLbl>
            <c:dLbl>
              <c:idx val="61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4-0277-4CEE-86A7-0F4DD3458E3A}"/>
                </c:ext>
              </c:extLst>
            </c:dLbl>
            <c:dLbl>
              <c:idx val="61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5-0277-4CEE-86A7-0F4DD3458E3A}"/>
                </c:ext>
              </c:extLst>
            </c:dLbl>
            <c:dLbl>
              <c:idx val="61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6-0277-4CEE-86A7-0F4DD3458E3A}"/>
                </c:ext>
              </c:extLst>
            </c:dLbl>
            <c:dLbl>
              <c:idx val="61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7-0277-4CEE-86A7-0F4DD3458E3A}"/>
                </c:ext>
              </c:extLst>
            </c:dLbl>
            <c:dLbl>
              <c:idx val="61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8-0277-4CEE-86A7-0F4DD3458E3A}"/>
                </c:ext>
              </c:extLst>
            </c:dLbl>
            <c:dLbl>
              <c:idx val="61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9-0277-4CEE-86A7-0F4DD3458E3A}"/>
                </c:ext>
              </c:extLst>
            </c:dLbl>
            <c:dLbl>
              <c:idx val="61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A-0277-4CEE-86A7-0F4DD3458E3A}"/>
                </c:ext>
              </c:extLst>
            </c:dLbl>
            <c:dLbl>
              <c:idx val="61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B-0277-4CEE-86A7-0F4DD3458E3A}"/>
                </c:ext>
              </c:extLst>
            </c:dLbl>
            <c:dLbl>
              <c:idx val="62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C-0277-4CEE-86A7-0F4DD3458E3A}"/>
                </c:ext>
              </c:extLst>
            </c:dLbl>
            <c:dLbl>
              <c:idx val="62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D-0277-4CEE-86A7-0F4DD3458E3A}"/>
                </c:ext>
              </c:extLst>
            </c:dLbl>
            <c:dLbl>
              <c:idx val="62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E-0277-4CEE-86A7-0F4DD3458E3A}"/>
                </c:ext>
              </c:extLst>
            </c:dLbl>
            <c:dLbl>
              <c:idx val="62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F-0277-4CEE-86A7-0F4DD3458E3A}"/>
                </c:ext>
              </c:extLst>
            </c:dLbl>
            <c:dLbl>
              <c:idx val="62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0-0277-4CEE-86A7-0F4DD3458E3A}"/>
                </c:ext>
              </c:extLst>
            </c:dLbl>
            <c:dLbl>
              <c:idx val="62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1-0277-4CEE-86A7-0F4DD3458E3A}"/>
                </c:ext>
              </c:extLst>
            </c:dLbl>
            <c:dLbl>
              <c:idx val="62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2-0277-4CEE-86A7-0F4DD3458E3A}"/>
                </c:ext>
              </c:extLst>
            </c:dLbl>
            <c:dLbl>
              <c:idx val="62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3-0277-4CEE-86A7-0F4DD3458E3A}"/>
                </c:ext>
              </c:extLst>
            </c:dLbl>
            <c:dLbl>
              <c:idx val="62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4-0277-4CEE-86A7-0F4DD3458E3A}"/>
                </c:ext>
              </c:extLst>
            </c:dLbl>
            <c:dLbl>
              <c:idx val="62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5-0277-4CEE-86A7-0F4DD3458E3A}"/>
                </c:ext>
              </c:extLst>
            </c:dLbl>
            <c:dLbl>
              <c:idx val="63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6-0277-4CEE-86A7-0F4DD3458E3A}"/>
                </c:ext>
              </c:extLst>
            </c:dLbl>
            <c:dLbl>
              <c:idx val="63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7-0277-4CEE-86A7-0F4DD3458E3A}"/>
                </c:ext>
              </c:extLst>
            </c:dLbl>
            <c:dLbl>
              <c:idx val="63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8-0277-4CEE-86A7-0F4DD3458E3A}"/>
                </c:ext>
              </c:extLst>
            </c:dLbl>
            <c:dLbl>
              <c:idx val="63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9-0277-4CEE-86A7-0F4DD3458E3A}"/>
                </c:ext>
              </c:extLst>
            </c:dLbl>
            <c:dLbl>
              <c:idx val="63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A-0277-4CEE-86A7-0F4DD3458E3A}"/>
                </c:ext>
              </c:extLst>
            </c:dLbl>
            <c:dLbl>
              <c:idx val="63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B-0277-4CEE-86A7-0F4DD3458E3A}"/>
                </c:ext>
              </c:extLst>
            </c:dLbl>
            <c:dLbl>
              <c:idx val="63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C-0277-4CEE-86A7-0F4DD3458E3A}"/>
                </c:ext>
              </c:extLst>
            </c:dLbl>
            <c:dLbl>
              <c:idx val="63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D-0277-4CEE-86A7-0F4DD3458E3A}"/>
                </c:ext>
              </c:extLst>
            </c:dLbl>
            <c:dLbl>
              <c:idx val="63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E-0277-4CEE-86A7-0F4DD3458E3A}"/>
                </c:ext>
              </c:extLst>
            </c:dLbl>
            <c:dLbl>
              <c:idx val="63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F-0277-4CEE-86A7-0F4DD3458E3A}"/>
                </c:ext>
              </c:extLst>
            </c:dLbl>
            <c:dLbl>
              <c:idx val="64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0-0277-4CEE-86A7-0F4DD3458E3A}"/>
                </c:ext>
              </c:extLst>
            </c:dLbl>
            <c:dLbl>
              <c:idx val="64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1-0277-4CEE-86A7-0F4DD3458E3A}"/>
                </c:ext>
              </c:extLst>
            </c:dLbl>
            <c:dLbl>
              <c:idx val="64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2-0277-4CEE-86A7-0F4DD3458E3A}"/>
                </c:ext>
              </c:extLst>
            </c:dLbl>
            <c:dLbl>
              <c:idx val="64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3-0277-4CEE-86A7-0F4DD3458E3A}"/>
                </c:ext>
              </c:extLst>
            </c:dLbl>
            <c:dLbl>
              <c:idx val="64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4-0277-4CEE-86A7-0F4DD3458E3A}"/>
                </c:ext>
              </c:extLst>
            </c:dLbl>
            <c:dLbl>
              <c:idx val="64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5-0277-4CEE-86A7-0F4DD3458E3A}"/>
                </c:ext>
              </c:extLst>
            </c:dLbl>
            <c:dLbl>
              <c:idx val="64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6-0277-4CEE-86A7-0F4DD3458E3A}"/>
                </c:ext>
              </c:extLst>
            </c:dLbl>
            <c:dLbl>
              <c:idx val="64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7-0277-4CEE-86A7-0F4DD3458E3A}"/>
                </c:ext>
              </c:extLst>
            </c:dLbl>
            <c:dLbl>
              <c:idx val="64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8-0277-4CEE-86A7-0F4DD3458E3A}"/>
                </c:ext>
              </c:extLst>
            </c:dLbl>
            <c:dLbl>
              <c:idx val="64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9-0277-4CEE-86A7-0F4DD3458E3A}"/>
                </c:ext>
              </c:extLst>
            </c:dLbl>
            <c:dLbl>
              <c:idx val="65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A-0277-4CEE-86A7-0F4DD3458E3A}"/>
                </c:ext>
              </c:extLst>
            </c:dLbl>
            <c:dLbl>
              <c:idx val="65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B-0277-4CEE-86A7-0F4DD3458E3A}"/>
                </c:ext>
              </c:extLst>
            </c:dLbl>
            <c:dLbl>
              <c:idx val="65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C-0277-4CEE-86A7-0F4DD3458E3A}"/>
                </c:ext>
              </c:extLst>
            </c:dLbl>
            <c:dLbl>
              <c:idx val="65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D-0277-4CEE-86A7-0F4DD3458E3A}"/>
                </c:ext>
              </c:extLst>
            </c:dLbl>
            <c:dLbl>
              <c:idx val="65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E-0277-4CEE-86A7-0F4DD3458E3A}"/>
                </c:ext>
              </c:extLst>
            </c:dLbl>
            <c:dLbl>
              <c:idx val="65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F-0277-4CEE-86A7-0F4DD3458E3A}"/>
                </c:ext>
              </c:extLst>
            </c:dLbl>
            <c:dLbl>
              <c:idx val="65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0-0277-4CEE-86A7-0F4DD3458E3A}"/>
                </c:ext>
              </c:extLst>
            </c:dLbl>
            <c:dLbl>
              <c:idx val="65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1-0277-4CEE-86A7-0F4DD3458E3A}"/>
                </c:ext>
              </c:extLst>
            </c:dLbl>
            <c:dLbl>
              <c:idx val="65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2-0277-4CEE-86A7-0F4DD3458E3A}"/>
                </c:ext>
              </c:extLst>
            </c:dLbl>
            <c:dLbl>
              <c:idx val="65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3-0277-4CEE-86A7-0F4DD3458E3A}"/>
                </c:ext>
              </c:extLst>
            </c:dLbl>
            <c:dLbl>
              <c:idx val="66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4-0277-4CEE-86A7-0F4DD3458E3A}"/>
                </c:ext>
              </c:extLst>
            </c:dLbl>
            <c:dLbl>
              <c:idx val="66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5-0277-4CEE-86A7-0F4DD3458E3A}"/>
                </c:ext>
              </c:extLst>
            </c:dLbl>
            <c:dLbl>
              <c:idx val="66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6-0277-4CEE-86A7-0F4DD3458E3A}"/>
                </c:ext>
              </c:extLst>
            </c:dLbl>
            <c:dLbl>
              <c:idx val="66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7-0277-4CEE-86A7-0F4DD3458E3A}"/>
                </c:ext>
              </c:extLst>
            </c:dLbl>
            <c:dLbl>
              <c:idx val="66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8-0277-4CEE-86A7-0F4DD3458E3A}"/>
                </c:ext>
              </c:extLst>
            </c:dLbl>
            <c:dLbl>
              <c:idx val="66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9-0277-4CEE-86A7-0F4DD3458E3A}"/>
                </c:ext>
              </c:extLst>
            </c:dLbl>
            <c:dLbl>
              <c:idx val="66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A-0277-4CEE-86A7-0F4DD3458E3A}"/>
                </c:ext>
              </c:extLst>
            </c:dLbl>
            <c:dLbl>
              <c:idx val="66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B-0277-4CEE-86A7-0F4DD3458E3A}"/>
                </c:ext>
              </c:extLst>
            </c:dLbl>
            <c:dLbl>
              <c:idx val="66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C-0277-4CEE-86A7-0F4DD3458E3A}"/>
                </c:ext>
              </c:extLst>
            </c:dLbl>
            <c:dLbl>
              <c:idx val="66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D-0277-4CEE-86A7-0F4DD3458E3A}"/>
                </c:ext>
              </c:extLst>
            </c:dLbl>
            <c:dLbl>
              <c:idx val="67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E-0277-4CEE-86A7-0F4DD3458E3A}"/>
                </c:ext>
              </c:extLst>
            </c:dLbl>
            <c:dLbl>
              <c:idx val="67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F-0277-4CEE-86A7-0F4DD3458E3A}"/>
                </c:ext>
              </c:extLst>
            </c:dLbl>
            <c:dLbl>
              <c:idx val="67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0-0277-4CEE-86A7-0F4DD3458E3A}"/>
                </c:ext>
              </c:extLst>
            </c:dLbl>
            <c:dLbl>
              <c:idx val="67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1-0277-4CEE-86A7-0F4DD3458E3A}"/>
                </c:ext>
              </c:extLst>
            </c:dLbl>
            <c:dLbl>
              <c:idx val="67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2-0277-4CEE-86A7-0F4DD3458E3A}"/>
                </c:ext>
              </c:extLst>
            </c:dLbl>
            <c:dLbl>
              <c:idx val="67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3-0277-4CEE-86A7-0F4DD3458E3A}"/>
                </c:ext>
              </c:extLst>
            </c:dLbl>
            <c:dLbl>
              <c:idx val="67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4-0277-4CEE-86A7-0F4DD3458E3A}"/>
                </c:ext>
              </c:extLst>
            </c:dLbl>
            <c:dLbl>
              <c:idx val="67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5-0277-4CEE-86A7-0F4DD3458E3A}"/>
                </c:ext>
              </c:extLst>
            </c:dLbl>
            <c:dLbl>
              <c:idx val="67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6-0277-4CEE-86A7-0F4DD3458E3A}"/>
                </c:ext>
              </c:extLst>
            </c:dLbl>
            <c:dLbl>
              <c:idx val="67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7-0277-4CEE-86A7-0F4DD3458E3A}"/>
                </c:ext>
              </c:extLst>
            </c:dLbl>
            <c:dLbl>
              <c:idx val="68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8-0277-4CEE-86A7-0F4DD3458E3A}"/>
                </c:ext>
              </c:extLst>
            </c:dLbl>
            <c:dLbl>
              <c:idx val="68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9-0277-4CEE-86A7-0F4DD3458E3A}"/>
                </c:ext>
              </c:extLst>
            </c:dLbl>
            <c:dLbl>
              <c:idx val="68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A-0277-4CEE-86A7-0F4DD3458E3A}"/>
                </c:ext>
              </c:extLst>
            </c:dLbl>
            <c:dLbl>
              <c:idx val="68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B-0277-4CEE-86A7-0F4DD3458E3A}"/>
                </c:ext>
              </c:extLst>
            </c:dLbl>
            <c:dLbl>
              <c:idx val="68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C-0277-4CEE-86A7-0F4DD3458E3A}"/>
                </c:ext>
              </c:extLst>
            </c:dLbl>
            <c:dLbl>
              <c:idx val="68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D-0277-4CEE-86A7-0F4DD3458E3A}"/>
                </c:ext>
              </c:extLst>
            </c:dLbl>
            <c:dLbl>
              <c:idx val="68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E-0277-4CEE-86A7-0F4DD3458E3A}"/>
                </c:ext>
              </c:extLst>
            </c:dLbl>
            <c:dLbl>
              <c:idx val="68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F-0277-4CEE-86A7-0F4DD3458E3A}"/>
                </c:ext>
              </c:extLst>
            </c:dLbl>
            <c:dLbl>
              <c:idx val="68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0-0277-4CEE-86A7-0F4DD3458E3A}"/>
                </c:ext>
              </c:extLst>
            </c:dLbl>
            <c:dLbl>
              <c:idx val="68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1-0277-4CEE-86A7-0F4DD3458E3A}"/>
                </c:ext>
              </c:extLst>
            </c:dLbl>
            <c:dLbl>
              <c:idx val="69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2-0277-4CEE-86A7-0F4DD3458E3A}"/>
                </c:ext>
              </c:extLst>
            </c:dLbl>
            <c:dLbl>
              <c:idx val="69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3-0277-4CEE-86A7-0F4DD3458E3A}"/>
                </c:ext>
              </c:extLst>
            </c:dLbl>
            <c:dLbl>
              <c:idx val="69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4-0277-4CEE-86A7-0F4DD3458E3A}"/>
                </c:ext>
              </c:extLst>
            </c:dLbl>
            <c:dLbl>
              <c:idx val="69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5-0277-4CEE-86A7-0F4DD3458E3A}"/>
                </c:ext>
              </c:extLst>
            </c:dLbl>
            <c:dLbl>
              <c:idx val="69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6-0277-4CEE-86A7-0F4DD3458E3A}"/>
                </c:ext>
              </c:extLst>
            </c:dLbl>
            <c:dLbl>
              <c:idx val="69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7-0277-4CEE-86A7-0F4DD3458E3A}"/>
                </c:ext>
              </c:extLst>
            </c:dLbl>
            <c:dLbl>
              <c:idx val="69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8-0277-4CEE-86A7-0F4DD3458E3A}"/>
                </c:ext>
              </c:extLst>
            </c:dLbl>
            <c:dLbl>
              <c:idx val="69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9-0277-4CEE-86A7-0F4DD3458E3A}"/>
                </c:ext>
              </c:extLst>
            </c:dLbl>
            <c:dLbl>
              <c:idx val="69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A-0277-4CEE-86A7-0F4DD3458E3A}"/>
                </c:ext>
              </c:extLst>
            </c:dLbl>
            <c:dLbl>
              <c:idx val="69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B-0277-4CEE-86A7-0F4DD3458E3A}"/>
                </c:ext>
              </c:extLst>
            </c:dLbl>
            <c:dLbl>
              <c:idx val="70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C-0277-4CEE-86A7-0F4DD3458E3A}"/>
                </c:ext>
              </c:extLst>
            </c:dLbl>
            <c:dLbl>
              <c:idx val="70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D-0277-4CEE-86A7-0F4DD3458E3A}"/>
                </c:ext>
              </c:extLst>
            </c:dLbl>
            <c:dLbl>
              <c:idx val="70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E-0277-4CEE-86A7-0F4DD3458E3A}"/>
                </c:ext>
              </c:extLst>
            </c:dLbl>
            <c:dLbl>
              <c:idx val="70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F-0277-4CEE-86A7-0F4DD3458E3A}"/>
                </c:ext>
              </c:extLst>
            </c:dLbl>
            <c:dLbl>
              <c:idx val="70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0-0277-4CEE-86A7-0F4DD3458E3A}"/>
                </c:ext>
              </c:extLst>
            </c:dLbl>
            <c:dLbl>
              <c:idx val="70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1-0277-4CEE-86A7-0F4DD3458E3A}"/>
                </c:ext>
              </c:extLst>
            </c:dLbl>
            <c:dLbl>
              <c:idx val="70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2-0277-4CEE-86A7-0F4DD3458E3A}"/>
                </c:ext>
              </c:extLst>
            </c:dLbl>
            <c:dLbl>
              <c:idx val="70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3-0277-4CEE-86A7-0F4DD3458E3A}"/>
                </c:ext>
              </c:extLst>
            </c:dLbl>
            <c:dLbl>
              <c:idx val="70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4-0277-4CEE-86A7-0F4DD3458E3A}"/>
                </c:ext>
              </c:extLst>
            </c:dLbl>
            <c:dLbl>
              <c:idx val="70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5-0277-4CEE-86A7-0F4DD3458E3A}"/>
                </c:ext>
              </c:extLst>
            </c:dLbl>
            <c:dLbl>
              <c:idx val="71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6-0277-4CEE-86A7-0F4DD3458E3A}"/>
                </c:ext>
              </c:extLst>
            </c:dLbl>
            <c:dLbl>
              <c:idx val="71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7-0277-4CEE-86A7-0F4DD3458E3A}"/>
                </c:ext>
              </c:extLst>
            </c:dLbl>
            <c:dLbl>
              <c:idx val="71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8-0277-4CEE-86A7-0F4DD3458E3A}"/>
                </c:ext>
              </c:extLst>
            </c:dLbl>
            <c:dLbl>
              <c:idx val="71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9-0277-4CEE-86A7-0F4DD3458E3A}"/>
                </c:ext>
              </c:extLst>
            </c:dLbl>
            <c:dLbl>
              <c:idx val="71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A-0277-4CEE-86A7-0F4DD3458E3A}"/>
                </c:ext>
              </c:extLst>
            </c:dLbl>
            <c:dLbl>
              <c:idx val="71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B-0277-4CEE-86A7-0F4DD3458E3A}"/>
                </c:ext>
              </c:extLst>
            </c:dLbl>
            <c:dLbl>
              <c:idx val="71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C-0277-4CEE-86A7-0F4DD3458E3A}"/>
                </c:ext>
              </c:extLst>
            </c:dLbl>
            <c:dLbl>
              <c:idx val="71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D-0277-4CEE-86A7-0F4DD3458E3A}"/>
                </c:ext>
              </c:extLst>
            </c:dLbl>
            <c:dLbl>
              <c:idx val="71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E-0277-4CEE-86A7-0F4DD3458E3A}"/>
                </c:ext>
              </c:extLst>
            </c:dLbl>
            <c:dLbl>
              <c:idx val="71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F-0277-4CEE-86A7-0F4DD3458E3A}"/>
                </c:ext>
              </c:extLst>
            </c:dLbl>
            <c:dLbl>
              <c:idx val="72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0-0277-4CEE-86A7-0F4DD3458E3A}"/>
                </c:ext>
              </c:extLst>
            </c:dLbl>
            <c:dLbl>
              <c:idx val="72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1-0277-4CEE-86A7-0F4DD3458E3A}"/>
                </c:ext>
              </c:extLst>
            </c:dLbl>
            <c:dLbl>
              <c:idx val="72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2-0277-4CEE-86A7-0F4DD3458E3A}"/>
                </c:ext>
              </c:extLst>
            </c:dLbl>
            <c:dLbl>
              <c:idx val="72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3-0277-4CEE-86A7-0F4DD3458E3A}"/>
                </c:ext>
              </c:extLst>
            </c:dLbl>
            <c:dLbl>
              <c:idx val="72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4-0277-4CEE-86A7-0F4DD3458E3A}"/>
                </c:ext>
              </c:extLst>
            </c:dLbl>
            <c:dLbl>
              <c:idx val="72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5-0277-4CEE-86A7-0F4DD3458E3A}"/>
                </c:ext>
              </c:extLst>
            </c:dLbl>
            <c:dLbl>
              <c:idx val="72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6-0277-4CEE-86A7-0F4DD3458E3A}"/>
                </c:ext>
              </c:extLst>
            </c:dLbl>
            <c:dLbl>
              <c:idx val="72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7-0277-4CEE-86A7-0F4DD3458E3A}"/>
                </c:ext>
              </c:extLst>
            </c:dLbl>
            <c:dLbl>
              <c:idx val="72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8-0277-4CEE-86A7-0F4DD3458E3A}"/>
                </c:ext>
              </c:extLst>
            </c:dLbl>
            <c:dLbl>
              <c:idx val="72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9-0277-4CEE-86A7-0F4DD3458E3A}"/>
                </c:ext>
              </c:extLst>
            </c:dLbl>
            <c:dLbl>
              <c:idx val="73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A-0277-4CEE-86A7-0F4DD3458E3A}"/>
                </c:ext>
              </c:extLst>
            </c:dLbl>
            <c:dLbl>
              <c:idx val="73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B-0277-4CEE-86A7-0F4DD3458E3A}"/>
                </c:ext>
              </c:extLst>
            </c:dLbl>
            <c:dLbl>
              <c:idx val="73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C-0277-4CEE-86A7-0F4DD3458E3A}"/>
                </c:ext>
              </c:extLst>
            </c:dLbl>
            <c:dLbl>
              <c:idx val="73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D-0277-4CEE-86A7-0F4DD3458E3A}"/>
                </c:ext>
              </c:extLst>
            </c:dLbl>
            <c:dLbl>
              <c:idx val="73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E-0277-4CEE-86A7-0F4DD3458E3A}"/>
                </c:ext>
              </c:extLst>
            </c:dLbl>
            <c:dLbl>
              <c:idx val="73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F-0277-4CEE-86A7-0F4DD3458E3A}"/>
                </c:ext>
              </c:extLst>
            </c:dLbl>
            <c:dLbl>
              <c:idx val="73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0-0277-4CEE-86A7-0F4DD3458E3A}"/>
                </c:ext>
              </c:extLst>
            </c:dLbl>
            <c:dLbl>
              <c:idx val="73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1-0277-4CEE-86A7-0F4DD3458E3A}"/>
                </c:ext>
              </c:extLst>
            </c:dLbl>
            <c:dLbl>
              <c:idx val="73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2-0277-4CEE-86A7-0F4DD3458E3A}"/>
                </c:ext>
              </c:extLst>
            </c:dLbl>
            <c:dLbl>
              <c:idx val="73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3-0277-4CEE-86A7-0F4DD3458E3A}"/>
                </c:ext>
              </c:extLst>
            </c:dLbl>
            <c:dLbl>
              <c:idx val="74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4-0277-4CEE-86A7-0F4DD3458E3A}"/>
                </c:ext>
              </c:extLst>
            </c:dLbl>
            <c:dLbl>
              <c:idx val="74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5-0277-4CEE-86A7-0F4DD3458E3A}"/>
                </c:ext>
              </c:extLst>
            </c:dLbl>
            <c:dLbl>
              <c:idx val="74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6-0277-4CEE-86A7-0F4DD3458E3A}"/>
                </c:ext>
              </c:extLst>
            </c:dLbl>
            <c:dLbl>
              <c:idx val="74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7-0277-4CEE-86A7-0F4DD3458E3A}"/>
                </c:ext>
              </c:extLst>
            </c:dLbl>
            <c:dLbl>
              <c:idx val="74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8-0277-4CEE-86A7-0F4DD3458E3A}"/>
                </c:ext>
              </c:extLst>
            </c:dLbl>
            <c:dLbl>
              <c:idx val="74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9-0277-4CEE-86A7-0F4DD3458E3A}"/>
                </c:ext>
              </c:extLst>
            </c:dLbl>
            <c:dLbl>
              <c:idx val="74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A-0277-4CEE-86A7-0F4DD3458E3A}"/>
                </c:ext>
              </c:extLst>
            </c:dLbl>
            <c:dLbl>
              <c:idx val="74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B-0277-4CEE-86A7-0F4DD3458E3A}"/>
                </c:ext>
              </c:extLst>
            </c:dLbl>
            <c:dLbl>
              <c:idx val="74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C-0277-4CEE-86A7-0F4DD3458E3A}"/>
                </c:ext>
              </c:extLst>
            </c:dLbl>
            <c:dLbl>
              <c:idx val="74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D-0277-4CEE-86A7-0F4DD3458E3A}"/>
                </c:ext>
              </c:extLst>
            </c:dLbl>
            <c:dLbl>
              <c:idx val="75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E-0277-4CEE-86A7-0F4DD3458E3A}"/>
                </c:ext>
              </c:extLst>
            </c:dLbl>
            <c:dLbl>
              <c:idx val="75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F-0277-4CEE-86A7-0F4DD3458E3A}"/>
                </c:ext>
              </c:extLst>
            </c:dLbl>
            <c:dLbl>
              <c:idx val="75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0-0277-4CEE-86A7-0F4DD3458E3A}"/>
                </c:ext>
              </c:extLst>
            </c:dLbl>
            <c:dLbl>
              <c:idx val="75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1-0277-4CEE-86A7-0F4DD3458E3A}"/>
                </c:ext>
              </c:extLst>
            </c:dLbl>
            <c:dLbl>
              <c:idx val="75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2-0277-4CEE-86A7-0F4DD3458E3A}"/>
                </c:ext>
              </c:extLst>
            </c:dLbl>
            <c:dLbl>
              <c:idx val="75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3-0277-4CEE-86A7-0F4DD3458E3A}"/>
                </c:ext>
              </c:extLst>
            </c:dLbl>
            <c:dLbl>
              <c:idx val="75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4-0277-4CEE-86A7-0F4DD3458E3A}"/>
                </c:ext>
              </c:extLst>
            </c:dLbl>
            <c:dLbl>
              <c:idx val="75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5-0277-4CEE-86A7-0F4DD3458E3A}"/>
                </c:ext>
              </c:extLst>
            </c:dLbl>
            <c:dLbl>
              <c:idx val="75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6-0277-4CEE-86A7-0F4DD3458E3A}"/>
                </c:ext>
              </c:extLst>
            </c:dLbl>
            <c:dLbl>
              <c:idx val="75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7-0277-4CEE-86A7-0F4DD3458E3A}"/>
                </c:ext>
              </c:extLst>
            </c:dLbl>
            <c:dLbl>
              <c:idx val="76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8-0277-4CEE-86A7-0F4DD3458E3A}"/>
                </c:ext>
              </c:extLst>
            </c:dLbl>
            <c:dLbl>
              <c:idx val="76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9-0277-4CEE-86A7-0F4DD3458E3A}"/>
                </c:ext>
              </c:extLst>
            </c:dLbl>
            <c:dLbl>
              <c:idx val="76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A-0277-4CEE-86A7-0F4DD3458E3A}"/>
                </c:ext>
              </c:extLst>
            </c:dLbl>
            <c:dLbl>
              <c:idx val="76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B-0277-4CEE-86A7-0F4DD3458E3A}"/>
                </c:ext>
              </c:extLst>
            </c:dLbl>
            <c:dLbl>
              <c:idx val="76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C-0277-4CEE-86A7-0F4DD3458E3A}"/>
                </c:ext>
              </c:extLst>
            </c:dLbl>
            <c:dLbl>
              <c:idx val="76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D-0277-4CEE-86A7-0F4DD3458E3A}"/>
                </c:ext>
              </c:extLst>
            </c:dLbl>
            <c:dLbl>
              <c:idx val="76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E-0277-4CEE-86A7-0F4DD3458E3A}"/>
                </c:ext>
              </c:extLst>
            </c:dLbl>
            <c:dLbl>
              <c:idx val="76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F-0277-4CEE-86A7-0F4DD3458E3A}"/>
                </c:ext>
              </c:extLst>
            </c:dLbl>
            <c:dLbl>
              <c:idx val="76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0-0277-4CEE-86A7-0F4DD3458E3A}"/>
                </c:ext>
              </c:extLst>
            </c:dLbl>
            <c:dLbl>
              <c:idx val="76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1-0277-4CEE-86A7-0F4DD3458E3A}"/>
                </c:ext>
              </c:extLst>
            </c:dLbl>
            <c:dLbl>
              <c:idx val="77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2-0277-4CEE-86A7-0F4DD3458E3A}"/>
                </c:ext>
              </c:extLst>
            </c:dLbl>
            <c:dLbl>
              <c:idx val="77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3-0277-4CEE-86A7-0F4DD3458E3A}"/>
                </c:ext>
              </c:extLst>
            </c:dLbl>
            <c:dLbl>
              <c:idx val="77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4-0277-4CEE-86A7-0F4DD3458E3A}"/>
                </c:ext>
              </c:extLst>
            </c:dLbl>
            <c:dLbl>
              <c:idx val="77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5-0277-4CEE-86A7-0F4DD3458E3A}"/>
                </c:ext>
              </c:extLst>
            </c:dLbl>
            <c:dLbl>
              <c:idx val="77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6-0277-4CEE-86A7-0F4DD3458E3A}"/>
                </c:ext>
              </c:extLst>
            </c:dLbl>
            <c:dLbl>
              <c:idx val="77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7-0277-4CEE-86A7-0F4DD3458E3A}"/>
                </c:ext>
              </c:extLst>
            </c:dLbl>
            <c:dLbl>
              <c:idx val="77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8-0277-4CEE-86A7-0F4DD3458E3A}"/>
                </c:ext>
              </c:extLst>
            </c:dLbl>
            <c:dLbl>
              <c:idx val="77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9-0277-4CEE-86A7-0F4DD3458E3A}"/>
                </c:ext>
              </c:extLst>
            </c:dLbl>
            <c:dLbl>
              <c:idx val="77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A-0277-4CEE-86A7-0F4DD3458E3A}"/>
                </c:ext>
              </c:extLst>
            </c:dLbl>
            <c:dLbl>
              <c:idx val="77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B-0277-4CEE-86A7-0F4DD3458E3A}"/>
                </c:ext>
              </c:extLst>
            </c:dLbl>
            <c:dLbl>
              <c:idx val="78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C-0277-4CEE-86A7-0F4DD3458E3A}"/>
                </c:ext>
              </c:extLst>
            </c:dLbl>
            <c:dLbl>
              <c:idx val="78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D-0277-4CEE-86A7-0F4DD3458E3A}"/>
                </c:ext>
              </c:extLst>
            </c:dLbl>
            <c:dLbl>
              <c:idx val="78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E-0277-4CEE-86A7-0F4DD3458E3A}"/>
                </c:ext>
              </c:extLst>
            </c:dLbl>
            <c:dLbl>
              <c:idx val="78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F-0277-4CEE-86A7-0F4DD3458E3A}"/>
                </c:ext>
              </c:extLst>
            </c:dLbl>
            <c:dLbl>
              <c:idx val="78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0-0277-4CEE-86A7-0F4DD3458E3A}"/>
                </c:ext>
              </c:extLst>
            </c:dLbl>
            <c:dLbl>
              <c:idx val="78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1-0277-4CEE-86A7-0F4DD3458E3A}"/>
                </c:ext>
              </c:extLst>
            </c:dLbl>
            <c:dLbl>
              <c:idx val="78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2-0277-4CEE-86A7-0F4DD3458E3A}"/>
                </c:ext>
              </c:extLst>
            </c:dLbl>
            <c:dLbl>
              <c:idx val="78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3-0277-4CEE-86A7-0F4DD3458E3A}"/>
                </c:ext>
              </c:extLst>
            </c:dLbl>
            <c:dLbl>
              <c:idx val="78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4-0277-4CEE-86A7-0F4DD3458E3A}"/>
                </c:ext>
              </c:extLst>
            </c:dLbl>
            <c:dLbl>
              <c:idx val="78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5-0277-4CEE-86A7-0F4DD3458E3A}"/>
                </c:ext>
              </c:extLst>
            </c:dLbl>
            <c:dLbl>
              <c:idx val="79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6-0277-4CEE-86A7-0F4DD3458E3A}"/>
                </c:ext>
              </c:extLst>
            </c:dLbl>
            <c:dLbl>
              <c:idx val="79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7-0277-4CEE-86A7-0F4DD3458E3A}"/>
                </c:ext>
              </c:extLst>
            </c:dLbl>
            <c:dLbl>
              <c:idx val="79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8-0277-4CEE-86A7-0F4DD3458E3A}"/>
                </c:ext>
              </c:extLst>
            </c:dLbl>
            <c:dLbl>
              <c:idx val="79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9-0277-4CEE-86A7-0F4DD3458E3A}"/>
                </c:ext>
              </c:extLst>
            </c:dLbl>
            <c:dLbl>
              <c:idx val="79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A-0277-4CEE-86A7-0F4DD3458E3A}"/>
                </c:ext>
              </c:extLst>
            </c:dLbl>
            <c:dLbl>
              <c:idx val="79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B-0277-4CEE-86A7-0F4DD3458E3A}"/>
                </c:ext>
              </c:extLst>
            </c:dLbl>
            <c:dLbl>
              <c:idx val="79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C-0277-4CEE-86A7-0F4DD3458E3A}"/>
                </c:ext>
              </c:extLst>
            </c:dLbl>
            <c:dLbl>
              <c:idx val="79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D-0277-4CEE-86A7-0F4DD3458E3A}"/>
                </c:ext>
              </c:extLst>
            </c:dLbl>
            <c:dLbl>
              <c:idx val="79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E-0277-4CEE-86A7-0F4DD3458E3A}"/>
                </c:ext>
              </c:extLst>
            </c:dLbl>
            <c:dLbl>
              <c:idx val="79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F-0277-4CEE-86A7-0F4DD3458E3A}"/>
                </c:ext>
              </c:extLst>
            </c:dLbl>
            <c:dLbl>
              <c:idx val="80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0-0277-4CEE-86A7-0F4DD3458E3A}"/>
                </c:ext>
              </c:extLst>
            </c:dLbl>
            <c:dLbl>
              <c:idx val="80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1-0277-4CEE-86A7-0F4DD3458E3A}"/>
                </c:ext>
              </c:extLst>
            </c:dLbl>
            <c:dLbl>
              <c:idx val="80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2-0277-4CEE-86A7-0F4DD3458E3A}"/>
                </c:ext>
              </c:extLst>
            </c:dLbl>
            <c:dLbl>
              <c:idx val="80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3-0277-4CEE-86A7-0F4DD3458E3A}"/>
                </c:ext>
              </c:extLst>
            </c:dLbl>
            <c:dLbl>
              <c:idx val="80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4-0277-4CEE-86A7-0F4DD3458E3A}"/>
                </c:ext>
              </c:extLst>
            </c:dLbl>
            <c:dLbl>
              <c:idx val="80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5-0277-4CEE-86A7-0F4DD3458E3A}"/>
                </c:ext>
              </c:extLst>
            </c:dLbl>
            <c:dLbl>
              <c:idx val="80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6-0277-4CEE-86A7-0F4DD3458E3A}"/>
                </c:ext>
              </c:extLst>
            </c:dLbl>
            <c:dLbl>
              <c:idx val="80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7-0277-4CEE-86A7-0F4DD3458E3A}"/>
                </c:ext>
              </c:extLst>
            </c:dLbl>
            <c:dLbl>
              <c:idx val="80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8-0277-4CEE-86A7-0F4DD3458E3A}"/>
                </c:ext>
              </c:extLst>
            </c:dLbl>
            <c:dLbl>
              <c:idx val="80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9-0277-4CEE-86A7-0F4DD3458E3A}"/>
                </c:ext>
              </c:extLst>
            </c:dLbl>
            <c:dLbl>
              <c:idx val="81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A-0277-4CEE-86A7-0F4DD3458E3A}"/>
                </c:ext>
              </c:extLst>
            </c:dLbl>
            <c:dLbl>
              <c:idx val="81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B-0277-4CEE-86A7-0F4DD3458E3A}"/>
                </c:ext>
              </c:extLst>
            </c:dLbl>
            <c:dLbl>
              <c:idx val="81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C-0277-4CEE-86A7-0F4DD3458E3A}"/>
                </c:ext>
              </c:extLst>
            </c:dLbl>
            <c:dLbl>
              <c:idx val="81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D-0277-4CEE-86A7-0F4DD3458E3A}"/>
                </c:ext>
              </c:extLst>
            </c:dLbl>
            <c:dLbl>
              <c:idx val="81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E-0277-4CEE-86A7-0F4DD3458E3A}"/>
                </c:ext>
              </c:extLst>
            </c:dLbl>
            <c:dLbl>
              <c:idx val="81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F-0277-4CEE-86A7-0F4DD3458E3A}"/>
                </c:ext>
              </c:extLst>
            </c:dLbl>
            <c:dLbl>
              <c:idx val="81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0-0277-4CEE-86A7-0F4DD3458E3A}"/>
                </c:ext>
              </c:extLst>
            </c:dLbl>
            <c:dLbl>
              <c:idx val="81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1-0277-4CEE-86A7-0F4DD3458E3A}"/>
                </c:ext>
              </c:extLst>
            </c:dLbl>
            <c:dLbl>
              <c:idx val="81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2-0277-4CEE-86A7-0F4DD3458E3A}"/>
                </c:ext>
              </c:extLst>
            </c:dLbl>
            <c:dLbl>
              <c:idx val="81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3-0277-4CEE-86A7-0F4DD3458E3A}"/>
                </c:ext>
              </c:extLst>
            </c:dLbl>
            <c:dLbl>
              <c:idx val="82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4-0277-4CEE-86A7-0F4DD3458E3A}"/>
                </c:ext>
              </c:extLst>
            </c:dLbl>
            <c:dLbl>
              <c:idx val="82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5-0277-4CEE-86A7-0F4DD3458E3A}"/>
                </c:ext>
              </c:extLst>
            </c:dLbl>
            <c:dLbl>
              <c:idx val="82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6-0277-4CEE-86A7-0F4DD3458E3A}"/>
                </c:ext>
              </c:extLst>
            </c:dLbl>
            <c:dLbl>
              <c:idx val="82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7-0277-4CEE-86A7-0F4DD3458E3A}"/>
                </c:ext>
              </c:extLst>
            </c:dLbl>
            <c:dLbl>
              <c:idx val="82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8-0277-4CEE-86A7-0F4DD3458E3A}"/>
                </c:ext>
              </c:extLst>
            </c:dLbl>
            <c:dLbl>
              <c:idx val="82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9-0277-4CEE-86A7-0F4DD3458E3A}"/>
                </c:ext>
              </c:extLst>
            </c:dLbl>
            <c:dLbl>
              <c:idx val="82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A-0277-4CEE-86A7-0F4DD3458E3A}"/>
                </c:ext>
              </c:extLst>
            </c:dLbl>
            <c:dLbl>
              <c:idx val="82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B-0277-4CEE-86A7-0F4DD3458E3A}"/>
                </c:ext>
              </c:extLst>
            </c:dLbl>
            <c:dLbl>
              <c:idx val="82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C-0277-4CEE-86A7-0F4DD3458E3A}"/>
                </c:ext>
              </c:extLst>
            </c:dLbl>
            <c:dLbl>
              <c:idx val="82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D-0277-4CEE-86A7-0F4DD3458E3A}"/>
                </c:ext>
              </c:extLst>
            </c:dLbl>
            <c:dLbl>
              <c:idx val="83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E-0277-4CEE-86A7-0F4DD3458E3A}"/>
                </c:ext>
              </c:extLst>
            </c:dLbl>
            <c:dLbl>
              <c:idx val="83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F-0277-4CEE-86A7-0F4DD3458E3A}"/>
                </c:ext>
              </c:extLst>
            </c:dLbl>
            <c:dLbl>
              <c:idx val="83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0-0277-4CEE-86A7-0F4DD3458E3A}"/>
                </c:ext>
              </c:extLst>
            </c:dLbl>
            <c:dLbl>
              <c:idx val="83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1-0277-4CEE-86A7-0F4DD3458E3A}"/>
                </c:ext>
              </c:extLst>
            </c:dLbl>
            <c:dLbl>
              <c:idx val="83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2-0277-4CEE-86A7-0F4DD3458E3A}"/>
                </c:ext>
              </c:extLst>
            </c:dLbl>
            <c:dLbl>
              <c:idx val="83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3-0277-4CEE-86A7-0F4DD3458E3A}"/>
                </c:ext>
              </c:extLst>
            </c:dLbl>
            <c:dLbl>
              <c:idx val="83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4-0277-4CEE-86A7-0F4DD3458E3A}"/>
                </c:ext>
              </c:extLst>
            </c:dLbl>
            <c:dLbl>
              <c:idx val="83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5-0277-4CEE-86A7-0F4DD3458E3A}"/>
                </c:ext>
              </c:extLst>
            </c:dLbl>
            <c:dLbl>
              <c:idx val="83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6-0277-4CEE-86A7-0F4DD3458E3A}"/>
                </c:ext>
              </c:extLst>
            </c:dLbl>
            <c:dLbl>
              <c:idx val="83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7-0277-4CEE-86A7-0F4DD3458E3A}"/>
                </c:ext>
              </c:extLst>
            </c:dLbl>
            <c:dLbl>
              <c:idx val="84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8-0277-4CEE-86A7-0F4DD3458E3A}"/>
                </c:ext>
              </c:extLst>
            </c:dLbl>
            <c:dLbl>
              <c:idx val="84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9-0277-4CEE-86A7-0F4DD3458E3A}"/>
                </c:ext>
              </c:extLst>
            </c:dLbl>
            <c:dLbl>
              <c:idx val="84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A-0277-4CEE-86A7-0F4DD3458E3A}"/>
                </c:ext>
              </c:extLst>
            </c:dLbl>
            <c:dLbl>
              <c:idx val="84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B-0277-4CEE-86A7-0F4DD3458E3A}"/>
                </c:ext>
              </c:extLst>
            </c:dLbl>
            <c:dLbl>
              <c:idx val="84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C-0277-4CEE-86A7-0F4DD3458E3A}"/>
                </c:ext>
              </c:extLst>
            </c:dLbl>
            <c:dLbl>
              <c:idx val="84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D-0277-4CEE-86A7-0F4DD3458E3A}"/>
                </c:ext>
              </c:extLst>
            </c:dLbl>
            <c:dLbl>
              <c:idx val="84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E-0277-4CEE-86A7-0F4DD3458E3A}"/>
                </c:ext>
              </c:extLst>
            </c:dLbl>
            <c:dLbl>
              <c:idx val="84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F-0277-4CEE-86A7-0F4DD3458E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'[1]Для построения'!$B$3:$B$850</c:f>
              <c:numCache>
                <c:formatCode>General</c:formatCode>
                <c:ptCount val="848"/>
                <c:pt idx="0">
                  <c:v>52233.37</c:v>
                </c:pt>
                <c:pt idx="1">
                  <c:v>52205.25</c:v>
                </c:pt>
                <c:pt idx="2">
                  <c:v>52202.33</c:v>
                </c:pt>
                <c:pt idx="3">
                  <c:v>52196.2</c:v>
                </c:pt>
                <c:pt idx="4">
                  <c:v>52187.95</c:v>
                </c:pt>
                <c:pt idx="5">
                  <c:v>52185.16</c:v>
                </c:pt>
                <c:pt idx="6">
                  <c:v>52167.5</c:v>
                </c:pt>
                <c:pt idx="7">
                  <c:v>52161.760000000002</c:v>
                </c:pt>
                <c:pt idx="8">
                  <c:v>52159.27</c:v>
                </c:pt>
                <c:pt idx="9">
                  <c:v>52230.63</c:v>
                </c:pt>
                <c:pt idx="10">
                  <c:v>52224.69</c:v>
                </c:pt>
                <c:pt idx="11">
                  <c:v>52218.75</c:v>
                </c:pt>
                <c:pt idx="12">
                  <c:v>52212.82</c:v>
                </c:pt>
                <c:pt idx="13">
                  <c:v>52200.94</c:v>
                </c:pt>
                <c:pt idx="14">
                  <c:v>52195</c:v>
                </c:pt>
                <c:pt idx="15">
                  <c:v>52189.06</c:v>
                </c:pt>
                <c:pt idx="16">
                  <c:v>52183.12</c:v>
                </c:pt>
                <c:pt idx="17">
                  <c:v>52177.19</c:v>
                </c:pt>
                <c:pt idx="18">
                  <c:v>52171.25</c:v>
                </c:pt>
                <c:pt idx="19">
                  <c:v>52165.31</c:v>
                </c:pt>
                <c:pt idx="20">
                  <c:v>52159.37</c:v>
                </c:pt>
                <c:pt idx="21">
                  <c:v>52225.38</c:v>
                </c:pt>
                <c:pt idx="22">
                  <c:v>52219.56</c:v>
                </c:pt>
                <c:pt idx="23">
                  <c:v>52213.51</c:v>
                </c:pt>
                <c:pt idx="24">
                  <c:v>52207.57</c:v>
                </c:pt>
                <c:pt idx="25">
                  <c:v>52201.63</c:v>
                </c:pt>
                <c:pt idx="26">
                  <c:v>52195.69</c:v>
                </c:pt>
                <c:pt idx="27">
                  <c:v>52189.75</c:v>
                </c:pt>
                <c:pt idx="28">
                  <c:v>52183.82</c:v>
                </c:pt>
                <c:pt idx="29">
                  <c:v>52177.88</c:v>
                </c:pt>
                <c:pt idx="30">
                  <c:v>52171.94</c:v>
                </c:pt>
                <c:pt idx="31">
                  <c:v>52166</c:v>
                </c:pt>
                <c:pt idx="32">
                  <c:v>52160.06</c:v>
                </c:pt>
                <c:pt idx="33">
                  <c:v>52219.39</c:v>
                </c:pt>
                <c:pt idx="34">
                  <c:v>52214.2</c:v>
                </c:pt>
                <c:pt idx="35">
                  <c:v>52208.26</c:v>
                </c:pt>
                <c:pt idx="36">
                  <c:v>52202.32</c:v>
                </c:pt>
                <c:pt idx="37">
                  <c:v>52196.38</c:v>
                </c:pt>
                <c:pt idx="38">
                  <c:v>52190.45</c:v>
                </c:pt>
                <c:pt idx="39">
                  <c:v>52184.51</c:v>
                </c:pt>
                <c:pt idx="40">
                  <c:v>52178.57</c:v>
                </c:pt>
                <c:pt idx="41">
                  <c:v>52172.63</c:v>
                </c:pt>
                <c:pt idx="42">
                  <c:v>52166.69</c:v>
                </c:pt>
                <c:pt idx="43">
                  <c:v>52160.76</c:v>
                </c:pt>
                <c:pt idx="44">
                  <c:v>52154.82</c:v>
                </c:pt>
                <c:pt idx="45">
                  <c:v>52208.95</c:v>
                </c:pt>
                <c:pt idx="46">
                  <c:v>52203.01</c:v>
                </c:pt>
                <c:pt idx="47">
                  <c:v>52197.07</c:v>
                </c:pt>
                <c:pt idx="48">
                  <c:v>52191.14</c:v>
                </c:pt>
                <c:pt idx="49">
                  <c:v>52185.2</c:v>
                </c:pt>
                <c:pt idx="50">
                  <c:v>52179.26</c:v>
                </c:pt>
                <c:pt idx="51">
                  <c:v>52173.32</c:v>
                </c:pt>
                <c:pt idx="52">
                  <c:v>52167.38</c:v>
                </c:pt>
                <c:pt idx="53">
                  <c:v>52161.45</c:v>
                </c:pt>
                <c:pt idx="54">
                  <c:v>52155.51</c:v>
                </c:pt>
                <c:pt idx="55">
                  <c:v>52197.77</c:v>
                </c:pt>
                <c:pt idx="56">
                  <c:v>52191.83</c:v>
                </c:pt>
                <c:pt idx="57">
                  <c:v>52185.89</c:v>
                </c:pt>
                <c:pt idx="58">
                  <c:v>52179.95</c:v>
                </c:pt>
                <c:pt idx="59">
                  <c:v>52174.01</c:v>
                </c:pt>
                <c:pt idx="60">
                  <c:v>52168.08</c:v>
                </c:pt>
                <c:pt idx="61">
                  <c:v>52162.14</c:v>
                </c:pt>
                <c:pt idx="62">
                  <c:v>52156.2</c:v>
                </c:pt>
                <c:pt idx="63">
                  <c:v>52150.26</c:v>
                </c:pt>
                <c:pt idx="64">
                  <c:v>52192.49</c:v>
                </c:pt>
                <c:pt idx="65">
                  <c:v>52186.58</c:v>
                </c:pt>
                <c:pt idx="66">
                  <c:v>52180.639999999999</c:v>
                </c:pt>
                <c:pt idx="67">
                  <c:v>52174.71</c:v>
                </c:pt>
                <c:pt idx="68">
                  <c:v>52168.77</c:v>
                </c:pt>
                <c:pt idx="69">
                  <c:v>52162.83</c:v>
                </c:pt>
                <c:pt idx="70">
                  <c:v>52156.89</c:v>
                </c:pt>
                <c:pt idx="71">
                  <c:v>52150.95</c:v>
                </c:pt>
                <c:pt idx="72">
                  <c:v>52175.8</c:v>
                </c:pt>
                <c:pt idx="73">
                  <c:v>52169.46</c:v>
                </c:pt>
                <c:pt idx="74">
                  <c:v>52163.519999999997</c:v>
                </c:pt>
                <c:pt idx="75">
                  <c:v>52157.58</c:v>
                </c:pt>
                <c:pt idx="76">
                  <c:v>52151.64</c:v>
                </c:pt>
                <c:pt idx="77">
                  <c:v>52145.71</c:v>
                </c:pt>
                <c:pt idx="78">
                  <c:v>52159.01</c:v>
                </c:pt>
                <c:pt idx="79">
                  <c:v>52152.6</c:v>
                </c:pt>
                <c:pt idx="80">
                  <c:v>52146.400000000001</c:v>
                </c:pt>
                <c:pt idx="81">
                  <c:v>52153.43</c:v>
                </c:pt>
                <c:pt idx="82">
                  <c:v>52147.5</c:v>
                </c:pt>
                <c:pt idx="83">
                  <c:v>52141.56</c:v>
                </c:pt>
                <c:pt idx="84">
                  <c:v>52154.13</c:v>
                </c:pt>
                <c:pt idx="85">
                  <c:v>52148.19</c:v>
                </c:pt>
                <c:pt idx="86">
                  <c:v>52142.25</c:v>
                </c:pt>
                <c:pt idx="87">
                  <c:v>52136.31</c:v>
                </c:pt>
                <c:pt idx="88">
                  <c:v>52148.88</c:v>
                </c:pt>
                <c:pt idx="89">
                  <c:v>52142.94</c:v>
                </c:pt>
                <c:pt idx="90">
                  <c:v>52137</c:v>
                </c:pt>
                <c:pt idx="91">
                  <c:v>52131.07</c:v>
                </c:pt>
                <c:pt idx="92">
                  <c:v>52149.57</c:v>
                </c:pt>
                <c:pt idx="93">
                  <c:v>52143.63</c:v>
                </c:pt>
                <c:pt idx="94">
                  <c:v>52137.69</c:v>
                </c:pt>
                <c:pt idx="95">
                  <c:v>52131.76</c:v>
                </c:pt>
                <c:pt idx="96">
                  <c:v>52125.82</c:v>
                </c:pt>
                <c:pt idx="97">
                  <c:v>52144.32</c:v>
                </c:pt>
                <c:pt idx="98">
                  <c:v>52138.39</c:v>
                </c:pt>
                <c:pt idx="99">
                  <c:v>52132.45</c:v>
                </c:pt>
                <c:pt idx="100">
                  <c:v>52126.51</c:v>
                </c:pt>
                <c:pt idx="101">
                  <c:v>52120.57</c:v>
                </c:pt>
                <c:pt idx="102">
                  <c:v>52145.02</c:v>
                </c:pt>
                <c:pt idx="103">
                  <c:v>52139.08</c:v>
                </c:pt>
                <c:pt idx="104">
                  <c:v>52133.14</c:v>
                </c:pt>
                <c:pt idx="105">
                  <c:v>52127.199999999997</c:v>
                </c:pt>
                <c:pt idx="106">
                  <c:v>52121.26</c:v>
                </c:pt>
                <c:pt idx="107">
                  <c:v>52139.77</c:v>
                </c:pt>
                <c:pt idx="108">
                  <c:v>52133.83</c:v>
                </c:pt>
                <c:pt idx="109">
                  <c:v>52127.89</c:v>
                </c:pt>
                <c:pt idx="110">
                  <c:v>52140.46</c:v>
                </c:pt>
                <c:pt idx="111">
                  <c:v>52134.9</c:v>
                </c:pt>
                <c:pt idx="112">
                  <c:v>52148.72</c:v>
                </c:pt>
                <c:pt idx="113">
                  <c:v>52142.55</c:v>
                </c:pt>
                <c:pt idx="114">
                  <c:v>52140.23</c:v>
                </c:pt>
                <c:pt idx="115">
                  <c:v>52134.76</c:v>
                </c:pt>
                <c:pt idx="116">
                  <c:v>52133.49</c:v>
                </c:pt>
                <c:pt idx="117">
                  <c:v>52130.94</c:v>
                </c:pt>
                <c:pt idx="118">
                  <c:v>52119.45</c:v>
                </c:pt>
                <c:pt idx="119">
                  <c:v>52117.01</c:v>
                </c:pt>
                <c:pt idx="120">
                  <c:v>52107.77</c:v>
                </c:pt>
                <c:pt idx="121">
                  <c:v>52102.1</c:v>
                </c:pt>
                <c:pt idx="122">
                  <c:v>52090.82</c:v>
                </c:pt>
                <c:pt idx="123">
                  <c:v>52111.08</c:v>
                </c:pt>
                <c:pt idx="124">
                  <c:v>52147.5</c:v>
                </c:pt>
                <c:pt idx="125">
                  <c:v>52118.91</c:v>
                </c:pt>
                <c:pt idx="126">
                  <c:v>52112.97</c:v>
                </c:pt>
                <c:pt idx="127">
                  <c:v>52107.03</c:v>
                </c:pt>
                <c:pt idx="128">
                  <c:v>52101.09</c:v>
                </c:pt>
                <c:pt idx="129">
                  <c:v>52095.15</c:v>
                </c:pt>
                <c:pt idx="130">
                  <c:v>52089.22</c:v>
                </c:pt>
                <c:pt idx="131">
                  <c:v>52130.42</c:v>
                </c:pt>
                <c:pt idx="132">
                  <c:v>52125.53</c:v>
                </c:pt>
                <c:pt idx="133">
                  <c:v>52119.6</c:v>
                </c:pt>
                <c:pt idx="134">
                  <c:v>52113.66</c:v>
                </c:pt>
                <c:pt idx="135">
                  <c:v>52107.72</c:v>
                </c:pt>
                <c:pt idx="136">
                  <c:v>52101.78</c:v>
                </c:pt>
                <c:pt idx="137">
                  <c:v>52095.839999999997</c:v>
                </c:pt>
                <c:pt idx="138">
                  <c:v>52089.91</c:v>
                </c:pt>
                <c:pt idx="139">
                  <c:v>52085.11</c:v>
                </c:pt>
                <c:pt idx="140">
                  <c:v>52137.3</c:v>
                </c:pt>
                <c:pt idx="141">
                  <c:v>52132.160000000003</c:v>
                </c:pt>
                <c:pt idx="142">
                  <c:v>52126.23</c:v>
                </c:pt>
                <c:pt idx="143">
                  <c:v>52120.29</c:v>
                </c:pt>
                <c:pt idx="144">
                  <c:v>52114.35</c:v>
                </c:pt>
                <c:pt idx="145">
                  <c:v>52108.41</c:v>
                </c:pt>
                <c:pt idx="146">
                  <c:v>52102.47</c:v>
                </c:pt>
                <c:pt idx="147">
                  <c:v>52096.54</c:v>
                </c:pt>
                <c:pt idx="148">
                  <c:v>52090.6</c:v>
                </c:pt>
                <c:pt idx="149">
                  <c:v>52085.55</c:v>
                </c:pt>
                <c:pt idx="150">
                  <c:v>52081.42</c:v>
                </c:pt>
                <c:pt idx="151">
                  <c:v>52144.73</c:v>
                </c:pt>
                <c:pt idx="152">
                  <c:v>52138.79</c:v>
                </c:pt>
                <c:pt idx="153">
                  <c:v>52132.86</c:v>
                </c:pt>
                <c:pt idx="154">
                  <c:v>52126.92</c:v>
                </c:pt>
                <c:pt idx="155">
                  <c:v>52120.98</c:v>
                </c:pt>
                <c:pt idx="156">
                  <c:v>52115.040000000001</c:v>
                </c:pt>
                <c:pt idx="157">
                  <c:v>52109.1</c:v>
                </c:pt>
                <c:pt idx="158">
                  <c:v>52103.17</c:v>
                </c:pt>
                <c:pt idx="159">
                  <c:v>52097.23</c:v>
                </c:pt>
                <c:pt idx="160">
                  <c:v>52151.360000000001</c:v>
                </c:pt>
                <c:pt idx="161">
                  <c:v>52145.42</c:v>
                </c:pt>
                <c:pt idx="162">
                  <c:v>52127.61</c:v>
                </c:pt>
                <c:pt idx="163">
                  <c:v>52115.73</c:v>
                </c:pt>
                <c:pt idx="164">
                  <c:v>52109.79</c:v>
                </c:pt>
                <c:pt idx="165">
                  <c:v>52103.86</c:v>
                </c:pt>
                <c:pt idx="166">
                  <c:v>52097.919999999998</c:v>
                </c:pt>
                <c:pt idx="167">
                  <c:v>52152.05</c:v>
                </c:pt>
                <c:pt idx="168">
                  <c:v>52141.33</c:v>
                </c:pt>
                <c:pt idx="169">
                  <c:v>52138.97</c:v>
                </c:pt>
                <c:pt idx="170">
                  <c:v>52098.61</c:v>
                </c:pt>
                <c:pt idx="171">
                  <c:v>52153.38</c:v>
                </c:pt>
                <c:pt idx="172">
                  <c:v>52147.44</c:v>
                </c:pt>
                <c:pt idx="173">
                  <c:v>52141.51</c:v>
                </c:pt>
                <c:pt idx="174">
                  <c:v>52135.57</c:v>
                </c:pt>
                <c:pt idx="175">
                  <c:v>52129.46</c:v>
                </c:pt>
                <c:pt idx="176">
                  <c:v>52123.48</c:v>
                </c:pt>
                <c:pt idx="177">
                  <c:v>52117.75</c:v>
                </c:pt>
                <c:pt idx="178">
                  <c:v>52104.19</c:v>
                </c:pt>
                <c:pt idx="179">
                  <c:v>52099.51</c:v>
                </c:pt>
                <c:pt idx="180">
                  <c:v>52135.62</c:v>
                </c:pt>
                <c:pt idx="181">
                  <c:v>52123.74</c:v>
                </c:pt>
                <c:pt idx="182">
                  <c:v>52117.81</c:v>
                </c:pt>
                <c:pt idx="183">
                  <c:v>52130.37</c:v>
                </c:pt>
                <c:pt idx="184">
                  <c:v>52124.44</c:v>
                </c:pt>
                <c:pt idx="185">
                  <c:v>52118.5</c:v>
                </c:pt>
                <c:pt idx="186">
                  <c:v>52112.56</c:v>
                </c:pt>
                <c:pt idx="187">
                  <c:v>52125.13</c:v>
                </c:pt>
                <c:pt idx="188">
                  <c:v>52119.19</c:v>
                </c:pt>
                <c:pt idx="189">
                  <c:v>52113.25</c:v>
                </c:pt>
                <c:pt idx="190">
                  <c:v>52107.31</c:v>
                </c:pt>
                <c:pt idx="191">
                  <c:v>52119.88</c:v>
                </c:pt>
                <c:pt idx="192">
                  <c:v>52113.94</c:v>
                </c:pt>
                <c:pt idx="193">
                  <c:v>52109.59</c:v>
                </c:pt>
                <c:pt idx="194">
                  <c:v>52116.480000000003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xVal>
          <c:yVal>
            <c:numRef>
              <c:f>'[1]Для построения'!$C$3:$C$850</c:f>
              <c:numCache>
                <c:formatCode>General</c:formatCode>
                <c:ptCount val="848"/>
                <c:pt idx="0">
                  <c:v>29101.82</c:v>
                </c:pt>
                <c:pt idx="1">
                  <c:v>29087.98</c:v>
                </c:pt>
                <c:pt idx="2">
                  <c:v>29087.03</c:v>
                </c:pt>
                <c:pt idx="3">
                  <c:v>29084.799999999999</c:v>
                </c:pt>
                <c:pt idx="4">
                  <c:v>29080.17</c:v>
                </c:pt>
                <c:pt idx="5">
                  <c:v>29079.040000000001</c:v>
                </c:pt>
                <c:pt idx="6">
                  <c:v>29071.7</c:v>
                </c:pt>
                <c:pt idx="7">
                  <c:v>29068.67</c:v>
                </c:pt>
                <c:pt idx="8">
                  <c:v>29067.53</c:v>
                </c:pt>
                <c:pt idx="9">
                  <c:v>29105.38</c:v>
                </c:pt>
                <c:pt idx="10">
                  <c:v>29102.74</c:v>
                </c:pt>
                <c:pt idx="11">
                  <c:v>29100.09</c:v>
                </c:pt>
                <c:pt idx="12">
                  <c:v>29097.45</c:v>
                </c:pt>
                <c:pt idx="13">
                  <c:v>29092.16</c:v>
                </c:pt>
                <c:pt idx="14">
                  <c:v>29089.52</c:v>
                </c:pt>
                <c:pt idx="15">
                  <c:v>29086.880000000001</c:v>
                </c:pt>
                <c:pt idx="16">
                  <c:v>29084.23</c:v>
                </c:pt>
                <c:pt idx="17">
                  <c:v>29081.59</c:v>
                </c:pt>
                <c:pt idx="18">
                  <c:v>29078.94</c:v>
                </c:pt>
                <c:pt idx="19">
                  <c:v>29076.3</c:v>
                </c:pt>
                <c:pt idx="20">
                  <c:v>29073.66</c:v>
                </c:pt>
                <c:pt idx="21">
                  <c:v>29109.18</c:v>
                </c:pt>
                <c:pt idx="22">
                  <c:v>29105.49</c:v>
                </c:pt>
                <c:pt idx="23">
                  <c:v>29103.89</c:v>
                </c:pt>
                <c:pt idx="24">
                  <c:v>29101.24</c:v>
                </c:pt>
                <c:pt idx="25">
                  <c:v>29098.6</c:v>
                </c:pt>
                <c:pt idx="26">
                  <c:v>29095.96</c:v>
                </c:pt>
                <c:pt idx="27">
                  <c:v>29093.31</c:v>
                </c:pt>
                <c:pt idx="28">
                  <c:v>29090.67</c:v>
                </c:pt>
                <c:pt idx="29">
                  <c:v>29088.03</c:v>
                </c:pt>
                <c:pt idx="30">
                  <c:v>29085.38</c:v>
                </c:pt>
                <c:pt idx="31">
                  <c:v>29082.74</c:v>
                </c:pt>
                <c:pt idx="32">
                  <c:v>29080.09</c:v>
                </c:pt>
                <c:pt idx="33">
                  <c:v>29110.42</c:v>
                </c:pt>
                <c:pt idx="34">
                  <c:v>29110.33</c:v>
                </c:pt>
                <c:pt idx="35">
                  <c:v>29107.68</c:v>
                </c:pt>
                <c:pt idx="36">
                  <c:v>29105.040000000001</c:v>
                </c:pt>
                <c:pt idx="37">
                  <c:v>29102.400000000001</c:v>
                </c:pt>
                <c:pt idx="38">
                  <c:v>29099.75</c:v>
                </c:pt>
                <c:pt idx="39">
                  <c:v>29097.11</c:v>
                </c:pt>
                <c:pt idx="40">
                  <c:v>29094.46</c:v>
                </c:pt>
                <c:pt idx="41">
                  <c:v>29091.82</c:v>
                </c:pt>
                <c:pt idx="42">
                  <c:v>29089.18</c:v>
                </c:pt>
                <c:pt idx="43">
                  <c:v>29086.53</c:v>
                </c:pt>
                <c:pt idx="44">
                  <c:v>29083.89</c:v>
                </c:pt>
                <c:pt idx="45">
                  <c:v>29114.12</c:v>
                </c:pt>
                <c:pt idx="46">
                  <c:v>29111.48</c:v>
                </c:pt>
                <c:pt idx="47">
                  <c:v>29108.83</c:v>
                </c:pt>
                <c:pt idx="48">
                  <c:v>29106.19</c:v>
                </c:pt>
                <c:pt idx="49">
                  <c:v>29103.55</c:v>
                </c:pt>
                <c:pt idx="50">
                  <c:v>29100.9</c:v>
                </c:pt>
                <c:pt idx="51">
                  <c:v>29098.26</c:v>
                </c:pt>
                <c:pt idx="52">
                  <c:v>29095.61</c:v>
                </c:pt>
                <c:pt idx="53">
                  <c:v>29092.97</c:v>
                </c:pt>
                <c:pt idx="54">
                  <c:v>29090.33</c:v>
                </c:pt>
                <c:pt idx="55">
                  <c:v>29115.27</c:v>
                </c:pt>
                <c:pt idx="56">
                  <c:v>29112.63</c:v>
                </c:pt>
                <c:pt idx="57">
                  <c:v>29109.98</c:v>
                </c:pt>
                <c:pt idx="58">
                  <c:v>29107.34</c:v>
                </c:pt>
                <c:pt idx="59">
                  <c:v>29104.7</c:v>
                </c:pt>
                <c:pt idx="60">
                  <c:v>29102.05</c:v>
                </c:pt>
                <c:pt idx="61">
                  <c:v>29099.41</c:v>
                </c:pt>
                <c:pt idx="62">
                  <c:v>29096.76</c:v>
                </c:pt>
                <c:pt idx="63">
                  <c:v>29094.12</c:v>
                </c:pt>
                <c:pt idx="64">
                  <c:v>29116.76</c:v>
                </c:pt>
                <c:pt idx="65">
                  <c:v>29116.42</c:v>
                </c:pt>
                <c:pt idx="66">
                  <c:v>29113.78</c:v>
                </c:pt>
                <c:pt idx="67">
                  <c:v>29111.13</c:v>
                </c:pt>
                <c:pt idx="68">
                  <c:v>29108.49</c:v>
                </c:pt>
                <c:pt idx="69">
                  <c:v>29105.85</c:v>
                </c:pt>
                <c:pt idx="70">
                  <c:v>29103.200000000001</c:v>
                </c:pt>
                <c:pt idx="71">
                  <c:v>29100.560000000001</c:v>
                </c:pt>
                <c:pt idx="72">
                  <c:v>29115.1</c:v>
                </c:pt>
                <c:pt idx="73">
                  <c:v>29114.93</c:v>
                </c:pt>
                <c:pt idx="74">
                  <c:v>29112.28</c:v>
                </c:pt>
                <c:pt idx="75">
                  <c:v>29109.64</c:v>
                </c:pt>
                <c:pt idx="76">
                  <c:v>29107</c:v>
                </c:pt>
                <c:pt idx="77">
                  <c:v>29104.35</c:v>
                </c:pt>
                <c:pt idx="78">
                  <c:v>29113.49</c:v>
                </c:pt>
                <c:pt idx="79">
                  <c:v>29112.46</c:v>
                </c:pt>
                <c:pt idx="80">
                  <c:v>29110.79</c:v>
                </c:pt>
                <c:pt idx="81">
                  <c:v>29071.01</c:v>
                </c:pt>
                <c:pt idx="82">
                  <c:v>29068.37</c:v>
                </c:pt>
                <c:pt idx="83">
                  <c:v>29065.73</c:v>
                </c:pt>
                <c:pt idx="84">
                  <c:v>29077.45</c:v>
                </c:pt>
                <c:pt idx="85">
                  <c:v>29074.81</c:v>
                </c:pt>
                <c:pt idx="86">
                  <c:v>29072.16</c:v>
                </c:pt>
                <c:pt idx="87">
                  <c:v>29069.52</c:v>
                </c:pt>
                <c:pt idx="88">
                  <c:v>29081.24</c:v>
                </c:pt>
                <c:pt idx="89">
                  <c:v>29078.6</c:v>
                </c:pt>
                <c:pt idx="90">
                  <c:v>29075.96</c:v>
                </c:pt>
                <c:pt idx="91">
                  <c:v>29073.31</c:v>
                </c:pt>
                <c:pt idx="92">
                  <c:v>29087.68</c:v>
                </c:pt>
                <c:pt idx="93">
                  <c:v>29085.040000000001</c:v>
                </c:pt>
                <c:pt idx="94">
                  <c:v>29082.400000000001</c:v>
                </c:pt>
                <c:pt idx="95">
                  <c:v>29079.75</c:v>
                </c:pt>
                <c:pt idx="96">
                  <c:v>29077.11</c:v>
                </c:pt>
                <c:pt idx="97">
                  <c:v>29091.48</c:v>
                </c:pt>
                <c:pt idx="98">
                  <c:v>29088.83</c:v>
                </c:pt>
                <c:pt idx="99">
                  <c:v>29086.19</c:v>
                </c:pt>
                <c:pt idx="100">
                  <c:v>29083.55</c:v>
                </c:pt>
                <c:pt idx="101">
                  <c:v>29080.9</c:v>
                </c:pt>
                <c:pt idx="102">
                  <c:v>29097.91</c:v>
                </c:pt>
                <c:pt idx="103">
                  <c:v>29095.27</c:v>
                </c:pt>
                <c:pt idx="104">
                  <c:v>29092.63</c:v>
                </c:pt>
                <c:pt idx="105">
                  <c:v>29089.98</c:v>
                </c:pt>
                <c:pt idx="106">
                  <c:v>29087.34</c:v>
                </c:pt>
                <c:pt idx="107">
                  <c:v>29101.71</c:v>
                </c:pt>
                <c:pt idx="108">
                  <c:v>29099.06</c:v>
                </c:pt>
                <c:pt idx="109">
                  <c:v>29096.42</c:v>
                </c:pt>
                <c:pt idx="110">
                  <c:v>29108.15</c:v>
                </c:pt>
                <c:pt idx="111">
                  <c:v>29104.69</c:v>
                </c:pt>
                <c:pt idx="112">
                  <c:v>29042.91</c:v>
                </c:pt>
                <c:pt idx="113">
                  <c:v>29035.48</c:v>
                </c:pt>
                <c:pt idx="114">
                  <c:v>29033.79</c:v>
                </c:pt>
                <c:pt idx="115">
                  <c:v>29026.07</c:v>
                </c:pt>
                <c:pt idx="116">
                  <c:v>29019.94</c:v>
                </c:pt>
                <c:pt idx="117">
                  <c:v>29018.07</c:v>
                </c:pt>
                <c:pt idx="118">
                  <c:v>29007.81</c:v>
                </c:pt>
                <c:pt idx="119">
                  <c:v>29006.26</c:v>
                </c:pt>
                <c:pt idx="120">
                  <c:v>29000.97</c:v>
                </c:pt>
                <c:pt idx="121">
                  <c:v>28999.93</c:v>
                </c:pt>
                <c:pt idx="122">
                  <c:v>28994.99</c:v>
                </c:pt>
                <c:pt idx="123">
                  <c:v>29003.69</c:v>
                </c:pt>
                <c:pt idx="124">
                  <c:v>29042.12</c:v>
                </c:pt>
                <c:pt idx="125">
                  <c:v>29012.73</c:v>
                </c:pt>
                <c:pt idx="126">
                  <c:v>29010.09</c:v>
                </c:pt>
                <c:pt idx="127">
                  <c:v>29007.439999999999</c:v>
                </c:pt>
                <c:pt idx="128">
                  <c:v>29004.799999999999</c:v>
                </c:pt>
                <c:pt idx="129">
                  <c:v>29002.15</c:v>
                </c:pt>
                <c:pt idx="130">
                  <c:v>28999.51</c:v>
                </c:pt>
                <c:pt idx="131">
                  <c:v>29024.07</c:v>
                </c:pt>
                <c:pt idx="132">
                  <c:v>29021.81</c:v>
                </c:pt>
                <c:pt idx="133">
                  <c:v>29019.17</c:v>
                </c:pt>
                <c:pt idx="134">
                  <c:v>29016.52</c:v>
                </c:pt>
                <c:pt idx="135">
                  <c:v>29013.88</c:v>
                </c:pt>
                <c:pt idx="136">
                  <c:v>29011.24</c:v>
                </c:pt>
                <c:pt idx="137">
                  <c:v>29008.59</c:v>
                </c:pt>
                <c:pt idx="138">
                  <c:v>29005.95</c:v>
                </c:pt>
                <c:pt idx="139">
                  <c:v>29003.78</c:v>
                </c:pt>
                <c:pt idx="140">
                  <c:v>29033.200000000001</c:v>
                </c:pt>
                <c:pt idx="141">
                  <c:v>29030.89</c:v>
                </c:pt>
                <c:pt idx="142">
                  <c:v>29028.25</c:v>
                </c:pt>
                <c:pt idx="143">
                  <c:v>29025.61</c:v>
                </c:pt>
                <c:pt idx="144">
                  <c:v>29022.959999999999</c:v>
                </c:pt>
                <c:pt idx="145">
                  <c:v>29020.32</c:v>
                </c:pt>
                <c:pt idx="146">
                  <c:v>29017.67</c:v>
                </c:pt>
                <c:pt idx="147">
                  <c:v>29015.03</c:v>
                </c:pt>
                <c:pt idx="148">
                  <c:v>29012.39</c:v>
                </c:pt>
                <c:pt idx="149">
                  <c:v>29010.11</c:v>
                </c:pt>
                <c:pt idx="150">
                  <c:v>29008.36</c:v>
                </c:pt>
                <c:pt idx="151">
                  <c:v>29042.62</c:v>
                </c:pt>
                <c:pt idx="152">
                  <c:v>29039.97</c:v>
                </c:pt>
                <c:pt idx="153">
                  <c:v>29037.33</c:v>
                </c:pt>
                <c:pt idx="154">
                  <c:v>29034.69</c:v>
                </c:pt>
                <c:pt idx="155">
                  <c:v>29032.04</c:v>
                </c:pt>
                <c:pt idx="156">
                  <c:v>29029.4</c:v>
                </c:pt>
                <c:pt idx="157">
                  <c:v>29026.76</c:v>
                </c:pt>
                <c:pt idx="158">
                  <c:v>29024.11</c:v>
                </c:pt>
                <c:pt idx="159">
                  <c:v>29021.47</c:v>
                </c:pt>
                <c:pt idx="160">
                  <c:v>29051.7</c:v>
                </c:pt>
                <c:pt idx="161">
                  <c:v>29049.06</c:v>
                </c:pt>
                <c:pt idx="162">
                  <c:v>29041.119999999999</c:v>
                </c:pt>
                <c:pt idx="163">
                  <c:v>29035.84</c:v>
                </c:pt>
                <c:pt idx="164">
                  <c:v>29033.19</c:v>
                </c:pt>
                <c:pt idx="165">
                  <c:v>29030.55</c:v>
                </c:pt>
                <c:pt idx="166">
                  <c:v>29027.91</c:v>
                </c:pt>
                <c:pt idx="167">
                  <c:v>29058.14</c:v>
                </c:pt>
                <c:pt idx="168">
                  <c:v>29056.13</c:v>
                </c:pt>
                <c:pt idx="169">
                  <c:v>29054.25</c:v>
                </c:pt>
                <c:pt idx="170">
                  <c:v>29034.34</c:v>
                </c:pt>
                <c:pt idx="171">
                  <c:v>29064.9</c:v>
                </c:pt>
                <c:pt idx="172">
                  <c:v>29062.25</c:v>
                </c:pt>
                <c:pt idx="173">
                  <c:v>29059.61</c:v>
                </c:pt>
                <c:pt idx="174">
                  <c:v>29056.959999999999</c:v>
                </c:pt>
                <c:pt idx="175">
                  <c:v>29054.87</c:v>
                </c:pt>
                <c:pt idx="176">
                  <c:v>29052.21</c:v>
                </c:pt>
                <c:pt idx="177">
                  <c:v>29049.03</c:v>
                </c:pt>
                <c:pt idx="178">
                  <c:v>29042.01</c:v>
                </c:pt>
                <c:pt idx="179">
                  <c:v>29040.04</c:v>
                </c:pt>
                <c:pt idx="180">
                  <c:v>29063.08</c:v>
                </c:pt>
                <c:pt idx="181">
                  <c:v>29057.79</c:v>
                </c:pt>
                <c:pt idx="182">
                  <c:v>29055.15</c:v>
                </c:pt>
                <c:pt idx="183">
                  <c:v>29066.880000000001</c:v>
                </c:pt>
                <c:pt idx="184">
                  <c:v>29064.23</c:v>
                </c:pt>
                <c:pt idx="185">
                  <c:v>29061.59</c:v>
                </c:pt>
                <c:pt idx="186">
                  <c:v>29058.94</c:v>
                </c:pt>
                <c:pt idx="187">
                  <c:v>29070.67</c:v>
                </c:pt>
                <c:pt idx="188">
                  <c:v>29068.03</c:v>
                </c:pt>
                <c:pt idx="189">
                  <c:v>29065.38</c:v>
                </c:pt>
                <c:pt idx="190">
                  <c:v>29062.74</c:v>
                </c:pt>
                <c:pt idx="191">
                  <c:v>29074.46</c:v>
                </c:pt>
                <c:pt idx="192">
                  <c:v>29071.82</c:v>
                </c:pt>
                <c:pt idx="193">
                  <c:v>29068.15</c:v>
                </c:pt>
                <c:pt idx="194">
                  <c:v>29078.240000000002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'[1]Для построения'!$A$3:$A$850</c15:f>
                <c15:dlblRangeCache>
                  <c:ptCount val="848"/>
                  <c:pt idx="0">
                    <c:v>1</c:v>
                  </c:pt>
                  <c:pt idx="1">
                    <c:v>7</c:v>
                  </c:pt>
                  <c:pt idx="2">
                    <c:v>8</c:v>
                  </c:pt>
                  <c:pt idx="3">
                    <c:v>9</c:v>
                  </c:pt>
                  <c:pt idx="4">
                    <c:v>11</c:v>
                  </c:pt>
                  <c:pt idx="5">
                    <c:v>12</c:v>
                  </c:pt>
                  <c:pt idx="6">
                    <c:v>16</c:v>
                  </c:pt>
                  <c:pt idx="7">
                    <c:v>17</c:v>
                  </c:pt>
                  <c:pt idx="8">
                    <c:v>18</c:v>
                  </c:pt>
                  <c:pt idx="9">
                    <c:v>19</c:v>
                  </c:pt>
                  <c:pt idx="10">
                    <c:v>20</c:v>
                  </c:pt>
                  <c:pt idx="11">
                    <c:v>21</c:v>
                  </c:pt>
                  <c:pt idx="12">
                    <c:v>22</c:v>
                  </c:pt>
                  <c:pt idx="13">
                    <c:v>24</c:v>
                  </c:pt>
                  <c:pt idx="14">
                    <c:v>25</c:v>
                  </c:pt>
                  <c:pt idx="15">
                    <c:v>26</c:v>
                  </c:pt>
                  <c:pt idx="16">
                    <c:v>27</c:v>
                  </c:pt>
                  <c:pt idx="17">
                    <c:v>28</c:v>
                  </c:pt>
                  <c:pt idx="18">
                    <c:v>29</c:v>
                  </c:pt>
                  <c:pt idx="19">
                    <c:v>30</c:v>
                  </c:pt>
                  <c:pt idx="20">
                    <c:v>31</c:v>
                  </c:pt>
                  <c:pt idx="21">
                    <c:v>32</c:v>
                  </c:pt>
                  <c:pt idx="22">
                    <c:v>33</c:v>
                  </c:pt>
                  <c:pt idx="23">
                    <c:v>34</c:v>
                  </c:pt>
                  <c:pt idx="24">
                    <c:v>35</c:v>
                  </c:pt>
                  <c:pt idx="25">
                    <c:v>36</c:v>
                  </c:pt>
                  <c:pt idx="26">
                    <c:v>37</c:v>
                  </c:pt>
                  <c:pt idx="27">
                    <c:v>38</c:v>
                  </c:pt>
                  <c:pt idx="28">
                    <c:v>39</c:v>
                  </c:pt>
                  <c:pt idx="29">
                    <c:v>40</c:v>
                  </c:pt>
                  <c:pt idx="30">
                    <c:v>41</c:v>
                  </c:pt>
                  <c:pt idx="31">
                    <c:v>42</c:v>
                  </c:pt>
                  <c:pt idx="32">
                    <c:v>43</c:v>
                  </c:pt>
                  <c:pt idx="33">
                    <c:v>44</c:v>
                  </c:pt>
                  <c:pt idx="34">
                    <c:v>45</c:v>
                  </c:pt>
                  <c:pt idx="35">
                    <c:v>46</c:v>
                  </c:pt>
                  <c:pt idx="36">
                    <c:v>47</c:v>
                  </c:pt>
                  <c:pt idx="37">
                    <c:v>48</c:v>
                  </c:pt>
                  <c:pt idx="38">
                    <c:v>49</c:v>
                  </c:pt>
                  <c:pt idx="39">
                    <c:v>50</c:v>
                  </c:pt>
                  <c:pt idx="40">
                    <c:v>51</c:v>
                  </c:pt>
                  <c:pt idx="41">
                    <c:v>52</c:v>
                  </c:pt>
                  <c:pt idx="42">
                    <c:v>53</c:v>
                  </c:pt>
                  <c:pt idx="43">
                    <c:v>54</c:v>
                  </c:pt>
                  <c:pt idx="44">
                    <c:v>55</c:v>
                  </c:pt>
                  <c:pt idx="45">
                    <c:v>56</c:v>
                  </c:pt>
                  <c:pt idx="46">
                    <c:v>57</c:v>
                  </c:pt>
                  <c:pt idx="47">
                    <c:v>58</c:v>
                  </c:pt>
                  <c:pt idx="48">
                    <c:v>59</c:v>
                  </c:pt>
                  <c:pt idx="49">
                    <c:v>60</c:v>
                  </c:pt>
                  <c:pt idx="50">
                    <c:v>61</c:v>
                  </c:pt>
                  <c:pt idx="51">
                    <c:v>62</c:v>
                  </c:pt>
                  <c:pt idx="52">
                    <c:v>63</c:v>
                  </c:pt>
                  <c:pt idx="53">
                    <c:v>64</c:v>
                  </c:pt>
                  <c:pt idx="54">
                    <c:v>65</c:v>
                  </c:pt>
                  <c:pt idx="55">
                    <c:v>66</c:v>
                  </c:pt>
                  <c:pt idx="56">
                    <c:v>67</c:v>
                  </c:pt>
                  <c:pt idx="57">
                    <c:v>68</c:v>
                  </c:pt>
                  <c:pt idx="58">
                    <c:v>69</c:v>
                  </c:pt>
                  <c:pt idx="59">
                    <c:v>70</c:v>
                  </c:pt>
                  <c:pt idx="60">
                    <c:v>71</c:v>
                  </c:pt>
                  <c:pt idx="61">
                    <c:v>72</c:v>
                  </c:pt>
                  <c:pt idx="62">
                    <c:v>73</c:v>
                  </c:pt>
                  <c:pt idx="63">
                    <c:v>74</c:v>
                  </c:pt>
                  <c:pt idx="64">
                    <c:v>75</c:v>
                  </c:pt>
                  <c:pt idx="65">
                    <c:v>76</c:v>
                  </c:pt>
                  <c:pt idx="66">
                    <c:v>77</c:v>
                  </c:pt>
                  <c:pt idx="67">
                    <c:v>78</c:v>
                  </c:pt>
                  <c:pt idx="68">
                    <c:v>79</c:v>
                  </c:pt>
                  <c:pt idx="69">
                    <c:v>80</c:v>
                  </c:pt>
                  <c:pt idx="70">
                    <c:v>81</c:v>
                  </c:pt>
                  <c:pt idx="71">
                    <c:v>82</c:v>
                  </c:pt>
                  <c:pt idx="72">
                    <c:v>83</c:v>
                  </c:pt>
                  <c:pt idx="73">
                    <c:v>84</c:v>
                  </c:pt>
                  <c:pt idx="74">
                    <c:v>85</c:v>
                  </c:pt>
                  <c:pt idx="75">
                    <c:v>86</c:v>
                  </c:pt>
                  <c:pt idx="76">
                    <c:v>87</c:v>
                  </c:pt>
                  <c:pt idx="77">
                    <c:v>88</c:v>
                  </c:pt>
                  <c:pt idx="78">
                    <c:v>89</c:v>
                  </c:pt>
                  <c:pt idx="79">
                    <c:v>90</c:v>
                  </c:pt>
                  <c:pt idx="80">
                    <c:v>91</c:v>
                  </c:pt>
                  <c:pt idx="81">
                    <c:v>92</c:v>
                  </c:pt>
                  <c:pt idx="82">
                    <c:v>93</c:v>
                  </c:pt>
                  <c:pt idx="83">
                    <c:v>94</c:v>
                  </c:pt>
                  <c:pt idx="84">
                    <c:v>95</c:v>
                  </c:pt>
                  <c:pt idx="85">
                    <c:v>96</c:v>
                  </c:pt>
                  <c:pt idx="86">
                    <c:v>97</c:v>
                  </c:pt>
                  <c:pt idx="87">
                    <c:v>98</c:v>
                  </c:pt>
                  <c:pt idx="88">
                    <c:v>99</c:v>
                  </c:pt>
                  <c:pt idx="89">
                    <c:v>100</c:v>
                  </c:pt>
                  <c:pt idx="90">
                    <c:v>101</c:v>
                  </c:pt>
                  <c:pt idx="91">
                    <c:v>102</c:v>
                  </c:pt>
                  <c:pt idx="92">
                    <c:v>103</c:v>
                  </c:pt>
                  <c:pt idx="93">
                    <c:v>104</c:v>
                  </c:pt>
                  <c:pt idx="94">
                    <c:v>105</c:v>
                  </c:pt>
                  <c:pt idx="95">
                    <c:v>106</c:v>
                  </c:pt>
                  <c:pt idx="96">
                    <c:v>107</c:v>
                  </c:pt>
                  <c:pt idx="97">
                    <c:v>108</c:v>
                  </c:pt>
                  <c:pt idx="98">
                    <c:v>109</c:v>
                  </c:pt>
                  <c:pt idx="99">
                    <c:v>110</c:v>
                  </c:pt>
                  <c:pt idx="100">
                    <c:v>111</c:v>
                  </c:pt>
                  <c:pt idx="101">
                    <c:v>112</c:v>
                  </c:pt>
                  <c:pt idx="102">
                    <c:v>113</c:v>
                  </c:pt>
                  <c:pt idx="103">
                    <c:v>114</c:v>
                  </c:pt>
                  <c:pt idx="104">
                    <c:v>115</c:v>
                  </c:pt>
                  <c:pt idx="105">
                    <c:v>116</c:v>
                  </c:pt>
                  <c:pt idx="106">
                    <c:v>117</c:v>
                  </c:pt>
                  <c:pt idx="107">
                    <c:v>118</c:v>
                  </c:pt>
                  <c:pt idx="108">
                    <c:v>119</c:v>
                  </c:pt>
                  <c:pt idx="109">
                    <c:v>120</c:v>
                  </c:pt>
                  <c:pt idx="110">
                    <c:v>121</c:v>
                  </c:pt>
                  <c:pt idx="111">
                    <c:v>122</c:v>
                  </c:pt>
                  <c:pt idx="112">
                    <c:v>128</c:v>
                  </c:pt>
                  <c:pt idx="113">
                    <c:v>131</c:v>
                  </c:pt>
                  <c:pt idx="114">
                    <c:v>132</c:v>
                  </c:pt>
                  <c:pt idx="115">
                    <c:v>134</c:v>
                  </c:pt>
                  <c:pt idx="116">
                    <c:v>135</c:v>
                  </c:pt>
                  <c:pt idx="117">
                    <c:v>136</c:v>
                  </c:pt>
                  <c:pt idx="118">
                    <c:v>139</c:v>
                  </c:pt>
                  <c:pt idx="119">
                    <c:v>140</c:v>
                  </c:pt>
                  <c:pt idx="120">
                    <c:v>142</c:v>
                  </c:pt>
                  <c:pt idx="121">
                    <c:v>143</c:v>
                  </c:pt>
                  <c:pt idx="122">
                    <c:v>146</c:v>
                  </c:pt>
                  <c:pt idx="123">
                    <c:v>147</c:v>
                  </c:pt>
                  <c:pt idx="124">
                    <c:v>149</c:v>
                  </c:pt>
                  <c:pt idx="125">
                    <c:v>149</c:v>
                  </c:pt>
                  <c:pt idx="126">
                    <c:v>150</c:v>
                  </c:pt>
                  <c:pt idx="127">
                    <c:v>151</c:v>
                  </c:pt>
                  <c:pt idx="128">
                    <c:v>152</c:v>
                  </c:pt>
                  <c:pt idx="129">
                    <c:v>153</c:v>
                  </c:pt>
                  <c:pt idx="130">
                    <c:v>154</c:v>
                  </c:pt>
                  <c:pt idx="131">
                    <c:v>155</c:v>
                  </c:pt>
                  <c:pt idx="132">
                    <c:v>156</c:v>
                  </c:pt>
                  <c:pt idx="133">
                    <c:v>157</c:v>
                  </c:pt>
                  <c:pt idx="134">
                    <c:v>158</c:v>
                  </c:pt>
                  <c:pt idx="135">
                    <c:v>159</c:v>
                  </c:pt>
                  <c:pt idx="136">
                    <c:v>160</c:v>
                  </c:pt>
                  <c:pt idx="137">
                    <c:v>161</c:v>
                  </c:pt>
                  <c:pt idx="138">
                    <c:v>162</c:v>
                  </c:pt>
                  <c:pt idx="139">
                    <c:v>163</c:v>
                  </c:pt>
                  <c:pt idx="140">
                    <c:v>165</c:v>
                  </c:pt>
                  <c:pt idx="141">
                    <c:v>166</c:v>
                  </c:pt>
                  <c:pt idx="142">
                    <c:v>167</c:v>
                  </c:pt>
                  <c:pt idx="143">
                    <c:v>168</c:v>
                  </c:pt>
                  <c:pt idx="144">
                    <c:v>169</c:v>
                  </c:pt>
                  <c:pt idx="145">
                    <c:v>170</c:v>
                  </c:pt>
                  <c:pt idx="146">
                    <c:v>171</c:v>
                  </c:pt>
                  <c:pt idx="147">
                    <c:v>172</c:v>
                  </c:pt>
                  <c:pt idx="148">
                    <c:v>173</c:v>
                  </c:pt>
                  <c:pt idx="149">
                    <c:v>174</c:v>
                  </c:pt>
                  <c:pt idx="150">
                    <c:v>175</c:v>
                  </c:pt>
                  <c:pt idx="151">
                    <c:v>177</c:v>
                  </c:pt>
                  <c:pt idx="152">
                    <c:v>178</c:v>
                  </c:pt>
                  <c:pt idx="153">
                    <c:v>179</c:v>
                  </c:pt>
                  <c:pt idx="154">
                    <c:v>180</c:v>
                  </c:pt>
                  <c:pt idx="155">
                    <c:v>181</c:v>
                  </c:pt>
                  <c:pt idx="156">
                    <c:v>182</c:v>
                  </c:pt>
                  <c:pt idx="157">
                    <c:v>183</c:v>
                  </c:pt>
                  <c:pt idx="158">
                    <c:v>184</c:v>
                  </c:pt>
                  <c:pt idx="159">
                    <c:v>185</c:v>
                  </c:pt>
                  <c:pt idx="160">
                    <c:v>189</c:v>
                  </c:pt>
                  <c:pt idx="161">
                    <c:v>190</c:v>
                  </c:pt>
                  <c:pt idx="162">
                    <c:v>193</c:v>
                  </c:pt>
                  <c:pt idx="163">
                    <c:v>195</c:v>
                  </c:pt>
                  <c:pt idx="164">
                    <c:v>196</c:v>
                  </c:pt>
                  <c:pt idx="165">
                    <c:v>197</c:v>
                  </c:pt>
                  <c:pt idx="166">
                    <c:v>198</c:v>
                  </c:pt>
                  <c:pt idx="167">
                    <c:v>203</c:v>
                  </c:pt>
                  <c:pt idx="168">
                    <c:v>205</c:v>
                  </c:pt>
                  <c:pt idx="169">
                    <c:v>206</c:v>
                  </c:pt>
                  <c:pt idx="170">
                    <c:v>215</c:v>
                  </c:pt>
                  <c:pt idx="171">
                    <c:v>221</c:v>
                  </c:pt>
                  <c:pt idx="172">
                    <c:v>222</c:v>
                  </c:pt>
                  <c:pt idx="173">
                    <c:v>223</c:v>
                  </c:pt>
                  <c:pt idx="174">
                    <c:v>224</c:v>
                  </c:pt>
                  <c:pt idx="175">
                    <c:v>225</c:v>
                  </c:pt>
                  <c:pt idx="176">
                    <c:v>226</c:v>
                  </c:pt>
                  <c:pt idx="177">
                    <c:v>227</c:v>
                  </c:pt>
                  <c:pt idx="178">
                    <c:v>229</c:v>
                  </c:pt>
                  <c:pt idx="179">
                    <c:v>230</c:v>
                  </c:pt>
                  <c:pt idx="180">
                    <c:v>233</c:v>
                  </c:pt>
                  <c:pt idx="181">
                    <c:v>235</c:v>
                  </c:pt>
                  <c:pt idx="182">
                    <c:v>236</c:v>
                  </c:pt>
                  <c:pt idx="183">
                    <c:v>243</c:v>
                  </c:pt>
                  <c:pt idx="184">
                    <c:v>244</c:v>
                  </c:pt>
                  <c:pt idx="185">
                    <c:v>245</c:v>
                  </c:pt>
                  <c:pt idx="186">
                    <c:v>246</c:v>
                  </c:pt>
                  <c:pt idx="187">
                    <c:v>250</c:v>
                  </c:pt>
                  <c:pt idx="188">
                    <c:v>251</c:v>
                  </c:pt>
                  <c:pt idx="189">
                    <c:v>252</c:v>
                  </c:pt>
                  <c:pt idx="190">
                    <c:v>253</c:v>
                  </c:pt>
                  <c:pt idx="191">
                    <c:v>255</c:v>
                  </c:pt>
                  <c:pt idx="192">
                    <c:v>256</c:v>
                  </c:pt>
                  <c:pt idx="193">
                    <c:v>257</c:v>
                  </c:pt>
                  <c:pt idx="194">
                    <c:v>258</c:v>
                  </c:pt>
                  <c:pt idx="195">
                    <c:v>#Н/Д</c:v>
                  </c:pt>
                  <c:pt idx="196">
                    <c:v>#Н/Д</c:v>
                  </c:pt>
                  <c:pt idx="197">
                    <c:v>#Н/Д</c:v>
                  </c:pt>
                  <c:pt idx="198">
                    <c:v>#Н/Д</c:v>
                  </c:pt>
                  <c:pt idx="199">
                    <c:v>#Н/Д</c:v>
                  </c:pt>
                  <c:pt idx="200">
                    <c:v>#Н/Д</c:v>
                  </c:pt>
                  <c:pt idx="201">
                    <c:v>#Н/Д</c:v>
                  </c:pt>
                  <c:pt idx="202">
                    <c:v>#Н/Д</c:v>
                  </c:pt>
                  <c:pt idx="203">
                    <c:v>#Н/Д</c:v>
                  </c:pt>
                  <c:pt idx="204">
                    <c:v>#Н/Д</c:v>
                  </c:pt>
                  <c:pt idx="205">
                    <c:v>#Н/Д</c:v>
                  </c:pt>
                  <c:pt idx="206">
                    <c:v>#Н/Д</c:v>
                  </c:pt>
                  <c:pt idx="207">
                    <c:v>#Н/Д</c:v>
                  </c:pt>
                  <c:pt idx="208">
                    <c:v>#Н/Д</c:v>
                  </c:pt>
                  <c:pt idx="209">
                    <c:v>#Н/Д</c:v>
                  </c:pt>
                  <c:pt idx="210">
                    <c:v>#Н/Д</c:v>
                  </c:pt>
                  <c:pt idx="211">
                    <c:v>#Н/Д</c:v>
                  </c:pt>
                  <c:pt idx="212">
                    <c:v>#Н/Д</c:v>
                  </c:pt>
                  <c:pt idx="213">
                    <c:v>#Н/Д</c:v>
                  </c:pt>
                  <c:pt idx="214">
                    <c:v>#Н/Д</c:v>
                  </c:pt>
                  <c:pt idx="215">
                    <c:v>#Н/Д</c:v>
                  </c:pt>
                  <c:pt idx="216">
                    <c:v>#Н/Д</c:v>
                  </c:pt>
                  <c:pt idx="217">
                    <c:v>#Н/Д</c:v>
                  </c:pt>
                  <c:pt idx="218">
                    <c:v>#Н/Д</c:v>
                  </c:pt>
                  <c:pt idx="219">
                    <c:v>#Н/Д</c:v>
                  </c:pt>
                  <c:pt idx="220">
                    <c:v>#Н/Д</c:v>
                  </c:pt>
                  <c:pt idx="221">
                    <c:v>#Н/Д</c:v>
                  </c:pt>
                  <c:pt idx="222">
                    <c:v>#Н/Д</c:v>
                  </c:pt>
                  <c:pt idx="223">
                    <c:v>#Н/Д</c:v>
                  </c:pt>
                  <c:pt idx="224">
                    <c:v>#Н/Д</c:v>
                  </c:pt>
                  <c:pt idx="225">
                    <c:v>#Н/Д</c:v>
                  </c:pt>
                  <c:pt idx="226">
                    <c:v>#Н/Д</c:v>
                  </c:pt>
                  <c:pt idx="227">
                    <c:v>#Н/Д</c:v>
                  </c:pt>
                  <c:pt idx="228">
                    <c:v>#Н/Д</c:v>
                  </c:pt>
                  <c:pt idx="229">
                    <c:v>#Н/Д</c:v>
                  </c:pt>
                  <c:pt idx="230">
                    <c:v>#Н/Д</c:v>
                  </c:pt>
                  <c:pt idx="231">
                    <c:v>#Н/Д</c:v>
                  </c:pt>
                  <c:pt idx="232">
                    <c:v>#Н/Д</c:v>
                  </c:pt>
                  <c:pt idx="233">
                    <c:v>#Н/Д</c:v>
                  </c:pt>
                  <c:pt idx="234">
                    <c:v>#Н/Д</c:v>
                  </c:pt>
                  <c:pt idx="235">
                    <c:v>#Н/Д</c:v>
                  </c:pt>
                  <c:pt idx="236">
                    <c:v>#Н/Д</c:v>
                  </c:pt>
                  <c:pt idx="237">
                    <c:v>#Н/Д</c:v>
                  </c:pt>
                  <c:pt idx="238">
                    <c:v>#Н/Д</c:v>
                  </c:pt>
                  <c:pt idx="239">
                    <c:v>#Н/Д</c:v>
                  </c:pt>
                  <c:pt idx="240">
                    <c:v>#Н/Д</c:v>
                  </c:pt>
                  <c:pt idx="241">
                    <c:v>#Н/Д</c:v>
                  </c:pt>
                  <c:pt idx="242">
                    <c:v>#Н/Д</c:v>
                  </c:pt>
                  <c:pt idx="243">
                    <c:v>#Н/Д</c:v>
                  </c:pt>
                  <c:pt idx="244">
                    <c:v>#Н/Д</c:v>
                  </c:pt>
                  <c:pt idx="245">
                    <c:v>#Н/Д</c:v>
                  </c:pt>
                  <c:pt idx="246">
                    <c:v>#Н/Д</c:v>
                  </c:pt>
                  <c:pt idx="247">
                    <c:v>#Н/Д</c:v>
                  </c:pt>
                  <c:pt idx="248">
                    <c:v>#Н/Д</c:v>
                  </c:pt>
                  <c:pt idx="249">
                    <c:v>#Н/Д</c:v>
                  </c:pt>
                  <c:pt idx="250">
                    <c:v>#Н/Д</c:v>
                  </c:pt>
                  <c:pt idx="251">
                    <c:v>#Н/Д</c:v>
                  </c:pt>
                  <c:pt idx="252">
                    <c:v>#Н/Д</c:v>
                  </c:pt>
                  <c:pt idx="253">
                    <c:v>#Н/Д</c:v>
                  </c:pt>
                  <c:pt idx="254">
                    <c:v>#Н/Д</c:v>
                  </c:pt>
                  <c:pt idx="255">
                    <c:v>#Н/Д</c:v>
                  </c:pt>
                  <c:pt idx="256">
                    <c:v>#Н/Д</c:v>
                  </c:pt>
                  <c:pt idx="257">
                    <c:v>#Н/Д</c:v>
                  </c:pt>
                  <c:pt idx="258">
                    <c:v>#Н/Д</c:v>
                  </c:pt>
                  <c:pt idx="259">
                    <c:v>#Н/Д</c:v>
                  </c:pt>
                  <c:pt idx="260">
                    <c:v>#Н/Д</c:v>
                  </c:pt>
                  <c:pt idx="261">
                    <c:v>#Н/Д</c:v>
                  </c:pt>
                  <c:pt idx="262">
                    <c:v>#Н/Д</c:v>
                  </c:pt>
                  <c:pt idx="263">
                    <c:v>#Н/Д</c:v>
                  </c:pt>
                  <c:pt idx="264">
                    <c:v>#Н/Д</c:v>
                  </c:pt>
                  <c:pt idx="265">
                    <c:v>#Н/Д</c:v>
                  </c:pt>
                  <c:pt idx="266">
                    <c:v>#Н/Д</c:v>
                  </c:pt>
                  <c:pt idx="267">
                    <c:v>#Н/Д</c:v>
                  </c:pt>
                  <c:pt idx="268">
                    <c:v>#Н/Д</c:v>
                  </c:pt>
                  <c:pt idx="269">
                    <c:v>#Н/Д</c:v>
                  </c:pt>
                  <c:pt idx="270">
                    <c:v>#Н/Д</c:v>
                  </c:pt>
                  <c:pt idx="271">
                    <c:v>#Н/Д</c:v>
                  </c:pt>
                  <c:pt idx="272">
                    <c:v>#Н/Д</c:v>
                  </c:pt>
                  <c:pt idx="273">
                    <c:v>#Н/Д</c:v>
                  </c:pt>
                  <c:pt idx="274">
                    <c:v>#Н/Д</c:v>
                  </c:pt>
                  <c:pt idx="275">
                    <c:v>#Н/Д</c:v>
                  </c:pt>
                  <c:pt idx="276">
                    <c:v>#Н/Д</c:v>
                  </c:pt>
                  <c:pt idx="277">
                    <c:v>#Н/Д</c:v>
                  </c:pt>
                  <c:pt idx="278">
                    <c:v>#Н/Д</c:v>
                  </c:pt>
                  <c:pt idx="279">
                    <c:v>#Н/Д</c:v>
                  </c:pt>
                  <c:pt idx="280">
                    <c:v>#Н/Д</c:v>
                  </c:pt>
                  <c:pt idx="281">
                    <c:v>#Н/Д</c:v>
                  </c:pt>
                  <c:pt idx="282">
                    <c:v>#Н/Д</c:v>
                  </c:pt>
                  <c:pt idx="283">
                    <c:v>#Н/Д</c:v>
                  </c:pt>
                  <c:pt idx="284">
                    <c:v>#Н/Д</c:v>
                  </c:pt>
                  <c:pt idx="285">
                    <c:v>#Н/Д</c:v>
                  </c:pt>
                  <c:pt idx="286">
                    <c:v>#Н/Д</c:v>
                  </c:pt>
                  <c:pt idx="287">
                    <c:v>#Н/Д</c:v>
                  </c:pt>
                  <c:pt idx="288">
                    <c:v>#Н/Д</c:v>
                  </c:pt>
                  <c:pt idx="289">
                    <c:v>#Н/Д</c:v>
                  </c:pt>
                  <c:pt idx="290">
                    <c:v>#Н/Д</c:v>
                  </c:pt>
                  <c:pt idx="291">
                    <c:v>#Н/Д</c:v>
                  </c:pt>
                  <c:pt idx="292">
                    <c:v>#Н/Д</c:v>
                  </c:pt>
                  <c:pt idx="293">
                    <c:v>#Н/Д</c:v>
                  </c:pt>
                  <c:pt idx="294">
                    <c:v>#Н/Д</c:v>
                  </c:pt>
                  <c:pt idx="295">
                    <c:v>#Н/Д</c:v>
                  </c:pt>
                  <c:pt idx="296">
                    <c:v>#Н/Д</c:v>
                  </c:pt>
                  <c:pt idx="297">
                    <c:v>#Н/Д</c:v>
                  </c:pt>
                  <c:pt idx="298">
                    <c:v>#Н/Д</c:v>
                  </c:pt>
                  <c:pt idx="299">
                    <c:v>#Н/Д</c:v>
                  </c:pt>
                  <c:pt idx="300">
                    <c:v>#Н/Д</c:v>
                  </c:pt>
                  <c:pt idx="301">
                    <c:v>#Н/Д</c:v>
                  </c:pt>
                  <c:pt idx="302">
                    <c:v>#Н/Д</c:v>
                  </c:pt>
                  <c:pt idx="303">
                    <c:v>#Н/Д</c:v>
                  </c:pt>
                  <c:pt idx="304">
                    <c:v>#Н/Д</c:v>
                  </c:pt>
                  <c:pt idx="305">
                    <c:v>#Н/Д</c:v>
                  </c:pt>
                  <c:pt idx="306">
                    <c:v>#Н/Д</c:v>
                  </c:pt>
                  <c:pt idx="307">
                    <c:v>#Н/Д</c:v>
                  </c:pt>
                  <c:pt idx="308">
                    <c:v>#Н/Д</c:v>
                  </c:pt>
                  <c:pt idx="309">
                    <c:v>#Н/Д</c:v>
                  </c:pt>
                  <c:pt idx="310">
                    <c:v>#Н/Д</c:v>
                  </c:pt>
                  <c:pt idx="311">
                    <c:v>#Н/Д</c:v>
                  </c:pt>
                  <c:pt idx="312">
                    <c:v>#Н/Д</c:v>
                  </c:pt>
                  <c:pt idx="313">
                    <c:v>#Н/Д</c:v>
                  </c:pt>
                  <c:pt idx="314">
                    <c:v>#Н/Д</c:v>
                  </c:pt>
                  <c:pt idx="315">
                    <c:v>#Н/Д</c:v>
                  </c:pt>
                  <c:pt idx="316">
                    <c:v>#Н/Д</c:v>
                  </c:pt>
                  <c:pt idx="317">
                    <c:v>#Н/Д</c:v>
                  </c:pt>
                  <c:pt idx="318">
                    <c:v>#Н/Д</c:v>
                  </c:pt>
                  <c:pt idx="319">
                    <c:v>#Н/Д</c:v>
                  </c:pt>
                  <c:pt idx="320">
                    <c:v>#Н/Д</c:v>
                  </c:pt>
                  <c:pt idx="321">
                    <c:v>#Н/Д</c:v>
                  </c:pt>
                  <c:pt idx="322">
                    <c:v>#Н/Д</c:v>
                  </c:pt>
                  <c:pt idx="323">
                    <c:v>#Н/Д</c:v>
                  </c:pt>
                  <c:pt idx="324">
                    <c:v>#Н/Д</c:v>
                  </c:pt>
                  <c:pt idx="325">
                    <c:v>#Н/Д</c:v>
                  </c:pt>
                  <c:pt idx="326">
                    <c:v>#Н/Д</c:v>
                  </c:pt>
                  <c:pt idx="327">
                    <c:v>#Н/Д</c:v>
                  </c:pt>
                  <c:pt idx="328">
                    <c:v>#Н/Д</c:v>
                  </c:pt>
                  <c:pt idx="329">
                    <c:v>#Н/Д</c:v>
                  </c:pt>
                  <c:pt idx="330">
                    <c:v>#Н/Д</c:v>
                  </c:pt>
                  <c:pt idx="331">
                    <c:v>#Н/Д</c:v>
                  </c:pt>
                  <c:pt idx="332">
                    <c:v>#Н/Д</c:v>
                  </c:pt>
                  <c:pt idx="333">
                    <c:v>#Н/Д</c:v>
                  </c:pt>
                  <c:pt idx="334">
                    <c:v>#Н/Д</c:v>
                  </c:pt>
                  <c:pt idx="335">
                    <c:v>#Н/Д</c:v>
                  </c:pt>
                  <c:pt idx="336">
                    <c:v>#Н/Д</c:v>
                  </c:pt>
                  <c:pt idx="337">
                    <c:v>#Н/Д</c:v>
                  </c:pt>
                  <c:pt idx="338">
                    <c:v>#Н/Д</c:v>
                  </c:pt>
                  <c:pt idx="339">
                    <c:v>#Н/Д</c:v>
                  </c:pt>
                  <c:pt idx="340">
                    <c:v>#Н/Д</c:v>
                  </c:pt>
                  <c:pt idx="341">
                    <c:v>#Н/Д</c:v>
                  </c:pt>
                  <c:pt idx="342">
                    <c:v>#Н/Д</c:v>
                  </c:pt>
                  <c:pt idx="343">
                    <c:v>#Н/Д</c:v>
                  </c:pt>
                  <c:pt idx="344">
                    <c:v>#Н/Д</c:v>
                  </c:pt>
                  <c:pt idx="345">
                    <c:v>#Н/Д</c:v>
                  </c:pt>
                  <c:pt idx="346">
                    <c:v>#Н/Д</c:v>
                  </c:pt>
                  <c:pt idx="347">
                    <c:v>#Н/Д</c:v>
                  </c:pt>
                  <c:pt idx="348">
                    <c:v>#Н/Д</c:v>
                  </c:pt>
                  <c:pt idx="349">
                    <c:v>#Н/Д</c:v>
                  </c:pt>
                  <c:pt idx="350">
                    <c:v>#Н/Д</c:v>
                  </c:pt>
                  <c:pt idx="351">
                    <c:v>#Н/Д</c:v>
                  </c:pt>
                  <c:pt idx="352">
                    <c:v>#Н/Д</c:v>
                  </c:pt>
                  <c:pt idx="353">
                    <c:v>#Н/Д</c:v>
                  </c:pt>
                  <c:pt idx="354">
                    <c:v>#Н/Д</c:v>
                  </c:pt>
                  <c:pt idx="355">
                    <c:v>#Н/Д</c:v>
                  </c:pt>
                  <c:pt idx="356">
                    <c:v>#Н/Д</c:v>
                  </c:pt>
                  <c:pt idx="357">
                    <c:v>#Н/Д</c:v>
                  </c:pt>
                  <c:pt idx="358">
                    <c:v>#Н/Д</c:v>
                  </c:pt>
                  <c:pt idx="359">
                    <c:v>#Н/Д</c:v>
                  </c:pt>
                  <c:pt idx="360">
                    <c:v>#Н/Д</c:v>
                  </c:pt>
                  <c:pt idx="361">
                    <c:v>#Н/Д</c:v>
                  </c:pt>
                  <c:pt idx="362">
                    <c:v>#Н/Д</c:v>
                  </c:pt>
                  <c:pt idx="363">
                    <c:v>#Н/Д</c:v>
                  </c:pt>
                  <c:pt idx="364">
                    <c:v>#Н/Д</c:v>
                  </c:pt>
                  <c:pt idx="365">
                    <c:v>#Н/Д</c:v>
                  </c:pt>
                  <c:pt idx="366">
                    <c:v>#Н/Д</c:v>
                  </c:pt>
                  <c:pt idx="367">
                    <c:v>#Н/Д</c:v>
                  </c:pt>
                  <c:pt idx="368">
                    <c:v>#Н/Д</c:v>
                  </c:pt>
                  <c:pt idx="369">
                    <c:v>#Н/Д</c:v>
                  </c:pt>
                  <c:pt idx="370">
                    <c:v>#Н/Д</c:v>
                  </c:pt>
                  <c:pt idx="371">
                    <c:v>#Н/Д</c:v>
                  </c:pt>
                  <c:pt idx="372">
                    <c:v>#Н/Д</c:v>
                  </c:pt>
                  <c:pt idx="373">
                    <c:v>#Н/Д</c:v>
                  </c:pt>
                  <c:pt idx="374">
                    <c:v>#Н/Д</c:v>
                  </c:pt>
                  <c:pt idx="375">
                    <c:v>#Н/Д</c:v>
                  </c:pt>
                  <c:pt idx="376">
                    <c:v>#Н/Д</c:v>
                  </c:pt>
                  <c:pt idx="377">
                    <c:v>#Н/Д</c:v>
                  </c:pt>
                  <c:pt idx="378">
                    <c:v>#Н/Д</c:v>
                  </c:pt>
                  <c:pt idx="379">
                    <c:v>#Н/Д</c:v>
                  </c:pt>
                  <c:pt idx="380">
                    <c:v>#Н/Д</c:v>
                  </c:pt>
                  <c:pt idx="381">
                    <c:v>#Н/Д</c:v>
                  </c:pt>
                  <c:pt idx="382">
                    <c:v>#Н/Д</c:v>
                  </c:pt>
                  <c:pt idx="383">
                    <c:v>#Н/Д</c:v>
                  </c:pt>
                  <c:pt idx="384">
                    <c:v>#Н/Д</c:v>
                  </c:pt>
                  <c:pt idx="385">
                    <c:v>#Н/Д</c:v>
                  </c:pt>
                  <c:pt idx="386">
                    <c:v>#Н/Д</c:v>
                  </c:pt>
                  <c:pt idx="387">
                    <c:v>#Н/Д</c:v>
                  </c:pt>
                  <c:pt idx="388">
                    <c:v>#Н/Д</c:v>
                  </c:pt>
                  <c:pt idx="389">
                    <c:v>#Н/Д</c:v>
                  </c:pt>
                  <c:pt idx="390">
                    <c:v>#Н/Д</c:v>
                  </c:pt>
                  <c:pt idx="391">
                    <c:v>#Н/Д</c:v>
                  </c:pt>
                  <c:pt idx="392">
                    <c:v>#Н/Д</c:v>
                  </c:pt>
                  <c:pt idx="393">
                    <c:v>#Н/Д</c:v>
                  </c:pt>
                  <c:pt idx="394">
                    <c:v>#Н/Д</c:v>
                  </c:pt>
                  <c:pt idx="395">
                    <c:v>#Н/Д</c:v>
                  </c:pt>
                  <c:pt idx="396">
                    <c:v>#Н/Д</c:v>
                  </c:pt>
                  <c:pt idx="397">
                    <c:v>#Н/Д</c:v>
                  </c:pt>
                  <c:pt idx="398">
                    <c:v>#Н/Д</c:v>
                  </c:pt>
                  <c:pt idx="399">
                    <c:v>#Н/Д</c:v>
                  </c:pt>
                  <c:pt idx="400">
                    <c:v>#Н/Д</c:v>
                  </c:pt>
                  <c:pt idx="401">
                    <c:v>#Н/Д</c:v>
                  </c:pt>
                  <c:pt idx="402">
                    <c:v>#Н/Д</c:v>
                  </c:pt>
                  <c:pt idx="403">
                    <c:v>#Н/Д</c:v>
                  </c:pt>
                  <c:pt idx="404">
                    <c:v>#Н/Д</c:v>
                  </c:pt>
                  <c:pt idx="405">
                    <c:v>#Н/Д</c:v>
                  </c:pt>
                  <c:pt idx="406">
                    <c:v>#Н/Д</c:v>
                  </c:pt>
                  <c:pt idx="407">
                    <c:v>#Н/Д</c:v>
                  </c:pt>
                  <c:pt idx="408">
                    <c:v>#Н/Д</c:v>
                  </c:pt>
                  <c:pt idx="409">
                    <c:v>#Н/Д</c:v>
                  </c:pt>
                  <c:pt idx="410">
                    <c:v>#Н/Д</c:v>
                  </c:pt>
                  <c:pt idx="411">
                    <c:v>#Н/Д</c:v>
                  </c:pt>
                  <c:pt idx="412">
                    <c:v>#Н/Д</c:v>
                  </c:pt>
                  <c:pt idx="413">
                    <c:v>#Н/Д</c:v>
                  </c:pt>
                  <c:pt idx="414">
                    <c:v>#Н/Д</c:v>
                  </c:pt>
                  <c:pt idx="415">
                    <c:v>#Н/Д</c:v>
                  </c:pt>
                  <c:pt idx="416">
                    <c:v>#Н/Д</c:v>
                  </c:pt>
                  <c:pt idx="417">
                    <c:v>#Н/Д</c:v>
                  </c:pt>
                  <c:pt idx="418">
                    <c:v>#Н/Д</c:v>
                  </c:pt>
                  <c:pt idx="419">
                    <c:v>#Н/Д</c:v>
                  </c:pt>
                  <c:pt idx="420">
                    <c:v>#Н/Д</c:v>
                  </c:pt>
                  <c:pt idx="421">
                    <c:v>#Н/Д</c:v>
                  </c:pt>
                  <c:pt idx="422">
                    <c:v>#Н/Д</c:v>
                  </c:pt>
                  <c:pt idx="423">
                    <c:v>#Н/Д</c:v>
                  </c:pt>
                  <c:pt idx="424">
                    <c:v>#Н/Д</c:v>
                  </c:pt>
                  <c:pt idx="425">
                    <c:v>#Н/Д</c:v>
                  </c:pt>
                  <c:pt idx="426">
                    <c:v>#Н/Д</c:v>
                  </c:pt>
                  <c:pt idx="427">
                    <c:v>#Н/Д</c:v>
                  </c:pt>
                  <c:pt idx="428">
                    <c:v>#Н/Д</c:v>
                  </c:pt>
                  <c:pt idx="429">
                    <c:v>#Н/Д</c:v>
                  </c:pt>
                  <c:pt idx="430">
                    <c:v>#Н/Д</c:v>
                  </c:pt>
                  <c:pt idx="431">
                    <c:v>#Н/Д</c:v>
                  </c:pt>
                  <c:pt idx="432">
                    <c:v>#Н/Д</c:v>
                  </c:pt>
                  <c:pt idx="433">
                    <c:v>#Н/Д</c:v>
                  </c:pt>
                  <c:pt idx="434">
                    <c:v>#Н/Д</c:v>
                  </c:pt>
                  <c:pt idx="435">
                    <c:v>#Н/Д</c:v>
                  </c:pt>
                  <c:pt idx="436">
                    <c:v>#Н/Д</c:v>
                  </c:pt>
                  <c:pt idx="437">
                    <c:v>#Н/Д</c:v>
                  </c:pt>
                  <c:pt idx="438">
                    <c:v>#Н/Д</c:v>
                  </c:pt>
                  <c:pt idx="439">
                    <c:v>#Н/Д</c:v>
                  </c:pt>
                  <c:pt idx="440">
                    <c:v>#Н/Д</c:v>
                  </c:pt>
                  <c:pt idx="441">
                    <c:v>#Н/Д</c:v>
                  </c:pt>
                  <c:pt idx="442">
                    <c:v>#Н/Д</c:v>
                  </c:pt>
                  <c:pt idx="443">
                    <c:v>#Н/Д</c:v>
                  </c:pt>
                  <c:pt idx="444">
                    <c:v>#Н/Д</c:v>
                  </c:pt>
                  <c:pt idx="445">
                    <c:v>#Н/Д</c:v>
                  </c:pt>
                  <c:pt idx="446">
                    <c:v>#Н/Д</c:v>
                  </c:pt>
                  <c:pt idx="447">
                    <c:v>#Н/Д</c:v>
                  </c:pt>
                  <c:pt idx="448">
                    <c:v>#Н/Д</c:v>
                  </c:pt>
                  <c:pt idx="449">
                    <c:v>#Н/Д</c:v>
                  </c:pt>
                  <c:pt idx="450">
                    <c:v>#Н/Д</c:v>
                  </c:pt>
                  <c:pt idx="451">
                    <c:v>#Н/Д</c:v>
                  </c:pt>
                  <c:pt idx="452">
                    <c:v>#Н/Д</c:v>
                  </c:pt>
                  <c:pt idx="453">
                    <c:v>#Н/Д</c:v>
                  </c:pt>
                  <c:pt idx="454">
                    <c:v>#Н/Д</c:v>
                  </c:pt>
                  <c:pt idx="455">
                    <c:v>#Н/Д</c:v>
                  </c:pt>
                  <c:pt idx="456">
                    <c:v>#Н/Д</c:v>
                  </c:pt>
                  <c:pt idx="457">
                    <c:v>#Н/Д</c:v>
                  </c:pt>
                  <c:pt idx="458">
                    <c:v>#Н/Д</c:v>
                  </c:pt>
                  <c:pt idx="459">
                    <c:v>#Н/Д</c:v>
                  </c:pt>
                  <c:pt idx="460">
                    <c:v>#Н/Д</c:v>
                  </c:pt>
                  <c:pt idx="461">
                    <c:v>#Н/Д</c:v>
                  </c:pt>
                  <c:pt idx="462">
                    <c:v>#Н/Д</c:v>
                  </c:pt>
                  <c:pt idx="463">
                    <c:v>#Н/Д</c:v>
                  </c:pt>
                  <c:pt idx="464">
                    <c:v>#Н/Д</c:v>
                  </c:pt>
                  <c:pt idx="465">
                    <c:v>#Н/Д</c:v>
                  </c:pt>
                  <c:pt idx="466">
                    <c:v>#Н/Д</c:v>
                  </c:pt>
                  <c:pt idx="467">
                    <c:v>#Н/Д</c:v>
                  </c:pt>
                  <c:pt idx="468">
                    <c:v>#Н/Д</c:v>
                  </c:pt>
                  <c:pt idx="469">
                    <c:v>#Н/Д</c:v>
                  </c:pt>
                  <c:pt idx="470">
                    <c:v>#Н/Д</c:v>
                  </c:pt>
                  <c:pt idx="471">
                    <c:v>#Н/Д</c:v>
                  </c:pt>
                  <c:pt idx="472">
                    <c:v>#Н/Д</c:v>
                  </c:pt>
                  <c:pt idx="473">
                    <c:v>#Н/Д</c:v>
                  </c:pt>
                  <c:pt idx="474">
                    <c:v>#Н/Д</c:v>
                  </c:pt>
                  <c:pt idx="475">
                    <c:v>#Н/Д</c:v>
                  </c:pt>
                  <c:pt idx="476">
                    <c:v>#Н/Д</c:v>
                  </c:pt>
                  <c:pt idx="477">
                    <c:v>#Н/Д</c:v>
                  </c:pt>
                  <c:pt idx="478">
                    <c:v>#Н/Д</c:v>
                  </c:pt>
                  <c:pt idx="479">
                    <c:v>#Н/Д</c:v>
                  </c:pt>
                  <c:pt idx="480">
                    <c:v>#Н/Д</c:v>
                  </c:pt>
                  <c:pt idx="481">
                    <c:v>#Н/Д</c:v>
                  </c:pt>
                  <c:pt idx="482">
                    <c:v>#Н/Д</c:v>
                  </c:pt>
                  <c:pt idx="483">
                    <c:v>#Н/Д</c:v>
                  </c:pt>
                  <c:pt idx="484">
                    <c:v>#Н/Д</c:v>
                  </c:pt>
                  <c:pt idx="485">
                    <c:v>#Н/Д</c:v>
                  </c:pt>
                  <c:pt idx="486">
                    <c:v>#Н/Д</c:v>
                  </c:pt>
                  <c:pt idx="487">
                    <c:v>#Н/Д</c:v>
                  </c:pt>
                  <c:pt idx="488">
                    <c:v>#Н/Д</c:v>
                  </c:pt>
                  <c:pt idx="489">
                    <c:v>#Н/Д</c:v>
                  </c:pt>
                  <c:pt idx="490">
                    <c:v>#Н/Д</c:v>
                  </c:pt>
                  <c:pt idx="491">
                    <c:v>#Н/Д</c:v>
                  </c:pt>
                  <c:pt idx="492">
                    <c:v>#Н/Д</c:v>
                  </c:pt>
                  <c:pt idx="493">
                    <c:v>#Н/Д</c:v>
                  </c:pt>
                  <c:pt idx="494">
                    <c:v>#Н/Д</c:v>
                  </c:pt>
                  <c:pt idx="495">
                    <c:v>#Н/Д</c:v>
                  </c:pt>
                  <c:pt idx="496">
                    <c:v>#Н/Д</c:v>
                  </c:pt>
                  <c:pt idx="497">
                    <c:v>#Н/Д</c:v>
                  </c:pt>
                  <c:pt idx="498">
                    <c:v>#Н/Д</c:v>
                  </c:pt>
                  <c:pt idx="499">
                    <c:v>#Н/Д</c:v>
                  </c:pt>
                  <c:pt idx="500">
                    <c:v>#Н/Д</c:v>
                  </c:pt>
                  <c:pt idx="501">
                    <c:v>#Н/Д</c:v>
                  </c:pt>
                  <c:pt idx="502">
                    <c:v>#Н/Д</c:v>
                  </c:pt>
                  <c:pt idx="503">
                    <c:v>#Н/Д</c:v>
                  </c:pt>
                  <c:pt idx="504">
                    <c:v>#Н/Д</c:v>
                  </c:pt>
                  <c:pt idx="505">
                    <c:v>#Н/Д</c:v>
                  </c:pt>
                  <c:pt idx="506">
                    <c:v>#Н/Д</c:v>
                  </c:pt>
                  <c:pt idx="507">
                    <c:v>#Н/Д</c:v>
                  </c:pt>
                  <c:pt idx="508">
                    <c:v>#Н/Д</c:v>
                  </c:pt>
                  <c:pt idx="509">
                    <c:v>#Н/Д</c:v>
                  </c:pt>
                  <c:pt idx="510">
                    <c:v>#Н/Д</c:v>
                  </c:pt>
                  <c:pt idx="511">
                    <c:v>#Н/Д</c:v>
                  </c:pt>
                  <c:pt idx="512">
                    <c:v>#Н/Д</c:v>
                  </c:pt>
                  <c:pt idx="513">
                    <c:v>#Н/Д</c:v>
                  </c:pt>
                  <c:pt idx="514">
                    <c:v>#Н/Д</c:v>
                  </c:pt>
                  <c:pt idx="515">
                    <c:v>#Н/Д</c:v>
                  </c:pt>
                  <c:pt idx="516">
                    <c:v>#Н/Д</c:v>
                  </c:pt>
                  <c:pt idx="517">
                    <c:v>#Н/Д</c:v>
                  </c:pt>
                  <c:pt idx="518">
                    <c:v>#Н/Д</c:v>
                  </c:pt>
                  <c:pt idx="519">
                    <c:v>#Н/Д</c:v>
                  </c:pt>
                  <c:pt idx="520">
                    <c:v>#Н/Д</c:v>
                  </c:pt>
                  <c:pt idx="521">
                    <c:v>#Н/Д</c:v>
                  </c:pt>
                  <c:pt idx="522">
                    <c:v>#Н/Д</c:v>
                  </c:pt>
                  <c:pt idx="523">
                    <c:v>#Н/Д</c:v>
                  </c:pt>
                  <c:pt idx="524">
                    <c:v>#Н/Д</c:v>
                  </c:pt>
                  <c:pt idx="525">
                    <c:v>#Н/Д</c:v>
                  </c:pt>
                  <c:pt idx="526">
                    <c:v>#Н/Д</c:v>
                  </c:pt>
                  <c:pt idx="527">
                    <c:v>#Н/Д</c:v>
                  </c:pt>
                  <c:pt idx="528">
                    <c:v>#Н/Д</c:v>
                  </c:pt>
                  <c:pt idx="529">
                    <c:v>#Н/Д</c:v>
                  </c:pt>
                  <c:pt idx="530">
                    <c:v>#Н/Д</c:v>
                  </c:pt>
                  <c:pt idx="531">
                    <c:v>#Н/Д</c:v>
                  </c:pt>
                  <c:pt idx="532">
                    <c:v>#Н/Д</c:v>
                  </c:pt>
                  <c:pt idx="533">
                    <c:v>#Н/Д</c:v>
                  </c:pt>
                  <c:pt idx="534">
                    <c:v>#Н/Д</c:v>
                  </c:pt>
                  <c:pt idx="535">
                    <c:v>#Н/Д</c:v>
                  </c:pt>
                  <c:pt idx="536">
                    <c:v>#Н/Д</c:v>
                  </c:pt>
                  <c:pt idx="537">
                    <c:v>#Н/Д</c:v>
                  </c:pt>
                  <c:pt idx="538">
                    <c:v>#Н/Д</c:v>
                  </c:pt>
                  <c:pt idx="539">
                    <c:v>#Н/Д</c:v>
                  </c:pt>
                  <c:pt idx="540">
                    <c:v>#Н/Д</c:v>
                  </c:pt>
                  <c:pt idx="541">
                    <c:v>#Н/Д</c:v>
                  </c:pt>
                  <c:pt idx="542">
                    <c:v>#Н/Д</c:v>
                  </c:pt>
                  <c:pt idx="543">
                    <c:v>#Н/Д</c:v>
                  </c:pt>
                  <c:pt idx="544">
                    <c:v>#Н/Д</c:v>
                  </c:pt>
                  <c:pt idx="545">
                    <c:v>#Н/Д</c:v>
                  </c:pt>
                  <c:pt idx="546">
                    <c:v>#Н/Д</c:v>
                  </c:pt>
                  <c:pt idx="547">
                    <c:v>#Н/Д</c:v>
                  </c:pt>
                  <c:pt idx="548">
                    <c:v>#Н/Д</c:v>
                  </c:pt>
                  <c:pt idx="549">
                    <c:v>#Н/Д</c:v>
                  </c:pt>
                  <c:pt idx="550">
                    <c:v>#Н/Д</c:v>
                  </c:pt>
                  <c:pt idx="551">
                    <c:v>#Н/Д</c:v>
                  </c:pt>
                  <c:pt idx="552">
                    <c:v>#Н/Д</c:v>
                  </c:pt>
                  <c:pt idx="553">
                    <c:v>#Н/Д</c:v>
                  </c:pt>
                  <c:pt idx="554">
                    <c:v>#Н/Д</c:v>
                  </c:pt>
                  <c:pt idx="555">
                    <c:v>#Н/Д</c:v>
                  </c:pt>
                  <c:pt idx="556">
                    <c:v>#Н/Д</c:v>
                  </c:pt>
                  <c:pt idx="557">
                    <c:v>#Н/Д</c:v>
                  </c:pt>
                  <c:pt idx="558">
                    <c:v>#Н/Д</c:v>
                  </c:pt>
                  <c:pt idx="559">
                    <c:v>#Н/Д</c:v>
                  </c:pt>
                  <c:pt idx="560">
                    <c:v>#Н/Д</c:v>
                  </c:pt>
                  <c:pt idx="561">
                    <c:v>#Н/Д</c:v>
                  </c:pt>
                  <c:pt idx="562">
                    <c:v>#Н/Д</c:v>
                  </c:pt>
                  <c:pt idx="563">
                    <c:v>#Н/Д</c:v>
                  </c:pt>
                  <c:pt idx="564">
                    <c:v>#Н/Д</c:v>
                  </c:pt>
                  <c:pt idx="565">
                    <c:v>#Н/Д</c:v>
                  </c:pt>
                  <c:pt idx="566">
                    <c:v>#Н/Д</c:v>
                  </c:pt>
                  <c:pt idx="567">
                    <c:v>#Н/Д</c:v>
                  </c:pt>
                  <c:pt idx="568">
                    <c:v>#Н/Д</c:v>
                  </c:pt>
                  <c:pt idx="569">
                    <c:v>#Н/Д</c:v>
                  </c:pt>
                  <c:pt idx="570">
                    <c:v>#Н/Д</c:v>
                  </c:pt>
                  <c:pt idx="571">
                    <c:v>#Н/Д</c:v>
                  </c:pt>
                  <c:pt idx="572">
                    <c:v>#Н/Д</c:v>
                  </c:pt>
                  <c:pt idx="573">
                    <c:v>#Н/Д</c:v>
                  </c:pt>
                  <c:pt idx="574">
                    <c:v>#Н/Д</c:v>
                  </c:pt>
                  <c:pt idx="575">
                    <c:v>#Н/Д</c:v>
                  </c:pt>
                  <c:pt idx="576">
                    <c:v>#Н/Д</c:v>
                  </c:pt>
                  <c:pt idx="577">
                    <c:v>#Н/Д</c:v>
                  </c:pt>
                  <c:pt idx="578">
                    <c:v>#Н/Д</c:v>
                  </c:pt>
                  <c:pt idx="579">
                    <c:v>#Н/Д</c:v>
                  </c:pt>
                  <c:pt idx="580">
                    <c:v>#Н/Д</c:v>
                  </c:pt>
                  <c:pt idx="581">
                    <c:v>#Н/Д</c:v>
                  </c:pt>
                  <c:pt idx="582">
                    <c:v>#Н/Д</c:v>
                  </c:pt>
                  <c:pt idx="583">
                    <c:v>#Н/Д</c:v>
                  </c:pt>
                  <c:pt idx="584">
                    <c:v>#Н/Д</c:v>
                  </c:pt>
                  <c:pt idx="585">
                    <c:v>#Н/Д</c:v>
                  </c:pt>
                  <c:pt idx="586">
                    <c:v>#Н/Д</c:v>
                  </c:pt>
                  <c:pt idx="587">
                    <c:v>#Н/Д</c:v>
                  </c:pt>
                  <c:pt idx="588">
                    <c:v>#Н/Д</c:v>
                  </c:pt>
                  <c:pt idx="589">
                    <c:v>#Н/Д</c:v>
                  </c:pt>
                  <c:pt idx="590">
                    <c:v>#Н/Д</c:v>
                  </c:pt>
                  <c:pt idx="591">
                    <c:v>#Н/Д</c:v>
                  </c:pt>
                  <c:pt idx="592">
                    <c:v>#Н/Д</c:v>
                  </c:pt>
                  <c:pt idx="593">
                    <c:v>#Н/Д</c:v>
                  </c:pt>
                  <c:pt idx="594">
                    <c:v>#Н/Д</c:v>
                  </c:pt>
                  <c:pt idx="595">
                    <c:v>#Н/Д</c:v>
                  </c:pt>
                  <c:pt idx="596">
                    <c:v>#Н/Д</c:v>
                  </c:pt>
                  <c:pt idx="597">
                    <c:v>#Н/Д</c:v>
                  </c:pt>
                  <c:pt idx="598">
                    <c:v>#Н/Д</c:v>
                  </c:pt>
                  <c:pt idx="599">
                    <c:v>#Н/Д</c:v>
                  </c:pt>
                  <c:pt idx="600">
                    <c:v>#Н/Д</c:v>
                  </c:pt>
                  <c:pt idx="601">
                    <c:v>#Н/Д</c:v>
                  </c:pt>
                  <c:pt idx="602">
                    <c:v>#Н/Д</c:v>
                  </c:pt>
                  <c:pt idx="603">
                    <c:v>#Н/Д</c:v>
                  </c:pt>
                  <c:pt idx="604">
                    <c:v>#Н/Д</c:v>
                  </c:pt>
                  <c:pt idx="605">
                    <c:v>#Н/Д</c:v>
                  </c:pt>
                  <c:pt idx="606">
                    <c:v>#Н/Д</c:v>
                  </c:pt>
                  <c:pt idx="607">
                    <c:v>#Н/Д</c:v>
                  </c:pt>
                  <c:pt idx="608">
                    <c:v>#Н/Д</c:v>
                  </c:pt>
                  <c:pt idx="609">
                    <c:v>#Н/Д</c:v>
                  </c:pt>
                  <c:pt idx="610">
                    <c:v>#Н/Д</c:v>
                  </c:pt>
                  <c:pt idx="611">
                    <c:v>#Н/Д</c:v>
                  </c:pt>
                  <c:pt idx="612">
                    <c:v>#Н/Д</c:v>
                  </c:pt>
                  <c:pt idx="613">
                    <c:v>#Н/Д</c:v>
                  </c:pt>
                  <c:pt idx="614">
                    <c:v>#Н/Д</c:v>
                  </c:pt>
                  <c:pt idx="615">
                    <c:v>#Н/Д</c:v>
                  </c:pt>
                  <c:pt idx="616">
                    <c:v>#Н/Д</c:v>
                  </c:pt>
                  <c:pt idx="617">
                    <c:v>#Н/Д</c:v>
                  </c:pt>
                  <c:pt idx="618">
                    <c:v>#Н/Д</c:v>
                  </c:pt>
                  <c:pt idx="619">
                    <c:v>#Н/Д</c:v>
                  </c:pt>
                  <c:pt idx="620">
                    <c:v>#Н/Д</c:v>
                  </c:pt>
                  <c:pt idx="621">
                    <c:v>#Н/Д</c:v>
                  </c:pt>
                  <c:pt idx="622">
                    <c:v>#Н/Д</c:v>
                  </c:pt>
                  <c:pt idx="623">
                    <c:v>#Н/Д</c:v>
                  </c:pt>
                  <c:pt idx="624">
                    <c:v>#Н/Д</c:v>
                  </c:pt>
                  <c:pt idx="625">
                    <c:v>#Н/Д</c:v>
                  </c:pt>
                  <c:pt idx="626">
                    <c:v>#Н/Д</c:v>
                  </c:pt>
                  <c:pt idx="627">
                    <c:v>#Н/Д</c:v>
                  </c:pt>
                  <c:pt idx="628">
                    <c:v>#Н/Д</c:v>
                  </c:pt>
                  <c:pt idx="629">
                    <c:v>#Н/Д</c:v>
                  </c:pt>
                  <c:pt idx="630">
                    <c:v>#Н/Д</c:v>
                  </c:pt>
                  <c:pt idx="631">
                    <c:v>#Н/Д</c:v>
                  </c:pt>
                  <c:pt idx="632">
                    <c:v>#Н/Д</c:v>
                  </c:pt>
                  <c:pt idx="633">
                    <c:v>#Н/Д</c:v>
                  </c:pt>
                  <c:pt idx="634">
                    <c:v>#Н/Д</c:v>
                  </c:pt>
                  <c:pt idx="635">
                    <c:v>#Н/Д</c:v>
                  </c:pt>
                  <c:pt idx="636">
                    <c:v>#Н/Д</c:v>
                  </c:pt>
                  <c:pt idx="637">
                    <c:v>#Н/Д</c:v>
                  </c:pt>
                  <c:pt idx="638">
                    <c:v>#Н/Д</c:v>
                  </c:pt>
                  <c:pt idx="639">
                    <c:v>#Н/Д</c:v>
                  </c:pt>
                  <c:pt idx="640">
                    <c:v>#Н/Д</c:v>
                  </c:pt>
                  <c:pt idx="641">
                    <c:v>#Н/Д</c:v>
                  </c:pt>
                  <c:pt idx="642">
                    <c:v>#Н/Д</c:v>
                  </c:pt>
                  <c:pt idx="643">
                    <c:v>#Н/Д</c:v>
                  </c:pt>
                  <c:pt idx="644">
                    <c:v>#Н/Д</c:v>
                  </c:pt>
                  <c:pt idx="645">
                    <c:v>#Н/Д</c:v>
                  </c:pt>
                  <c:pt idx="646">
                    <c:v>#Н/Д</c:v>
                  </c:pt>
                  <c:pt idx="647">
                    <c:v>#Н/Д</c:v>
                  </c:pt>
                  <c:pt idx="648">
                    <c:v>#Н/Д</c:v>
                  </c:pt>
                  <c:pt idx="649">
                    <c:v>#Н/Д</c:v>
                  </c:pt>
                  <c:pt idx="650">
                    <c:v>#Н/Д</c:v>
                  </c:pt>
                  <c:pt idx="651">
                    <c:v>#Н/Д</c:v>
                  </c:pt>
                  <c:pt idx="652">
                    <c:v>#Н/Д</c:v>
                  </c:pt>
                  <c:pt idx="653">
                    <c:v>#Н/Д</c:v>
                  </c:pt>
                  <c:pt idx="654">
                    <c:v>#Н/Д</c:v>
                  </c:pt>
                  <c:pt idx="655">
                    <c:v>#Н/Д</c:v>
                  </c:pt>
                  <c:pt idx="656">
                    <c:v>#Н/Д</c:v>
                  </c:pt>
                  <c:pt idx="657">
                    <c:v>#Н/Д</c:v>
                  </c:pt>
                  <c:pt idx="658">
                    <c:v>#Н/Д</c:v>
                  </c:pt>
                  <c:pt idx="659">
                    <c:v>#Н/Д</c:v>
                  </c:pt>
                  <c:pt idx="660">
                    <c:v>#Н/Д</c:v>
                  </c:pt>
                  <c:pt idx="661">
                    <c:v>#Н/Д</c:v>
                  </c:pt>
                  <c:pt idx="662">
                    <c:v>#Н/Д</c:v>
                  </c:pt>
                  <c:pt idx="663">
                    <c:v>#Н/Д</c:v>
                  </c:pt>
                  <c:pt idx="664">
                    <c:v>#Н/Д</c:v>
                  </c:pt>
                  <c:pt idx="665">
                    <c:v>#Н/Д</c:v>
                  </c:pt>
                  <c:pt idx="666">
                    <c:v>#Н/Д</c:v>
                  </c:pt>
                  <c:pt idx="667">
                    <c:v>#Н/Д</c:v>
                  </c:pt>
                  <c:pt idx="668">
                    <c:v>#Н/Д</c:v>
                  </c:pt>
                  <c:pt idx="669">
                    <c:v>#Н/Д</c:v>
                  </c:pt>
                  <c:pt idx="670">
                    <c:v>#Н/Д</c:v>
                  </c:pt>
                  <c:pt idx="671">
                    <c:v>#Н/Д</c:v>
                  </c:pt>
                  <c:pt idx="672">
                    <c:v>#Н/Д</c:v>
                  </c:pt>
                  <c:pt idx="673">
                    <c:v>#Н/Д</c:v>
                  </c:pt>
                  <c:pt idx="674">
                    <c:v>#Н/Д</c:v>
                  </c:pt>
                  <c:pt idx="675">
                    <c:v>#Н/Д</c:v>
                  </c:pt>
                  <c:pt idx="676">
                    <c:v>#Н/Д</c:v>
                  </c:pt>
                  <c:pt idx="677">
                    <c:v>#Н/Д</c:v>
                  </c:pt>
                  <c:pt idx="678">
                    <c:v>#Н/Д</c:v>
                  </c:pt>
                  <c:pt idx="679">
                    <c:v>#Н/Д</c:v>
                  </c:pt>
                  <c:pt idx="680">
                    <c:v>#Н/Д</c:v>
                  </c:pt>
                  <c:pt idx="681">
                    <c:v>#Н/Д</c:v>
                  </c:pt>
                  <c:pt idx="682">
                    <c:v>#Н/Д</c:v>
                  </c:pt>
                  <c:pt idx="683">
                    <c:v>#Н/Д</c:v>
                  </c:pt>
                  <c:pt idx="684">
                    <c:v>#Н/Д</c:v>
                  </c:pt>
                  <c:pt idx="685">
                    <c:v>#Н/Д</c:v>
                  </c:pt>
                  <c:pt idx="686">
                    <c:v>#Н/Д</c:v>
                  </c:pt>
                  <c:pt idx="687">
                    <c:v>#Н/Д</c:v>
                  </c:pt>
                  <c:pt idx="688">
                    <c:v>#Н/Д</c:v>
                  </c:pt>
                  <c:pt idx="689">
                    <c:v>#Н/Д</c:v>
                  </c:pt>
                  <c:pt idx="690">
                    <c:v>#Н/Д</c:v>
                  </c:pt>
                  <c:pt idx="691">
                    <c:v>#Н/Д</c:v>
                  </c:pt>
                  <c:pt idx="692">
                    <c:v>#Н/Д</c:v>
                  </c:pt>
                  <c:pt idx="693">
                    <c:v>#Н/Д</c:v>
                  </c:pt>
                  <c:pt idx="694">
                    <c:v>#Н/Д</c:v>
                  </c:pt>
                  <c:pt idx="695">
                    <c:v>#Н/Д</c:v>
                  </c:pt>
                  <c:pt idx="696">
                    <c:v>#Н/Д</c:v>
                  </c:pt>
                  <c:pt idx="697">
                    <c:v>#Н/Д</c:v>
                  </c:pt>
                  <c:pt idx="698">
                    <c:v>#Н/Д</c:v>
                  </c:pt>
                  <c:pt idx="699">
                    <c:v>#Н/Д</c:v>
                  </c:pt>
                  <c:pt idx="700">
                    <c:v>#Н/Д</c:v>
                  </c:pt>
                  <c:pt idx="701">
                    <c:v>#Н/Д</c:v>
                  </c:pt>
                  <c:pt idx="702">
                    <c:v>#Н/Д</c:v>
                  </c:pt>
                  <c:pt idx="703">
                    <c:v>#Н/Д</c:v>
                  </c:pt>
                  <c:pt idx="704">
                    <c:v>#Н/Д</c:v>
                  </c:pt>
                  <c:pt idx="705">
                    <c:v>#Н/Д</c:v>
                  </c:pt>
                  <c:pt idx="706">
                    <c:v>#Н/Д</c:v>
                  </c:pt>
                  <c:pt idx="707">
                    <c:v>#Н/Д</c:v>
                  </c:pt>
                  <c:pt idx="708">
                    <c:v>#Н/Д</c:v>
                  </c:pt>
                  <c:pt idx="709">
                    <c:v>#Н/Д</c:v>
                  </c:pt>
                  <c:pt idx="710">
                    <c:v>#Н/Д</c:v>
                  </c:pt>
                  <c:pt idx="711">
                    <c:v>#Н/Д</c:v>
                  </c:pt>
                  <c:pt idx="712">
                    <c:v>#Н/Д</c:v>
                  </c:pt>
                  <c:pt idx="713">
                    <c:v>#Н/Д</c:v>
                  </c:pt>
                  <c:pt idx="714">
                    <c:v>#Н/Д</c:v>
                  </c:pt>
                  <c:pt idx="715">
                    <c:v>#Н/Д</c:v>
                  </c:pt>
                  <c:pt idx="716">
                    <c:v>#Н/Д</c:v>
                  </c:pt>
                  <c:pt idx="717">
                    <c:v>#Н/Д</c:v>
                  </c:pt>
                  <c:pt idx="718">
                    <c:v>#Н/Д</c:v>
                  </c:pt>
                  <c:pt idx="719">
                    <c:v>#Н/Д</c:v>
                  </c:pt>
                  <c:pt idx="720">
                    <c:v>#Н/Д</c:v>
                  </c:pt>
                  <c:pt idx="721">
                    <c:v>#Н/Д</c:v>
                  </c:pt>
                  <c:pt idx="722">
                    <c:v>#Н/Д</c:v>
                  </c:pt>
                  <c:pt idx="723">
                    <c:v>#Н/Д</c:v>
                  </c:pt>
                  <c:pt idx="724">
                    <c:v>#Н/Д</c:v>
                  </c:pt>
                  <c:pt idx="725">
                    <c:v>#Н/Д</c:v>
                  </c:pt>
                  <c:pt idx="726">
                    <c:v>#Н/Д</c:v>
                  </c:pt>
                  <c:pt idx="727">
                    <c:v>#Н/Д</c:v>
                  </c:pt>
                  <c:pt idx="728">
                    <c:v>#Н/Д</c:v>
                  </c:pt>
                  <c:pt idx="729">
                    <c:v>#Н/Д</c:v>
                  </c:pt>
                  <c:pt idx="730">
                    <c:v>#Н/Д</c:v>
                  </c:pt>
                  <c:pt idx="731">
                    <c:v>#Н/Д</c:v>
                  </c:pt>
                  <c:pt idx="732">
                    <c:v>#Н/Д</c:v>
                  </c:pt>
                  <c:pt idx="733">
                    <c:v>#Н/Д</c:v>
                  </c:pt>
                  <c:pt idx="734">
                    <c:v>#Н/Д</c:v>
                  </c:pt>
                  <c:pt idx="735">
                    <c:v>#Н/Д</c:v>
                  </c:pt>
                  <c:pt idx="736">
                    <c:v>#Н/Д</c:v>
                  </c:pt>
                  <c:pt idx="737">
                    <c:v>#Н/Д</c:v>
                  </c:pt>
                  <c:pt idx="738">
                    <c:v>#Н/Д</c:v>
                  </c:pt>
                  <c:pt idx="739">
                    <c:v>#Н/Д</c:v>
                  </c:pt>
                  <c:pt idx="740">
                    <c:v>#Н/Д</c:v>
                  </c:pt>
                  <c:pt idx="741">
                    <c:v>#Н/Д</c:v>
                  </c:pt>
                  <c:pt idx="742">
                    <c:v>#Н/Д</c:v>
                  </c:pt>
                  <c:pt idx="743">
                    <c:v>#Н/Д</c:v>
                  </c:pt>
                  <c:pt idx="744">
                    <c:v>#Н/Д</c:v>
                  </c:pt>
                  <c:pt idx="745">
                    <c:v>#Н/Д</c:v>
                  </c:pt>
                  <c:pt idx="746">
                    <c:v>#Н/Д</c:v>
                  </c:pt>
                  <c:pt idx="747">
                    <c:v>#Н/Д</c:v>
                  </c:pt>
                  <c:pt idx="748">
                    <c:v>#Н/Д</c:v>
                  </c:pt>
                  <c:pt idx="749">
                    <c:v>#Н/Д</c:v>
                  </c:pt>
                  <c:pt idx="750">
                    <c:v>#Н/Д</c:v>
                  </c:pt>
                  <c:pt idx="751">
                    <c:v>#Н/Д</c:v>
                  </c:pt>
                  <c:pt idx="752">
                    <c:v>#Н/Д</c:v>
                  </c:pt>
                  <c:pt idx="753">
                    <c:v>#Н/Д</c:v>
                  </c:pt>
                  <c:pt idx="754">
                    <c:v>#Н/Д</c:v>
                  </c:pt>
                  <c:pt idx="755">
                    <c:v>#Н/Д</c:v>
                  </c:pt>
                  <c:pt idx="756">
                    <c:v>#Н/Д</c:v>
                  </c:pt>
                  <c:pt idx="757">
                    <c:v>#Н/Д</c:v>
                  </c:pt>
                  <c:pt idx="758">
                    <c:v>#Н/Д</c:v>
                  </c:pt>
                  <c:pt idx="759">
                    <c:v>#Н/Д</c:v>
                  </c:pt>
                  <c:pt idx="760">
                    <c:v>#Н/Д</c:v>
                  </c:pt>
                  <c:pt idx="761">
                    <c:v>#Н/Д</c:v>
                  </c:pt>
                  <c:pt idx="762">
                    <c:v>#Н/Д</c:v>
                  </c:pt>
                  <c:pt idx="763">
                    <c:v>#Н/Д</c:v>
                  </c:pt>
                  <c:pt idx="764">
                    <c:v>#Н/Д</c:v>
                  </c:pt>
                  <c:pt idx="765">
                    <c:v>#Н/Д</c:v>
                  </c:pt>
                  <c:pt idx="766">
                    <c:v>#Н/Д</c:v>
                  </c:pt>
                  <c:pt idx="767">
                    <c:v>#Н/Д</c:v>
                  </c:pt>
                  <c:pt idx="768">
                    <c:v>#Н/Д</c:v>
                  </c:pt>
                  <c:pt idx="769">
                    <c:v>#Н/Д</c:v>
                  </c:pt>
                  <c:pt idx="770">
                    <c:v>#Н/Д</c:v>
                  </c:pt>
                  <c:pt idx="771">
                    <c:v>#Н/Д</c:v>
                  </c:pt>
                  <c:pt idx="772">
                    <c:v>#Н/Д</c:v>
                  </c:pt>
                  <c:pt idx="773">
                    <c:v>#Н/Д</c:v>
                  </c:pt>
                  <c:pt idx="774">
                    <c:v>#Н/Д</c:v>
                  </c:pt>
                  <c:pt idx="775">
                    <c:v>#Н/Д</c:v>
                  </c:pt>
                  <c:pt idx="776">
                    <c:v>#Н/Д</c:v>
                  </c:pt>
                  <c:pt idx="777">
                    <c:v>#Н/Д</c:v>
                  </c:pt>
                  <c:pt idx="778">
                    <c:v>#Н/Д</c:v>
                  </c:pt>
                  <c:pt idx="779">
                    <c:v>#Н/Д</c:v>
                  </c:pt>
                  <c:pt idx="780">
                    <c:v>#Н/Д</c:v>
                  </c:pt>
                  <c:pt idx="781">
                    <c:v>#Н/Д</c:v>
                  </c:pt>
                  <c:pt idx="782">
                    <c:v>#Н/Д</c:v>
                  </c:pt>
                  <c:pt idx="783">
                    <c:v>#Н/Д</c:v>
                  </c:pt>
                  <c:pt idx="784">
                    <c:v>#Н/Д</c:v>
                  </c:pt>
                  <c:pt idx="785">
                    <c:v>#Н/Д</c:v>
                  </c:pt>
                  <c:pt idx="786">
                    <c:v>#Н/Д</c:v>
                  </c:pt>
                  <c:pt idx="787">
                    <c:v>#Н/Д</c:v>
                  </c:pt>
                  <c:pt idx="788">
                    <c:v>#Н/Д</c:v>
                  </c:pt>
                  <c:pt idx="789">
                    <c:v>#Н/Д</c:v>
                  </c:pt>
                  <c:pt idx="790">
                    <c:v>#Н/Д</c:v>
                  </c:pt>
                  <c:pt idx="791">
                    <c:v>#Н/Д</c:v>
                  </c:pt>
                  <c:pt idx="792">
                    <c:v>#Н/Д</c:v>
                  </c:pt>
                  <c:pt idx="793">
                    <c:v>#Н/Д</c:v>
                  </c:pt>
                  <c:pt idx="794">
                    <c:v>#Н/Д</c:v>
                  </c:pt>
                  <c:pt idx="795">
                    <c:v>#Н/Д</c:v>
                  </c:pt>
                  <c:pt idx="796">
                    <c:v>#Н/Д</c:v>
                  </c:pt>
                  <c:pt idx="797">
                    <c:v>#Н/Д</c:v>
                  </c:pt>
                  <c:pt idx="798">
                    <c:v>#Н/Д</c:v>
                  </c:pt>
                  <c:pt idx="799">
                    <c:v>#Н/Д</c:v>
                  </c:pt>
                  <c:pt idx="800">
                    <c:v>#Н/Д</c:v>
                  </c:pt>
                  <c:pt idx="801">
                    <c:v>#Н/Д</c:v>
                  </c:pt>
                  <c:pt idx="802">
                    <c:v>#Н/Д</c:v>
                  </c:pt>
                  <c:pt idx="803">
                    <c:v>#Н/Д</c:v>
                  </c:pt>
                  <c:pt idx="804">
                    <c:v>#Н/Д</c:v>
                  </c:pt>
                  <c:pt idx="805">
                    <c:v>#Н/Д</c:v>
                  </c:pt>
                  <c:pt idx="806">
                    <c:v>#Н/Д</c:v>
                  </c:pt>
                  <c:pt idx="807">
                    <c:v>#Н/Д</c:v>
                  </c:pt>
                  <c:pt idx="808">
                    <c:v>#Н/Д</c:v>
                  </c:pt>
                  <c:pt idx="809">
                    <c:v>#Н/Д</c:v>
                  </c:pt>
                  <c:pt idx="810">
                    <c:v>#Н/Д</c:v>
                  </c:pt>
                  <c:pt idx="811">
                    <c:v>#Н/Д</c:v>
                  </c:pt>
                  <c:pt idx="812">
                    <c:v>#Н/Д</c:v>
                  </c:pt>
                  <c:pt idx="813">
                    <c:v>#Н/Д</c:v>
                  </c:pt>
                  <c:pt idx="814">
                    <c:v>#Н/Д</c:v>
                  </c:pt>
                  <c:pt idx="815">
                    <c:v>#Н/Д</c:v>
                  </c:pt>
                  <c:pt idx="816">
                    <c:v>#Н/Д</c:v>
                  </c:pt>
                  <c:pt idx="817">
                    <c:v>#Н/Д</c:v>
                  </c:pt>
                  <c:pt idx="818">
                    <c:v>#Н/Д</c:v>
                  </c:pt>
                  <c:pt idx="819">
                    <c:v>#Н/Д</c:v>
                  </c:pt>
                  <c:pt idx="820">
                    <c:v>#Н/Д</c:v>
                  </c:pt>
                  <c:pt idx="821">
                    <c:v>#Н/Д</c:v>
                  </c:pt>
                  <c:pt idx="822">
                    <c:v>#Н/Д</c:v>
                  </c:pt>
                  <c:pt idx="823">
                    <c:v>#Н/Д</c:v>
                  </c:pt>
                  <c:pt idx="824">
                    <c:v>#Н/Д</c:v>
                  </c:pt>
                  <c:pt idx="825">
                    <c:v>#Н/Д</c:v>
                  </c:pt>
                  <c:pt idx="826">
                    <c:v>#Н/Д</c:v>
                  </c:pt>
                  <c:pt idx="827">
                    <c:v>#Н/Д</c:v>
                  </c:pt>
                  <c:pt idx="828">
                    <c:v>#Н/Д</c:v>
                  </c:pt>
                  <c:pt idx="829">
                    <c:v>#Н/Д</c:v>
                  </c:pt>
                  <c:pt idx="830">
                    <c:v>#Н/Д</c:v>
                  </c:pt>
                  <c:pt idx="831">
                    <c:v>#Н/Д</c:v>
                  </c:pt>
                  <c:pt idx="832">
                    <c:v>#Н/Д</c:v>
                  </c:pt>
                  <c:pt idx="833">
                    <c:v>#Н/Д</c:v>
                  </c:pt>
                  <c:pt idx="834">
                    <c:v>#Н/Д</c:v>
                  </c:pt>
                  <c:pt idx="835">
                    <c:v>#Н/Д</c:v>
                  </c:pt>
                  <c:pt idx="836">
                    <c:v>#Н/Д</c:v>
                  </c:pt>
                  <c:pt idx="837">
                    <c:v>#Н/Д</c:v>
                  </c:pt>
                  <c:pt idx="838">
                    <c:v>#Н/Д</c:v>
                  </c:pt>
                  <c:pt idx="839">
                    <c:v>#Н/Д</c:v>
                  </c:pt>
                  <c:pt idx="840">
                    <c:v>#Н/Д</c:v>
                  </c:pt>
                  <c:pt idx="841">
                    <c:v>#Н/Д</c:v>
                  </c:pt>
                  <c:pt idx="842">
                    <c:v>#Н/Д</c:v>
                  </c:pt>
                  <c:pt idx="843">
                    <c:v>#Н/Д</c:v>
                  </c:pt>
                  <c:pt idx="844">
                    <c:v>#Н/Д</c:v>
                  </c:pt>
                  <c:pt idx="845">
                    <c:v>#Н/Д</c:v>
                  </c:pt>
                  <c:pt idx="846">
                    <c:v>#Н/Д</c:v>
                  </c:pt>
                  <c:pt idx="847">
                    <c:v>#Н/Д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350-0277-4CEE-86A7-0F4DD3458E3A}"/>
            </c:ext>
          </c:extLst>
        </c:ser>
        <c:ser>
          <c:idx val="0"/>
          <c:order val="1"/>
          <c:tx>
            <c:strRef>
              <c:f>'[1]Для построения'!$O$1:$P$1</c:f>
              <c:strCache>
                <c:ptCount val="1"/>
                <c:pt idx="0">
                  <c:v>0-0.1 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22D05C"/>
              </a:solidFill>
              <a:ln w="15875">
                <a:solidFill>
                  <a:srgbClr val="22D05C"/>
                </a:solidFill>
              </a:ln>
              <a:effectLst/>
            </c:spPr>
          </c:marker>
          <c:xVal>
            <c:numRef>
              <c:f>'[1]Для построения'!$O$3:$O$850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52171.199999999997</c:v>
                </c:pt>
                <c:pt idx="19">
                  <c:v>#N/A</c:v>
                </c:pt>
                <c:pt idx="20">
                  <c:v>52159.31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52183.83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52173.279999999999</c:v>
                </c:pt>
                <c:pt idx="52">
                  <c:v>52167.38</c:v>
                </c:pt>
                <c:pt idx="53">
                  <c:v>52161.42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52168.1</c:v>
                </c:pt>
                <c:pt idx="61">
                  <c:v>#N/A</c:v>
                </c:pt>
                <c:pt idx="62">
                  <c:v>52156.25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52144.38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52089.94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52115.040000000001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xVal>
          <c:yVal>
            <c:numRef>
              <c:f>'[1]Для построения'!$P$3:$P$850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29078.92</c:v>
                </c:pt>
                <c:pt idx="19">
                  <c:v>#N/A</c:v>
                </c:pt>
                <c:pt idx="20">
                  <c:v>29073.599999999999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29090.7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29098.32</c:v>
                </c:pt>
                <c:pt idx="52">
                  <c:v>29095.56</c:v>
                </c:pt>
                <c:pt idx="53">
                  <c:v>29092.91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29102.02</c:v>
                </c:pt>
                <c:pt idx="61">
                  <c:v>#N/A</c:v>
                </c:pt>
                <c:pt idx="62">
                  <c:v>29096.78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29091.45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29006.02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29029.46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351-0277-4CEE-86A7-0F4DD3458E3A}"/>
            </c:ext>
          </c:extLst>
        </c:ser>
        <c:ser>
          <c:idx val="2"/>
          <c:order val="2"/>
          <c:tx>
            <c:strRef>
              <c:f>'[1]Для построения'!$Q$1:$R$1</c:f>
              <c:strCache>
                <c:ptCount val="1"/>
                <c:pt idx="0">
                  <c:v>0.1-0.2 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9A400"/>
              </a:solidFill>
              <a:ln w="15875">
                <a:solidFill>
                  <a:srgbClr val="89A400"/>
                </a:solidFill>
              </a:ln>
              <a:effectLst/>
            </c:spPr>
          </c:marker>
          <c:xVal>
            <c:numRef>
              <c:f>'[1]Для построения'!$Q$3:$Q$850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52167.41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52182.98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52207.69</c:v>
                </c:pt>
                <c:pt idx="25">
                  <c:v>#N/A</c:v>
                </c:pt>
                <c:pt idx="26">
                  <c:v>#N/A</c:v>
                </c:pt>
                <c:pt idx="27">
                  <c:v>52189.57</c:v>
                </c:pt>
                <c:pt idx="28">
                  <c:v>#N/A</c:v>
                </c:pt>
                <c:pt idx="29">
                  <c:v>52177.74</c:v>
                </c:pt>
                <c:pt idx="30">
                  <c:v>#N/A</c:v>
                </c:pt>
                <c:pt idx="31">
                  <c:v>#N/A</c:v>
                </c:pt>
                <c:pt idx="32">
                  <c:v>52159.92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52154.95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52191.040000000001</c:v>
                </c:pt>
                <c:pt idx="49">
                  <c:v>52185.11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52155.48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52173.85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52150.14</c:v>
                </c:pt>
                <c:pt idx="64">
                  <c:v>#N/A</c:v>
                </c:pt>
                <c:pt idx="65">
                  <c:v>#N/A</c:v>
                </c:pt>
                <c:pt idx="66">
                  <c:v>52180.51</c:v>
                </c:pt>
                <c:pt idx="67">
                  <c:v>#N/A</c:v>
                </c:pt>
                <c:pt idx="68">
                  <c:v>52168.7</c:v>
                </c:pt>
                <c:pt idx="69">
                  <c:v>#N/A</c:v>
                </c:pt>
                <c:pt idx="70">
                  <c:v>52156.84</c:v>
                </c:pt>
                <c:pt idx="71">
                  <c:v>#N/A</c:v>
                </c:pt>
                <c:pt idx="72">
                  <c:v>52175.77</c:v>
                </c:pt>
                <c:pt idx="73">
                  <c:v>52169.599999999999</c:v>
                </c:pt>
                <c:pt idx="74">
                  <c:v>52163.41</c:v>
                </c:pt>
                <c:pt idx="75">
                  <c:v>#N/A</c:v>
                </c:pt>
                <c:pt idx="76">
                  <c:v>#N/A</c:v>
                </c:pt>
                <c:pt idx="77">
                  <c:v>52145.82</c:v>
                </c:pt>
                <c:pt idx="78">
                  <c:v>#N/A</c:v>
                </c:pt>
                <c:pt idx="79">
                  <c:v>52152.51</c:v>
                </c:pt>
                <c:pt idx="80">
                  <c:v>52146.26</c:v>
                </c:pt>
                <c:pt idx="81">
                  <c:v>52153.56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52148.89</c:v>
                </c:pt>
                <c:pt idx="89">
                  <c:v>#N/A</c:v>
                </c:pt>
                <c:pt idx="90">
                  <c:v>#N/A</c:v>
                </c:pt>
                <c:pt idx="91">
                  <c:v>52130.99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52131.78</c:v>
                </c:pt>
                <c:pt idx="96">
                  <c:v>52125.71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52133.72</c:v>
                </c:pt>
                <c:pt idx="109">
                  <c:v>52128.01</c:v>
                </c:pt>
                <c:pt idx="110">
                  <c:v>52140.36</c:v>
                </c:pt>
                <c:pt idx="111">
                  <c:v>#N/A</c:v>
                </c:pt>
                <c:pt idx="112">
                  <c:v>52148.79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52133.37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52102.03</c:v>
                </c:pt>
                <c:pt idx="122">
                  <c:v>#N/A</c:v>
                </c:pt>
                <c:pt idx="123">
                  <c:v>52111.199999999997</c:v>
                </c:pt>
                <c:pt idx="124">
                  <c:v>52147.6</c:v>
                </c:pt>
                <c:pt idx="125">
                  <c:v>52118.77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52137.440000000002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52090.7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52152.2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52147.55</c:v>
                </c:pt>
                <c:pt idx="173">
                  <c:v>52141.33</c:v>
                </c:pt>
                <c:pt idx="174">
                  <c:v>#N/A</c:v>
                </c:pt>
                <c:pt idx="175">
                  <c:v>#N/A</c:v>
                </c:pt>
                <c:pt idx="176">
                  <c:v>52123.63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52117.91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52112.38</c:v>
                </c:pt>
                <c:pt idx="187">
                  <c:v>52125.23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52114.06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xVal>
          <c:yVal>
            <c:numRef>
              <c:f>'[1]Для построения'!$R$3:$R$850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29071.62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29084.26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29101.27</c:v>
                </c:pt>
                <c:pt idx="25">
                  <c:v>#N/A</c:v>
                </c:pt>
                <c:pt idx="26">
                  <c:v>#N/A</c:v>
                </c:pt>
                <c:pt idx="27">
                  <c:v>29093.25</c:v>
                </c:pt>
                <c:pt idx="28">
                  <c:v>#N/A</c:v>
                </c:pt>
                <c:pt idx="29">
                  <c:v>29088.04</c:v>
                </c:pt>
                <c:pt idx="30">
                  <c:v>#N/A</c:v>
                </c:pt>
                <c:pt idx="31">
                  <c:v>#N/A</c:v>
                </c:pt>
                <c:pt idx="32">
                  <c:v>29080.12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29083.77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29106.31</c:v>
                </c:pt>
                <c:pt idx="49">
                  <c:v>29103.62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29090.2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29104.66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29094.07</c:v>
                </c:pt>
                <c:pt idx="64">
                  <c:v>#N/A</c:v>
                </c:pt>
                <c:pt idx="65">
                  <c:v>#N/A</c:v>
                </c:pt>
                <c:pt idx="66">
                  <c:v>29113.88</c:v>
                </c:pt>
                <c:pt idx="67">
                  <c:v>#N/A</c:v>
                </c:pt>
                <c:pt idx="68">
                  <c:v>29108.38</c:v>
                </c:pt>
                <c:pt idx="69">
                  <c:v>#N/A</c:v>
                </c:pt>
                <c:pt idx="70">
                  <c:v>29103.040000000001</c:v>
                </c:pt>
                <c:pt idx="71">
                  <c:v>#N/A</c:v>
                </c:pt>
                <c:pt idx="72">
                  <c:v>29114.92</c:v>
                </c:pt>
                <c:pt idx="73">
                  <c:v>29114.84</c:v>
                </c:pt>
                <c:pt idx="74">
                  <c:v>29112.32</c:v>
                </c:pt>
                <c:pt idx="75">
                  <c:v>#N/A</c:v>
                </c:pt>
                <c:pt idx="76">
                  <c:v>#N/A</c:v>
                </c:pt>
                <c:pt idx="77">
                  <c:v>29104.45</c:v>
                </c:pt>
                <c:pt idx="78">
                  <c:v>#N/A</c:v>
                </c:pt>
                <c:pt idx="79">
                  <c:v>29112.39</c:v>
                </c:pt>
                <c:pt idx="80">
                  <c:v>29110.78</c:v>
                </c:pt>
                <c:pt idx="81">
                  <c:v>29071.06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29081.360000000001</c:v>
                </c:pt>
                <c:pt idx="89">
                  <c:v>#N/A</c:v>
                </c:pt>
                <c:pt idx="90">
                  <c:v>#N/A</c:v>
                </c:pt>
                <c:pt idx="91">
                  <c:v>29073.439999999999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29079.87</c:v>
                </c:pt>
                <c:pt idx="96">
                  <c:v>29077.09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29098.93</c:v>
                </c:pt>
                <c:pt idx="109">
                  <c:v>29096.39</c:v>
                </c:pt>
                <c:pt idx="110">
                  <c:v>29108.14</c:v>
                </c:pt>
                <c:pt idx="111">
                  <c:v>#N/A</c:v>
                </c:pt>
                <c:pt idx="112">
                  <c:v>29042.76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29020.04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29000.09</c:v>
                </c:pt>
                <c:pt idx="122">
                  <c:v>#N/A</c:v>
                </c:pt>
                <c:pt idx="123">
                  <c:v>29003.64</c:v>
                </c:pt>
                <c:pt idx="124">
                  <c:v>29041.98</c:v>
                </c:pt>
                <c:pt idx="125">
                  <c:v>29012.59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29033.07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29012.560000000001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29058.17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29062.25</c:v>
                </c:pt>
                <c:pt idx="173">
                  <c:v>29059.599999999999</c:v>
                </c:pt>
                <c:pt idx="174">
                  <c:v>#N/A</c:v>
                </c:pt>
                <c:pt idx="175">
                  <c:v>#N/A</c:v>
                </c:pt>
                <c:pt idx="176">
                  <c:v>29052.21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29055.26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29058.880000000001</c:v>
                </c:pt>
                <c:pt idx="187">
                  <c:v>29070.7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29071.86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352-0277-4CEE-86A7-0F4DD3458E3A}"/>
            </c:ext>
          </c:extLst>
        </c:ser>
        <c:ser>
          <c:idx val="3"/>
          <c:order val="3"/>
          <c:tx>
            <c:strRef>
              <c:f>'[1]Для построения'!$S$1:$T$1</c:f>
              <c:strCache>
                <c:ptCount val="1"/>
                <c:pt idx="0">
                  <c:v>0.2-0.3 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BB200"/>
              </a:solidFill>
              <a:ln w="15875">
                <a:solidFill>
                  <a:srgbClr val="CBB200"/>
                </a:solidFill>
              </a:ln>
              <a:effectLst/>
            </c:spPr>
          </c:marker>
          <c:xVal>
            <c:numRef>
              <c:f>'[1]Для построения'!$S$3:$S$850</c:f>
              <c:numCache>
                <c:formatCode>General</c:formatCode>
                <c:ptCount val="848"/>
                <c:pt idx="0">
                  <c:v>52233.19</c:v>
                </c:pt>
                <c:pt idx="1">
                  <c:v>52205.08</c:v>
                </c:pt>
                <c:pt idx="2">
                  <c:v>52202.49</c:v>
                </c:pt>
                <c:pt idx="3">
                  <c:v>52195.98</c:v>
                </c:pt>
                <c:pt idx="4">
                  <c:v>52187.78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52159.25</c:v>
                </c:pt>
                <c:pt idx="9">
                  <c:v>52230.38</c:v>
                </c:pt>
                <c:pt idx="10">
                  <c:v>#N/A</c:v>
                </c:pt>
                <c:pt idx="11">
                  <c:v>52218.7</c:v>
                </c:pt>
                <c:pt idx="12">
                  <c:v>52212.59</c:v>
                </c:pt>
                <c:pt idx="13">
                  <c:v>52200.92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52176.99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52225.67</c:v>
                </c:pt>
                <c:pt idx="22">
                  <c:v>52219.45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52171.74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52214.38</c:v>
                </c:pt>
                <c:pt idx="35">
                  <c:v>#N/A</c:v>
                </c:pt>
                <c:pt idx="36">
                  <c:v>52202.32</c:v>
                </c:pt>
                <c:pt idx="37">
                  <c:v>52196.37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52208.77</c:v>
                </c:pt>
                <c:pt idx="46">
                  <c:v>#N/A</c:v>
                </c:pt>
                <c:pt idx="47">
                  <c:v>52196.84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52185.66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52174.46</c:v>
                </c:pt>
                <c:pt idx="68">
                  <c:v>#N/A</c:v>
                </c:pt>
                <c:pt idx="69">
                  <c:v>52162.6</c:v>
                </c:pt>
                <c:pt idx="70">
                  <c:v>#N/A</c:v>
                </c:pt>
                <c:pt idx="71">
                  <c:v>52150.66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52157.38</c:v>
                </c:pt>
                <c:pt idx="76">
                  <c:v>#N/A</c:v>
                </c:pt>
                <c:pt idx="77">
                  <c:v>#N/A</c:v>
                </c:pt>
                <c:pt idx="78">
                  <c:v>52158.8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52147.66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52142.45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52137.09</c:v>
                </c:pt>
                <c:pt idx="91">
                  <c:v>#N/A</c:v>
                </c:pt>
                <c:pt idx="92">
                  <c:v>52149.4</c:v>
                </c:pt>
                <c:pt idx="93">
                  <c:v>52143.54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52138.400000000001</c:v>
                </c:pt>
                <c:pt idx="99">
                  <c:v>52132.66</c:v>
                </c:pt>
                <c:pt idx="100">
                  <c:v>#N/A</c:v>
                </c:pt>
                <c:pt idx="101">
                  <c:v>52120.37</c:v>
                </c:pt>
                <c:pt idx="102">
                  <c:v>#N/A</c:v>
                </c:pt>
                <c:pt idx="103">
                  <c:v>52138.86</c:v>
                </c:pt>
                <c:pt idx="104">
                  <c:v>52133.18</c:v>
                </c:pt>
                <c:pt idx="105">
                  <c:v>52127.41</c:v>
                </c:pt>
                <c:pt idx="106">
                  <c:v>52121.46</c:v>
                </c:pt>
                <c:pt idx="107">
                  <c:v>52139.82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52142.29</c:v>
                </c:pt>
                <c:pt idx="114">
                  <c:v>52140</c:v>
                </c:pt>
                <c:pt idx="115">
                  <c:v>52134.85</c:v>
                </c:pt>
                <c:pt idx="116">
                  <c:v>#N/A</c:v>
                </c:pt>
                <c:pt idx="117">
                  <c:v>#N/A</c:v>
                </c:pt>
                <c:pt idx="118">
                  <c:v>52119.58</c:v>
                </c:pt>
                <c:pt idx="119">
                  <c:v>#N/A</c:v>
                </c:pt>
                <c:pt idx="120">
                  <c:v>52107.92</c:v>
                </c:pt>
                <c:pt idx="121">
                  <c:v>#N/A</c:v>
                </c:pt>
                <c:pt idx="122">
                  <c:v>52090.55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52106.83</c:v>
                </c:pt>
                <c:pt idx="128">
                  <c:v>52100.84</c:v>
                </c:pt>
                <c:pt idx="129">
                  <c:v>52095.15</c:v>
                </c:pt>
                <c:pt idx="130">
                  <c:v>#N/A</c:v>
                </c:pt>
                <c:pt idx="131">
                  <c:v>52130.48</c:v>
                </c:pt>
                <c:pt idx="132">
                  <c:v>#N/A</c:v>
                </c:pt>
                <c:pt idx="133">
                  <c:v>#N/A</c:v>
                </c:pt>
                <c:pt idx="134">
                  <c:v>52113.440000000002</c:v>
                </c:pt>
                <c:pt idx="135">
                  <c:v>#N/A</c:v>
                </c:pt>
                <c:pt idx="136">
                  <c:v>52101.88</c:v>
                </c:pt>
                <c:pt idx="137">
                  <c:v>#N/A</c:v>
                </c:pt>
                <c:pt idx="138">
                  <c:v>#N/A</c:v>
                </c:pt>
                <c:pt idx="139">
                  <c:v>52084.99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52120.09</c:v>
                </c:pt>
                <c:pt idx="144">
                  <c:v>52114.17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52081.46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52109.919999999998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52153.27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52129.38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52118.64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xVal>
          <c:yVal>
            <c:numRef>
              <c:f>'[1]Для построения'!$T$3:$T$850</c:f>
              <c:numCache>
                <c:formatCode>General</c:formatCode>
                <c:ptCount val="848"/>
                <c:pt idx="0">
                  <c:v>29101.99</c:v>
                </c:pt>
                <c:pt idx="1">
                  <c:v>29088.16</c:v>
                </c:pt>
                <c:pt idx="2">
                  <c:v>29087.16</c:v>
                </c:pt>
                <c:pt idx="3">
                  <c:v>29084.68</c:v>
                </c:pt>
                <c:pt idx="4">
                  <c:v>29080.32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29067.73</c:v>
                </c:pt>
                <c:pt idx="9">
                  <c:v>29105.43</c:v>
                </c:pt>
                <c:pt idx="10">
                  <c:v>#N/A</c:v>
                </c:pt>
                <c:pt idx="11">
                  <c:v>29099.88</c:v>
                </c:pt>
                <c:pt idx="12">
                  <c:v>29097.3</c:v>
                </c:pt>
                <c:pt idx="13">
                  <c:v>29092.45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29081.81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29109.18</c:v>
                </c:pt>
                <c:pt idx="22">
                  <c:v>29105.3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29085.59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29110.48</c:v>
                </c:pt>
                <c:pt idx="35">
                  <c:v>#N/A</c:v>
                </c:pt>
                <c:pt idx="36">
                  <c:v>29104.74</c:v>
                </c:pt>
                <c:pt idx="37">
                  <c:v>29102.18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29113.99</c:v>
                </c:pt>
                <c:pt idx="46">
                  <c:v>#N/A</c:v>
                </c:pt>
                <c:pt idx="47">
                  <c:v>29108.69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29109.93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29111.1</c:v>
                </c:pt>
                <c:pt idx="68">
                  <c:v>#N/A</c:v>
                </c:pt>
                <c:pt idx="69">
                  <c:v>29105.71</c:v>
                </c:pt>
                <c:pt idx="70">
                  <c:v>#N/A</c:v>
                </c:pt>
                <c:pt idx="71">
                  <c:v>29100.52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29109.81</c:v>
                </c:pt>
                <c:pt idx="76">
                  <c:v>#N/A</c:v>
                </c:pt>
                <c:pt idx="77">
                  <c:v>#N/A</c:v>
                </c:pt>
                <c:pt idx="78">
                  <c:v>29113.439999999999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29068.5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29072.13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29076.240000000002</c:v>
                </c:pt>
                <c:pt idx="91">
                  <c:v>#N/A</c:v>
                </c:pt>
                <c:pt idx="92">
                  <c:v>29087.47</c:v>
                </c:pt>
                <c:pt idx="93">
                  <c:v>29085.3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29088.62</c:v>
                </c:pt>
                <c:pt idx="99">
                  <c:v>29086.2</c:v>
                </c:pt>
                <c:pt idx="100">
                  <c:v>#N/A</c:v>
                </c:pt>
                <c:pt idx="101">
                  <c:v>29080.94</c:v>
                </c:pt>
                <c:pt idx="102">
                  <c:v>#N/A</c:v>
                </c:pt>
                <c:pt idx="103">
                  <c:v>29095.38</c:v>
                </c:pt>
                <c:pt idx="104">
                  <c:v>29092.84</c:v>
                </c:pt>
                <c:pt idx="105">
                  <c:v>29089.95</c:v>
                </c:pt>
                <c:pt idx="106">
                  <c:v>29087.25</c:v>
                </c:pt>
                <c:pt idx="107">
                  <c:v>29101.98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29035.58</c:v>
                </c:pt>
                <c:pt idx="114">
                  <c:v>29033.89</c:v>
                </c:pt>
                <c:pt idx="115">
                  <c:v>29026.3</c:v>
                </c:pt>
                <c:pt idx="116">
                  <c:v>#N/A</c:v>
                </c:pt>
                <c:pt idx="117">
                  <c:v>#N/A</c:v>
                </c:pt>
                <c:pt idx="118">
                  <c:v>29008</c:v>
                </c:pt>
                <c:pt idx="119">
                  <c:v>#N/A</c:v>
                </c:pt>
                <c:pt idx="120">
                  <c:v>29000.77</c:v>
                </c:pt>
                <c:pt idx="121">
                  <c:v>#N/A</c:v>
                </c:pt>
                <c:pt idx="122">
                  <c:v>28995.119999999999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29007.43</c:v>
                </c:pt>
                <c:pt idx="128">
                  <c:v>29004.799999999999</c:v>
                </c:pt>
                <c:pt idx="129">
                  <c:v>29001.94</c:v>
                </c:pt>
                <c:pt idx="130">
                  <c:v>#N/A</c:v>
                </c:pt>
                <c:pt idx="131">
                  <c:v>29024.28</c:v>
                </c:pt>
                <c:pt idx="132">
                  <c:v>#N/A</c:v>
                </c:pt>
                <c:pt idx="133">
                  <c:v>#N/A</c:v>
                </c:pt>
                <c:pt idx="134">
                  <c:v>29016.5</c:v>
                </c:pt>
                <c:pt idx="135">
                  <c:v>#N/A</c:v>
                </c:pt>
                <c:pt idx="136">
                  <c:v>29011.5</c:v>
                </c:pt>
                <c:pt idx="137">
                  <c:v>#N/A</c:v>
                </c:pt>
                <c:pt idx="138">
                  <c:v>#N/A</c:v>
                </c:pt>
                <c:pt idx="139">
                  <c:v>29003.94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29025.4</c:v>
                </c:pt>
                <c:pt idx="144">
                  <c:v>29022.74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29008.560000000001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29032.94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29064.71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29054.65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29061.79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353-0277-4CEE-86A7-0F4DD3458E3A}"/>
            </c:ext>
          </c:extLst>
        </c:ser>
        <c:ser>
          <c:idx val="4"/>
          <c:order val="4"/>
          <c:tx>
            <c:strRef>
              <c:f>'[1]Для построения'!$U$1:$V$1</c:f>
              <c:strCache>
                <c:ptCount val="1"/>
                <c:pt idx="0">
                  <c:v>0.3-0.4 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28E00"/>
              </a:solidFill>
              <a:ln w="15875">
                <a:solidFill>
                  <a:srgbClr val="E28E00"/>
                </a:solidFill>
              </a:ln>
              <a:effectLst/>
            </c:spPr>
          </c:marker>
          <c:xVal>
            <c:numRef>
              <c:f>'[1]Для построения'!$U$3:$U$850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52224.42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52189.14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52165.65</c:v>
                </c:pt>
                <c:pt idx="32">
                  <c:v>#N/A</c:v>
                </c:pt>
                <c:pt idx="33">
                  <c:v>52219.05</c:v>
                </c:pt>
                <c:pt idx="34">
                  <c:v>#N/A</c:v>
                </c:pt>
                <c:pt idx="35">
                  <c:v>52208.53</c:v>
                </c:pt>
                <c:pt idx="36">
                  <c:v>#N/A</c:v>
                </c:pt>
                <c:pt idx="37">
                  <c:v>#N/A</c:v>
                </c:pt>
                <c:pt idx="38">
                  <c:v>52190.67</c:v>
                </c:pt>
                <c:pt idx="39">
                  <c:v>52184.71</c:v>
                </c:pt>
                <c:pt idx="40">
                  <c:v>#N/A</c:v>
                </c:pt>
                <c:pt idx="41">
                  <c:v>#N/A</c:v>
                </c:pt>
                <c:pt idx="42">
                  <c:v>52166.34</c:v>
                </c:pt>
                <c:pt idx="43">
                  <c:v>52160.38</c:v>
                </c:pt>
                <c:pt idx="44">
                  <c:v>#N/A</c:v>
                </c:pt>
                <c:pt idx="45">
                  <c:v>#N/A</c:v>
                </c:pt>
                <c:pt idx="46">
                  <c:v>52203.06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52178.91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52161.8</c:v>
                </c:pt>
                <c:pt idx="62">
                  <c:v>#N/A</c:v>
                </c:pt>
                <c:pt idx="63">
                  <c:v>#N/A</c:v>
                </c:pt>
                <c:pt idx="64">
                  <c:v>52192.27</c:v>
                </c:pt>
                <c:pt idx="65">
                  <c:v>52186.58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52151.44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52153.760000000002</c:v>
                </c:pt>
                <c:pt idx="85">
                  <c:v>52147.99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52135.23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52130.97</c:v>
                </c:pt>
                <c:pt idx="118">
                  <c:v>#N/A</c:v>
                </c:pt>
                <c:pt idx="119">
                  <c:v>52116.94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52112.76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52089.26</c:v>
                </c:pt>
                <c:pt idx="131">
                  <c:v>#N/A</c:v>
                </c:pt>
                <c:pt idx="132">
                  <c:v>52125.24</c:v>
                </c:pt>
                <c:pt idx="133">
                  <c:v>#N/A</c:v>
                </c:pt>
                <c:pt idx="134">
                  <c:v>#N/A</c:v>
                </c:pt>
                <c:pt idx="135">
                  <c:v>52108.11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52131.86</c:v>
                </c:pt>
                <c:pt idx="142">
                  <c:v>52125.96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52096.62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52144.51</c:v>
                </c:pt>
                <c:pt idx="152">
                  <c:v>#N/A</c:v>
                </c:pt>
                <c:pt idx="153">
                  <c:v>52132.51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52103.23</c:v>
                </c:pt>
                <c:pt idx="159">
                  <c:v>52096.85</c:v>
                </c:pt>
                <c:pt idx="160">
                  <c:v>#N/A</c:v>
                </c:pt>
                <c:pt idx="161">
                  <c:v>52145.19</c:v>
                </c:pt>
                <c:pt idx="162">
                  <c:v>52127.49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52098.04</c:v>
                </c:pt>
                <c:pt idx="167">
                  <c:v>#N/A</c:v>
                </c:pt>
                <c:pt idx="168">
                  <c:v>52141.01</c:v>
                </c:pt>
                <c:pt idx="169">
                  <c:v>52138.69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52103.89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52124.71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52119.09</c:v>
                </c:pt>
                <c:pt idx="189">
                  <c:v>#N/A</c:v>
                </c:pt>
                <c:pt idx="190">
                  <c:v>52107.7</c:v>
                </c:pt>
                <c:pt idx="191">
                  <c:v>#N/A</c:v>
                </c:pt>
                <c:pt idx="192">
                  <c:v>#N/A</c:v>
                </c:pt>
                <c:pt idx="193">
                  <c:v>52109.88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xVal>
          <c:yVal>
            <c:numRef>
              <c:f>'[1]Для построения'!$V$3:$V$850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29102.58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29087.18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29082.84</c:v>
                </c:pt>
                <c:pt idx="32">
                  <c:v>#N/A</c:v>
                </c:pt>
                <c:pt idx="33">
                  <c:v>29110.49</c:v>
                </c:pt>
                <c:pt idx="34">
                  <c:v>#N/A</c:v>
                </c:pt>
                <c:pt idx="35">
                  <c:v>29107.52</c:v>
                </c:pt>
                <c:pt idx="36">
                  <c:v>#N/A</c:v>
                </c:pt>
                <c:pt idx="37">
                  <c:v>#N/A</c:v>
                </c:pt>
                <c:pt idx="38">
                  <c:v>29099.5</c:v>
                </c:pt>
                <c:pt idx="39">
                  <c:v>29097.439999999999</c:v>
                </c:pt>
                <c:pt idx="40">
                  <c:v>#N/A</c:v>
                </c:pt>
                <c:pt idx="41">
                  <c:v>#N/A</c:v>
                </c:pt>
                <c:pt idx="42">
                  <c:v>29089.02</c:v>
                </c:pt>
                <c:pt idx="43">
                  <c:v>29086.65</c:v>
                </c:pt>
                <c:pt idx="44">
                  <c:v>#N/A</c:v>
                </c:pt>
                <c:pt idx="45">
                  <c:v>#N/A</c:v>
                </c:pt>
                <c:pt idx="46">
                  <c:v>29111.119999999999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29101.06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29099.45</c:v>
                </c:pt>
                <c:pt idx="62">
                  <c:v>#N/A</c:v>
                </c:pt>
                <c:pt idx="63">
                  <c:v>#N/A</c:v>
                </c:pt>
                <c:pt idx="64">
                  <c:v>29116.45</c:v>
                </c:pt>
                <c:pt idx="65">
                  <c:v>29116.1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29107.27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29077.41</c:v>
                </c:pt>
                <c:pt idx="85">
                  <c:v>29075.09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29104.77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29018.42</c:v>
                </c:pt>
                <c:pt idx="118">
                  <c:v>#N/A</c:v>
                </c:pt>
                <c:pt idx="119">
                  <c:v>29006.61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29010.31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28999.85</c:v>
                </c:pt>
                <c:pt idx="131">
                  <c:v>#N/A</c:v>
                </c:pt>
                <c:pt idx="132">
                  <c:v>29021.99</c:v>
                </c:pt>
                <c:pt idx="133">
                  <c:v>#N/A</c:v>
                </c:pt>
                <c:pt idx="134">
                  <c:v>#N/A</c:v>
                </c:pt>
                <c:pt idx="135">
                  <c:v>29013.85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29030.83</c:v>
                </c:pt>
                <c:pt idx="142">
                  <c:v>29028.06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29015.37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29042.86</c:v>
                </c:pt>
                <c:pt idx="152">
                  <c:v>#N/A</c:v>
                </c:pt>
                <c:pt idx="153">
                  <c:v>29037.47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29024.48</c:v>
                </c:pt>
                <c:pt idx="159">
                  <c:v>29021.4</c:v>
                </c:pt>
                <c:pt idx="160">
                  <c:v>#N/A</c:v>
                </c:pt>
                <c:pt idx="161">
                  <c:v>29048.77</c:v>
                </c:pt>
                <c:pt idx="162">
                  <c:v>29040.74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29027.54</c:v>
                </c:pt>
                <c:pt idx="167">
                  <c:v>#N/A</c:v>
                </c:pt>
                <c:pt idx="168">
                  <c:v>29056.25</c:v>
                </c:pt>
                <c:pt idx="169">
                  <c:v>29054.52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29042.09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29064.04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29067.72</c:v>
                </c:pt>
                <c:pt idx="189">
                  <c:v>#N/A</c:v>
                </c:pt>
                <c:pt idx="190">
                  <c:v>29062.71</c:v>
                </c:pt>
                <c:pt idx="191">
                  <c:v>#N/A</c:v>
                </c:pt>
                <c:pt idx="192">
                  <c:v>#N/A</c:v>
                </c:pt>
                <c:pt idx="193">
                  <c:v>29068.38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354-0277-4CEE-86A7-0F4DD3458E3A}"/>
            </c:ext>
          </c:extLst>
        </c:ser>
        <c:ser>
          <c:idx val="5"/>
          <c:order val="5"/>
          <c:tx>
            <c:strRef>
              <c:f>'[1]Для построения'!$W$1:$X$1</c:f>
              <c:strCache>
                <c:ptCount val="1"/>
                <c:pt idx="0">
                  <c:v>0.4-0.5 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56000"/>
              </a:solidFill>
              <a:ln w="15875">
                <a:solidFill>
                  <a:srgbClr val="F56000"/>
                </a:solidFill>
              </a:ln>
              <a:effectLst/>
            </c:spPr>
          </c:marker>
          <c:xVal>
            <c:numRef>
              <c:f>'[1]Для построения'!$W$3:$W$850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52184.85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52194.85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52165.73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52213.81</c:v>
                </c:pt>
                <c:pt idx="24">
                  <c:v>#N/A</c:v>
                </c:pt>
                <c:pt idx="25">
                  <c:v>52201.89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52178.48</c:v>
                </c:pt>
                <c:pt idx="41">
                  <c:v>52172.87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52198.1</c:v>
                </c:pt>
                <c:pt idx="56">
                  <c:v>52191.67</c:v>
                </c:pt>
                <c:pt idx="57">
                  <c:v>#N/A</c:v>
                </c:pt>
                <c:pt idx="58">
                  <c:v>52180.04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52141.97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52136.75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52138.09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52144.58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52119.18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52096.26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52107.99</c:v>
                </c:pt>
                <c:pt idx="146">
                  <c:v>52102.01</c:v>
                </c:pt>
                <c:pt idx="147">
                  <c:v>#N/A</c:v>
                </c:pt>
                <c:pt idx="148">
                  <c:v>#N/A</c:v>
                </c:pt>
                <c:pt idx="149">
                  <c:v>52085.07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52120.51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52150.96</c:v>
                </c:pt>
                <c:pt idx="161">
                  <c:v>#N/A</c:v>
                </c:pt>
                <c:pt idx="162">
                  <c:v>#N/A</c:v>
                </c:pt>
                <c:pt idx="163">
                  <c:v>52115.7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52135.18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52136.02</c:v>
                </c:pt>
                <c:pt idx="181">
                  <c:v>52124.14</c:v>
                </c:pt>
                <c:pt idx="182">
                  <c:v>#N/A</c:v>
                </c:pt>
                <c:pt idx="183">
                  <c:v>52130.82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52113.18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52116.86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xVal>
          <c:yVal>
            <c:numRef>
              <c:f>'[1]Для построения'!$X$3:$X$850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29079.35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29089.91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29076.44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29103.62</c:v>
                </c:pt>
                <c:pt idx="24">
                  <c:v>#N/A</c:v>
                </c:pt>
                <c:pt idx="25">
                  <c:v>29098.93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29094.07</c:v>
                </c:pt>
                <c:pt idx="41">
                  <c:v>29091.47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29115</c:v>
                </c:pt>
                <c:pt idx="56">
                  <c:v>29112.25</c:v>
                </c:pt>
                <c:pt idx="57">
                  <c:v>#N/A</c:v>
                </c:pt>
                <c:pt idx="58">
                  <c:v>29106.91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29065.95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29069.48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29082.560000000001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29098.01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29018.98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29008.78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29020.240000000002</c:v>
                </c:pt>
                <c:pt idx="146">
                  <c:v>29017.72</c:v>
                </c:pt>
                <c:pt idx="147">
                  <c:v>#N/A</c:v>
                </c:pt>
                <c:pt idx="148">
                  <c:v>#N/A</c:v>
                </c:pt>
                <c:pt idx="149">
                  <c:v>29010.02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29031.96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29051.59</c:v>
                </c:pt>
                <c:pt idx="161">
                  <c:v>#N/A</c:v>
                </c:pt>
                <c:pt idx="162">
                  <c:v>#N/A</c:v>
                </c:pt>
                <c:pt idx="163">
                  <c:v>29035.42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29057.06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29063.06</c:v>
                </c:pt>
                <c:pt idx="181">
                  <c:v>29057.97</c:v>
                </c:pt>
                <c:pt idx="182">
                  <c:v>#N/A</c:v>
                </c:pt>
                <c:pt idx="183">
                  <c:v>29066.84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29065.83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29078.44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355-0277-4CEE-86A7-0F4DD3458E3A}"/>
            </c:ext>
          </c:extLst>
        </c:ser>
        <c:ser>
          <c:idx val="6"/>
          <c:order val="6"/>
          <c:tx>
            <c:strRef>
              <c:f>'[1]Для построения'!$Y$1:$Z$1</c:f>
              <c:strCache>
                <c:ptCount val="1"/>
                <c:pt idx="0">
                  <c:v>&gt;0.5 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15875">
                <a:solidFill>
                  <a:srgbClr val="C00000"/>
                </a:solidFill>
              </a:ln>
              <a:effectLst/>
            </c:spPr>
          </c:marker>
          <c:xVal>
            <c:numRef>
              <c:f>'[1]Для построения'!$Y$3:$Y$850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52161.48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52196.07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52143.38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52127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52138.35</c:v>
                </c:pt>
                <c:pt idx="153">
                  <c:v>#N/A</c:v>
                </c:pt>
                <c:pt idx="154">
                  <c:v>52126.53</c:v>
                </c:pt>
                <c:pt idx="155">
                  <c:v>#N/A</c:v>
                </c:pt>
                <c:pt idx="156">
                  <c:v>#N/A</c:v>
                </c:pt>
                <c:pt idx="157">
                  <c:v>52108.58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52104.56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52098.23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52117.81</c:v>
                </c:pt>
                <c:pt idx="178">
                  <c:v>#N/A</c:v>
                </c:pt>
                <c:pt idx="179">
                  <c:v>52099.79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52119.66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xVal>
          <c:yVal>
            <c:numRef>
              <c:f>'[1]Для построения'!$Z$3:$Z$850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29069.279999999999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29096.46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29078.93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29083.82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29040.34</c:v>
                </c:pt>
                <c:pt idx="153">
                  <c:v>#N/A</c:v>
                </c:pt>
                <c:pt idx="154">
                  <c:v>29035.09</c:v>
                </c:pt>
                <c:pt idx="155">
                  <c:v>#N/A</c:v>
                </c:pt>
                <c:pt idx="156">
                  <c:v>#N/A</c:v>
                </c:pt>
                <c:pt idx="157">
                  <c:v>29026.62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29030.92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29033.98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29049.55</c:v>
                </c:pt>
                <c:pt idx="178">
                  <c:v>#N/A</c:v>
                </c:pt>
                <c:pt idx="179">
                  <c:v>29039.51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29074.92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356-0277-4CEE-86A7-0F4DD3458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684896"/>
        <c:axId val="289683648"/>
      </c:scatterChart>
      <c:valAx>
        <c:axId val="289684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9683648"/>
        <c:crosses val="autoZero"/>
        <c:crossBetween val="midCat"/>
      </c:valAx>
      <c:valAx>
        <c:axId val="289683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9684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907922120320663"/>
          <c:y val="4.455368067727794E-2"/>
          <c:w val="8.0067181411954957E-2"/>
          <c:h val="0.213862856304625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'[1]Для построения'!$A$3:$A$850</c:f>
              <c:strCache>
                <c:ptCount val="848"/>
                <c:pt idx="0">
                  <c:v>1</c:v>
                </c:pt>
                <c:pt idx="1">
                  <c:v>7</c:v>
                </c:pt>
                <c:pt idx="2">
                  <c:v>8</c:v>
                </c:pt>
                <c:pt idx="3">
                  <c:v>9</c:v>
                </c:pt>
                <c:pt idx="4">
                  <c:v>11</c:v>
                </c:pt>
                <c:pt idx="5">
                  <c:v>12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24</c:v>
                </c:pt>
                <c:pt idx="14">
                  <c:v>25</c:v>
                </c:pt>
                <c:pt idx="15">
                  <c:v>26</c:v>
                </c:pt>
                <c:pt idx="16">
                  <c:v>27</c:v>
                </c:pt>
                <c:pt idx="17">
                  <c:v>28</c:v>
                </c:pt>
                <c:pt idx="18">
                  <c:v>29</c:v>
                </c:pt>
                <c:pt idx="19">
                  <c:v>30</c:v>
                </c:pt>
                <c:pt idx="20">
                  <c:v>31</c:v>
                </c:pt>
                <c:pt idx="21">
                  <c:v>32</c:v>
                </c:pt>
                <c:pt idx="22">
                  <c:v>33</c:v>
                </c:pt>
                <c:pt idx="23">
                  <c:v>34</c:v>
                </c:pt>
                <c:pt idx="24">
                  <c:v>35</c:v>
                </c:pt>
                <c:pt idx="25">
                  <c:v>36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40</c:v>
                </c:pt>
                <c:pt idx="30">
                  <c:v>41</c:v>
                </c:pt>
                <c:pt idx="31">
                  <c:v>42</c:v>
                </c:pt>
                <c:pt idx="32">
                  <c:v>43</c:v>
                </c:pt>
                <c:pt idx="33">
                  <c:v>44</c:v>
                </c:pt>
                <c:pt idx="34">
                  <c:v>45</c:v>
                </c:pt>
                <c:pt idx="35">
                  <c:v>46</c:v>
                </c:pt>
                <c:pt idx="36">
                  <c:v>47</c:v>
                </c:pt>
                <c:pt idx="37">
                  <c:v>48</c:v>
                </c:pt>
                <c:pt idx="38">
                  <c:v>49</c:v>
                </c:pt>
                <c:pt idx="39">
                  <c:v>50</c:v>
                </c:pt>
                <c:pt idx="40">
                  <c:v>51</c:v>
                </c:pt>
                <c:pt idx="41">
                  <c:v>52</c:v>
                </c:pt>
                <c:pt idx="42">
                  <c:v>53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57</c:v>
                </c:pt>
                <c:pt idx="47">
                  <c:v>58</c:v>
                </c:pt>
                <c:pt idx="48">
                  <c:v>59</c:v>
                </c:pt>
                <c:pt idx="49">
                  <c:v>60</c:v>
                </c:pt>
                <c:pt idx="50">
                  <c:v>61</c:v>
                </c:pt>
                <c:pt idx="51">
                  <c:v>62</c:v>
                </c:pt>
                <c:pt idx="52">
                  <c:v>63</c:v>
                </c:pt>
                <c:pt idx="53">
                  <c:v>64</c:v>
                </c:pt>
                <c:pt idx="54">
                  <c:v>65</c:v>
                </c:pt>
                <c:pt idx="55">
                  <c:v>66</c:v>
                </c:pt>
                <c:pt idx="56">
                  <c:v>67</c:v>
                </c:pt>
                <c:pt idx="57">
                  <c:v>68</c:v>
                </c:pt>
                <c:pt idx="58">
                  <c:v>69</c:v>
                </c:pt>
                <c:pt idx="59">
                  <c:v>70</c:v>
                </c:pt>
                <c:pt idx="60">
                  <c:v>71</c:v>
                </c:pt>
                <c:pt idx="61">
                  <c:v>72</c:v>
                </c:pt>
                <c:pt idx="62">
                  <c:v>73</c:v>
                </c:pt>
                <c:pt idx="63">
                  <c:v>74</c:v>
                </c:pt>
                <c:pt idx="64">
                  <c:v>75</c:v>
                </c:pt>
                <c:pt idx="65">
                  <c:v>76</c:v>
                </c:pt>
                <c:pt idx="66">
                  <c:v>77</c:v>
                </c:pt>
                <c:pt idx="67">
                  <c:v>78</c:v>
                </c:pt>
                <c:pt idx="68">
                  <c:v>79</c:v>
                </c:pt>
                <c:pt idx="69">
                  <c:v>80</c:v>
                </c:pt>
                <c:pt idx="70">
                  <c:v>81</c:v>
                </c:pt>
                <c:pt idx="71">
                  <c:v>82</c:v>
                </c:pt>
                <c:pt idx="72">
                  <c:v>83</c:v>
                </c:pt>
                <c:pt idx="73">
                  <c:v>84</c:v>
                </c:pt>
                <c:pt idx="74">
                  <c:v>85</c:v>
                </c:pt>
                <c:pt idx="75">
                  <c:v>86</c:v>
                </c:pt>
                <c:pt idx="76">
                  <c:v>87</c:v>
                </c:pt>
                <c:pt idx="77">
                  <c:v>88</c:v>
                </c:pt>
                <c:pt idx="78">
                  <c:v>89</c:v>
                </c:pt>
                <c:pt idx="79">
                  <c:v>90</c:v>
                </c:pt>
                <c:pt idx="80">
                  <c:v>91</c:v>
                </c:pt>
                <c:pt idx="81">
                  <c:v>92</c:v>
                </c:pt>
                <c:pt idx="82">
                  <c:v>93</c:v>
                </c:pt>
                <c:pt idx="83">
                  <c:v>94</c:v>
                </c:pt>
                <c:pt idx="84">
                  <c:v>95</c:v>
                </c:pt>
                <c:pt idx="85">
                  <c:v>96</c:v>
                </c:pt>
                <c:pt idx="86">
                  <c:v>97</c:v>
                </c:pt>
                <c:pt idx="87">
                  <c:v>98</c:v>
                </c:pt>
                <c:pt idx="88">
                  <c:v>99</c:v>
                </c:pt>
                <c:pt idx="89">
                  <c:v>100</c:v>
                </c:pt>
                <c:pt idx="90">
                  <c:v>101</c:v>
                </c:pt>
                <c:pt idx="91">
                  <c:v>102</c:v>
                </c:pt>
                <c:pt idx="92">
                  <c:v>103</c:v>
                </c:pt>
                <c:pt idx="93">
                  <c:v>104</c:v>
                </c:pt>
                <c:pt idx="94">
                  <c:v>105</c:v>
                </c:pt>
                <c:pt idx="95">
                  <c:v>106</c:v>
                </c:pt>
                <c:pt idx="96">
                  <c:v>107</c:v>
                </c:pt>
                <c:pt idx="97">
                  <c:v>108</c:v>
                </c:pt>
                <c:pt idx="98">
                  <c:v>109</c:v>
                </c:pt>
                <c:pt idx="99">
                  <c:v>110</c:v>
                </c:pt>
                <c:pt idx="100">
                  <c:v>111</c:v>
                </c:pt>
                <c:pt idx="101">
                  <c:v>112</c:v>
                </c:pt>
                <c:pt idx="102">
                  <c:v>113</c:v>
                </c:pt>
                <c:pt idx="103">
                  <c:v>114</c:v>
                </c:pt>
                <c:pt idx="104">
                  <c:v>115</c:v>
                </c:pt>
                <c:pt idx="105">
                  <c:v>116</c:v>
                </c:pt>
                <c:pt idx="106">
                  <c:v>117</c:v>
                </c:pt>
                <c:pt idx="107">
                  <c:v>118</c:v>
                </c:pt>
                <c:pt idx="108">
                  <c:v>119</c:v>
                </c:pt>
                <c:pt idx="109">
                  <c:v>120</c:v>
                </c:pt>
                <c:pt idx="110">
                  <c:v>121</c:v>
                </c:pt>
                <c:pt idx="111">
                  <c:v>122</c:v>
                </c:pt>
                <c:pt idx="112">
                  <c:v>128</c:v>
                </c:pt>
                <c:pt idx="113">
                  <c:v>131</c:v>
                </c:pt>
                <c:pt idx="114">
                  <c:v>132</c:v>
                </c:pt>
                <c:pt idx="115">
                  <c:v>134</c:v>
                </c:pt>
                <c:pt idx="116">
                  <c:v>135</c:v>
                </c:pt>
                <c:pt idx="117">
                  <c:v>136</c:v>
                </c:pt>
                <c:pt idx="118">
                  <c:v>139</c:v>
                </c:pt>
                <c:pt idx="119">
                  <c:v>140</c:v>
                </c:pt>
                <c:pt idx="120">
                  <c:v>142</c:v>
                </c:pt>
                <c:pt idx="121">
                  <c:v>143</c:v>
                </c:pt>
                <c:pt idx="122">
                  <c:v>146</c:v>
                </c:pt>
                <c:pt idx="123">
                  <c:v>147</c:v>
                </c:pt>
                <c:pt idx="124">
                  <c:v>149</c:v>
                </c:pt>
                <c:pt idx="125">
                  <c:v>149</c:v>
                </c:pt>
                <c:pt idx="126">
                  <c:v>150</c:v>
                </c:pt>
                <c:pt idx="127">
                  <c:v>151</c:v>
                </c:pt>
                <c:pt idx="128">
                  <c:v>152</c:v>
                </c:pt>
                <c:pt idx="129">
                  <c:v>153</c:v>
                </c:pt>
                <c:pt idx="130">
                  <c:v>154</c:v>
                </c:pt>
                <c:pt idx="131">
                  <c:v>155</c:v>
                </c:pt>
                <c:pt idx="132">
                  <c:v>156</c:v>
                </c:pt>
                <c:pt idx="133">
                  <c:v>157</c:v>
                </c:pt>
                <c:pt idx="134">
                  <c:v>158</c:v>
                </c:pt>
                <c:pt idx="135">
                  <c:v>159</c:v>
                </c:pt>
                <c:pt idx="136">
                  <c:v>160</c:v>
                </c:pt>
                <c:pt idx="137">
                  <c:v>161</c:v>
                </c:pt>
                <c:pt idx="138">
                  <c:v>162</c:v>
                </c:pt>
                <c:pt idx="139">
                  <c:v>163</c:v>
                </c:pt>
                <c:pt idx="140">
                  <c:v>165</c:v>
                </c:pt>
                <c:pt idx="141">
                  <c:v>166</c:v>
                </c:pt>
                <c:pt idx="142">
                  <c:v>167</c:v>
                </c:pt>
                <c:pt idx="143">
                  <c:v>168</c:v>
                </c:pt>
                <c:pt idx="144">
                  <c:v>169</c:v>
                </c:pt>
                <c:pt idx="145">
                  <c:v>170</c:v>
                </c:pt>
                <c:pt idx="146">
                  <c:v>171</c:v>
                </c:pt>
                <c:pt idx="147">
                  <c:v>172</c:v>
                </c:pt>
                <c:pt idx="148">
                  <c:v>173</c:v>
                </c:pt>
                <c:pt idx="149">
                  <c:v>174</c:v>
                </c:pt>
                <c:pt idx="150">
                  <c:v>175</c:v>
                </c:pt>
                <c:pt idx="151">
                  <c:v>177</c:v>
                </c:pt>
                <c:pt idx="152">
                  <c:v>178</c:v>
                </c:pt>
                <c:pt idx="153">
                  <c:v>179</c:v>
                </c:pt>
                <c:pt idx="154">
                  <c:v>180</c:v>
                </c:pt>
                <c:pt idx="155">
                  <c:v>181</c:v>
                </c:pt>
                <c:pt idx="156">
                  <c:v>182</c:v>
                </c:pt>
                <c:pt idx="157">
                  <c:v>183</c:v>
                </c:pt>
                <c:pt idx="158">
                  <c:v>184</c:v>
                </c:pt>
                <c:pt idx="159">
                  <c:v>185</c:v>
                </c:pt>
                <c:pt idx="160">
                  <c:v>189</c:v>
                </c:pt>
                <c:pt idx="161">
                  <c:v>190</c:v>
                </c:pt>
                <c:pt idx="162">
                  <c:v>193</c:v>
                </c:pt>
                <c:pt idx="163">
                  <c:v>195</c:v>
                </c:pt>
                <c:pt idx="164">
                  <c:v>196</c:v>
                </c:pt>
                <c:pt idx="165">
                  <c:v>197</c:v>
                </c:pt>
                <c:pt idx="166">
                  <c:v>198</c:v>
                </c:pt>
                <c:pt idx="167">
                  <c:v>203</c:v>
                </c:pt>
                <c:pt idx="168">
                  <c:v>205</c:v>
                </c:pt>
                <c:pt idx="169">
                  <c:v>206</c:v>
                </c:pt>
                <c:pt idx="170">
                  <c:v>215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229</c:v>
                </c:pt>
                <c:pt idx="179">
                  <c:v>230</c:v>
                </c:pt>
                <c:pt idx="180">
                  <c:v>233</c:v>
                </c:pt>
                <c:pt idx="181">
                  <c:v>235</c:v>
                </c:pt>
                <c:pt idx="182">
                  <c:v>236</c:v>
                </c:pt>
                <c:pt idx="183">
                  <c:v>243</c:v>
                </c:pt>
                <c:pt idx="184">
                  <c:v>244</c:v>
                </c:pt>
                <c:pt idx="185">
                  <c:v>245</c:v>
                </c:pt>
                <c:pt idx="186">
                  <c:v>246</c:v>
                </c:pt>
                <c:pt idx="187">
                  <c:v>250</c:v>
                </c:pt>
                <c:pt idx="188">
                  <c:v>251</c:v>
                </c:pt>
                <c:pt idx="189">
                  <c:v>252</c:v>
                </c:pt>
                <c:pt idx="190">
                  <c:v>253</c:v>
                </c:pt>
                <c:pt idx="191">
                  <c:v>255</c:v>
                </c:pt>
                <c:pt idx="192">
                  <c:v>256</c:v>
                </c:pt>
                <c:pt idx="193">
                  <c:v>257</c:v>
                </c:pt>
                <c:pt idx="194">
                  <c:v>258</c:v>
                </c:pt>
                <c:pt idx="195">
                  <c:v>#Н/Д</c:v>
                </c:pt>
                <c:pt idx="196">
                  <c:v>#Н/Д</c:v>
                </c:pt>
                <c:pt idx="197">
                  <c:v>#Н/Д</c:v>
                </c:pt>
                <c:pt idx="198">
                  <c:v>#Н/Д</c:v>
                </c:pt>
                <c:pt idx="199">
                  <c:v>#Н/Д</c:v>
                </c:pt>
                <c:pt idx="200">
                  <c:v>#Н/Д</c:v>
                </c:pt>
                <c:pt idx="201">
                  <c:v>#Н/Д</c:v>
                </c:pt>
                <c:pt idx="202">
                  <c:v>#Н/Д</c:v>
                </c:pt>
                <c:pt idx="203">
                  <c:v>#Н/Д</c:v>
                </c:pt>
                <c:pt idx="204">
                  <c:v>#Н/Д</c:v>
                </c:pt>
                <c:pt idx="205">
                  <c:v>#Н/Д</c:v>
                </c:pt>
                <c:pt idx="206">
                  <c:v>#Н/Д</c:v>
                </c:pt>
                <c:pt idx="207">
                  <c:v>#Н/Д</c:v>
                </c:pt>
                <c:pt idx="208">
                  <c:v>#Н/Д</c:v>
                </c:pt>
                <c:pt idx="209">
                  <c:v>#Н/Д</c:v>
                </c:pt>
                <c:pt idx="210">
                  <c:v>#Н/Д</c:v>
                </c:pt>
                <c:pt idx="211">
                  <c:v>#Н/Д</c:v>
                </c:pt>
                <c:pt idx="212">
                  <c:v>#Н/Д</c:v>
                </c:pt>
                <c:pt idx="213">
                  <c:v>#Н/Д</c:v>
                </c:pt>
                <c:pt idx="214">
                  <c:v>#Н/Д</c:v>
                </c:pt>
                <c:pt idx="215">
                  <c:v>#Н/Д</c:v>
                </c:pt>
                <c:pt idx="216">
                  <c:v>#Н/Д</c:v>
                </c:pt>
                <c:pt idx="217">
                  <c:v>#Н/Д</c:v>
                </c:pt>
                <c:pt idx="218">
                  <c:v>#Н/Д</c:v>
                </c:pt>
                <c:pt idx="219">
                  <c:v>#Н/Д</c:v>
                </c:pt>
                <c:pt idx="220">
                  <c:v>#Н/Д</c:v>
                </c:pt>
                <c:pt idx="221">
                  <c:v>#Н/Д</c:v>
                </c:pt>
                <c:pt idx="222">
                  <c:v>#Н/Д</c:v>
                </c:pt>
                <c:pt idx="223">
                  <c:v>#Н/Д</c:v>
                </c:pt>
                <c:pt idx="224">
                  <c:v>#Н/Д</c:v>
                </c:pt>
                <c:pt idx="225">
                  <c:v>#Н/Д</c:v>
                </c:pt>
                <c:pt idx="226">
                  <c:v>#Н/Д</c:v>
                </c:pt>
                <c:pt idx="227">
                  <c:v>#Н/Д</c:v>
                </c:pt>
                <c:pt idx="228">
                  <c:v>#Н/Д</c:v>
                </c:pt>
                <c:pt idx="229">
                  <c:v>#Н/Д</c:v>
                </c:pt>
                <c:pt idx="230">
                  <c:v>#Н/Д</c:v>
                </c:pt>
                <c:pt idx="231">
                  <c:v>#Н/Д</c:v>
                </c:pt>
                <c:pt idx="232">
                  <c:v>#Н/Д</c:v>
                </c:pt>
                <c:pt idx="233">
                  <c:v>#Н/Д</c:v>
                </c:pt>
                <c:pt idx="234">
                  <c:v>#Н/Д</c:v>
                </c:pt>
                <c:pt idx="235">
                  <c:v>#Н/Д</c:v>
                </c:pt>
                <c:pt idx="236">
                  <c:v>#Н/Д</c:v>
                </c:pt>
                <c:pt idx="237">
                  <c:v>#Н/Д</c:v>
                </c:pt>
                <c:pt idx="238">
                  <c:v>#Н/Д</c:v>
                </c:pt>
                <c:pt idx="239">
                  <c:v>#Н/Д</c:v>
                </c:pt>
                <c:pt idx="240">
                  <c:v>#Н/Д</c:v>
                </c:pt>
                <c:pt idx="241">
                  <c:v>#Н/Д</c:v>
                </c:pt>
                <c:pt idx="242">
                  <c:v>#Н/Д</c:v>
                </c:pt>
                <c:pt idx="243">
                  <c:v>#Н/Д</c:v>
                </c:pt>
                <c:pt idx="244">
                  <c:v>#Н/Д</c:v>
                </c:pt>
                <c:pt idx="245">
                  <c:v>#Н/Д</c:v>
                </c:pt>
                <c:pt idx="246">
                  <c:v>#Н/Д</c:v>
                </c:pt>
                <c:pt idx="247">
                  <c:v>#Н/Д</c:v>
                </c:pt>
                <c:pt idx="248">
                  <c:v>#Н/Д</c:v>
                </c:pt>
                <c:pt idx="249">
                  <c:v>#Н/Д</c:v>
                </c:pt>
                <c:pt idx="250">
                  <c:v>#Н/Д</c:v>
                </c:pt>
                <c:pt idx="251">
                  <c:v>#Н/Д</c:v>
                </c:pt>
                <c:pt idx="252">
                  <c:v>#Н/Д</c:v>
                </c:pt>
                <c:pt idx="253">
                  <c:v>#Н/Д</c:v>
                </c:pt>
                <c:pt idx="254">
                  <c:v>#Н/Д</c:v>
                </c:pt>
                <c:pt idx="255">
                  <c:v>#Н/Д</c:v>
                </c:pt>
                <c:pt idx="256">
                  <c:v>#Н/Д</c:v>
                </c:pt>
                <c:pt idx="257">
                  <c:v>#Н/Д</c:v>
                </c:pt>
                <c:pt idx="258">
                  <c:v>#Н/Д</c:v>
                </c:pt>
                <c:pt idx="259">
                  <c:v>#Н/Д</c:v>
                </c:pt>
                <c:pt idx="260">
                  <c:v>#Н/Д</c:v>
                </c:pt>
                <c:pt idx="261">
                  <c:v>#Н/Д</c:v>
                </c:pt>
                <c:pt idx="262">
                  <c:v>#Н/Д</c:v>
                </c:pt>
                <c:pt idx="263">
                  <c:v>#Н/Д</c:v>
                </c:pt>
                <c:pt idx="264">
                  <c:v>#Н/Д</c:v>
                </c:pt>
                <c:pt idx="265">
                  <c:v>#Н/Д</c:v>
                </c:pt>
                <c:pt idx="266">
                  <c:v>#Н/Д</c:v>
                </c:pt>
                <c:pt idx="267">
                  <c:v>#Н/Д</c:v>
                </c:pt>
                <c:pt idx="268">
                  <c:v>#Н/Д</c:v>
                </c:pt>
                <c:pt idx="269">
                  <c:v>#Н/Д</c:v>
                </c:pt>
                <c:pt idx="270">
                  <c:v>#Н/Д</c:v>
                </c:pt>
                <c:pt idx="271">
                  <c:v>#Н/Д</c:v>
                </c:pt>
                <c:pt idx="272">
                  <c:v>#Н/Д</c:v>
                </c:pt>
                <c:pt idx="273">
                  <c:v>#Н/Д</c:v>
                </c:pt>
                <c:pt idx="274">
                  <c:v>#Н/Д</c:v>
                </c:pt>
                <c:pt idx="275">
                  <c:v>#Н/Д</c:v>
                </c:pt>
                <c:pt idx="276">
                  <c:v>#Н/Д</c:v>
                </c:pt>
                <c:pt idx="277">
                  <c:v>#Н/Д</c:v>
                </c:pt>
                <c:pt idx="278">
                  <c:v>#Н/Д</c:v>
                </c:pt>
                <c:pt idx="279">
                  <c:v>#Н/Д</c:v>
                </c:pt>
                <c:pt idx="280">
                  <c:v>#Н/Д</c:v>
                </c:pt>
                <c:pt idx="281">
                  <c:v>#Н/Д</c:v>
                </c:pt>
                <c:pt idx="282">
                  <c:v>#Н/Д</c:v>
                </c:pt>
                <c:pt idx="283">
                  <c:v>#Н/Д</c:v>
                </c:pt>
                <c:pt idx="284">
                  <c:v>#Н/Д</c:v>
                </c:pt>
                <c:pt idx="285">
                  <c:v>#Н/Д</c:v>
                </c:pt>
                <c:pt idx="286">
                  <c:v>#Н/Д</c:v>
                </c:pt>
                <c:pt idx="287">
                  <c:v>#Н/Д</c:v>
                </c:pt>
                <c:pt idx="288">
                  <c:v>#Н/Д</c:v>
                </c:pt>
                <c:pt idx="289">
                  <c:v>#Н/Д</c:v>
                </c:pt>
                <c:pt idx="290">
                  <c:v>#Н/Д</c:v>
                </c:pt>
                <c:pt idx="291">
                  <c:v>#Н/Д</c:v>
                </c:pt>
                <c:pt idx="292">
                  <c:v>#Н/Д</c:v>
                </c:pt>
                <c:pt idx="293">
                  <c:v>#Н/Д</c:v>
                </c:pt>
                <c:pt idx="294">
                  <c:v>#Н/Д</c:v>
                </c:pt>
                <c:pt idx="295">
                  <c:v>#Н/Д</c:v>
                </c:pt>
                <c:pt idx="296">
                  <c:v>#Н/Д</c:v>
                </c:pt>
                <c:pt idx="297">
                  <c:v>#Н/Д</c:v>
                </c:pt>
                <c:pt idx="298">
                  <c:v>#Н/Д</c:v>
                </c:pt>
                <c:pt idx="299">
                  <c:v>#Н/Д</c:v>
                </c:pt>
                <c:pt idx="300">
                  <c:v>#Н/Д</c:v>
                </c:pt>
                <c:pt idx="301">
                  <c:v>#Н/Д</c:v>
                </c:pt>
                <c:pt idx="302">
                  <c:v>#Н/Д</c:v>
                </c:pt>
                <c:pt idx="303">
                  <c:v>#Н/Д</c:v>
                </c:pt>
                <c:pt idx="304">
                  <c:v>#Н/Д</c:v>
                </c:pt>
                <c:pt idx="305">
                  <c:v>#Н/Д</c:v>
                </c:pt>
                <c:pt idx="306">
                  <c:v>#Н/Д</c:v>
                </c:pt>
                <c:pt idx="307">
                  <c:v>#Н/Д</c:v>
                </c:pt>
                <c:pt idx="308">
                  <c:v>#Н/Д</c:v>
                </c:pt>
                <c:pt idx="309">
                  <c:v>#Н/Д</c:v>
                </c:pt>
                <c:pt idx="310">
                  <c:v>#Н/Д</c:v>
                </c:pt>
                <c:pt idx="311">
                  <c:v>#Н/Д</c:v>
                </c:pt>
                <c:pt idx="312">
                  <c:v>#Н/Д</c:v>
                </c:pt>
                <c:pt idx="313">
                  <c:v>#Н/Д</c:v>
                </c:pt>
                <c:pt idx="314">
                  <c:v>#Н/Д</c:v>
                </c:pt>
                <c:pt idx="315">
                  <c:v>#Н/Д</c:v>
                </c:pt>
                <c:pt idx="316">
                  <c:v>#Н/Д</c:v>
                </c:pt>
                <c:pt idx="317">
                  <c:v>#Н/Д</c:v>
                </c:pt>
                <c:pt idx="318">
                  <c:v>#Н/Д</c:v>
                </c:pt>
                <c:pt idx="319">
                  <c:v>#Н/Д</c:v>
                </c:pt>
                <c:pt idx="320">
                  <c:v>#Н/Д</c:v>
                </c:pt>
                <c:pt idx="321">
                  <c:v>#Н/Д</c:v>
                </c:pt>
                <c:pt idx="322">
                  <c:v>#Н/Д</c:v>
                </c:pt>
                <c:pt idx="323">
                  <c:v>#Н/Д</c:v>
                </c:pt>
                <c:pt idx="324">
                  <c:v>#Н/Д</c:v>
                </c:pt>
                <c:pt idx="325">
                  <c:v>#Н/Д</c:v>
                </c:pt>
                <c:pt idx="326">
                  <c:v>#Н/Д</c:v>
                </c:pt>
                <c:pt idx="327">
                  <c:v>#Н/Д</c:v>
                </c:pt>
                <c:pt idx="328">
                  <c:v>#Н/Д</c:v>
                </c:pt>
                <c:pt idx="329">
                  <c:v>#Н/Д</c:v>
                </c:pt>
                <c:pt idx="330">
                  <c:v>#Н/Д</c:v>
                </c:pt>
                <c:pt idx="331">
                  <c:v>#Н/Д</c:v>
                </c:pt>
                <c:pt idx="332">
                  <c:v>#Н/Д</c:v>
                </c:pt>
                <c:pt idx="333">
                  <c:v>#Н/Д</c:v>
                </c:pt>
                <c:pt idx="334">
                  <c:v>#Н/Д</c:v>
                </c:pt>
                <c:pt idx="335">
                  <c:v>#Н/Д</c:v>
                </c:pt>
                <c:pt idx="336">
                  <c:v>#Н/Д</c:v>
                </c:pt>
                <c:pt idx="337">
                  <c:v>#Н/Д</c:v>
                </c:pt>
                <c:pt idx="338">
                  <c:v>#Н/Д</c:v>
                </c:pt>
                <c:pt idx="339">
                  <c:v>#Н/Д</c:v>
                </c:pt>
                <c:pt idx="340">
                  <c:v>#Н/Д</c:v>
                </c:pt>
                <c:pt idx="341">
                  <c:v>#Н/Д</c:v>
                </c:pt>
                <c:pt idx="342">
                  <c:v>#Н/Д</c:v>
                </c:pt>
                <c:pt idx="343">
                  <c:v>#Н/Д</c:v>
                </c:pt>
                <c:pt idx="344">
                  <c:v>#Н/Д</c:v>
                </c:pt>
                <c:pt idx="345">
                  <c:v>#Н/Д</c:v>
                </c:pt>
                <c:pt idx="346">
                  <c:v>#Н/Д</c:v>
                </c:pt>
                <c:pt idx="347">
                  <c:v>#Н/Д</c:v>
                </c:pt>
                <c:pt idx="348">
                  <c:v>#Н/Д</c:v>
                </c:pt>
                <c:pt idx="349">
                  <c:v>#Н/Д</c:v>
                </c:pt>
                <c:pt idx="350">
                  <c:v>#Н/Д</c:v>
                </c:pt>
                <c:pt idx="351">
                  <c:v>#Н/Д</c:v>
                </c:pt>
                <c:pt idx="352">
                  <c:v>#Н/Д</c:v>
                </c:pt>
                <c:pt idx="353">
                  <c:v>#Н/Д</c:v>
                </c:pt>
                <c:pt idx="354">
                  <c:v>#Н/Д</c:v>
                </c:pt>
                <c:pt idx="355">
                  <c:v>#Н/Д</c:v>
                </c:pt>
                <c:pt idx="356">
                  <c:v>#Н/Д</c:v>
                </c:pt>
                <c:pt idx="357">
                  <c:v>#Н/Д</c:v>
                </c:pt>
                <c:pt idx="358">
                  <c:v>#Н/Д</c:v>
                </c:pt>
                <c:pt idx="359">
                  <c:v>#Н/Д</c:v>
                </c:pt>
                <c:pt idx="360">
                  <c:v>#Н/Д</c:v>
                </c:pt>
                <c:pt idx="361">
                  <c:v>#Н/Д</c:v>
                </c:pt>
                <c:pt idx="362">
                  <c:v>#Н/Д</c:v>
                </c:pt>
                <c:pt idx="363">
                  <c:v>#Н/Д</c:v>
                </c:pt>
                <c:pt idx="364">
                  <c:v>#Н/Д</c:v>
                </c:pt>
                <c:pt idx="365">
                  <c:v>#Н/Д</c:v>
                </c:pt>
                <c:pt idx="366">
                  <c:v>#Н/Д</c:v>
                </c:pt>
                <c:pt idx="367">
                  <c:v>#Н/Д</c:v>
                </c:pt>
                <c:pt idx="368">
                  <c:v>#Н/Д</c:v>
                </c:pt>
                <c:pt idx="369">
                  <c:v>#Н/Д</c:v>
                </c:pt>
                <c:pt idx="370">
                  <c:v>#Н/Д</c:v>
                </c:pt>
                <c:pt idx="371">
                  <c:v>#Н/Д</c:v>
                </c:pt>
                <c:pt idx="372">
                  <c:v>#Н/Д</c:v>
                </c:pt>
                <c:pt idx="373">
                  <c:v>#Н/Д</c:v>
                </c:pt>
                <c:pt idx="374">
                  <c:v>#Н/Д</c:v>
                </c:pt>
                <c:pt idx="375">
                  <c:v>#Н/Д</c:v>
                </c:pt>
                <c:pt idx="376">
                  <c:v>#Н/Д</c:v>
                </c:pt>
                <c:pt idx="377">
                  <c:v>#Н/Д</c:v>
                </c:pt>
                <c:pt idx="378">
                  <c:v>#Н/Д</c:v>
                </c:pt>
                <c:pt idx="379">
                  <c:v>#Н/Д</c:v>
                </c:pt>
                <c:pt idx="380">
                  <c:v>#Н/Д</c:v>
                </c:pt>
                <c:pt idx="381">
                  <c:v>#Н/Д</c:v>
                </c:pt>
                <c:pt idx="382">
                  <c:v>#Н/Д</c:v>
                </c:pt>
                <c:pt idx="383">
                  <c:v>#Н/Д</c:v>
                </c:pt>
                <c:pt idx="384">
                  <c:v>#Н/Д</c:v>
                </c:pt>
                <c:pt idx="385">
                  <c:v>#Н/Д</c:v>
                </c:pt>
                <c:pt idx="386">
                  <c:v>#Н/Д</c:v>
                </c:pt>
                <c:pt idx="387">
                  <c:v>#Н/Д</c:v>
                </c:pt>
                <c:pt idx="388">
                  <c:v>#Н/Д</c:v>
                </c:pt>
                <c:pt idx="389">
                  <c:v>#Н/Д</c:v>
                </c:pt>
                <c:pt idx="390">
                  <c:v>#Н/Д</c:v>
                </c:pt>
                <c:pt idx="391">
                  <c:v>#Н/Д</c:v>
                </c:pt>
                <c:pt idx="392">
                  <c:v>#Н/Д</c:v>
                </c:pt>
                <c:pt idx="393">
                  <c:v>#Н/Д</c:v>
                </c:pt>
                <c:pt idx="394">
                  <c:v>#Н/Д</c:v>
                </c:pt>
                <c:pt idx="395">
                  <c:v>#Н/Д</c:v>
                </c:pt>
                <c:pt idx="396">
                  <c:v>#Н/Д</c:v>
                </c:pt>
                <c:pt idx="397">
                  <c:v>#Н/Д</c:v>
                </c:pt>
                <c:pt idx="398">
                  <c:v>#Н/Д</c:v>
                </c:pt>
                <c:pt idx="399">
                  <c:v>#Н/Д</c:v>
                </c:pt>
                <c:pt idx="400">
                  <c:v>#Н/Д</c:v>
                </c:pt>
                <c:pt idx="401">
                  <c:v>#Н/Д</c:v>
                </c:pt>
                <c:pt idx="402">
                  <c:v>#Н/Д</c:v>
                </c:pt>
                <c:pt idx="403">
                  <c:v>#Н/Д</c:v>
                </c:pt>
                <c:pt idx="404">
                  <c:v>#Н/Д</c:v>
                </c:pt>
                <c:pt idx="405">
                  <c:v>#Н/Д</c:v>
                </c:pt>
                <c:pt idx="406">
                  <c:v>#Н/Д</c:v>
                </c:pt>
                <c:pt idx="407">
                  <c:v>#Н/Д</c:v>
                </c:pt>
                <c:pt idx="408">
                  <c:v>#Н/Д</c:v>
                </c:pt>
                <c:pt idx="409">
                  <c:v>#Н/Д</c:v>
                </c:pt>
                <c:pt idx="410">
                  <c:v>#Н/Д</c:v>
                </c:pt>
                <c:pt idx="411">
                  <c:v>#Н/Д</c:v>
                </c:pt>
                <c:pt idx="412">
                  <c:v>#Н/Д</c:v>
                </c:pt>
                <c:pt idx="413">
                  <c:v>#Н/Д</c:v>
                </c:pt>
                <c:pt idx="414">
                  <c:v>#Н/Д</c:v>
                </c:pt>
                <c:pt idx="415">
                  <c:v>#Н/Д</c:v>
                </c:pt>
                <c:pt idx="416">
                  <c:v>#Н/Д</c:v>
                </c:pt>
                <c:pt idx="417">
                  <c:v>#Н/Д</c:v>
                </c:pt>
                <c:pt idx="418">
                  <c:v>#Н/Д</c:v>
                </c:pt>
                <c:pt idx="419">
                  <c:v>#Н/Д</c:v>
                </c:pt>
                <c:pt idx="420">
                  <c:v>#Н/Д</c:v>
                </c:pt>
                <c:pt idx="421">
                  <c:v>#Н/Д</c:v>
                </c:pt>
                <c:pt idx="422">
                  <c:v>#Н/Д</c:v>
                </c:pt>
                <c:pt idx="423">
                  <c:v>#Н/Д</c:v>
                </c:pt>
                <c:pt idx="424">
                  <c:v>#Н/Д</c:v>
                </c:pt>
                <c:pt idx="425">
                  <c:v>#Н/Д</c:v>
                </c:pt>
                <c:pt idx="426">
                  <c:v>#Н/Д</c:v>
                </c:pt>
                <c:pt idx="427">
                  <c:v>#Н/Д</c:v>
                </c:pt>
                <c:pt idx="428">
                  <c:v>#Н/Д</c:v>
                </c:pt>
                <c:pt idx="429">
                  <c:v>#Н/Д</c:v>
                </c:pt>
                <c:pt idx="430">
                  <c:v>#Н/Д</c:v>
                </c:pt>
                <c:pt idx="431">
                  <c:v>#Н/Д</c:v>
                </c:pt>
                <c:pt idx="432">
                  <c:v>#Н/Д</c:v>
                </c:pt>
                <c:pt idx="433">
                  <c:v>#Н/Д</c:v>
                </c:pt>
                <c:pt idx="434">
                  <c:v>#Н/Д</c:v>
                </c:pt>
                <c:pt idx="435">
                  <c:v>#Н/Д</c:v>
                </c:pt>
                <c:pt idx="436">
                  <c:v>#Н/Д</c:v>
                </c:pt>
                <c:pt idx="437">
                  <c:v>#Н/Д</c:v>
                </c:pt>
                <c:pt idx="438">
                  <c:v>#Н/Д</c:v>
                </c:pt>
                <c:pt idx="439">
                  <c:v>#Н/Д</c:v>
                </c:pt>
                <c:pt idx="440">
                  <c:v>#Н/Д</c:v>
                </c:pt>
                <c:pt idx="441">
                  <c:v>#Н/Д</c:v>
                </c:pt>
                <c:pt idx="442">
                  <c:v>#Н/Д</c:v>
                </c:pt>
                <c:pt idx="443">
                  <c:v>#Н/Д</c:v>
                </c:pt>
                <c:pt idx="444">
                  <c:v>#Н/Д</c:v>
                </c:pt>
                <c:pt idx="445">
                  <c:v>#Н/Д</c:v>
                </c:pt>
                <c:pt idx="446">
                  <c:v>#Н/Д</c:v>
                </c:pt>
                <c:pt idx="447">
                  <c:v>#Н/Д</c:v>
                </c:pt>
                <c:pt idx="448">
                  <c:v>#Н/Д</c:v>
                </c:pt>
                <c:pt idx="449">
                  <c:v>#Н/Д</c:v>
                </c:pt>
                <c:pt idx="450">
                  <c:v>#Н/Д</c:v>
                </c:pt>
                <c:pt idx="451">
                  <c:v>#Н/Д</c:v>
                </c:pt>
                <c:pt idx="452">
                  <c:v>#Н/Д</c:v>
                </c:pt>
                <c:pt idx="453">
                  <c:v>#Н/Д</c:v>
                </c:pt>
                <c:pt idx="454">
                  <c:v>#Н/Д</c:v>
                </c:pt>
                <c:pt idx="455">
                  <c:v>#Н/Д</c:v>
                </c:pt>
                <c:pt idx="456">
                  <c:v>#Н/Д</c:v>
                </c:pt>
                <c:pt idx="457">
                  <c:v>#Н/Д</c:v>
                </c:pt>
                <c:pt idx="458">
                  <c:v>#Н/Д</c:v>
                </c:pt>
                <c:pt idx="459">
                  <c:v>#Н/Д</c:v>
                </c:pt>
                <c:pt idx="460">
                  <c:v>#Н/Д</c:v>
                </c:pt>
                <c:pt idx="461">
                  <c:v>#Н/Д</c:v>
                </c:pt>
                <c:pt idx="462">
                  <c:v>#Н/Д</c:v>
                </c:pt>
                <c:pt idx="463">
                  <c:v>#Н/Д</c:v>
                </c:pt>
                <c:pt idx="464">
                  <c:v>#Н/Д</c:v>
                </c:pt>
                <c:pt idx="465">
                  <c:v>#Н/Д</c:v>
                </c:pt>
                <c:pt idx="466">
                  <c:v>#Н/Д</c:v>
                </c:pt>
                <c:pt idx="467">
                  <c:v>#Н/Д</c:v>
                </c:pt>
                <c:pt idx="468">
                  <c:v>#Н/Д</c:v>
                </c:pt>
                <c:pt idx="469">
                  <c:v>#Н/Д</c:v>
                </c:pt>
                <c:pt idx="470">
                  <c:v>#Н/Д</c:v>
                </c:pt>
                <c:pt idx="471">
                  <c:v>#Н/Д</c:v>
                </c:pt>
                <c:pt idx="472">
                  <c:v>#Н/Д</c:v>
                </c:pt>
                <c:pt idx="473">
                  <c:v>#Н/Д</c:v>
                </c:pt>
                <c:pt idx="474">
                  <c:v>#Н/Д</c:v>
                </c:pt>
                <c:pt idx="475">
                  <c:v>#Н/Д</c:v>
                </c:pt>
                <c:pt idx="476">
                  <c:v>#Н/Д</c:v>
                </c:pt>
                <c:pt idx="477">
                  <c:v>#Н/Д</c:v>
                </c:pt>
                <c:pt idx="478">
                  <c:v>#Н/Д</c:v>
                </c:pt>
                <c:pt idx="479">
                  <c:v>#Н/Д</c:v>
                </c:pt>
                <c:pt idx="480">
                  <c:v>#Н/Д</c:v>
                </c:pt>
                <c:pt idx="481">
                  <c:v>#Н/Д</c:v>
                </c:pt>
                <c:pt idx="482">
                  <c:v>#Н/Д</c:v>
                </c:pt>
                <c:pt idx="483">
                  <c:v>#Н/Д</c:v>
                </c:pt>
                <c:pt idx="484">
                  <c:v>#Н/Д</c:v>
                </c:pt>
                <c:pt idx="485">
                  <c:v>#Н/Д</c:v>
                </c:pt>
                <c:pt idx="486">
                  <c:v>#Н/Д</c:v>
                </c:pt>
                <c:pt idx="487">
                  <c:v>#Н/Д</c:v>
                </c:pt>
                <c:pt idx="488">
                  <c:v>#Н/Д</c:v>
                </c:pt>
                <c:pt idx="489">
                  <c:v>#Н/Д</c:v>
                </c:pt>
                <c:pt idx="490">
                  <c:v>#Н/Д</c:v>
                </c:pt>
                <c:pt idx="491">
                  <c:v>#Н/Д</c:v>
                </c:pt>
                <c:pt idx="492">
                  <c:v>#Н/Д</c:v>
                </c:pt>
                <c:pt idx="493">
                  <c:v>#Н/Д</c:v>
                </c:pt>
                <c:pt idx="494">
                  <c:v>#Н/Д</c:v>
                </c:pt>
                <c:pt idx="495">
                  <c:v>#Н/Д</c:v>
                </c:pt>
                <c:pt idx="496">
                  <c:v>#Н/Д</c:v>
                </c:pt>
                <c:pt idx="497">
                  <c:v>#Н/Д</c:v>
                </c:pt>
                <c:pt idx="498">
                  <c:v>#Н/Д</c:v>
                </c:pt>
                <c:pt idx="499">
                  <c:v>#Н/Д</c:v>
                </c:pt>
                <c:pt idx="500">
                  <c:v>#Н/Д</c:v>
                </c:pt>
                <c:pt idx="501">
                  <c:v>#Н/Д</c:v>
                </c:pt>
                <c:pt idx="502">
                  <c:v>#Н/Д</c:v>
                </c:pt>
                <c:pt idx="503">
                  <c:v>#Н/Д</c:v>
                </c:pt>
                <c:pt idx="504">
                  <c:v>#Н/Д</c:v>
                </c:pt>
                <c:pt idx="505">
                  <c:v>#Н/Д</c:v>
                </c:pt>
                <c:pt idx="506">
                  <c:v>#Н/Д</c:v>
                </c:pt>
                <c:pt idx="507">
                  <c:v>#Н/Д</c:v>
                </c:pt>
                <c:pt idx="508">
                  <c:v>#Н/Д</c:v>
                </c:pt>
                <c:pt idx="509">
                  <c:v>#Н/Д</c:v>
                </c:pt>
                <c:pt idx="510">
                  <c:v>#Н/Д</c:v>
                </c:pt>
                <c:pt idx="511">
                  <c:v>#Н/Д</c:v>
                </c:pt>
                <c:pt idx="512">
                  <c:v>#Н/Д</c:v>
                </c:pt>
                <c:pt idx="513">
                  <c:v>#Н/Д</c:v>
                </c:pt>
                <c:pt idx="514">
                  <c:v>#Н/Д</c:v>
                </c:pt>
                <c:pt idx="515">
                  <c:v>#Н/Д</c:v>
                </c:pt>
                <c:pt idx="516">
                  <c:v>#Н/Д</c:v>
                </c:pt>
                <c:pt idx="517">
                  <c:v>#Н/Д</c:v>
                </c:pt>
                <c:pt idx="518">
                  <c:v>#Н/Д</c:v>
                </c:pt>
                <c:pt idx="519">
                  <c:v>#Н/Д</c:v>
                </c:pt>
                <c:pt idx="520">
                  <c:v>#Н/Д</c:v>
                </c:pt>
                <c:pt idx="521">
                  <c:v>#Н/Д</c:v>
                </c:pt>
                <c:pt idx="522">
                  <c:v>#Н/Д</c:v>
                </c:pt>
                <c:pt idx="523">
                  <c:v>#Н/Д</c:v>
                </c:pt>
                <c:pt idx="524">
                  <c:v>#Н/Д</c:v>
                </c:pt>
                <c:pt idx="525">
                  <c:v>#Н/Д</c:v>
                </c:pt>
                <c:pt idx="526">
                  <c:v>#Н/Д</c:v>
                </c:pt>
                <c:pt idx="527">
                  <c:v>#Н/Д</c:v>
                </c:pt>
                <c:pt idx="528">
                  <c:v>#Н/Д</c:v>
                </c:pt>
                <c:pt idx="529">
                  <c:v>#Н/Д</c:v>
                </c:pt>
                <c:pt idx="530">
                  <c:v>#Н/Д</c:v>
                </c:pt>
                <c:pt idx="531">
                  <c:v>#Н/Д</c:v>
                </c:pt>
                <c:pt idx="532">
                  <c:v>#Н/Д</c:v>
                </c:pt>
                <c:pt idx="533">
                  <c:v>#Н/Д</c:v>
                </c:pt>
                <c:pt idx="534">
                  <c:v>#Н/Д</c:v>
                </c:pt>
                <c:pt idx="535">
                  <c:v>#Н/Д</c:v>
                </c:pt>
                <c:pt idx="536">
                  <c:v>#Н/Д</c:v>
                </c:pt>
                <c:pt idx="537">
                  <c:v>#Н/Д</c:v>
                </c:pt>
                <c:pt idx="538">
                  <c:v>#Н/Д</c:v>
                </c:pt>
                <c:pt idx="539">
                  <c:v>#Н/Д</c:v>
                </c:pt>
                <c:pt idx="540">
                  <c:v>#Н/Д</c:v>
                </c:pt>
                <c:pt idx="541">
                  <c:v>#Н/Д</c:v>
                </c:pt>
                <c:pt idx="542">
                  <c:v>#Н/Д</c:v>
                </c:pt>
                <c:pt idx="543">
                  <c:v>#Н/Д</c:v>
                </c:pt>
                <c:pt idx="544">
                  <c:v>#Н/Д</c:v>
                </c:pt>
                <c:pt idx="545">
                  <c:v>#Н/Д</c:v>
                </c:pt>
                <c:pt idx="546">
                  <c:v>#Н/Д</c:v>
                </c:pt>
                <c:pt idx="547">
                  <c:v>#Н/Д</c:v>
                </c:pt>
                <c:pt idx="548">
                  <c:v>#Н/Д</c:v>
                </c:pt>
                <c:pt idx="549">
                  <c:v>#Н/Д</c:v>
                </c:pt>
                <c:pt idx="550">
                  <c:v>#Н/Д</c:v>
                </c:pt>
                <c:pt idx="551">
                  <c:v>#Н/Д</c:v>
                </c:pt>
                <c:pt idx="552">
                  <c:v>#Н/Д</c:v>
                </c:pt>
                <c:pt idx="553">
                  <c:v>#Н/Д</c:v>
                </c:pt>
                <c:pt idx="554">
                  <c:v>#Н/Д</c:v>
                </c:pt>
                <c:pt idx="555">
                  <c:v>#Н/Д</c:v>
                </c:pt>
                <c:pt idx="556">
                  <c:v>#Н/Д</c:v>
                </c:pt>
                <c:pt idx="557">
                  <c:v>#Н/Д</c:v>
                </c:pt>
                <c:pt idx="558">
                  <c:v>#Н/Д</c:v>
                </c:pt>
                <c:pt idx="559">
                  <c:v>#Н/Д</c:v>
                </c:pt>
                <c:pt idx="560">
                  <c:v>#Н/Д</c:v>
                </c:pt>
                <c:pt idx="561">
                  <c:v>#Н/Д</c:v>
                </c:pt>
                <c:pt idx="562">
                  <c:v>#Н/Д</c:v>
                </c:pt>
                <c:pt idx="563">
                  <c:v>#Н/Д</c:v>
                </c:pt>
                <c:pt idx="564">
                  <c:v>#Н/Д</c:v>
                </c:pt>
                <c:pt idx="565">
                  <c:v>#Н/Д</c:v>
                </c:pt>
                <c:pt idx="566">
                  <c:v>#Н/Д</c:v>
                </c:pt>
                <c:pt idx="567">
                  <c:v>#Н/Д</c:v>
                </c:pt>
                <c:pt idx="568">
                  <c:v>#Н/Д</c:v>
                </c:pt>
                <c:pt idx="569">
                  <c:v>#Н/Д</c:v>
                </c:pt>
                <c:pt idx="570">
                  <c:v>#Н/Д</c:v>
                </c:pt>
                <c:pt idx="571">
                  <c:v>#Н/Д</c:v>
                </c:pt>
                <c:pt idx="572">
                  <c:v>#Н/Д</c:v>
                </c:pt>
                <c:pt idx="573">
                  <c:v>#Н/Д</c:v>
                </c:pt>
                <c:pt idx="574">
                  <c:v>#Н/Д</c:v>
                </c:pt>
                <c:pt idx="575">
                  <c:v>#Н/Д</c:v>
                </c:pt>
                <c:pt idx="576">
                  <c:v>#Н/Д</c:v>
                </c:pt>
                <c:pt idx="577">
                  <c:v>#Н/Д</c:v>
                </c:pt>
                <c:pt idx="578">
                  <c:v>#Н/Д</c:v>
                </c:pt>
                <c:pt idx="579">
                  <c:v>#Н/Д</c:v>
                </c:pt>
                <c:pt idx="580">
                  <c:v>#Н/Д</c:v>
                </c:pt>
                <c:pt idx="581">
                  <c:v>#Н/Д</c:v>
                </c:pt>
                <c:pt idx="582">
                  <c:v>#Н/Д</c:v>
                </c:pt>
                <c:pt idx="583">
                  <c:v>#Н/Д</c:v>
                </c:pt>
                <c:pt idx="584">
                  <c:v>#Н/Д</c:v>
                </c:pt>
                <c:pt idx="585">
                  <c:v>#Н/Д</c:v>
                </c:pt>
                <c:pt idx="586">
                  <c:v>#Н/Д</c:v>
                </c:pt>
                <c:pt idx="587">
                  <c:v>#Н/Д</c:v>
                </c:pt>
                <c:pt idx="588">
                  <c:v>#Н/Д</c:v>
                </c:pt>
                <c:pt idx="589">
                  <c:v>#Н/Д</c:v>
                </c:pt>
                <c:pt idx="590">
                  <c:v>#Н/Д</c:v>
                </c:pt>
                <c:pt idx="591">
                  <c:v>#Н/Д</c:v>
                </c:pt>
                <c:pt idx="592">
                  <c:v>#Н/Д</c:v>
                </c:pt>
                <c:pt idx="593">
                  <c:v>#Н/Д</c:v>
                </c:pt>
                <c:pt idx="594">
                  <c:v>#Н/Д</c:v>
                </c:pt>
                <c:pt idx="595">
                  <c:v>#Н/Д</c:v>
                </c:pt>
                <c:pt idx="596">
                  <c:v>#Н/Д</c:v>
                </c:pt>
                <c:pt idx="597">
                  <c:v>#Н/Д</c:v>
                </c:pt>
                <c:pt idx="598">
                  <c:v>#Н/Д</c:v>
                </c:pt>
                <c:pt idx="599">
                  <c:v>#Н/Д</c:v>
                </c:pt>
                <c:pt idx="600">
                  <c:v>#Н/Д</c:v>
                </c:pt>
                <c:pt idx="601">
                  <c:v>#Н/Д</c:v>
                </c:pt>
                <c:pt idx="602">
                  <c:v>#Н/Д</c:v>
                </c:pt>
                <c:pt idx="603">
                  <c:v>#Н/Д</c:v>
                </c:pt>
                <c:pt idx="604">
                  <c:v>#Н/Д</c:v>
                </c:pt>
                <c:pt idx="605">
                  <c:v>#Н/Д</c:v>
                </c:pt>
                <c:pt idx="606">
                  <c:v>#Н/Д</c:v>
                </c:pt>
                <c:pt idx="607">
                  <c:v>#Н/Д</c:v>
                </c:pt>
                <c:pt idx="608">
                  <c:v>#Н/Д</c:v>
                </c:pt>
                <c:pt idx="609">
                  <c:v>#Н/Д</c:v>
                </c:pt>
                <c:pt idx="610">
                  <c:v>#Н/Д</c:v>
                </c:pt>
                <c:pt idx="611">
                  <c:v>#Н/Д</c:v>
                </c:pt>
                <c:pt idx="612">
                  <c:v>#Н/Д</c:v>
                </c:pt>
                <c:pt idx="613">
                  <c:v>#Н/Д</c:v>
                </c:pt>
                <c:pt idx="614">
                  <c:v>#Н/Д</c:v>
                </c:pt>
                <c:pt idx="615">
                  <c:v>#Н/Д</c:v>
                </c:pt>
                <c:pt idx="616">
                  <c:v>#Н/Д</c:v>
                </c:pt>
                <c:pt idx="617">
                  <c:v>#Н/Д</c:v>
                </c:pt>
                <c:pt idx="618">
                  <c:v>#Н/Д</c:v>
                </c:pt>
                <c:pt idx="619">
                  <c:v>#Н/Д</c:v>
                </c:pt>
                <c:pt idx="620">
                  <c:v>#Н/Д</c:v>
                </c:pt>
                <c:pt idx="621">
                  <c:v>#Н/Д</c:v>
                </c:pt>
                <c:pt idx="622">
                  <c:v>#Н/Д</c:v>
                </c:pt>
                <c:pt idx="623">
                  <c:v>#Н/Д</c:v>
                </c:pt>
                <c:pt idx="624">
                  <c:v>#Н/Д</c:v>
                </c:pt>
                <c:pt idx="625">
                  <c:v>#Н/Д</c:v>
                </c:pt>
                <c:pt idx="626">
                  <c:v>#Н/Д</c:v>
                </c:pt>
                <c:pt idx="627">
                  <c:v>#Н/Д</c:v>
                </c:pt>
                <c:pt idx="628">
                  <c:v>#Н/Д</c:v>
                </c:pt>
                <c:pt idx="629">
                  <c:v>#Н/Д</c:v>
                </c:pt>
                <c:pt idx="630">
                  <c:v>#Н/Д</c:v>
                </c:pt>
                <c:pt idx="631">
                  <c:v>#Н/Д</c:v>
                </c:pt>
                <c:pt idx="632">
                  <c:v>#Н/Д</c:v>
                </c:pt>
                <c:pt idx="633">
                  <c:v>#Н/Д</c:v>
                </c:pt>
                <c:pt idx="634">
                  <c:v>#Н/Д</c:v>
                </c:pt>
                <c:pt idx="635">
                  <c:v>#Н/Д</c:v>
                </c:pt>
                <c:pt idx="636">
                  <c:v>#Н/Д</c:v>
                </c:pt>
                <c:pt idx="637">
                  <c:v>#Н/Д</c:v>
                </c:pt>
                <c:pt idx="638">
                  <c:v>#Н/Д</c:v>
                </c:pt>
                <c:pt idx="639">
                  <c:v>#Н/Д</c:v>
                </c:pt>
                <c:pt idx="640">
                  <c:v>#Н/Д</c:v>
                </c:pt>
                <c:pt idx="641">
                  <c:v>#Н/Д</c:v>
                </c:pt>
                <c:pt idx="642">
                  <c:v>#Н/Д</c:v>
                </c:pt>
                <c:pt idx="643">
                  <c:v>#Н/Д</c:v>
                </c:pt>
                <c:pt idx="644">
                  <c:v>#Н/Д</c:v>
                </c:pt>
                <c:pt idx="645">
                  <c:v>#Н/Д</c:v>
                </c:pt>
                <c:pt idx="646">
                  <c:v>#Н/Д</c:v>
                </c:pt>
                <c:pt idx="647">
                  <c:v>#Н/Д</c:v>
                </c:pt>
                <c:pt idx="648">
                  <c:v>#Н/Д</c:v>
                </c:pt>
                <c:pt idx="649">
                  <c:v>#Н/Д</c:v>
                </c:pt>
                <c:pt idx="650">
                  <c:v>#Н/Д</c:v>
                </c:pt>
                <c:pt idx="651">
                  <c:v>#Н/Д</c:v>
                </c:pt>
                <c:pt idx="652">
                  <c:v>#Н/Д</c:v>
                </c:pt>
                <c:pt idx="653">
                  <c:v>#Н/Д</c:v>
                </c:pt>
                <c:pt idx="654">
                  <c:v>#Н/Д</c:v>
                </c:pt>
                <c:pt idx="655">
                  <c:v>#Н/Д</c:v>
                </c:pt>
                <c:pt idx="656">
                  <c:v>#Н/Д</c:v>
                </c:pt>
                <c:pt idx="657">
                  <c:v>#Н/Д</c:v>
                </c:pt>
                <c:pt idx="658">
                  <c:v>#Н/Д</c:v>
                </c:pt>
                <c:pt idx="659">
                  <c:v>#Н/Д</c:v>
                </c:pt>
                <c:pt idx="660">
                  <c:v>#Н/Д</c:v>
                </c:pt>
                <c:pt idx="661">
                  <c:v>#Н/Д</c:v>
                </c:pt>
                <c:pt idx="662">
                  <c:v>#Н/Д</c:v>
                </c:pt>
                <c:pt idx="663">
                  <c:v>#Н/Д</c:v>
                </c:pt>
                <c:pt idx="664">
                  <c:v>#Н/Д</c:v>
                </c:pt>
                <c:pt idx="665">
                  <c:v>#Н/Д</c:v>
                </c:pt>
                <c:pt idx="666">
                  <c:v>#Н/Д</c:v>
                </c:pt>
                <c:pt idx="667">
                  <c:v>#Н/Д</c:v>
                </c:pt>
                <c:pt idx="668">
                  <c:v>#Н/Д</c:v>
                </c:pt>
                <c:pt idx="669">
                  <c:v>#Н/Д</c:v>
                </c:pt>
                <c:pt idx="670">
                  <c:v>#Н/Д</c:v>
                </c:pt>
                <c:pt idx="671">
                  <c:v>#Н/Д</c:v>
                </c:pt>
                <c:pt idx="672">
                  <c:v>#Н/Д</c:v>
                </c:pt>
                <c:pt idx="673">
                  <c:v>#Н/Д</c:v>
                </c:pt>
                <c:pt idx="674">
                  <c:v>#Н/Д</c:v>
                </c:pt>
                <c:pt idx="675">
                  <c:v>#Н/Д</c:v>
                </c:pt>
                <c:pt idx="676">
                  <c:v>#Н/Д</c:v>
                </c:pt>
                <c:pt idx="677">
                  <c:v>#Н/Д</c:v>
                </c:pt>
                <c:pt idx="678">
                  <c:v>#Н/Д</c:v>
                </c:pt>
                <c:pt idx="679">
                  <c:v>#Н/Д</c:v>
                </c:pt>
                <c:pt idx="680">
                  <c:v>#Н/Д</c:v>
                </c:pt>
                <c:pt idx="681">
                  <c:v>#Н/Д</c:v>
                </c:pt>
                <c:pt idx="682">
                  <c:v>#Н/Д</c:v>
                </c:pt>
                <c:pt idx="683">
                  <c:v>#Н/Д</c:v>
                </c:pt>
                <c:pt idx="684">
                  <c:v>#Н/Д</c:v>
                </c:pt>
                <c:pt idx="685">
                  <c:v>#Н/Д</c:v>
                </c:pt>
                <c:pt idx="686">
                  <c:v>#Н/Д</c:v>
                </c:pt>
                <c:pt idx="687">
                  <c:v>#Н/Д</c:v>
                </c:pt>
                <c:pt idx="688">
                  <c:v>#Н/Д</c:v>
                </c:pt>
                <c:pt idx="689">
                  <c:v>#Н/Д</c:v>
                </c:pt>
                <c:pt idx="690">
                  <c:v>#Н/Д</c:v>
                </c:pt>
                <c:pt idx="691">
                  <c:v>#Н/Д</c:v>
                </c:pt>
                <c:pt idx="692">
                  <c:v>#Н/Д</c:v>
                </c:pt>
                <c:pt idx="693">
                  <c:v>#Н/Д</c:v>
                </c:pt>
                <c:pt idx="694">
                  <c:v>#Н/Д</c:v>
                </c:pt>
                <c:pt idx="695">
                  <c:v>#Н/Д</c:v>
                </c:pt>
                <c:pt idx="696">
                  <c:v>#Н/Д</c:v>
                </c:pt>
                <c:pt idx="697">
                  <c:v>#Н/Д</c:v>
                </c:pt>
                <c:pt idx="698">
                  <c:v>#Н/Д</c:v>
                </c:pt>
                <c:pt idx="699">
                  <c:v>#Н/Д</c:v>
                </c:pt>
                <c:pt idx="700">
                  <c:v>#Н/Д</c:v>
                </c:pt>
                <c:pt idx="701">
                  <c:v>#Н/Д</c:v>
                </c:pt>
                <c:pt idx="702">
                  <c:v>#Н/Д</c:v>
                </c:pt>
                <c:pt idx="703">
                  <c:v>#Н/Д</c:v>
                </c:pt>
                <c:pt idx="704">
                  <c:v>#Н/Д</c:v>
                </c:pt>
                <c:pt idx="705">
                  <c:v>#Н/Д</c:v>
                </c:pt>
                <c:pt idx="706">
                  <c:v>#Н/Д</c:v>
                </c:pt>
                <c:pt idx="707">
                  <c:v>#Н/Д</c:v>
                </c:pt>
                <c:pt idx="708">
                  <c:v>#Н/Д</c:v>
                </c:pt>
                <c:pt idx="709">
                  <c:v>#Н/Д</c:v>
                </c:pt>
                <c:pt idx="710">
                  <c:v>#Н/Д</c:v>
                </c:pt>
                <c:pt idx="711">
                  <c:v>#Н/Д</c:v>
                </c:pt>
                <c:pt idx="712">
                  <c:v>#Н/Д</c:v>
                </c:pt>
                <c:pt idx="713">
                  <c:v>#Н/Д</c:v>
                </c:pt>
                <c:pt idx="714">
                  <c:v>#Н/Д</c:v>
                </c:pt>
                <c:pt idx="715">
                  <c:v>#Н/Д</c:v>
                </c:pt>
                <c:pt idx="716">
                  <c:v>#Н/Д</c:v>
                </c:pt>
                <c:pt idx="717">
                  <c:v>#Н/Д</c:v>
                </c:pt>
                <c:pt idx="718">
                  <c:v>#Н/Д</c:v>
                </c:pt>
                <c:pt idx="719">
                  <c:v>#Н/Д</c:v>
                </c:pt>
                <c:pt idx="720">
                  <c:v>#Н/Д</c:v>
                </c:pt>
                <c:pt idx="721">
                  <c:v>#Н/Д</c:v>
                </c:pt>
                <c:pt idx="722">
                  <c:v>#Н/Д</c:v>
                </c:pt>
                <c:pt idx="723">
                  <c:v>#Н/Д</c:v>
                </c:pt>
                <c:pt idx="724">
                  <c:v>#Н/Д</c:v>
                </c:pt>
                <c:pt idx="725">
                  <c:v>#Н/Д</c:v>
                </c:pt>
                <c:pt idx="726">
                  <c:v>#Н/Д</c:v>
                </c:pt>
                <c:pt idx="727">
                  <c:v>#Н/Д</c:v>
                </c:pt>
                <c:pt idx="728">
                  <c:v>#Н/Д</c:v>
                </c:pt>
                <c:pt idx="729">
                  <c:v>#Н/Д</c:v>
                </c:pt>
                <c:pt idx="730">
                  <c:v>#Н/Д</c:v>
                </c:pt>
                <c:pt idx="731">
                  <c:v>#Н/Д</c:v>
                </c:pt>
                <c:pt idx="732">
                  <c:v>#Н/Д</c:v>
                </c:pt>
                <c:pt idx="733">
                  <c:v>#Н/Д</c:v>
                </c:pt>
                <c:pt idx="734">
                  <c:v>#Н/Д</c:v>
                </c:pt>
                <c:pt idx="735">
                  <c:v>#Н/Д</c:v>
                </c:pt>
                <c:pt idx="736">
                  <c:v>#Н/Д</c:v>
                </c:pt>
                <c:pt idx="737">
                  <c:v>#Н/Д</c:v>
                </c:pt>
                <c:pt idx="738">
                  <c:v>#Н/Д</c:v>
                </c:pt>
                <c:pt idx="739">
                  <c:v>#Н/Д</c:v>
                </c:pt>
                <c:pt idx="740">
                  <c:v>#Н/Д</c:v>
                </c:pt>
                <c:pt idx="741">
                  <c:v>#Н/Д</c:v>
                </c:pt>
                <c:pt idx="742">
                  <c:v>#Н/Д</c:v>
                </c:pt>
                <c:pt idx="743">
                  <c:v>#Н/Д</c:v>
                </c:pt>
                <c:pt idx="744">
                  <c:v>#Н/Д</c:v>
                </c:pt>
                <c:pt idx="745">
                  <c:v>#Н/Д</c:v>
                </c:pt>
                <c:pt idx="746">
                  <c:v>#Н/Д</c:v>
                </c:pt>
                <c:pt idx="747">
                  <c:v>#Н/Д</c:v>
                </c:pt>
                <c:pt idx="748">
                  <c:v>#Н/Д</c:v>
                </c:pt>
                <c:pt idx="749">
                  <c:v>#Н/Д</c:v>
                </c:pt>
                <c:pt idx="750">
                  <c:v>#Н/Д</c:v>
                </c:pt>
                <c:pt idx="751">
                  <c:v>#Н/Д</c:v>
                </c:pt>
                <c:pt idx="752">
                  <c:v>#Н/Д</c:v>
                </c:pt>
                <c:pt idx="753">
                  <c:v>#Н/Д</c:v>
                </c:pt>
                <c:pt idx="754">
                  <c:v>#Н/Д</c:v>
                </c:pt>
                <c:pt idx="755">
                  <c:v>#Н/Д</c:v>
                </c:pt>
                <c:pt idx="756">
                  <c:v>#Н/Д</c:v>
                </c:pt>
                <c:pt idx="757">
                  <c:v>#Н/Д</c:v>
                </c:pt>
                <c:pt idx="758">
                  <c:v>#Н/Д</c:v>
                </c:pt>
                <c:pt idx="759">
                  <c:v>#Н/Д</c:v>
                </c:pt>
                <c:pt idx="760">
                  <c:v>#Н/Д</c:v>
                </c:pt>
                <c:pt idx="761">
                  <c:v>#Н/Д</c:v>
                </c:pt>
                <c:pt idx="762">
                  <c:v>#Н/Д</c:v>
                </c:pt>
                <c:pt idx="763">
                  <c:v>#Н/Д</c:v>
                </c:pt>
                <c:pt idx="764">
                  <c:v>#Н/Д</c:v>
                </c:pt>
                <c:pt idx="765">
                  <c:v>#Н/Д</c:v>
                </c:pt>
                <c:pt idx="766">
                  <c:v>#Н/Д</c:v>
                </c:pt>
                <c:pt idx="767">
                  <c:v>#Н/Д</c:v>
                </c:pt>
                <c:pt idx="768">
                  <c:v>#Н/Д</c:v>
                </c:pt>
                <c:pt idx="769">
                  <c:v>#Н/Д</c:v>
                </c:pt>
                <c:pt idx="770">
                  <c:v>#Н/Д</c:v>
                </c:pt>
                <c:pt idx="771">
                  <c:v>#Н/Д</c:v>
                </c:pt>
                <c:pt idx="772">
                  <c:v>#Н/Д</c:v>
                </c:pt>
                <c:pt idx="773">
                  <c:v>#Н/Д</c:v>
                </c:pt>
                <c:pt idx="774">
                  <c:v>#Н/Д</c:v>
                </c:pt>
                <c:pt idx="775">
                  <c:v>#Н/Д</c:v>
                </c:pt>
                <c:pt idx="776">
                  <c:v>#Н/Д</c:v>
                </c:pt>
                <c:pt idx="777">
                  <c:v>#Н/Д</c:v>
                </c:pt>
                <c:pt idx="778">
                  <c:v>#Н/Д</c:v>
                </c:pt>
                <c:pt idx="779">
                  <c:v>#Н/Д</c:v>
                </c:pt>
                <c:pt idx="780">
                  <c:v>#Н/Д</c:v>
                </c:pt>
                <c:pt idx="781">
                  <c:v>#Н/Д</c:v>
                </c:pt>
                <c:pt idx="782">
                  <c:v>#Н/Д</c:v>
                </c:pt>
                <c:pt idx="783">
                  <c:v>#Н/Д</c:v>
                </c:pt>
                <c:pt idx="784">
                  <c:v>#Н/Д</c:v>
                </c:pt>
                <c:pt idx="785">
                  <c:v>#Н/Д</c:v>
                </c:pt>
                <c:pt idx="786">
                  <c:v>#Н/Д</c:v>
                </c:pt>
                <c:pt idx="787">
                  <c:v>#Н/Д</c:v>
                </c:pt>
                <c:pt idx="788">
                  <c:v>#Н/Д</c:v>
                </c:pt>
                <c:pt idx="789">
                  <c:v>#Н/Д</c:v>
                </c:pt>
                <c:pt idx="790">
                  <c:v>#Н/Д</c:v>
                </c:pt>
                <c:pt idx="791">
                  <c:v>#Н/Д</c:v>
                </c:pt>
                <c:pt idx="792">
                  <c:v>#Н/Д</c:v>
                </c:pt>
                <c:pt idx="793">
                  <c:v>#Н/Д</c:v>
                </c:pt>
                <c:pt idx="794">
                  <c:v>#Н/Д</c:v>
                </c:pt>
                <c:pt idx="795">
                  <c:v>#Н/Д</c:v>
                </c:pt>
                <c:pt idx="796">
                  <c:v>#Н/Д</c:v>
                </c:pt>
                <c:pt idx="797">
                  <c:v>#Н/Д</c:v>
                </c:pt>
                <c:pt idx="798">
                  <c:v>#Н/Д</c:v>
                </c:pt>
                <c:pt idx="799">
                  <c:v>#Н/Д</c:v>
                </c:pt>
                <c:pt idx="800">
                  <c:v>#Н/Д</c:v>
                </c:pt>
                <c:pt idx="801">
                  <c:v>#Н/Д</c:v>
                </c:pt>
                <c:pt idx="802">
                  <c:v>#Н/Д</c:v>
                </c:pt>
                <c:pt idx="803">
                  <c:v>#Н/Д</c:v>
                </c:pt>
                <c:pt idx="804">
                  <c:v>#Н/Д</c:v>
                </c:pt>
                <c:pt idx="805">
                  <c:v>#Н/Д</c:v>
                </c:pt>
                <c:pt idx="806">
                  <c:v>#Н/Д</c:v>
                </c:pt>
                <c:pt idx="807">
                  <c:v>#Н/Д</c:v>
                </c:pt>
                <c:pt idx="808">
                  <c:v>#Н/Д</c:v>
                </c:pt>
                <c:pt idx="809">
                  <c:v>#Н/Д</c:v>
                </c:pt>
                <c:pt idx="810">
                  <c:v>#Н/Д</c:v>
                </c:pt>
                <c:pt idx="811">
                  <c:v>#Н/Д</c:v>
                </c:pt>
                <c:pt idx="812">
                  <c:v>#Н/Д</c:v>
                </c:pt>
                <c:pt idx="813">
                  <c:v>#Н/Д</c:v>
                </c:pt>
                <c:pt idx="814">
                  <c:v>#Н/Д</c:v>
                </c:pt>
                <c:pt idx="815">
                  <c:v>#Н/Д</c:v>
                </c:pt>
                <c:pt idx="816">
                  <c:v>#Н/Д</c:v>
                </c:pt>
                <c:pt idx="817">
                  <c:v>#Н/Д</c:v>
                </c:pt>
                <c:pt idx="818">
                  <c:v>#Н/Д</c:v>
                </c:pt>
                <c:pt idx="819">
                  <c:v>#Н/Д</c:v>
                </c:pt>
                <c:pt idx="820">
                  <c:v>#Н/Д</c:v>
                </c:pt>
                <c:pt idx="821">
                  <c:v>#Н/Д</c:v>
                </c:pt>
                <c:pt idx="822">
                  <c:v>#Н/Д</c:v>
                </c:pt>
                <c:pt idx="823">
                  <c:v>#Н/Д</c:v>
                </c:pt>
                <c:pt idx="824">
                  <c:v>#Н/Д</c:v>
                </c:pt>
                <c:pt idx="825">
                  <c:v>#Н/Д</c:v>
                </c:pt>
                <c:pt idx="826">
                  <c:v>#Н/Д</c:v>
                </c:pt>
                <c:pt idx="827">
                  <c:v>#Н/Д</c:v>
                </c:pt>
                <c:pt idx="828">
                  <c:v>#Н/Д</c:v>
                </c:pt>
                <c:pt idx="829">
                  <c:v>#Н/Д</c:v>
                </c:pt>
                <c:pt idx="830">
                  <c:v>#Н/Д</c:v>
                </c:pt>
                <c:pt idx="831">
                  <c:v>#Н/Д</c:v>
                </c:pt>
                <c:pt idx="832">
                  <c:v>#Н/Д</c:v>
                </c:pt>
                <c:pt idx="833">
                  <c:v>#Н/Д</c:v>
                </c:pt>
                <c:pt idx="834">
                  <c:v>#Н/Д</c:v>
                </c:pt>
                <c:pt idx="835">
                  <c:v>#Н/Д</c:v>
                </c:pt>
                <c:pt idx="836">
                  <c:v>#Н/Д</c:v>
                </c:pt>
                <c:pt idx="837">
                  <c:v>#Н/Д</c:v>
                </c:pt>
                <c:pt idx="838">
                  <c:v>#Н/Д</c:v>
                </c:pt>
                <c:pt idx="839">
                  <c:v>#Н/Д</c:v>
                </c:pt>
                <c:pt idx="840">
                  <c:v>#Н/Д</c:v>
                </c:pt>
                <c:pt idx="841">
                  <c:v>#Н/Д</c:v>
                </c:pt>
                <c:pt idx="842">
                  <c:v>#Н/Д</c:v>
                </c:pt>
                <c:pt idx="843">
                  <c:v>#Н/Д</c:v>
                </c:pt>
                <c:pt idx="844">
                  <c:v>#Н/Д</c:v>
                </c:pt>
                <c:pt idx="845">
                  <c:v>#Н/Д</c:v>
                </c:pt>
                <c:pt idx="846">
                  <c:v>#Н/Д</c:v>
                </c:pt>
                <c:pt idx="847">
                  <c:v>#Н/Д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2700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0B6B724-464D-4131-B421-8F5DC6D6D3F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628-46A7-9E5E-739C6B450CA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A8B979F-CAC3-45F5-BAD4-C21187570D3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628-46A7-9E5E-739C6B450CA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1B47FE0-0B8B-4AB3-8B3B-FA50E9C0C86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628-46A7-9E5E-739C6B450CA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6782333-115F-40E6-84F9-7830F6270F1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628-46A7-9E5E-739C6B450CA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90FD8FA-68D8-4257-B905-AD713BD4252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628-46A7-9E5E-739C6B450CA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4FBF5EB-1BA5-48F4-BBEE-98B7F4B83CB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628-46A7-9E5E-739C6B450CA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C16712C-4393-4343-AAD3-194293FD5A0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628-46A7-9E5E-739C6B450CA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3B72B6E-AC73-4F22-B422-23B48066AD7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628-46A7-9E5E-739C6B450CA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0779E60-187C-4E13-82EB-4E878E65193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628-46A7-9E5E-739C6B450CA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63976C8-683D-44B9-BAFC-232E79C3301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628-46A7-9E5E-739C6B450CA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2F5F123-0FB4-45EB-9F24-5B7A7C04439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628-46A7-9E5E-739C6B450CA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A527B16-2A50-419E-A1A3-1B8D100F097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628-46A7-9E5E-739C6B450CA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6F5E39A-86D6-4210-AE08-27C5BC0485C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628-46A7-9E5E-739C6B450CA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C0C52E8-20A3-476B-B87B-16335084273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628-46A7-9E5E-739C6B450CA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FF58B9A-03BC-47B5-B156-1ACDCC03F14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628-46A7-9E5E-739C6B450CA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C3D0E2A-4B65-4E14-84CA-5ED637DD247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628-46A7-9E5E-739C6B450CA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CB0B172-403B-4E8B-BCCC-E16477ACBBA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628-46A7-9E5E-739C6B450CA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8F0C0C9-6F27-4C17-883E-5F93B275A86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628-46A7-9E5E-739C6B450CA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4AD1728-890D-477C-A1AB-DFDFE657C74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628-46A7-9E5E-739C6B450CA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AA87EC6-C3E4-4724-AB71-077914E5B4E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628-46A7-9E5E-739C6B450CA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0567ECC-D5DD-40EF-8DEE-9A0E7C836B4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628-46A7-9E5E-739C6B450CA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72A2910-4A1B-4B44-B38D-0C6889CBF7B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628-46A7-9E5E-739C6B450CA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57936E3-CF4C-43E3-9264-1D348F85F7F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628-46A7-9E5E-739C6B450CA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EF03085-BB7D-4037-AB32-238D33D90B8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628-46A7-9E5E-739C6B450CA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EF437A38-416D-4533-B712-2F237F1B857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628-46A7-9E5E-739C6B450CA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D943DE6-E4F6-420C-8700-2DEDA6927B6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628-46A7-9E5E-739C6B450CA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C1B8F5F-B8E8-458F-9821-685E9C24F6D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628-46A7-9E5E-739C6B450CAB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EFB5FFF3-565B-4D86-8415-EA60519F4EB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628-46A7-9E5E-739C6B450CAB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E668CA6E-DE2E-4EBC-AE6F-D8BB3529036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628-46A7-9E5E-739C6B450CAB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CB6F7964-3AF3-47FA-8AE4-5A471A624EB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F628-46A7-9E5E-739C6B450CAB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2ADFE55B-A454-45E5-B84D-196CDC23689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F628-46A7-9E5E-739C6B450CAB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C47CBD86-62CC-4B58-9862-6CA3F085F78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F628-46A7-9E5E-739C6B450CAB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FE655669-20F8-4563-A67D-0337BA7ADDF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628-46A7-9E5E-739C6B450CAB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5764EB0C-222F-4DDE-9723-5400D43361A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F628-46A7-9E5E-739C6B450CAB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BE34E1C3-90D6-458E-B8A0-B4CBBE4288F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F628-46A7-9E5E-739C6B450CAB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FFC86757-CBA7-490C-8EF3-207FFAAB959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F628-46A7-9E5E-739C6B450CAB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CA1D2951-FA79-4874-87B5-08108D712FC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F628-46A7-9E5E-739C6B450CAB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A19450A4-C915-49A6-B96E-5730E0BF302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F628-46A7-9E5E-739C6B450CAB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4B5F41E9-1A46-4049-87B6-84EFF8A747C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F628-46A7-9E5E-739C6B450CAB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E8FB632F-7A85-4735-BB33-920BB7E9C74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F628-46A7-9E5E-739C6B450CAB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F4CBDF3C-43B1-4179-BAB9-D69F73D1483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F628-46A7-9E5E-739C6B450CAB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B0603463-8F71-48F2-9973-14EDDA5908A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F628-46A7-9E5E-739C6B450CAB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2F57BC1E-E748-490E-9886-271CB4CF980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F628-46A7-9E5E-739C6B450CAB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72D85D28-FF84-4C65-A992-900C6922986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F628-46A7-9E5E-739C6B450CAB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926B7AD4-7391-4E8F-8579-91F393EA0FB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F628-46A7-9E5E-739C6B450CAB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66F818EF-848B-48B5-B713-A5A6EEA1F53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F628-46A7-9E5E-739C6B450CAB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E7799E6A-C2A5-4984-A233-C069A752C42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F628-46A7-9E5E-739C6B450CAB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3D7CA86E-4993-42D4-8DC6-D6DAA8BED55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F628-46A7-9E5E-739C6B450CAB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DAA2A156-45FD-4633-BA40-6104AC3F343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F628-46A7-9E5E-739C6B450CAB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87492630-77F2-4D02-92C8-0DB17A39600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F628-46A7-9E5E-739C6B450CAB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B1B40B7A-96F5-4BBB-B4A2-A50D4FA1016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F628-46A7-9E5E-739C6B450CAB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DA0882E3-B7F8-4FB6-82B7-0C36C4C6790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F628-46A7-9E5E-739C6B450CAB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FCB8F9B6-8412-4A36-AD4F-AD17378A1EB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F628-46A7-9E5E-739C6B450CAB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F3DED2BE-39EC-41F6-BE5A-C42C132D628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F628-46A7-9E5E-739C6B450CAB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8D5CFC86-3F1B-4393-B02A-393F3742036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F628-46A7-9E5E-739C6B450CAB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69BEED20-DBD7-4826-9048-235BDCF0628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F628-46A7-9E5E-739C6B450CAB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AF253A92-3511-44F9-85BF-15C71676984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F628-46A7-9E5E-739C6B450CAB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DBE48FB0-ED33-4E44-99BF-F946CA648D4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F628-46A7-9E5E-739C6B450CAB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313D4303-7586-48ED-95C9-CA988F205B1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F628-46A7-9E5E-739C6B450CAB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7C07E2BE-8045-4AD9-807C-7CA5251D414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F628-46A7-9E5E-739C6B450CAB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01F39FA3-56F2-40B4-9830-1E31460C951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F628-46A7-9E5E-739C6B450CAB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8FBDC2E0-0934-47AB-A90A-FE4A9756D21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F628-46A7-9E5E-739C6B450CAB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665EC743-5977-4C5D-A4FA-A901D7669D0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F628-46A7-9E5E-739C6B450CAB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84D18A31-1310-4A93-9E80-DDD8C161C96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F628-46A7-9E5E-739C6B450CAB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45E889AF-CCE9-47BF-8231-91327237E83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F628-46A7-9E5E-739C6B450CAB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F30292F4-EC46-41A5-8C29-517F50ED584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F628-46A7-9E5E-739C6B450CAB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56D306D5-78AE-40A6-9B8C-9BB1C8F8EBB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F628-46A7-9E5E-739C6B450CAB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8AC09E9D-C43D-47D9-8742-6D39FC9BAF9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F628-46A7-9E5E-739C6B450CAB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2832DEF8-246D-486A-972B-DCC0D055C04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F628-46A7-9E5E-739C6B450CAB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73EE18EC-52BA-420F-8E9B-788372E3D74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F628-46A7-9E5E-739C6B450CAB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0D76B1DF-CC41-425B-A187-DAA274D3057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F628-46A7-9E5E-739C6B450CAB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7DF9B283-D3A0-4307-9E63-593FBDD0931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F628-46A7-9E5E-739C6B450CAB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81D4A363-B201-4E70-9FF6-ED5568B22AB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F628-46A7-9E5E-739C6B450CAB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0FF60141-EA42-45AD-B2E2-787AAEF8F50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F628-46A7-9E5E-739C6B450CAB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2A2A52BE-0F23-4D9E-A13F-CEC7F5D839C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F628-46A7-9E5E-739C6B450CAB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F5B980FE-D78F-4896-88B9-5A41A57A5EF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F628-46A7-9E5E-739C6B450CAB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CB89F33A-DB2F-4185-81F0-BE74265F75E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F628-46A7-9E5E-739C6B450CAB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A3332115-8704-4609-8C38-D84DF08997C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F628-46A7-9E5E-739C6B450CAB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DC6F5080-EB44-449E-85E0-D7AB59CA2C9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F628-46A7-9E5E-739C6B450CAB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33B8C550-BE5C-4E92-AD53-FC42C3F853A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F628-46A7-9E5E-739C6B450CAB}"/>
                </c:ext>
              </c:extLst>
            </c:dLbl>
            <c:dLbl>
              <c:idx val="80"/>
              <c:tx>
                <c:rich>
                  <a:bodyPr/>
                  <a:lstStyle/>
                  <a:p>
                    <a:fld id="{39E6468C-2DBD-40EE-B0B1-0F5F502598B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F628-46A7-9E5E-739C6B450CAB}"/>
                </c:ext>
              </c:extLst>
            </c:dLbl>
            <c:dLbl>
              <c:idx val="81"/>
              <c:tx>
                <c:rich>
                  <a:bodyPr/>
                  <a:lstStyle/>
                  <a:p>
                    <a:fld id="{263621D5-AFB7-413A-9991-C8A7A7F111D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F628-46A7-9E5E-739C6B450CAB}"/>
                </c:ext>
              </c:extLst>
            </c:dLbl>
            <c:dLbl>
              <c:idx val="82"/>
              <c:tx>
                <c:rich>
                  <a:bodyPr/>
                  <a:lstStyle/>
                  <a:p>
                    <a:fld id="{2B656A1D-E298-4636-A23E-11571BC9B74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F628-46A7-9E5E-739C6B450CAB}"/>
                </c:ext>
              </c:extLst>
            </c:dLbl>
            <c:dLbl>
              <c:idx val="83"/>
              <c:tx>
                <c:rich>
                  <a:bodyPr/>
                  <a:lstStyle/>
                  <a:p>
                    <a:fld id="{CEB082AD-9A31-494A-95D3-4F6213D94B7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F628-46A7-9E5E-739C6B450CAB}"/>
                </c:ext>
              </c:extLst>
            </c:dLbl>
            <c:dLbl>
              <c:idx val="84"/>
              <c:tx>
                <c:rich>
                  <a:bodyPr/>
                  <a:lstStyle/>
                  <a:p>
                    <a:fld id="{3A6B2345-6EFA-48FC-9450-2551056D1E1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F628-46A7-9E5E-739C6B450CAB}"/>
                </c:ext>
              </c:extLst>
            </c:dLbl>
            <c:dLbl>
              <c:idx val="85"/>
              <c:tx>
                <c:rich>
                  <a:bodyPr/>
                  <a:lstStyle/>
                  <a:p>
                    <a:fld id="{52CF13EB-5F7F-483E-9BF2-FD711FF2737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F628-46A7-9E5E-739C6B450CAB}"/>
                </c:ext>
              </c:extLst>
            </c:dLbl>
            <c:dLbl>
              <c:idx val="86"/>
              <c:tx>
                <c:rich>
                  <a:bodyPr/>
                  <a:lstStyle/>
                  <a:p>
                    <a:fld id="{64452D89-2504-40CF-930E-BA4DE8E872A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F628-46A7-9E5E-739C6B450CAB}"/>
                </c:ext>
              </c:extLst>
            </c:dLbl>
            <c:dLbl>
              <c:idx val="87"/>
              <c:tx>
                <c:rich>
                  <a:bodyPr/>
                  <a:lstStyle/>
                  <a:p>
                    <a:fld id="{DC8F8D21-84CD-418F-A7F3-6D17CD26F06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F628-46A7-9E5E-739C6B450CAB}"/>
                </c:ext>
              </c:extLst>
            </c:dLbl>
            <c:dLbl>
              <c:idx val="88"/>
              <c:tx>
                <c:rich>
                  <a:bodyPr/>
                  <a:lstStyle/>
                  <a:p>
                    <a:fld id="{A219428F-4DB4-44C8-922A-5B5CDC45E61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F628-46A7-9E5E-739C6B450CAB}"/>
                </c:ext>
              </c:extLst>
            </c:dLbl>
            <c:dLbl>
              <c:idx val="89"/>
              <c:tx>
                <c:rich>
                  <a:bodyPr/>
                  <a:lstStyle/>
                  <a:p>
                    <a:fld id="{BB3522BB-96D2-4628-ACC9-FB5CE99CA13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F628-46A7-9E5E-739C6B450CAB}"/>
                </c:ext>
              </c:extLst>
            </c:dLbl>
            <c:dLbl>
              <c:idx val="90"/>
              <c:tx>
                <c:rich>
                  <a:bodyPr/>
                  <a:lstStyle/>
                  <a:p>
                    <a:fld id="{65BECD96-5A1F-4920-9D01-A1C412563D7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F628-46A7-9E5E-739C6B450CAB}"/>
                </c:ext>
              </c:extLst>
            </c:dLbl>
            <c:dLbl>
              <c:idx val="91"/>
              <c:tx>
                <c:rich>
                  <a:bodyPr/>
                  <a:lstStyle/>
                  <a:p>
                    <a:fld id="{787D2900-153B-41DA-BABB-A2EFA8EAADB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F628-46A7-9E5E-739C6B450CAB}"/>
                </c:ext>
              </c:extLst>
            </c:dLbl>
            <c:dLbl>
              <c:idx val="92"/>
              <c:tx>
                <c:rich>
                  <a:bodyPr/>
                  <a:lstStyle/>
                  <a:p>
                    <a:fld id="{2C592F03-C540-4B43-BE81-8498A40FA73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F628-46A7-9E5E-739C6B450CAB}"/>
                </c:ext>
              </c:extLst>
            </c:dLbl>
            <c:dLbl>
              <c:idx val="93"/>
              <c:tx>
                <c:rich>
                  <a:bodyPr/>
                  <a:lstStyle/>
                  <a:p>
                    <a:fld id="{F9C21D77-282E-457D-9120-0B5B2E0C7B6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F628-46A7-9E5E-739C6B450CAB}"/>
                </c:ext>
              </c:extLst>
            </c:dLbl>
            <c:dLbl>
              <c:idx val="94"/>
              <c:tx>
                <c:rich>
                  <a:bodyPr/>
                  <a:lstStyle/>
                  <a:p>
                    <a:fld id="{9A70ED0C-91C4-40C5-A5E4-580252381AD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F628-46A7-9E5E-739C6B450CAB}"/>
                </c:ext>
              </c:extLst>
            </c:dLbl>
            <c:dLbl>
              <c:idx val="95"/>
              <c:tx>
                <c:rich>
                  <a:bodyPr/>
                  <a:lstStyle/>
                  <a:p>
                    <a:fld id="{274F98D5-0C62-4A98-AD6E-A5EF4C59D5D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F628-46A7-9E5E-739C6B450CAB}"/>
                </c:ext>
              </c:extLst>
            </c:dLbl>
            <c:dLbl>
              <c:idx val="96"/>
              <c:tx>
                <c:rich>
                  <a:bodyPr/>
                  <a:lstStyle/>
                  <a:p>
                    <a:fld id="{A271DE90-3E7F-4955-833B-D8DC2BA6C66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F628-46A7-9E5E-739C6B450CAB}"/>
                </c:ext>
              </c:extLst>
            </c:dLbl>
            <c:dLbl>
              <c:idx val="97"/>
              <c:tx>
                <c:rich>
                  <a:bodyPr/>
                  <a:lstStyle/>
                  <a:p>
                    <a:fld id="{298E1557-F6FF-4E79-B0A3-A922EFBFBA7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F628-46A7-9E5E-739C6B450CAB}"/>
                </c:ext>
              </c:extLst>
            </c:dLbl>
            <c:dLbl>
              <c:idx val="98"/>
              <c:tx>
                <c:rich>
                  <a:bodyPr/>
                  <a:lstStyle/>
                  <a:p>
                    <a:fld id="{F1355CDF-8FED-4F62-8647-0CEA4FBCFCE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F628-46A7-9E5E-739C6B450CAB}"/>
                </c:ext>
              </c:extLst>
            </c:dLbl>
            <c:dLbl>
              <c:idx val="99"/>
              <c:tx>
                <c:rich>
                  <a:bodyPr/>
                  <a:lstStyle/>
                  <a:p>
                    <a:fld id="{43F756FD-956D-4F9B-8BBF-99118FF58E5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F628-46A7-9E5E-739C6B450CAB}"/>
                </c:ext>
              </c:extLst>
            </c:dLbl>
            <c:dLbl>
              <c:idx val="100"/>
              <c:tx>
                <c:rich>
                  <a:bodyPr/>
                  <a:lstStyle/>
                  <a:p>
                    <a:fld id="{211FD3EA-7DF6-4E91-A2D3-0F3F57D1DA0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F628-46A7-9E5E-739C6B450CAB}"/>
                </c:ext>
              </c:extLst>
            </c:dLbl>
            <c:dLbl>
              <c:idx val="101"/>
              <c:tx>
                <c:rich>
                  <a:bodyPr/>
                  <a:lstStyle/>
                  <a:p>
                    <a:fld id="{716D80BC-E874-4F86-87BC-3D60AAA58AF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F628-46A7-9E5E-739C6B450CAB}"/>
                </c:ext>
              </c:extLst>
            </c:dLbl>
            <c:dLbl>
              <c:idx val="102"/>
              <c:tx>
                <c:rich>
                  <a:bodyPr/>
                  <a:lstStyle/>
                  <a:p>
                    <a:fld id="{1B53CFA4-16F1-4A0D-8AD3-FA2D214BC62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F628-46A7-9E5E-739C6B450CAB}"/>
                </c:ext>
              </c:extLst>
            </c:dLbl>
            <c:dLbl>
              <c:idx val="103"/>
              <c:tx>
                <c:rich>
                  <a:bodyPr/>
                  <a:lstStyle/>
                  <a:p>
                    <a:fld id="{08639D4E-79DF-4001-B054-7869A2488AF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F628-46A7-9E5E-739C6B450CAB}"/>
                </c:ext>
              </c:extLst>
            </c:dLbl>
            <c:dLbl>
              <c:idx val="104"/>
              <c:tx>
                <c:rich>
                  <a:bodyPr/>
                  <a:lstStyle/>
                  <a:p>
                    <a:fld id="{7A164D93-F235-460F-92C8-5A6CC99D6A4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F628-46A7-9E5E-739C6B450CAB}"/>
                </c:ext>
              </c:extLst>
            </c:dLbl>
            <c:dLbl>
              <c:idx val="105"/>
              <c:tx>
                <c:rich>
                  <a:bodyPr/>
                  <a:lstStyle/>
                  <a:p>
                    <a:fld id="{117BF146-F5A9-45D5-A374-770D70DDD8A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F628-46A7-9E5E-739C6B450CAB}"/>
                </c:ext>
              </c:extLst>
            </c:dLbl>
            <c:dLbl>
              <c:idx val="106"/>
              <c:tx>
                <c:rich>
                  <a:bodyPr/>
                  <a:lstStyle/>
                  <a:p>
                    <a:fld id="{3CC9A9CE-BA85-4EF2-87EA-237DDA7271C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F628-46A7-9E5E-739C6B450CAB}"/>
                </c:ext>
              </c:extLst>
            </c:dLbl>
            <c:dLbl>
              <c:idx val="107"/>
              <c:tx>
                <c:rich>
                  <a:bodyPr/>
                  <a:lstStyle/>
                  <a:p>
                    <a:fld id="{2174147F-4E46-4C04-85C8-E8D220EA40E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F628-46A7-9E5E-739C6B450CAB}"/>
                </c:ext>
              </c:extLst>
            </c:dLbl>
            <c:dLbl>
              <c:idx val="108"/>
              <c:tx>
                <c:rich>
                  <a:bodyPr/>
                  <a:lstStyle/>
                  <a:p>
                    <a:fld id="{B09DCD9C-FC28-4F37-AF23-2B231F358D0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F628-46A7-9E5E-739C6B450CAB}"/>
                </c:ext>
              </c:extLst>
            </c:dLbl>
            <c:dLbl>
              <c:idx val="109"/>
              <c:tx>
                <c:rich>
                  <a:bodyPr/>
                  <a:lstStyle/>
                  <a:p>
                    <a:fld id="{85D3BAE7-B182-49AE-A6CA-3B9DD089331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F628-46A7-9E5E-739C6B450CAB}"/>
                </c:ext>
              </c:extLst>
            </c:dLbl>
            <c:dLbl>
              <c:idx val="110"/>
              <c:tx>
                <c:rich>
                  <a:bodyPr/>
                  <a:lstStyle/>
                  <a:p>
                    <a:fld id="{25D645AE-D8DF-4873-A7D8-490523A33EB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F628-46A7-9E5E-739C6B450CAB}"/>
                </c:ext>
              </c:extLst>
            </c:dLbl>
            <c:dLbl>
              <c:idx val="111"/>
              <c:tx>
                <c:rich>
                  <a:bodyPr/>
                  <a:lstStyle/>
                  <a:p>
                    <a:fld id="{208121F7-DD44-4F7E-BE67-117379EA18E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F628-46A7-9E5E-739C6B450CAB}"/>
                </c:ext>
              </c:extLst>
            </c:dLbl>
            <c:dLbl>
              <c:idx val="112"/>
              <c:tx>
                <c:rich>
                  <a:bodyPr/>
                  <a:lstStyle/>
                  <a:p>
                    <a:fld id="{303DB8A1-9E08-475B-BF84-18453EF67FC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F628-46A7-9E5E-739C6B450CAB}"/>
                </c:ext>
              </c:extLst>
            </c:dLbl>
            <c:dLbl>
              <c:idx val="113"/>
              <c:tx>
                <c:rich>
                  <a:bodyPr/>
                  <a:lstStyle/>
                  <a:p>
                    <a:fld id="{E0A9BE4D-74C3-40AD-A252-D664261E77C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F628-46A7-9E5E-739C6B450CAB}"/>
                </c:ext>
              </c:extLst>
            </c:dLbl>
            <c:dLbl>
              <c:idx val="114"/>
              <c:tx>
                <c:rich>
                  <a:bodyPr/>
                  <a:lstStyle/>
                  <a:p>
                    <a:fld id="{1AE6E7F6-7783-4DC5-A4F9-2477C461306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F628-46A7-9E5E-739C6B450CAB}"/>
                </c:ext>
              </c:extLst>
            </c:dLbl>
            <c:dLbl>
              <c:idx val="115"/>
              <c:tx>
                <c:rich>
                  <a:bodyPr/>
                  <a:lstStyle/>
                  <a:p>
                    <a:fld id="{8D443866-228B-4349-A90F-27830FF3EE7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F628-46A7-9E5E-739C6B450CAB}"/>
                </c:ext>
              </c:extLst>
            </c:dLbl>
            <c:dLbl>
              <c:idx val="116"/>
              <c:tx>
                <c:rich>
                  <a:bodyPr/>
                  <a:lstStyle/>
                  <a:p>
                    <a:fld id="{52C40F0E-2E83-4076-BA89-61E885F83D0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F628-46A7-9E5E-739C6B450CAB}"/>
                </c:ext>
              </c:extLst>
            </c:dLbl>
            <c:dLbl>
              <c:idx val="117"/>
              <c:tx>
                <c:rich>
                  <a:bodyPr/>
                  <a:lstStyle/>
                  <a:p>
                    <a:fld id="{B33FDE64-E603-4B90-889F-1388CC45D70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F628-46A7-9E5E-739C6B450CAB}"/>
                </c:ext>
              </c:extLst>
            </c:dLbl>
            <c:dLbl>
              <c:idx val="118"/>
              <c:tx>
                <c:rich>
                  <a:bodyPr/>
                  <a:lstStyle/>
                  <a:p>
                    <a:fld id="{5D663A16-3C90-4C41-8A18-68574C9D6D7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F628-46A7-9E5E-739C6B450CAB}"/>
                </c:ext>
              </c:extLst>
            </c:dLbl>
            <c:dLbl>
              <c:idx val="119"/>
              <c:tx>
                <c:rich>
                  <a:bodyPr/>
                  <a:lstStyle/>
                  <a:p>
                    <a:fld id="{CBA47601-0E4F-4575-AD7C-A09322ADD32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F628-46A7-9E5E-739C6B450CAB}"/>
                </c:ext>
              </c:extLst>
            </c:dLbl>
            <c:dLbl>
              <c:idx val="120"/>
              <c:tx>
                <c:rich>
                  <a:bodyPr/>
                  <a:lstStyle/>
                  <a:p>
                    <a:fld id="{38E81708-1236-4BFD-BB44-AA7313E7947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F628-46A7-9E5E-739C6B450CAB}"/>
                </c:ext>
              </c:extLst>
            </c:dLbl>
            <c:dLbl>
              <c:idx val="121"/>
              <c:tx>
                <c:rich>
                  <a:bodyPr/>
                  <a:lstStyle/>
                  <a:p>
                    <a:fld id="{F4846F54-C2A5-40CB-B4D1-8C215B6CB60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F628-46A7-9E5E-739C6B450CAB}"/>
                </c:ext>
              </c:extLst>
            </c:dLbl>
            <c:dLbl>
              <c:idx val="122"/>
              <c:tx>
                <c:rich>
                  <a:bodyPr/>
                  <a:lstStyle/>
                  <a:p>
                    <a:fld id="{15FDC484-1E65-4677-BD31-94679021DD8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F628-46A7-9E5E-739C6B450CAB}"/>
                </c:ext>
              </c:extLst>
            </c:dLbl>
            <c:dLbl>
              <c:idx val="123"/>
              <c:tx>
                <c:rich>
                  <a:bodyPr/>
                  <a:lstStyle/>
                  <a:p>
                    <a:fld id="{90B38CCD-8464-49B1-8C5F-79B06EFD3C4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B-F628-46A7-9E5E-739C6B450CAB}"/>
                </c:ext>
              </c:extLst>
            </c:dLbl>
            <c:dLbl>
              <c:idx val="124"/>
              <c:tx>
                <c:rich>
                  <a:bodyPr/>
                  <a:lstStyle/>
                  <a:p>
                    <a:fld id="{9381B684-7F4D-493E-8CE5-04079285000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C-F628-46A7-9E5E-739C6B450CAB}"/>
                </c:ext>
              </c:extLst>
            </c:dLbl>
            <c:dLbl>
              <c:idx val="125"/>
              <c:tx>
                <c:rich>
                  <a:bodyPr/>
                  <a:lstStyle/>
                  <a:p>
                    <a:fld id="{7A8B8903-867A-4625-B3AA-A6E35576847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F628-46A7-9E5E-739C6B450CAB}"/>
                </c:ext>
              </c:extLst>
            </c:dLbl>
            <c:dLbl>
              <c:idx val="126"/>
              <c:tx>
                <c:rich>
                  <a:bodyPr/>
                  <a:lstStyle/>
                  <a:p>
                    <a:fld id="{8A2B1CEF-2BB5-4CC1-9CE0-912F72A17D5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E-F628-46A7-9E5E-739C6B450CAB}"/>
                </c:ext>
              </c:extLst>
            </c:dLbl>
            <c:dLbl>
              <c:idx val="127"/>
              <c:tx>
                <c:rich>
                  <a:bodyPr/>
                  <a:lstStyle/>
                  <a:p>
                    <a:fld id="{4C2269C3-9305-4D4C-8ABF-EF29AFD7B4B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F-F628-46A7-9E5E-739C6B450CAB}"/>
                </c:ext>
              </c:extLst>
            </c:dLbl>
            <c:dLbl>
              <c:idx val="128"/>
              <c:tx>
                <c:rich>
                  <a:bodyPr/>
                  <a:lstStyle/>
                  <a:p>
                    <a:fld id="{B0AC8342-5CCF-45E6-AEC7-2D1FDA2274C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F628-46A7-9E5E-739C6B450CAB}"/>
                </c:ext>
              </c:extLst>
            </c:dLbl>
            <c:dLbl>
              <c:idx val="129"/>
              <c:tx>
                <c:rich>
                  <a:bodyPr/>
                  <a:lstStyle/>
                  <a:p>
                    <a:fld id="{90B5311D-4866-4010-BD9E-A78039E6725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1-F628-46A7-9E5E-739C6B450CAB}"/>
                </c:ext>
              </c:extLst>
            </c:dLbl>
            <c:dLbl>
              <c:idx val="130"/>
              <c:tx>
                <c:rich>
                  <a:bodyPr/>
                  <a:lstStyle/>
                  <a:p>
                    <a:fld id="{C8ACD926-D180-4FD7-A641-B849CD2B93E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2-F628-46A7-9E5E-739C6B450CAB}"/>
                </c:ext>
              </c:extLst>
            </c:dLbl>
            <c:dLbl>
              <c:idx val="131"/>
              <c:tx>
                <c:rich>
                  <a:bodyPr/>
                  <a:lstStyle/>
                  <a:p>
                    <a:fld id="{D418D85D-7830-4562-AB48-5D4CA143848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F628-46A7-9E5E-739C6B450CAB}"/>
                </c:ext>
              </c:extLst>
            </c:dLbl>
            <c:dLbl>
              <c:idx val="132"/>
              <c:tx>
                <c:rich>
                  <a:bodyPr/>
                  <a:lstStyle/>
                  <a:p>
                    <a:fld id="{E2754090-CF2D-48D2-90A1-FE0D2B2BC51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4-F628-46A7-9E5E-739C6B450CAB}"/>
                </c:ext>
              </c:extLst>
            </c:dLbl>
            <c:dLbl>
              <c:idx val="133"/>
              <c:tx>
                <c:rich>
                  <a:bodyPr/>
                  <a:lstStyle/>
                  <a:p>
                    <a:fld id="{93CED889-2DAA-417C-A587-8DD10A52D7E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5-F628-46A7-9E5E-739C6B450CAB}"/>
                </c:ext>
              </c:extLst>
            </c:dLbl>
            <c:dLbl>
              <c:idx val="134"/>
              <c:tx>
                <c:rich>
                  <a:bodyPr/>
                  <a:lstStyle/>
                  <a:p>
                    <a:fld id="{0A5A4A45-7530-46C5-894F-C50140D20BE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F628-46A7-9E5E-739C6B450CAB}"/>
                </c:ext>
              </c:extLst>
            </c:dLbl>
            <c:dLbl>
              <c:idx val="135"/>
              <c:tx>
                <c:rich>
                  <a:bodyPr/>
                  <a:lstStyle/>
                  <a:p>
                    <a:fld id="{DFE971ED-E696-4478-8F55-F9A029339AF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7-F628-46A7-9E5E-739C6B450CAB}"/>
                </c:ext>
              </c:extLst>
            </c:dLbl>
            <c:dLbl>
              <c:idx val="136"/>
              <c:tx>
                <c:rich>
                  <a:bodyPr/>
                  <a:lstStyle/>
                  <a:p>
                    <a:fld id="{58B95266-48BD-4BB8-BCB0-2B1EC53FBF4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8-F628-46A7-9E5E-739C6B450CAB}"/>
                </c:ext>
              </c:extLst>
            </c:dLbl>
            <c:dLbl>
              <c:idx val="137"/>
              <c:tx>
                <c:rich>
                  <a:bodyPr/>
                  <a:lstStyle/>
                  <a:p>
                    <a:fld id="{E5DF0F0F-CE2A-47B5-B4D6-9BF9509D29C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F628-46A7-9E5E-739C6B450CAB}"/>
                </c:ext>
              </c:extLst>
            </c:dLbl>
            <c:dLbl>
              <c:idx val="138"/>
              <c:tx>
                <c:rich>
                  <a:bodyPr/>
                  <a:lstStyle/>
                  <a:p>
                    <a:fld id="{1DE90F4A-B0D4-4A59-8802-C7C97F227D0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A-F628-46A7-9E5E-739C6B450CAB}"/>
                </c:ext>
              </c:extLst>
            </c:dLbl>
            <c:dLbl>
              <c:idx val="139"/>
              <c:tx>
                <c:rich>
                  <a:bodyPr/>
                  <a:lstStyle/>
                  <a:p>
                    <a:fld id="{DA794121-2FA8-48CD-8006-BF1E2171312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B-F628-46A7-9E5E-739C6B450CAB}"/>
                </c:ext>
              </c:extLst>
            </c:dLbl>
            <c:dLbl>
              <c:idx val="140"/>
              <c:tx>
                <c:rich>
                  <a:bodyPr/>
                  <a:lstStyle/>
                  <a:p>
                    <a:fld id="{A1579F3F-FCA7-45AC-83A9-7E3D65780EF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C-F628-46A7-9E5E-739C6B450CAB}"/>
                </c:ext>
              </c:extLst>
            </c:dLbl>
            <c:dLbl>
              <c:idx val="141"/>
              <c:tx>
                <c:rich>
                  <a:bodyPr/>
                  <a:lstStyle/>
                  <a:p>
                    <a:fld id="{C3B3CD77-0C6B-4551-98CB-81215B8DBBB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D-F628-46A7-9E5E-739C6B450CAB}"/>
                </c:ext>
              </c:extLst>
            </c:dLbl>
            <c:dLbl>
              <c:idx val="142"/>
              <c:tx>
                <c:rich>
                  <a:bodyPr/>
                  <a:lstStyle/>
                  <a:p>
                    <a:fld id="{ADCCE514-B1D6-46E8-BE4E-50C99A41676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E-F628-46A7-9E5E-739C6B450CAB}"/>
                </c:ext>
              </c:extLst>
            </c:dLbl>
            <c:dLbl>
              <c:idx val="143"/>
              <c:tx>
                <c:rich>
                  <a:bodyPr/>
                  <a:lstStyle/>
                  <a:p>
                    <a:fld id="{8A4DD2B2-A88C-4EB5-803D-6E193D86C3E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F-F628-46A7-9E5E-739C6B450CAB}"/>
                </c:ext>
              </c:extLst>
            </c:dLbl>
            <c:dLbl>
              <c:idx val="144"/>
              <c:tx>
                <c:rich>
                  <a:bodyPr/>
                  <a:lstStyle/>
                  <a:p>
                    <a:fld id="{4E8F06FF-77C6-478D-A9FC-5C48166412F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0-F628-46A7-9E5E-739C6B450CAB}"/>
                </c:ext>
              </c:extLst>
            </c:dLbl>
            <c:dLbl>
              <c:idx val="145"/>
              <c:tx>
                <c:rich>
                  <a:bodyPr/>
                  <a:lstStyle/>
                  <a:p>
                    <a:fld id="{62493214-136C-4A56-B42A-8D23416B9A8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1-F628-46A7-9E5E-739C6B450CAB}"/>
                </c:ext>
              </c:extLst>
            </c:dLbl>
            <c:dLbl>
              <c:idx val="146"/>
              <c:tx>
                <c:rich>
                  <a:bodyPr/>
                  <a:lstStyle/>
                  <a:p>
                    <a:fld id="{403CCB32-7521-4933-9968-FDF711C0832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2-F628-46A7-9E5E-739C6B450CAB}"/>
                </c:ext>
              </c:extLst>
            </c:dLbl>
            <c:dLbl>
              <c:idx val="147"/>
              <c:tx>
                <c:rich>
                  <a:bodyPr/>
                  <a:lstStyle/>
                  <a:p>
                    <a:fld id="{1587E5EB-1ED0-4B83-9F0E-875BB6FA1FC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3-F628-46A7-9E5E-739C6B450CAB}"/>
                </c:ext>
              </c:extLst>
            </c:dLbl>
            <c:dLbl>
              <c:idx val="148"/>
              <c:tx>
                <c:rich>
                  <a:bodyPr/>
                  <a:lstStyle/>
                  <a:p>
                    <a:fld id="{94E69D22-2CAA-4DAD-8A1C-8E442426E71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4-F628-46A7-9E5E-739C6B450CAB}"/>
                </c:ext>
              </c:extLst>
            </c:dLbl>
            <c:dLbl>
              <c:idx val="149"/>
              <c:tx>
                <c:rich>
                  <a:bodyPr/>
                  <a:lstStyle/>
                  <a:p>
                    <a:fld id="{4BEBA933-2793-4DCC-90C2-C12D2CC7B4D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5-F628-46A7-9E5E-739C6B450CAB}"/>
                </c:ext>
              </c:extLst>
            </c:dLbl>
            <c:dLbl>
              <c:idx val="150"/>
              <c:tx>
                <c:rich>
                  <a:bodyPr/>
                  <a:lstStyle/>
                  <a:p>
                    <a:fld id="{65ADD03A-62AB-4469-A903-7584ADF49EDF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6-F628-46A7-9E5E-739C6B450CAB}"/>
                </c:ext>
              </c:extLst>
            </c:dLbl>
            <c:dLbl>
              <c:idx val="151"/>
              <c:tx>
                <c:rich>
                  <a:bodyPr/>
                  <a:lstStyle/>
                  <a:p>
                    <a:fld id="{69F404E0-E1C9-4B04-B8C3-16F1403C7D9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7-F628-46A7-9E5E-739C6B450CAB}"/>
                </c:ext>
              </c:extLst>
            </c:dLbl>
            <c:dLbl>
              <c:idx val="152"/>
              <c:tx>
                <c:rich>
                  <a:bodyPr/>
                  <a:lstStyle/>
                  <a:p>
                    <a:fld id="{3F050D97-87F8-4066-A665-CF9D0379989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8-F628-46A7-9E5E-739C6B450CAB}"/>
                </c:ext>
              </c:extLst>
            </c:dLbl>
            <c:dLbl>
              <c:idx val="153"/>
              <c:tx>
                <c:rich>
                  <a:bodyPr/>
                  <a:lstStyle/>
                  <a:p>
                    <a:fld id="{174F6164-ABBD-4735-B567-012DED56452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9-F628-46A7-9E5E-739C6B450CAB}"/>
                </c:ext>
              </c:extLst>
            </c:dLbl>
            <c:dLbl>
              <c:idx val="154"/>
              <c:tx>
                <c:rich>
                  <a:bodyPr/>
                  <a:lstStyle/>
                  <a:p>
                    <a:fld id="{727E07B9-8AD0-4D60-A61C-87EE079C8F89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A-F628-46A7-9E5E-739C6B450CAB}"/>
                </c:ext>
              </c:extLst>
            </c:dLbl>
            <c:dLbl>
              <c:idx val="155"/>
              <c:tx>
                <c:rich>
                  <a:bodyPr/>
                  <a:lstStyle/>
                  <a:p>
                    <a:fld id="{7A1D01D0-8B5E-43F1-B593-6DF98FFAAEE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B-F628-46A7-9E5E-739C6B450CAB}"/>
                </c:ext>
              </c:extLst>
            </c:dLbl>
            <c:dLbl>
              <c:idx val="156"/>
              <c:tx>
                <c:rich>
                  <a:bodyPr/>
                  <a:lstStyle/>
                  <a:p>
                    <a:fld id="{13395D83-1447-42AC-A5CD-250475FB72B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C-F628-46A7-9E5E-739C6B450CAB}"/>
                </c:ext>
              </c:extLst>
            </c:dLbl>
            <c:dLbl>
              <c:idx val="157"/>
              <c:tx>
                <c:rich>
                  <a:bodyPr/>
                  <a:lstStyle/>
                  <a:p>
                    <a:fld id="{51EAD533-A1BE-4947-88DC-34C55E85774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D-F628-46A7-9E5E-739C6B450CAB}"/>
                </c:ext>
              </c:extLst>
            </c:dLbl>
            <c:dLbl>
              <c:idx val="158"/>
              <c:tx>
                <c:rich>
                  <a:bodyPr/>
                  <a:lstStyle/>
                  <a:p>
                    <a:fld id="{8C3CCC7C-99DE-4EDE-9B54-8F9D259EDE6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E-F628-46A7-9E5E-739C6B450CAB}"/>
                </c:ext>
              </c:extLst>
            </c:dLbl>
            <c:dLbl>
              <c:idx val="159"/>
              <c:tx>
                <c:rich>
                  <a:bodyPr/>
                  <a:lstStyle/>
                  <a:p>
                    <a:fld id="{C0525BE9-2A37-484A-B7A3-18F77E65631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9F-F628-46A7-9E5E-739C6B450CAB}"/>
                </c:ext>
              </c:extLst>
            </c:dLbl>
            <c:dLbl>
              <c:idx val="160"/>
              <c:tx>
                <c:rich>
                  <a:bodyPr/>
                  <a:lstStyle/>
                  <a:p>
                    <a:fld id="{CFC66A98-1ADA-43AB-BDFC-742FA56A02C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0-F628-46A7-9E5E-739C6B450CAB}"/>
                </c:ext>
              </c:extLst>
            </c:dLbl>
            <c:dLbl>
              <c:idx val="161"/>
              <c:tx>
                <c:rich>
                  <a:bodyPr/>
                  <a:lstStyle/>
                  <a:p>
                    <a:fld id="{C7CCEAD6-E47A-46A2-84AF-4A8832D561D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1-F628-46A7-9E5E-739C6B450CAB}"/>
                </c:ext>
              </c:extLst>
            </c:dLbl>
            <c:dLbl>
              <c:idx val="162"/>
              <c:tx>
                <c:rich>
                  <a:bodyPr/>
                  <a:lstStyle/>
                  <a:p>
                    <a:fld id="{D34DCE7A-E61B-4878-B418-6CB37C2FE3D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2-F628-46A7-9E5E-739C6B450CAB}"/>
                </c:ext>
              </c:extLst>
            </c:dLbl>
            <c:dLbl>
              <c:idx val="163"/>
              <c:tx>
                <c:rich>
                  <a:bodyPr/>
                  <a:lstStyle/>
                  <a:p>
                    <a:fld id="{DE6E8CDD-9F94-457A-9ED7-072361FA0EF2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3-F628-46A7-9E5E-739C6B450CAB}"/>
                </c:ext>
              </c:extLst>
            </c:dLbl>
            <c:dLbl>
              <c:idx val="164"/>
              <c:tx>
                <c:rich>
                  <a:bodyPr/>
                  <a:lstStyle/>
                  <a:p>
                    <a:fld id="{5A9EE65B-076E-4036-8628-64AAC95F098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4-F628-46A7-9E5E-739C6B450CAB}"/>
                </c:ext>
              </c:extLst>
            </c:dLbl>
            <c:dLbl>
              <c:idx val="165"/>
              <c:tx>
                <c:rich>
                  <a:bodyPr/>
                  <a:lstStyle/>
                  <a:p>
                    <a:fld id="{954099FE-05F5-4938-AE18-786137D69E3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5-F628-46A7-9E5E-739C6B450CAB}"/>
                </c:ext>
              </c:extLst>
            </c:dLbl>
            <c:dLbl>
              <c:idx val="166"/>
              <c:tx>
                <c:rich>
                  <a:bodyPr/>
                  <a:lstStyle/>
                  <a:p>
                    <a:fld id="{44AEC55F-C1E0-4B60-AA08-A53F4C8374B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6-F628-46A7-9E5E-739C6B450CAB}"/>
                </c:ext>
              </c:extLst>
            </c:dLbl>
            <c:dLbl>
              <c:idx val="167"/>
              <c:tx>
                <c:rich>
                  <a:bodyPr/>
                  <a:lstStyle/>
                  <a:p>
                    <a:fld id="{90518D14-F53E-44BE-935C-6059D9C96560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7-F628-46A7-9E5E-739C6B450CAB}"/>
                </c:ext>
              </c:extLst>
            </c:dLbl>
            <c:dLbl>
              <c:idx val="168"/>
              <c:tx>
                <c:rich>
                  <a:bodyPr/>
                  <a:lstStyle/>
                  <a:p>
                    <a:fld id="{96B4A5D8-F604-45D8-8CB8-DD66E4ECB3B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8-F628-46A7-9E5E-739C6B450CAB}"/>
                </c:ext>
              </c:extLst>
            </c:dLbl>
            <c:dLbl>
              <c:idx val="169"/>
              <c:tx>
                <c:rich>
                  <a:bodyPr/>
                  <a:lstStyle/>
                  <a:p>
                    <a:fld id="{7CB95C06-74E0-49BE-949A-C88B77D5395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9-F628-46A7-9E5E-739C6B450CAB}"/>
                </c:ext>
              </c:extLst>
            </c:dLbl>
            <c:dLbl>
              <c:idx val="170"/>
              <c:tx>
                <c:rich>
                  <a:bodyPr/>
                  <a:lstStyle/>
                  <a:p>
                    <a:fld id="{2575A01B-5C5C-4986-AB01-FB1285B82D84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A-F628-46A7-9E5E-739C6B450CAB}"/>
                </c:ext>
              </c:extLst>
            </c:dLbl>
            <c:dLbl>
              <c:idx val="171"/>
              <c:tx>
                <c:rich>
                  <a:bodyPr/>
                  <a:lstStyle/>
                  <a:p>
                    <a:fld id="{90F40048-4649-4889-B80D-D10B638E52E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B-F628-46A7-9E5E-739C6B450CAB}"/>
                </c:ext>
              </c:extLst>
            </c:dLbl>
            <c:dLbl>
              <c:idx val="172"/>
              <c:tx>
                <c:rich>
                  <a:bodyPr/>
                  <a:lstStyle/>
                  <a:p>
                    <a:fld id="{3FAC7282-9647-4551-B844-00F4F487144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C-F628-46A7-9E5E-739C6B450CAB}"/>
                </c:ext>
              </c:extLst>
            </c:dLbl>
            <c:dLbl>
              <c:idx val="173"/>
              <c:tx>
                <c:rich>
                  <a:bodyPr/>
                  <a:lstStyle/>
                  <a:p>
                    <a:fld id="{D424992C-3D17-4E41-B561-5774974EC9E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D-F628-46A7-9E5E-739C6B450CAB}"/>
                </c:ext>
              </c:extLst>
            </c:dLbl>
            <c:dLbl>
              <c:idx val="174"/>
              <c:tx>
                <c:rich>
                  <a:bodyPr/>
                  <a:lstStyle/>
                  <a:p>
                    <a:fld id="{A44DE489-8154-4D31-97B8-D1465449256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E-F628-46A7-9E5E-739C6B450CAB}"/>
                </c:ext>
              </c:extLst>
            </c:dLbl>
            <c:dLbl>
              <c:idx val="175"/>
              <c:tx>
                <c:rich>
                  <a:bodyPr/>
                  <a:lstStyle/>
                  <a:p>
                    <a:fld id="{2CE7D434-F1FD-4849-9682-6A42E0710D87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AF-F628-46A7-9E5E-739C6B450CAB}"/>
                </c:ext>
              </c:extLst>
            </c:dLbl>
            <c:dLbl>
              <c:idx val="176"/>
              <c:tx>
                <c:rich>
                  <a:bodyPr/>
                  <a:lstStyle/>
                  <a:p>
                    <a:fld id="{DFFFACD6-687A-48A9-868E-7FAC808A727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0-F628-46A7-9E5E-739C6B450CAB}"/>
                </c:ext>
              </c:extLst>
            </c:dLbl>
            <c:dLbl>
              <c:idx val="177"/>
              <c:tx>
                <c:rich>
                  <a:bodyPr/>
                  <a:lstStyle/>
                  <a:p>
                    <a:fld id="{1C184AE9-0220-43EA-A571-0AA3995BEB3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1-F628-46A7-9E5E-739C6B450CAB}"/>
                </c:ext>
              </c:extLst>
            </c:dLbl>
            <c:dLbl>
              <c:idx val="178"/>
              <c:tx>
                <c:rich>
                  <a:bodyPr/>
                  <a:lstStyle/>
                  <a:p>
                    <a:fld id="{3CBF4315-A9B8-4252-95F5-08529E8886C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2-F628-46A7-9E5E-739C6B450CAB}"/>
                </c:ext>
              </c:extLst>
            </c:dLbl>
            <c:dLbl>
              <c:idx val="179"/>
              <c:tx>
                <c:rich>
                  <a:bodyPr/>
                  <a:lstStyle/>
                  <a:p>
                    <a:fld id="{B4AD6727-692A-42DC-A845-C8A5E95DF3C8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3-F628-46A7-9E5E-739C6B450CAB}"/>
                </c:ext>
              </c:extLst>
            </c:dLbl>
            <c:dLbl>
              <c:idx val="180"/>
              <c:tx>
                <c:rich>
                  <a:bodyPr/>
                  <a:lstStyle/>
                  <a:p>
                    <a:fld id="{A42AF29B-EC70-4E91-853E-FB2533B4F77C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4-F628-46A7-9E5E-739C6B450CAB}"/>
                </c:ext>
              </c:extLst>
            </c:dLbl>
            <c:dLbl>
              <c:idx val="181"/>
              <c:tx>
                <c:rich>
                  <a:bodyPr/>
                  <a:lstStyle/>
                  <a:p>
                    <a:fld id="{763E1F26-DED4-4AD4-9023-FDE8389A3D8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5-F628-46A7-9E5E-739C6B450CAB}"/>
                </c:ext>
              </c:extLst>
            </c:dLbl>
            <c:dLbl>
              <c:idx val="182"/>
              <c:tx>
                <c:rich>
                  <a:bodyPr/>
                  <a:lstStyle/>
                  <a:p>
                    <a:fld id="{30171C7B-8E73-4328-B18E-072BC1E7D9F1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6-F628-46A7-9E5E-739C6B450CAB}"/>
                </c:ext>
              </c:extLst>
            </c:dLbl>
            <c:dLbl>
              <c:idx val="183"/>
              <c:tx>
                <c:rich>
                  <a:bodyPr/>
                  <a:lstStyle/>
                  <a:p>
                    <a:fld id="{4BDEE215-C603-45D0-A2A5-C3597768DCD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7-F628-46A7-9E5E-739C6B450CAB}"/>
                </c:ext>
              </c:extLst>
            </c:dLbl>
            <c:dLbl>
              <c:idx val="184"/>
              <c:tx>
                <c:rich>
                  <a:bodyPr/>
                  <a:lstStyle/>
                  <a:p>
                    <a:fld id="{C0B1959D-CE83-4462-823A-ABB58E7DC285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8-F628-46A7-9E5E-739C6B450CAB}"/>
                </c:ext>
              </c:extLst>
            </c:dLbl>
            <c:dLbl>
              <c:idx val="185"/>
              <c:tx>
                <c:rich>
                  <a:bodyPr/>
                  <a:lstStyle/>
                  <a:p>
                    <a:fld id="{50504BC2-B38E-467E-8109-1650F259B5D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9-F628-46A7-9E5E-739C6B450CAB}"/>
                </c:ext>
              </c:extLst>
            </c:dLbl>
            <c:dLbl>
              <c:idx val="186"/>
              <c:tx>
                <c:rich>
                  <a:bodyPr/>
                  <a:lstStyle/>
                  <a:p>
                    <a:fld id="{D0CFBF25-D74A-4B1E-A5F3-B978A310041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A-F628-46A7-9E5E-739C6B450CAB}"/>
                </c:ext>
              </c:extLst>
            </c:dLbl>
            <c:dLbl>
              <c:idx val="187"/>
              <c:tx>
                <c:rich>
                  <a:bodyPr/>
                  <a:lstStyle/>
                  <a:p>
                    <a:fld id="{29113BDB-0EDB-4654-94D9-F07D1EBE4773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B-F628-46A7-9E5E-739C6B450CAB}"/>
                </c:ext>
              </c:extLst>
            </c:dLbl>
            <c:dLbl>
              <c:idx val="188"/>
              <c:tx>
                <c:rich>
                  <a:bodyPr/>
                  <a:lstStyle/>
                  <a:p>
                    <a:fld id="{CE24CE27-AAA0-490B-9AEF-688AB91B594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C-F628-46A7-9E5E-739C6B450CAB}"/>
                </c:ext>
              </c:extLst>
            </c:dLbl>
            <c:dLbl>
              <c:idx val="189"/>
              <c:tx>
                <c:rich>
                  <a:bodyPr/>
                  <a:lstStyle/>
                  <a:p>
                    <a:fld id="{DDCF6C96-D1C0-430C-8B66-67F21AB4279B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D-F628-46A7-9E5E-739C6B450CAB}"/>
                </c:ext>
              </c:extLst>
            </c:dLbl>
            <c:dLbl>
              <c:idx val="190"/>
              <c:tx>
                <c:rich>
                  <a:bodyPr/>
                  <a:lstStyle/>
                  <a:p>
                    <a:fld id="{197647F4-6A0A-4BBC-BCC6-CCD57C857EE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E-F628-46A7-9E5E-739C6B450CAB}"/>
                </c:ext>
              </c:extLst>
            </c:dLbl>
            <c:dLbl>
              <c:idx val="191"/>
              <c:tx>
                <c:rich>
                  <a:bodyPr/>
                  <a:lstStyle/>
                  <a:p>
                    <a:fld id="{EB5C4457-17C8-42D8-8624-160A71DCF96E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BF-F628-46A7-9E5E-739C6B450CAB}"/>
                </c:ext>
              </c:extLst>
            </c:dLbl>
            <c:dLbl>
              <c:idx val="192"/>
              <c:tx>
                <c:rich>
                  <a:bodyPr/>
                  <a:lstStyle/>
                  <a:p>
                    <a:fld id="{DDCC3815-F207-41B7-A0BA-AE06A92B1C56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0-F628-46A7-9E5E-739C6B450CAB}"/>
                </c:ext>
              </c:extLst>
            </c:dLbl>
            <c:dLbl>
              <c:idx val="193"/>
              <c:tx>
                <c:rich>
                  <a:bodyPr/>
                  <a:lstStyle/>
                  <a:p>
                    <a:fld id="{AB0D970D-1A65-4745-B49D-7CEE706FAF1A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1-F628-46A7-9E5E-739C6B450CAB}"/>
                </c:ext>
              </c:extLst>
            </c:dLbl>
            <c:dLbl>
              <c:idx val="194"/>
              <c:tx>
                <c:rich>
                  <a:bodyPr/>
                  <a:lstStyle/>
                  <a:p>
                    <a:fld id="{3B5ECDCE-C2CD-4637-BC65-1D58EADEF75D}" type="CELLRANGE">
                      <a:rPr lang="ru-RU"/>
                      <a:pPr/>
                      <a:t>[ДИАПАЗОН ЯЧЕЕК]</a:t>
                    </a:fld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2-F628-46A7-9E5E-739C6B450CAB}"/>
                </c:ext>
              </c:extLst>
            </c:dLbl>
            <c:dLbl>
              <c:idx val="19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3-F628-46A7-9E5E-739C6B450CAB}"/>
                </c:ext>
              </c:extLst>
            </c:dLbl>
            <c:dLbl>
              <c:idx val="19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4-F628-46A7-9E5E-739C6B450CAB}"/>
                </c:ext>
              </c:extLst>
            </c:dLbl>
            <c:dLbl>
              <c:idx val="19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5-F628-46A7-9E5E-739C6B450CAB}"/>
                </c:ext>
              </c:extLst>
            </c:dLbl>
            <c:dLbl>
              <c:idx val="19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6-F628-46A7-9E5E-739C6B450CAB}"/>
                </c:ext>
              </c:extLst>
            </c:dLbl>
            <c:dLbl>
              <c:idx val="19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7-F628-46A7-9E5E-739C6B450CAB}"/>
                </c:ext>
              </c:extLst>
            </c:dLbl>
            <c:dLbl>
              <c:idx val="20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8-F628-46A7-9E5E-739C6B450CAB}"/>
                </c:ext>
              </c:extLst>
            </c:dLbl>
            <c:dLbl>
              <c:idx val="20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9-F628-46A7-9E5E-739C6B450CAB}"/>
                </c:ext>
              </c:extLst>
            </c:dLbl>
            <c:dLbl>
              <c:idx val="20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A-F628-46A7-9E5E-739C6B450CAB}"/>
                </c:ext>
              </c:extLst>
            </c:dLbl>
            <c:dLbl>
              <c:idx val="20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B-F628-46A7-9E5E-739C6B450CAB}"/>
                </c:ext>
              </c:extLst>
            </c:dLbl>
            <c:dLbl>
              <c:idx val="20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C-F628-46A7-9E5E-739C6B450CAB}"/>
                </c:ext>
              </c:extLst>
            </c:dLbl>
            <c:dLbl>
              <c:idx val="20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D-F628-46A7-9E5E-739C6B450CAB}"/>
                </c:ext>
              </c:extLst>
            </c:dLbl>
            <c:dLbl>
              <c:idx val="20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E-F628-46A7-9E5E-739C6B450CAB}"/>
                </c:ext>
              </c:extLst>
            </c:dLbl>
            <c:dLbl>
              <c:idx val="20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CF-F628-46A7-9E5E-739C6B450CAB}"/>
                </c:ext>
              </c:extLst>
            </c:dLbl>
            <c:dLbl>
              <c:idx val="20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0-F628-46A7-9E5E-739C6B450CAB}"/>
                </c:ext>
              </c:extLst>
            </c:dLbl>
            <c:dLbl>
              <c:idx val="20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1-F628-46A7-9E5E-739C6B450CAB}"/>
                </c:ext>
              </c:extLst>
            </c:dLbl>
            <c:dLbl>
              <c:idx val="21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2-F628-46A7-9E5E-739C6B450CAB}"/>
                </c:ext>
              </c:extLst>
            </c:dLbl>
            <c:dLbl>
              <c:idx val="21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3-F628-46A7-9E5E-739C6B450CAB}"/>
                </c:ext>
              </c:extLst>
            </c:dLbl>
            <c:dLbl>
              <c:idx val="21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4-F628-46A7-9E5E-739C6B450CAB}"/>
                </c:ext>
              </c:extLst>
            </c:dLbl>
            <c:dLbl>
              <c:idx val="21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5-F628-46A7-9E5E-739C6B450CAB}"/>
                </c:ext>
              </c:extLst>
            </c:dLbl>
            <c:dLbl>
              <c:idx val="21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6-F628-46A7-9E5E-739C6B450CAB}"/>
                </c:ext>
              </c:extLst>
            </c:dLbl>
            <c:dLbl>
              <c:idx val="21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7-F628-46A7-9E5E-739C6B450CAB}"/>
                </c:ext>
              </c:extLst>
            </c:dLbl>
            <c:dLbl>
              <c:idx val="21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8-F628-46A7-9E5E-739C6B450CAB}"/>
                </c:ext>
              </c:extLst>
            </c:dLbl>
            <c:dLbl>
              <c:idx val="21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9-F628-46A7-9E5E-739C6B450CAB}"/>
                </c:ext>
              </c:extLst>
            </c:dLbl>
            <c:dLbl>
              <c:idx val="21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A-F628-46A7-9E5E-739C6B450CAB}"/>
                </c:ext>
              </c:extLst>
            </c:dLbl>
            <c:dLbl>
              <c:idx val="21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B-F628-46A7-9E5E-739C6B450CAB}"/>
                </c:ext>
              </c:extLst>
            </c:dLbl>
            <c:dLbl>
              <c:idx val="22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C-F628-46A7-9E5E-739C6B450CAB}"/>
                </c:ext>
              </c:extLst>
            </c:dLbl>
            <c:dLbl>
              <c:idx val="22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D-F628-46A7-9E5E-739C6B450CAB}"/>
                </c:ext>
              </c:extLst>
            </c:dLbl>
            <c:dLbl>
              <c:idx val="22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E-F628-46A7-9E5E-739C6B450CAB}"/>
                </c:ext>
              </c:extLst>
            </c:dLbl>
            <c:dLbl>
              <c:idx val="22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DF-F628-46A7-9E5E-739C6B450CAB}"/>
                </c:ext>
              </c:extLst>
            </c:dLbl>
            <c:dLbl>
              <c:idx val="22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0-F628-46A7-9E5E-739C6B450CAB}"/>
                </c:ext>
              </c:extLst>
            </c:dLbl>
            <c:dLbl>
              <c:idx val="22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1-F628-46A7-9E5E-739C6B450CAB}"/>
                </c:ext>
              </c:extLst>
            </c:dLbl>
            <c:dLbl>
              <c:idx val="22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2-F628-46A7-9E5E-739C6B450CAB}"/>
                </c:ext>
              </c:extLst>
            </c:dLbl>
            <c:dLbl>
              <c:idx val="22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3-F628-46A7-9E5E-739C6B450CAB}"/>
                </c:ext>
              </c:extLst>
            </c:dLbl>
            <c:dLbl>
              <c:idx val="22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4-F628-46A7-9E5E-739C6B450CAB}"/>
                </c:ext>
              </c:extLst>
            </c:dLbl>
            <c:dLbl>
              <c:idx val="22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5-F628-46A7-9E5E-739C6B450CAB}"/>
                </c:ext>
              </c:extLst>
            </c:dLbl>
            <c:dLbl>
              <c:idx val="23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6-F628-46A7-9E5E-739C6B450CAB}"/>
                </c:ext>
              </c:extLst>
            </c:dLbl>
            <c:dLbl>
              <c:idx val="23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7-F628-46A7-9E5E-739C6B450CAB}"/>
                </c:ext>
              </c:extLst>
            </c:dLbl>
            <c:dLbl>
              <c:idx val="23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8-F628-46A7-9E5E-739C6B450CAB}"/>
                </c:ext>
              </c:extLst>
            </c:dLbl>
            <c:dLbl>
              <c:idx val="23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9-F628-46A7-9E5E-739C6B450CAB}"/>
                </c:ext>
              </c:extLst>
            </c:dLbl>
            <c:dLbl>
              <c:idx val="23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A-F628-46A7-9E5E-739C6B450CAB}"/>
                </c:ext>
              </c:extLst>
            </c:dLbl>
            <c:dLbl>
              <c:idx val="23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B-F628-46A7-9E5E-739C6B450CAB}"/>
                </c:ext>
              </c:extLst>
            </c:dLbl>
            <c:dLbl>
              <c:idx val="23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C-F628-46A7-9E5E-739C6B450CAB}"/>
                </c:ext>
              </c:extLst>
            </c:dLbl>
            <c:dLbl>
              <c:idx val="23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D-F628-46A7-9E5E-739C6B450CAB}"/>
                </c:ext>
              </c:extLst>
            </c:dLbl>
            <c:dLbl>
              <c:idx val="23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E-F628-46A7-9E5E-739C6B450CAB}"/>
                </c:ext>
              </c:extLst>
            </c:dLbl>
            <c:dLbl>
              <c:idx val="23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EF-F628-46A7-9E5E-739C6B450CAB}"/>
                </c:ext>
              </c:extLst>
            </c:dLbl>
            <c:dLbl>
              <c:idx val="24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0-F628-46A7-9E5E-739C6B450CAB}"/>
                </c:ext>
              </c:extLst>
            </c:dLbl>
            <c:dLbl>
              <c:idx val="24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1-F628-46A7-9E5E-739C6B450CAB}"/>
                </c:ext>
              </c:extLst>
            </c:dLbl>
            <c:dLbl>
              <c:idx val="24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2-F628-46A7-9E5E-739C6B450CAB}"/>
                </c:ext>
              </c:extLst>
            </c:dLbl>
            <c:dLbl>
              <c:idx val="24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3-F628-46A7-9E5E-739C6B450CAB}"/>
                </c:ext>
              </c:extLst>
            </c:dLbl>
            <c:dLbl>
              <c:idx val="24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4-F628-46A7-9E5E-739C6B450CAB}"/>
                </c:ext>
              </c:extLst>
            </c:dLbl>
            <c:dLbl>
              <c:idx val="24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5-F628-46A7-9E5E-739C6B450CAB}"/>
                </c:ext>
              </c:extLst>
            </c:dLbl>
            <c:dLbl>
              <c:idx val="24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6-F628-46A7-9E5E-739C6B450CAB}"/>
                </c:ext>
              </c:extLst>
            </c:dLbl>
            <c:dLbl>
              <c:idx val="24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7-F628-46A7-9E5E-739C6B450CAB}"/>
                </c:ext>
              </c:extLst>
            </c:dLbl>
            <c:dLbl>
              <c:idx val="24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8-F628-46A7-9E5E-739C6B450CAB}"/>
                </c:ext>
              </c:extLst>
            </c:dLbl>
            <c:dLbl>
              <c:idx val="24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9-F628-46A7-9E5E-739C6B450CAB}"/>
                </c:ext>
              </c:extLst>
            </c:dLbl>
            <c:dLbl>
              <c:idx val="25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A-F628-46A7-9E5E-739C6B450CAB}"/>
                </c:ext>
              </c:extLst>
            </c:dLbl>
            <c:dLbl>
              <c:idx val="25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B-F628-46A7-9E5E-739C6B450CAB}"/>
                </c:ext>
              </c:extLst>
            </c:dLbl>
            <c:dLbl>
              <c:idx val="25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C-F628-46A7-9E5E-739C6B450CAB}"/>
                </c:ext>
              </c:extLst>
            </c:dLbl>
            <c:dLbl>
              <c:idx val="25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D-F628-46A7-9E5E-739C6B450CAB}"/>
                </c:ext>
              </c:extLst>
            </c:dLbl>
            <c:dLbl>
              <c:idx val="25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E-F628-46A7-9E5E-739C6B450CAB}"/>
                </c:ext>
              </c:extLst>
            </c:dLbl>
            <c:dLbl>
              <c:idx val="25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FF-F628-46A7-9E5E-739C6B450CAB}"/>
                </c:ext>
              </c:extLst>
            </c:dLbl>
            <c:dLbl>
              <c:idx val="25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0-F628-46A7-9E5E-739C6B450CAB}"/>
                </c:ext>
              </c:extLst>
            </c:dLbl>
            <c:dLbl>
              <c:idx val="25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1-F628-46A7-9E5E-739C6B450CAB}"/>
                </c:ext>
              </c:extLst>
            </c:dLbl>
            <c:dLbl>
              <c:idx val="25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2-F628-46A7-9E5E-739C6B450CAB}"/>
                </c:ext>
              </c:extLst>
            </c:dLbl>
            <c:dLbl>
              <c:idx val="25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3-F628-46A7-9E5E-739C6B450CAB}"/>
                </c:ext>
              </c:extLst>
            </c:dLbl>
            <c:dLbl>
              <c:idx val="26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4-F628-46A7-9E5E-739C6B450CAB}"/>
                </c:ext>
              </c:extLst>
            </c:dLbl>
            <c:dLbl>
              <c:idx val="26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5-F628-46A7-9E5E-739C6B450CAB}"/>
                </c:ext>
              </c:extLst>
            </c:dLbl>
            <c:dLbl>
              <c:idx val="26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6-F628-46A7-9E5E-739C6B450CAB}"/>
                </c:ext>
              </c:extLst>
            </c:dLbl>
            <c:dLbl>
              <c:idx val="26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7-F628-46A7-9E5E-739C6B450CAB}"/>
                </c:ext>
              </c:extLst>
            </c:dLbl>
            <c:dLbl>
              <c:idx val="26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8-F628-46A7-9E5E-739C6B450CAB}"/>
                </c:ext>
              </c:extLst>
            </c:dLbl>
            <c:dLbl>
              <c:idx val="26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9-F628-46A7-9E5E-739C6B450CAB}"/>
                </c:ext>
              </c:extLst>
            </c:dLbl>
            <c:dLbl>
              <c:idx val="26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A-F628-46A7-9E5E-739C6B450CAB}"/>
                </c:ext>
              </c:extLst>
            </c:dLbl>
            <c:dLbl>
              <c:idx val="26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B-F628-46A7-9E5E-739C6B450CAB}"/>
                </c:ext>
              </c:extLst>
            </c:dLbl>
            <c:dLbl>
              <c:idx val="26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C-F628-46A7-9E5E-739C6B450CAB}"/>
                </c:ext>
              </c:extLst>
            </c:dLbl>
            <c:dLbl>
              <c:idx val="26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D-F628-46A7-9E5E-739C6B450CAB}"/>
                </c:ext>
              </c:extLst>
            </c:dLbl>
            <c:dLbl>
              <c:idx val="27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E-F628-46A7-9E5E-739C6B450CAB}"/>
                </c:ext>
              </c:extLst>
            </c:dLbl>
            <c:dLbl>
              <c:idx val="27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0F-F628-46A7-9E5E-739C6B450CAB}"/>
                </c:ext>
              </c:extLst>
            </c:dLbl>
            <c:dLbl>
              <c:idx val="27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0-F628-46A7-9E5E-739C6B450CAB}"/>
                </c:ext>
              </c:extLst>
            </c:dLbl>
            <c:dLbl>
              <c:idx val="27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1-F628-46A7-9E5E-739C6B450CAB}"/>
                </c:ext>
              </c:extLst>
            </c:dLbl>
            <c:dLbl>
              <c:idx val="27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2-F628-46A7-9E5E-739C6B450CAB}"/>
                </c:ext>
              </c:extLst>
            </c:dLbl>
            <c:dLbl>
              <c:idx val="27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3-F628-46A7-9E5E-739C6B450CAB}"/>
                </c:ext>
              </c:extLst>
            </c:dLbl>
            <c:dLbl>
              <c:idx val="27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4-F628-46A7-9E5E-739C6B450CAB}"/>
                </c:ext>
              </c:extLst>
            </c:dLbl>
            <c:dLbl>
              <c:idx val="27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5-F628-46A7-9E5E-739C6B450CAB}"/>
                </c:ext>
              </c:extLst>
            </c:dLbl>
            <c:dLbl>
              <c:idx val="27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6-F628-46A7-9E5E-739C6B450CAB}"/>
                </c:ext>
              </c:extLst>
            </c:dLbl>
            <c:dLbl>
              <c:idx val="27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7-F628-46A7-9E5E-739C6B450CAB}"/>
                </c:ext>
              </c:extLst>
            </c:dLbl>
            <c:dLbl>
              <c:idx val="28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8-F628-46A7-9E5E-739C6B450CAB}"/>
                </c:ext>
              </c:extLst>
            </c:dLbl>
            <c:dLbl>
              <c:idx val="28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9-F628-46A7-9E5E-739C6B450CAB}"/>
                </c:ext>
              </c:extLst>
            </c:dLbl>
            <c:dLbl>
              <c:idx val="28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A-F628-46A7-9E5E-739C6B450CAB}"/>
                </c:ext>
              </c:extLst>
            </c:dLbl>
            <c:dLbl>
              <c:idx val="28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B-F628-46A7-9E5E-739C6B450CAB}"/>
                </c:ext>
              </c:extLst>
            </c:dLbl>
            <c:dLbl>
              <c:idx val="28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C-F628-46A7-9E5E-739C6B450CAB}"/>
                </c:ext>
              </c:extLst>
            </c:dLbl>
            <c:dLbl>
              <c:idx val="28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D-F628-46A7-9E5E-739C6B450CAB}"/>
                </c:ext>
              </c:extLst>
            </c:dLbl>
            <c:dLbl>
              <c:idx val="28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E-F628-46A7-9E5E-739C6B450CAB}"/>
                </c:ext>
              </c:extLst>
            </c:dLbl>
            <c:dLbl>
              <c:idx val="28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1F-F628-46A7-9E5E-739C6B450CAB}"/>
                </c:ext>
              </c:extLst>
            </c:dLbl>
            <c:dLbl>
              <c:idx val="28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0-F628-46A7-9E5E-739C6B450CAB}"/>
                </c:ext>
              </c:extLst>
            </c:dLbl>
            <c:dLbl>
              <c:idx val="28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1-F628-46A7-9E5E-739C6B450CAB}"/>
                </c:ext>
              </c:extLst>
            </c:dLbl>
            <c:dLbl>
              <c:idx val="29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2-F628-46A7-9E5E-739C6B450CAB}"/>
                </c:ext>
              </c:extLst>
            </c:dLbl>
            <c:dLbl>
              <c:idx val="29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3-F628-46A7-9E5E-739C6B450CAB}"/>
                </c:ext>
              </c:extLst>
            </c:dLbl>
            <c:dLbl>
              <c:idx val="29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4-F628-46A7-9E5E-739C6B450CAB}"/>
                </c:ext>
              </c:extLst>
            </c:dLbl>
            <c:dLbl>
              <c:idx val="29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5-F628-46A7-9E5E-739C6B450CAB}"/>
                </c:ext>
              </c:extLst>
            </c:dLbl>
            <c:dLbl>
              <c:idx val="29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6-F628-46A7-9E5E-739C6B450CAB}"/>
                </c:ext>
              </c:extLst>
            </c:dLbl>
            <c:dLbl>
              <c:idx val="29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7-F628-46A7-9E5E-739C6B450CAB}"/>
                </c:ext>
              </c:extLst>
            </c:dLbl>
            <c:dLbl>
              <c:idx val="29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8-F628-46A7-9E5E-739C6B450CAB}"/>
                </c:ext>
              </c:extLst>
            </c:dLbl>
            <c:dLbl>
              <c:idx val="29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9-F628-46A7-9E5E-739C6B450CAB}"/>
                </c:ext>
              </c:extLst>
            </c:dLbl>
            <c:dLbl>
              <c:idx val="29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A-F628-46A7-9E5E-739C6B450CAB}"/>
                </c:ext>
              </c:extLst>
            </c:dLbl>
            <c:dLbl>
              <c:idx val="29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B-F628-46A7-9E5E-739C6B450CAB}"/>
                </c:ext>
              </c:extLst>
            </c:dLbl>
            <c:dLbl>
              <c:idx val="30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C-F628-46A7-9E5E-739C6B450CAB}"/>
                </c:ext>
              </c:extLst>
            </c:dLbl>
            <c:dLbl>
              <c:idx val="30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D-F628-46A7-9E5E-739C6B450CAB}"/>
                </c:ext>
              </c:extLst>
            </c:dLbl>
            <c:dLbl>
              <c:idx val="30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E-F628-46A7-9E5E-739C6B450CAB}"/>
                </c:ext>
              </c:extLst>
            </c:dLbl>
            <c:dLbl>
              <c:idx val="30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2F-F628-46A7-9E5E-739C6B450CAB}"/>
                </c:ext>
              </c:extLst>
            </c:dLbl>
            <c:dLbl>
              <c:idx val="30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0-F628-46A7-9E5E-739C6B450CAB}"/>
                </c:ext>
              </c:extLst>
            </c:dLbl>
            <c:dLbl>
              <c:idx val="30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1-F628-46A7-9E5E-739C6B450CAB}"/>
                </c:ext>
              </c:extLst>
            </c:dLbl>
            <c:dLbl>
              <c:idx val="30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2-F628-46A7-9E5E-739C6B450CAB}"/>
                </c:ext>
              </c:extLst>
            </c:dLbl>
            <c:dLbl>
              <c:idx val="30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3-F628-46A7-9E5E-739C6B450CAB}"/>
                </c:ext>
              </c:extLst>
            </c:dLbl>
            <c:dLbl>
              <c:idx val="30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4-F628-46A7-9E5E-739C6B450CAB}"/>
                </c:ext>
              </c:extLst>
            </c:dLbl>
            <c:dLbl>
              <c:idx val="30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5-F628-46A7-9E5E-739C6B450CAB}"/>
                </c:ext>
              </c:extLst>
            </c:dLbl>
            <c:dLbl>
              <c:idx val="31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6-F628-46A7-9E5E-739C6B450CAB}"/>
                </c:ext>
              </c:extLst>
            </c:dLbl>
            <c:dLbl>
              <c:idx val="31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7-F628-46A7-9E5E-739C6B450CAB}"/>
                </c:ext>
              </c:extLst>
            </c:dLbl>
            <c:dLbl>
              <c:idx val="31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8-F628-46A7-9E5E-739C6B450CAB}"/>
                </c:ext>
              </c:extLst>
            </c:dLbl>
            <c:dLbl>
              <c:idx val="31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9-F628-46A7-9E5E-739C6B450CAB}"/>
                </c:ext>
              </c:extLst>
            </c:dLbl>
            <c:dLbl>
              <c:idx val="31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A-F628-46A7-9E5E-739C6B450CAB}"/>
                </c:ext>
              </c:extLst>
            </c:dLbl>
            <c:dLbl>
              <c:idx val="31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B-F628-46A7-9E5E-739C6B450CAB}"/>
                </c:ext>
              </c:extLst>
            </c:dLbl>
            <c:dLbl>
              <c:idx val="31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C-F628-46A7-9E5E-739C6B450CAB}"/>
                </c:ext>
              </c:extLst>
            </c:dLbl>
            <c:dLbl>
              <c:idx val="31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D-F628-46A7-9E5E-739C6B450CAB}"/>
                </c:ext>
              </c:extLst>
            </c:dLbl>
            <c:dLbl>
              <c:idx val="31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E-F628-46A7-9E5E-739C6B450CAB}"/>
                </c:ext>
              </c:extLst>
            </c:dLbl>
            <c:dLbl>
              <c:idx val="31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3F-F628-46A7-9E5E-739C6B450CAB}"/>
                </c:ext>
              </c:extLst>
            </c:dLbl>
            <c:dLbl>
              <c:idx val="32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0-F628-46A7-9E5E-739C6B450CAB}"/>
                </c:ext>
              </c:extLst>
            </c:dLbl>
            <c:dLbl>
              <c:idx val="32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1-F628-46A7-9E5E-739C6B450CAB}"/>
                </c:ext>
              </c:extLst>
            </c:dLbl>
            <c:dLbl>
              <c:idx val="32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2-F628-46A7-9E5E-739C6B450CAB}"/>
                </c:ext>
              </c:extLst>
            </c:dLbl>
            <c:dLbl>
              <c:idx val="32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3-F628-46A7-9E5E-739C6B450CAB}"/>
                </c:ext>
              </c:extLst>
            </c:dLbl>
            <c:dLbl>
              <c:idx val="32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4-F628-46A7-9E5E-739C6B450CAB}"/>
                </c:ext>
              </c:extLst>
            </c:dLbl>
            <c:dLbl>
              <c:idx val="32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5-F628-46A7-9E5E-739C6B450CAB}"/>
                </c:ext>
              </c:extLst>
            </c:dLbl>
            <c:dLbl>
              <c:idx val="32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6-F628-46A7-9E5E-739C6B450CAB}"/>
                </c:ext>
              </c:extLst>
            </c:dLbl>
            <c:dLbl>
              <c:idx val="32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7-F628-46A7-9E5E-739C6B450CAB}"/>
                </c:ext>
              </c:extLst>
            </c:dLbl>
            <c:dLbl>
              <c:idx val="32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8-F628-46A7-9E5E-739C6B450CAB}"/>
                </c:ext>
              </c:extLst>
            </c:dLbl>
            <c:dLbl>
              <c:idx val="32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9-F628-46A7-9E5E-739C6B450CAB}"/>
                </c:ext>
              </c:extLst>
            </c:dLbl>
            <c:dLbl>
              <c:idx val="33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A-F628-46A7-9E5E-739C6B450CAB}"/>
                </c:ext>
              </c:extLst>
            </c:dLbl>
            <c:dLbl>
              <c:idx val="33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B-F628-46A7-9E5E-739C6B450CAB}"/>
                </c:ext>
              </c:extLst>
            </c:dLbl>
            <c:dLbl>
              <c:idx val="33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C-F628-46A7-9E5E-739C6B450CAB}"/>
                </c:ext>
              </c:extLst>
            </c:dLbl>
            <c:dLbl>
              <c:idx val="33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D-F628-46A7-9E5E-739C6B450CAB}"/>
                </c:ext>
              </c:extLst>
            </c:dLbl>
            <c:dLbl>
              <c:idx val="33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E-F628-46A7-9E5E-739C6B450CAB}"/>
                </c:ext>
              </c:extLst>
            </c:dLbl>
            <c:dLbl>
              <c:idx val="33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4F-F628-46A7-9E5E-739C6B450CAB}"/>
                </c:ext>
              </c:extLst>
            </c:dLbl>
            <c:dLbl>
              <c:idx val="33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0-F628-46A7-9E5E-739C6B450CAB}"/>
                </c:ext>
              </c:extLst>
            </c:dLbl>
            <c:dLbl>
              <c:idx val="33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1-F628-46A7-9E5E-739C6B450CAB}"/>
                </c:ext>
              </c:extLst>
            </c:dLbl>
            <c:dLbl>
              <c:idx val="33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2-F628-46A7-9E5E-739C6B450CAB}"/>
                </c:ext>
              </c:extLst>
            </c:dLbl>
            <c:dLbl>
              <c:idx val="33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3-F628-46A7-9E5E-739C6B450CAB}"/>
                </c:ext>
              </c:extLst>
            </c:dLbl>
            <c:dLbl>
              <c:idx val="34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4-F628-46A7-9E5E-739C6B450CAB}"/>
                </c:ext>
              </c:extLst>
            </c:dLbl>
            <c:dLbl>
              <c:idx val="34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5-F628-46A7-9E5E-739C6B450CAB}"/>
                </c:ext>
              </c:extLst>
            </c:dLbl>
            <c:dLbl>
              <c:idx val="34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6-F628-46A7-9E5E-739C6B450CAB}"/>
                </c:ext>
              </c:extLst>
            </c:dLbl>
            <c:dLbl>
              <c:idx val="34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7-F628-46A7-9E5E-739C6B450CAB}"/>
                </c:ext>
              </c:extLst>
            </c:dLbl>
            <c:dLbl>
              <c:idx val="34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8-F628-46A7-9E5E-739C6B450CAB}"/>
                </c:ext>
              </c:extLst>
            </c:dLbl>
            <c:dLbl>
              <c:idx val="34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9-F628-46A7-9E5E-739C6B450CAB}"/>
                </c:ext>
              </c:extLst>
            </c:dLbl>
            <c:dLbl>
              <c:idx val="34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A-F628-46A7-9E5E-739C6B450CAB}"/>
                </c:ext>
              </c:extLst>
            </c:dLbl>
            <c:dLbl>
              <c:idx val="34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B-F628-46A7-9E5E-739C6B450CAB}"/>
                </c:ext>
              </c:extLst>
            </c:dLbl>
            <c:dLbl>
              <c:idx val="34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C-F628-46A7-9E5E-739C6B450CAB}"/>
                </c:ext>
              </c:extLst>
            </c:dLbl>
            <c:dLbl>
              <c:idx val="34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D-F628-46A7-9E5E-739C6B450CAB}"/>
                </c:ext>
              </c:extLst>
            </c:dLbl>
            <c:dLbl>
              <c:idx val="35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E-F628-46A7-9E5E-739C6B450CAB}"/>
                </c:ext>
              </c:extLst>
            </c:dLbl>
            <c:dLbl>
              <c:idx val="35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5F-F628-46A7-9E5E-739C6B450CAB}"/>
                </c:ext>
              </c:extLst>
            </c:dLbl>
            <c:dLbl>
              <c:idx val="35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0-F628-46A7-9E5E-739C6B450CAB}"/>
                </c:ext>
              </c:extLst>
            </c:dLbl>
            <c:dLbl>
              <c:idx val="35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1-F628-46A7-9E5E-739C6B450CAB}"/>
                </c:ext>
              </c:extLst>
            </c:dLbl>
            <c:dLbl>
              <c:idx val="35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2-F628-46A7-9E5E-739C6B450CAB}"/>
                </c:ext>
              </c:extLst>
            </c:dLbl>
            <c:dLbl>
              <c:idx val="35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3-F628-46A7-9E5E-739C6B450CAB}"/>
                </c:ext>
              </c:extLst>
            </c:dLbl>
            <c:dLbl>
              <c:idx val="35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4-F628-46A7-9E5E-739C6B450CAB}"/>
                </c:ext>
              </c:extLst>
            </c:dLbl>
            <c:dLbl>
              <c:idx val="35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5-F628-46A7-9E5E-739C6B450CAB}"/>
                </c:ext>
              </c:extLst>
            </c:dLbl>
            <c:dLbl>
              <c:idx val="35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6-F628-46A7-9E5E-739C6B450CAB}"/>
                </c:ext>
              </c:extLst>
            </c:dLbl>
            <c:dLbl>
              <c:idx val="35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7-F628-46A7-9E5E-739C6B450CAB}"/>
                </c:ext>
              </c:extLst>
            </c:dLbl>
            <c:dLbl>
              <c:idx val="36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8-F628-46A7-9E5E-739C6B450CAB}"/>
                </c:ext>
              </c:extLst>
            </c:dLbl>
            <c:dLbl>
              <c:idx val="36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9-F628-46A7-9E5E-739C6B450CAB}"/>
                </c:ext>
              </c:extLst>
            </c:dLbl>
            <c:dLbl>
              <c:idx val="36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A-F628-46A7-9E5E-739C6B450CAB}"/>
                </c:ext>
              </c:extLst>
            </c:dLbl>
            <c:dLbl>
              <c:idx val="36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B-F628-46A7-9E5E-739C6B450CAB}"/>
                </c:ext>
              </c:extLst>
            </c:dLbl>
            <c:dLbl>
              <c:idx val="36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C-F628-46A7-9E5E-739C6B450CAB}"/>
                </c:ext>
              </c:extLst>
            </c:dLbl>
            <c:dLbl>
              <c:idx val="36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D-F628-46A7-9E5E-739C6B450CAB}"/>
                </c:ext>
              </c:extLst>
            </c:dLbl>
            <c:dLbl>
              <c:idx val="36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E-F628-46A7-9E5E-739C6B450CAB}"/>
                </c:ext>
              </c:extLst>
            </c:dLbl>
            <c:dLbl>
              <c:idx val="36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6F-F628-46A7-9E5E-739C6B450CAB}"/>
                </c:ext>
              </c:extLst>
            </c:dLbl>
            <c:dLbl>
              <c:idx val="36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0-F628-46A7-9E5E-739C6B450CAB}"/>
                </c:ext>
              </c:extLst>
            </c:dLbl>
            <c:dLbl>
              <c:idx val="36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1-F628-46A7-9E5E-739C6B450CAB}"/>
                </c:ext>
              </c:extLst>
            </c:dLbl>
            <c:dLbl>
              <c:idx val="37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2-F628-46A7-9E5E-739C6B450CAB}"/>
                </c:ext>
              </c:extLst>
            </c:dLbl>
            <c:dLbl>
              <c:idx val="37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3-F628-46A7-9E5E-739C6B450CAB}"/>
                </c:ext>
              </c:extLst>
            </c:dLbl>
            <c:dLbl>
              <c:idx val="37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4-F628-46A7-9E5E-739C6B450CAB}"/>
                </c:ext>
              </c:extLst>
            </c:dLbl>
            <c:dLbl>
              <c:idx val="37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5-F628-46A7-9E5E-739C6B450CAB}"/>
                </c:ext>
              </c:extLst>
            </c:dLbl>
            <c:dLbl>
              <c:idx val="37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6-F628-46A7-9E5E-739C6B450CAB}"/>
                </c:ext>
              </c:extLst>
            </c:dLbl>
            <c:dLbl>
              <c:idx val="37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7-F628-46A7-9E5E-739C6B450CAB}"/>
                </c:ext>
              </c:extLst>
            </c:dLbl>
            <c:dLbl>
              <c:idx val="37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8-F628-46A7-9E5E-739C6B450CAB}"/>
                </c:ext>
              </c:extLst>
            </c:dLbl>
            <c:dLbl>
              <c:idx val="37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9-F628-46A7-9E5E-739C6B450CAB}"/>
                </c:ext>
              </c:extLst>
            </c:dLbl>
            <c:dLbl>
              <c:idx val="37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A-F628-46A7-9E5E-739C6B450CAB}"/>
                </c:ext>
              </c:extLst>
            </c:dLbl>
            <c:dLbl>
              <c:idx val="37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B-F628-46A7-9E5E-739C6B450CAB}"/>
                </c:ext>
              </c:extLst>
            </c:dLbl>
            <c:dLbl>
              <c:idx val="38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C-F628-46A7-9E5E-739C6B450CAB}"/>
                </c:ext>
              </c:extLst>
            </c:dLbl>
            <c:dLbl>
              <c:idx val="38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D-F628-46A7-9E5E-739C6B450CAB}"/>
                </c:ext>
              </c:extLst>
            </c:dLbl>
            <c:dLbl>
              <c:idx val="38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E-F628-46A7-9E5E-739C6B450CAB}"/>
                </c:ext>
              </c:extLst>
            </c:dLbl>
            <c:dLbl>
              <c:idx val="38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7F-F628-46A7-9E5E-739C6B450CAB}"/>
                </c:ext>
              </c:extLst>
            </c:dLbl>
            <c:dLbl>
              <c:idx val="38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0-F628-46A7-9E5E-739C6B450CAB}"/>
                </c:ext>
              </c:extLst>
            </c:dLbl>
            <c:dLbl>
              <c:idx val="38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1-F628-46A7-9E5E-739C6B450CAB}"/>
                </c:ext>
              </c:extLst>
            </c:dLbl>
            <c:dLbl>
              <c:idx val="38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2-F628-46A7-9E5E-739C6B450CAB}"/>
                </c:ext>
              </c:extLst>
            </c:dLbl>
            <c:dLbl>
              <c:idx val="38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3-F628-46A7-9E5E-739C6B450CAB}"/>
                </c:ext>
              </c:extLst>
            </c:dLbl>
            <c:dLbl>
              <c:idx val="38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4-F628-46A7-9E5E-739C6B450CAB}"/>
                </c:ext>
              </c:extLst>
            </c:dLbl>
            <c:dLbl>
              <c:idx val="38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5-F628-46A7-9E5E-739C6B450CAB}"/>
                </c:ext>
              </c:extLst>
            </c:dLbl>
            <c:dLbl>
              <c:idx val="39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6-F628-46A7-9E5E-739C6B450CAB}"/>
                </c:ext>
              </c:extLst>
            </c:dLbl>
            <c:dLbl>
              <c:idx val="39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7-F628-46A7-9E5E-739C6B450CAB}"/>
                </c:ext>
              </c:extLst>
            </c:dLbl>
            <c:dLbl>
              <c:idx val="39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8-F628-46A7-9E5E-739C6B450CAB}"/>
                </c:ext>
              </c:extLst>
            </c:dLbl>
            <c:dLbl>
              <c:idx val="39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9-F628-46A7-9E5E-739C6B450CAB}"/>
                </c:ext>
              </c:extLst>
            </c:dLbl>
            <c:dLbl>
              <c:idx val="39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A-F628-46A7-9E5E-739C6B450CAB}"/>
                </c:ext>
              </c:extLst>
            </c:dLbl>
            <c:dLbl>
              <c:idx val="39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B-F628-46A7-9E5E-739C6B450CAB}"/>
                </c:ext>
              </c:extLst>
            </c:dLbl>
            <c:dLbl>
              <c:idx val="39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C-F628-46A7-9E5E-739C6B450CAB}"/>
                </c:ext>
              </c:extLst>
            </c:dLbl>
            <c:dLbl>
              <c:idx val="39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D-F628-46A7-9E5E-739C6B450CAB}"/>
                </c:ext>
              </c:extLst>
            </c:dLbl>
            <c:dLbl>
              <c:idx val="39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E-F628-46A7-9E5E-739C6B450CAB}"/>
                </c:ext>
              </c:extLst>
            </c:dLbl>
            <c:dLbl>
              <c:idx val="39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8F-F628-46A7-9E5E-739C6B450CAB}"/>
                </c:ext>
              </c:extLst>
            </c:dLbl>
            <c:dLbl>
              <c:idx val="40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0-F628-46A7-9E5E-739C6B450CAB}"/>
                </c:ext>
              </c:extLst>
            </c:dLbl>
            <c:dLbl>
              <c:idx val="40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1-F628-46A7-9E5E-739C6B450CAB}"/>
                </c:ext>
              </c:extLst>
            </c:dLbl>
            <c:dLbl>
              <c:idx val="40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2-F628-46A7-9E5E-739C6B450CAB}"/>
                </c:ext>
              </c:extLst>
            </c:dLbl>
            <c:dLbl>
              <c:idx val="40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3-F628-46A7-9E5E-739C6B450CAB}"/>
                </c:ext>
              </c:extLst>
            </c:dLbl>
            <c:dLbl>
              <c:idx val="40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4-F628-46A7-9E5E-739C6B450CAB}"/>
                </c:ext>
              </c:extLst>
            </c:dLbl>
            <c:dLbl>
              <c:idx val="40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5-F628-46A7-9E5E-739C6B450CAB}"/>
                </c:ext>
              </c:extLst>
            </c:dLbl>
            <c:dLbl>
              <c:idx val="40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6-F628-46A7-9E5E-739C6B450CAB}"/>
                </c:ext>
              </c:extLst>
            </c:dLbl>
            <c:dLbl>
              <c:idx val="40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7-F628-46A7-9E5E-739C6B450CAB}"/>
                </c:ext>
              </c:extLst>
            </c:dLbl>
            <c:dLbl>
              <c:idx val="40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8-F628-46A7-9E5E-739C6B450CAB}"/>
                </c:ext>
              </c:extLst>
            </c:dLbl>
            <c:dLbl>
              <c:idx val="40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9-F628-46A7-9E5E-739C6B450CAB}"/>
                </c:ext>
              </c:extLst>
            </c:dLbl>
            <c:dLbl>
              <c:idx val="41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A-F628-46A7-9E5E-739C6B450CAB}"/>
                </c:ext>
              </c:extLst>
            </c:dLbl>
            <c:dLbl>
              <c:idx val="41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B-F628-46A7-9E5E-739C6B450CAB}"/>
                </c:ext>
              </c:extLst>
            </c:dLbl>
            <c:dLbl>
              <c:idx val="41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C-F628-46A7-9E5E-739C6B450CAB}"/>
                </c:ext>
              </c:extLst>
            </c:dLbl>
            <c:dLbl>
              <c:idx val="41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D-F628-46A7-9E5E-739C6B450CAB}"/>
                </c:ext>
              </c:extLst>
            </c:dLbl>
            <c:dLbl>
              <c:idx val="41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E-F628-46A7-9E5E-739C6B450CAB}"/>
                </c:ext>
              </c:extLst>
            </c:dLbl>
            <c:dLbl>
              <c:idx val="41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9F-F628-46A7-9E5E-739C6B450CAB}"/>
                </c:ext>
              </c:extLst>
            </c:dLbl>
            <c:dLbl>
              <c:idx val="41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0-F628-46A7-9E5E-739C6B450CAB}"/>
                </c:ext>
              </c:extLst>
            </c:dLbl>
            <c:dLbl>
              <c:idx val="41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1-F628-46A7-9E5E-739C6B450CAB}"/>
                </c:ext>
              </c:extLst>
            </c:dLbl>
            <c:dLbl>
              <c:idx val="41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2-F628-46A7-9E5E-739C6B450CAB}"/>
                </c:ext>
              </c:extLst>
            </c:dLbl>
            <c:dLbl>
              <c:idx val="41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3-F628-46A7-9E5E-739C6B450CAB}"/>
                </c:ext>
              </c:extLst>
            </c:dLbl>
            <c:dLbl>
              <c:idx val="42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4-F628-46A7-9E5E-739C6B450CAB}"/>
                </c:ext>
              </c:extLst>
            </c:dLbl>
            <c:dLbl>
              <c:idx val="42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5-F628-46A7-9E5E-739C6B450CAB}"/>
                </c:ext>
              </c:extLst>
            </c:dLbl>
            <c:dLbl>
              <c:idx val="42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6-F628-46A7-9E5E-739C6B450CAB}"/>
                </c:ext>
              </c:extLst>
            </c:dLbl>
            <c:dLbl>
              <c:idx val="42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7-F628-46A7-9E5E-739C6B450CAB}"/>
                </c:ext>
              </c:extLst>
            </c:dLbl>
            <c:dLbl>
              <c:idx val="42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8-F628-46A7-9E5E-739C6B450CAB}"/>
                </c:ext>
              </c:extLst>
            </c:dLbl>
            <c:dLbl>
              <c:idx val="42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9-F628-46A7-9E5E-739C6B450CAB}"/>
                </c:ext>
              </c:extLst>
            </c:dLbl>
            <c:dLbl>
              <c:idx val="42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A-F628-46A7-9E5E-739C6B450CAB}"/>
                </c:ext>
              </c:extLst>
            </c:dLbl>
            <c:dLbl>
              <c:idx val="42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B-F628-46A7-9E5E-739C6B450CAB}"/>
                </c:ext>
              </c:extLst>
            </c:dLbl>
            <c:dLbl>
              <c:idx val="42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C-F628-46A7-9E5E-739C6B450CAB}"/>
                </c:ext>
              </c:extLst>
            </c:dLbl>
            <c:dLbl>
              <c:idx val="42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D-F628-46A7-9E5E-739C6B450CAB}"/>
                </c:ext>
              </c:extLst>
            </c:dLbl>
            <c:dLbl>
              <c:idx val="43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E-F628-46A7-9E5E-739C6B450CAB}"/>
                </c:ext>
              </c:extLst>
            </c:dLbl>
            <c:dLbl>
              <c:idx val="43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AF-F628-46A7-9E5E-739C6B450CAB}"/>
                </c:ext>
              </c:extLst>
            </c:dLbl>
            <c:dLbl>
              <c:idx val="43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0-F628-46A7-9E5E-739C6B450CAB}"/>
                </c:ext>
              </c:extLst>
            </c:dLbl>
            <c:dLbl>
              <c:idx val="43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1-F628-46A7-9E5E-739C6B450CAB}"/>
                </c:ext>
              </c:extLst>
            </c:dLbl>
            <c:dLbl>
              <c:idx val="43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2-F628-46A7-9E5E-739C6B450CAB}"/>
                </c:ext>
              </c:extLst>
            </c:dLbl>
            <c:dLbl>
              <c:idx val="43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3-F628-46A7-9E5E-739C6B450CAB}"/>
                </c:ext>
              </c:extLst>
            </c:dLbl>
            <c:dLbl>
              <c:idx val="43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4-F628-46A7-9E5E-739C6B450CAB}"/>
                </c:ext>
              </c:extLst>
            </c:dLbl>
            <c:dLbl>
              <c:idx val="43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5-F628-46A7-9E5E-739C6B450CAB}"/>
                </c:ext>
              </c:extLst>
            </c:dLbl>
            <c:dLbl>
              <c:idx val="43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6-F628-46A7-9E5E-739C6B450CAB}"/>
                </c:ext>
              </c:extLst>
            </c:dLbl>
            <c:dLbl>
              <c:idx val="43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7-F628-46A7-9E5E-739C6B450CAB}"/>
                </c:ext>
              </c:extLst>
            </c:dLbl>
            <c:dLbl>
              <c:idx val="44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8-F628-46A7-9E5E-739C6B450CAB}"/>
                </c:ext>
              </c:extLst>
            </c:dLbl>
            <c:dLbl>
              <c:idx val="44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9-F628-46A7-9E5E-739C6B450CAB}"/>
                </c:ext>
              </c:extLst>
            </c:dLbl>
            <c:dLbl>
              <c:idx val="44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A-F628-46A7-9E5E-739C6B450CAB}"/>
                </c:ext>
              </c:extLst>
            </c:dLbl>
            <c:dLbl>
              <c:idx val="44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B-F628-46A7-9E5E-739C6B450CAB}"/>
                </c:ext>
              </c:extLst>
            </c:dLbl>
            <c:dLbl>
              <c:idx val="44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C-F628-46A7-9E5E-739C6B450CAB}"/>
                </c:ext>
              </c:extLst>
            </c:dLbl>
            <c:dLbl>
              <c:idx val="44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D-F628-46A7-9E5E-739C6B450CAB}"/>
                </c:ext>
              </c:extLst>
            </c:dLbl>
            <c:dLbl>
              <c:idx val="44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E-F628-46A7-9E5E-739C6B450CAB}"/>
                </c:ext>
              </c:extLst>
            </c:dLbl>
            <c:dLbl>
              <c:idx val="44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BF-F628-46A7-9E5E-739C6B450CAB}"/>
                </c:ext>
              </c:extLst>
            </c:dLbl>
            <c:dLbl>
              <c:idx val="44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0-F628-46A7-9E5E-739C6B450CAB}"/>
                </c:ext>
              </c:extLst>
            </c:dLbl>
            <c:dLbl>
              <c:idx val="44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1-F628-46A7-9E5E-739C6B450CAB}"/>
                </c:ext>
              </c:extLst>
            </c:dLbl>
            <c:dLbl>
              <c:idx val="45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2-F628-46A7-9E5E-739C6B450CAB}"/>
                </c:ext>
              </c:extLst>
            </c:dLbl>
            <c:dLbl>
              <c:idx val="45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3-F628-46A7-9E5E-739C6B450CAB}"/>
                </c:ext>
              </c:extLst>
            </c:dLbl>
            <c:dLbl>
              <c:idx val="45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4-F628-46A7-9E5E-739C6B450CAB}"/>
                </c:ext>
              </c:extLst>
            </c:dLbl>
            <c:dLbl>
              <c:idx val="45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5-F628-46A7-9E5E-739C6B450CAB}"/>
                </c:ext>
              </c:extLst>
            </c:dLbl>
            <c:dLbl>
              <c:idx val="45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6-F628-46A7-9E5E-739C6B450CAB}"/>
                </c:ext>
              </c:extLst>
            </c:dLbl>
            <c:dLbl>
              <c:idx val="45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7-F628-46A7-9E5E-739C6B450CAB}"/>
                </c:ext>
              </c:extLst>
            </c:dLbl>
            <c:dLbl>
              <c:idx val="45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8-F628-46A7-9E5E-739C6B450CAB}"/>
                </c:ext>
              </c:extLst>
            </c:dLbl>
            <c:dLbl>
              <c:idx val="45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9-F628-46A7-9E5E-739C6B450CAB}"/>
                </c:ext>
              </c:extLst>
            </c:dLbl>
            <c:dLbl>
              <c:idx val="45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A-F628-46A7-9E5E-739C6B450CAB}"/>
                </c:ext>
              </c:extLst>
            </c:dLbl>
            <c:dLbl>
              <c:idx val="45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B-F628-46A7-9E5E-739C6B450CAB}"/>
                </c:ext>
              </c:extLst>
            </c:dLbl>
            <c:dLbl>
              <c:idx val="46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C-F628-46A7-9E5E-739C6B450CAB}"/>
                </c:ext>
              </c:extLst>
            </c:dLbl>
            <c:dLbl>
              <c:idx val="46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D-F628-46A7-9E5E-739C6B450CAB}"/>
                </c:ext>
              </c:extLst>
            </c:dLbl>
            <c:dLbl>
              <c:idx val="46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E-F628-46A7-9E5E-739C6B450CAB}"/>
                </c:ext>
              </c:extLst>
            </c:dLbl>
            <c:dLbl>
              <c:idx val="46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CF-F628-46A7-9E5E-739C6B450CAB}"/>
                </c:ext>
              </c:extLst>
            </c:dLbl>
            <c:dLbl>
              <c:idx val="46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0-F628-46A7-9E5E-739C6B450CAB}"/>
                </c:ext>
              </c:extLst>
            </c:dLbl>
            <c:dLbl>
              <c:idx val="46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1-F628-46A7-9E5E-739C6B450CAB}"/>
                </c:ext>
              </c:extLst>
            </c:dLbl>
            <c:dLbl>
              <c:idx val="46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2-F628-46A7-9E5E-739C6B450CAB}"/>
                </c:ext>
              </c:extLst>
            </c:dLbl>
            <c:dLbl>
              <c:idx val="46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3-F628-46A7-9E5E-739C6B450CAB}"/>
                </c:ext>
              </c:extLst>
            </c:dLbl>
            <c:dLbl>
              <c:idx val="46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4-F628-46A7-9E5E-739C6B450CAB}"/>
                </c:ext>
              </c:extLst>
            </c:dLbl>
            <c:dLbl>
              <c:idx val="46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5-F628-46A7-9E5E-739C6B450CAB}"/>
                </c:ext>
              </c:extLst>
            </c:dLbl>
            <c:dLbl>
              <c:idx val="47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6-F628-46A7-9E5E-739C6B450CAB}"/>
                </c:ext>
              </c:extLst>
            </c:dLbl>
            <c:dLbl>
              <c:idx val="47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7-F628-46A7-9E5E-739C6B450CAB}"/>
                </c:ext>
              </c:extLst>
            </c:dLbl>
            <c:dLbl>
              <c:idx val="47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8-F628-46A7-9E5E-739C6B450CAB}"/>
                </c:ext>
              </c:extLst>
            </c:dLbl>
            <c:dLbl>
              <c:idx val="47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9-F628-46A7-9E5E-739C6B450CAB}"/>
                </c:ext>
              </c:extLst>
            </c:dLbl>
            <c:dLbl>
              <c:idx val="47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A-F628-46A7-9E5E-739C6B450CAB}"/>
                </c:ext>
              </c:extLst>
            </c:dLbl>
            <c:dLbl>
              <c:idx val="47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B-F628-46A7-9E5E-739C6B450CAB}"/>
                </c:ext>
              </c:extLst>
            </c:dLbl>
            <c:dLbl>
              <c:idx val="47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C-F628-46A7-9E5E-739C6B450CAB}"/>
                </c:ext>
              </c:extLst>
            </c:dLbl>
            <c:dLbl>
              <c:idx val="47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D-F628-46A7-9E5E-739C6B450CAB}"/>
                </c:ext>
              </c:extLst>
            </c:dLbl>
            <c:dLbl>
              <c:idx val="47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E-F628-46A7-9E5E-739C6B450CAB}"/>
                </c:ext>
              </c:extLst>
            </c:dLbl>
            <c:dLbl>
              <c:idx val="47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DF-F628-46A7-9E5E-739C6B450CAB}"/>
                </c:ext>
              </c:extLst>
            </c:dLbl>
            <c:dLbl>
              <c:idx val="48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0-F628-46A7-9E5E-739C6B450CAB}"/>
                </c:ext>
              </c:extLst>
            </c:dLbl>
            <c:dLbl>
              <c:idx val="48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1-F628-46A7-9E5E-739C6B450CAB}"/>
                </c:ext>
              </c:extLst>
            </c:dLbl>
            <c:dLbl>
              <c:idx val="48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2-F628-46A7-9E5E-739C6B450CAB}"/>
                </c:ext>
              </c:extLst>
            </c:dLbl>
            <c:dLbl>
              <c:idx val="48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3-F628-46A7-9E5E-739C6B450CAB}"/>
                </c:ext>
              </c:extLst>
            </c:dLbl>
            <c:dLbl>
              <c:idx val="48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4-F628-46A7-9E5E-739C6B450CAB}"/>
                </c:ext>
              </c:extLst>
            </c:dLbl>
            <c:dLbl>
              <c:idx val="48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5-F628-46A7-9E5E-739C6B450CAB}"/>
                </c:ext>
              </c:extLst>
            </c:dLbl>
            <c:dLbl>
              <c:idx val="48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6-F628-46A7-9E5E-739C6B450CAB}"/>
                </c:ext>
              </c:extLst>
            </c:dLbl>
            <c:dLbl>
              <c:idx val="48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7-F628-46A7-9E5E-739C6B450CAB}"/>
                </c:ext>
              </c:extLst>
            </c:dLbl>
            <c:dLbl>
              <c:idx val="48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8-F628-46A7-9E5E-739C6B450CAB}"/>
                </c:ext>
              </c:extLst>
            </c:dLbl>
            <c:dLbl>
              <c:idx val="48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9-F628-46A7-9E5E-739C6B450CAB}"/>
                </c:ext>
              </c:extLst>
            </c:dLbl>
            <c:dLbl>
              <c:idx val="49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A-F628-46A7-9E5E-739C6B450CAB}"/>
                </c:ext>
              </c:extLst>
            </c:dLbl>
            <c:dLbl>
              <c:idx val="49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B-F628-46A7-9E5E-739C6B450CAB}"/>
                </c:ext>
              </c:extLst>
            </c:dLbl>
            <c:dLbl>
              <c:idx val="49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C-F628-46A7-9E5E-739C6B450CAB}"/>
                </c:ext>
              </c:extLst>
            </c:dLbl>
            <c:dLbl>
              <c:idx val="49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D-F628-46A7-9E5E-739C6B450CAB}"/>
                </c:ext>
              </c:extLst>
            </c:dLbl>
            <c:dLbl>
              <c:idx val="49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E-F628-46A7-9E5E-739C6B450CAB}"/>
                </c:ext>
              </c:extLst>
            </c:dLbl>
            <c:dLbl>
              <c:idx val="49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EF-F628-46A7-9E5E-739C6B450CAB}"/>
                </c:ext>
              </c:extLst>
            </c:dLbl>
            <c:dLbl>
              <c:idx val="49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0-F628-46A7-9E5E-739C6B450CAB}"/>
                </c:ext>
              </c:extLst>
            </c:dLbl>
            <c:dLbl>
              <c:idx val="49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1-F628-46A7-9E5E-739C6B450CAB}"/>
                </c:ext>
              </c:extLst>
            </c:dLbl>
            <c:dLbl>
              <c:idx val="49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2-F628-46A7-9E5E-739C6B450CAB}"/>
                </c:ext>
              </c:extLst>
            </c:dLbl>
            <c:dLbl>
              <c:idx val="49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3-F628-46A7-9E5E-739C6B450CAB}"/>
                </c:ext>
              </c:extLst>
            </c:dLbl>
            <c:dLbl>
              <c:idx val="50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4-F628-46A7-9E5E-739C6B450CAB}"/>
                </c:ext>
              </c:extLst>
            </c:dLbl>
            <c:dLbl>
              <c:idx val="50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5-F628-46A7-9E5E-739C6B450CAB}"/>
                </c:ext>
              </c:extLst>
            </c:dLbl>
            <c:dLbl>
              <c:idx val="50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6-F628-46A7-9E5E-739C6B450CAB}"/>
                </c:ext>
              </c:extLst>
            </c:dLbl>
            <c:dLbl>
              <c:idx val="50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7-F628-46A7-9E5E-739C6B450CAB}"/>
                </c:ext>
              </c:extLst>
            </c:dLbl>
            <c:dLbl>
              <c:idx val="50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8-F628-46A7-9E5E-739C6B450CAB}"/>
                </c:ext>
              </c:extLst>
            </c:dLbl>
            <c:dLbl>
              <c:idx val="50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9-F628-46A7-9E5E-739C6B450CAB}"/>
                </c:ext>
              </c:extLst>
            </c:dLbl>
            <c:dLbl>
              <c:idx val="50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A-F628-46A7-9E5E-739C6B450CAB}"/>
                </c:ext>
              </c:extLst>
            </c:dLbl>
            <c:dLbl>
              <c:idx val="50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B-F628-46A7-9E5E-739C6B450CAB}"/>
                </c:ext>
              </c:extLst>
            </c:dLbl>
            <c:dLbl>
              <c:idx val="50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C-F628-46A7-9E5E-739C6B450CAB}"/>
                </c:ext>
              </c:extLst>
            </c:dLbl>
            <c:dLbl>
              <c:idx val="50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D-F628-46A7-9E5E-739C6B450CAB}"/>
                </c:ext>
              </c:extLst>
            </c:dLbl>
            <c:dLbl>
              <c:idx val="51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E-F628-46A7-9E5E-739C6B450CAB}"/>
                </c:ext>
              </c:extLst>
            </c:dLbl>
            <c:dLbl>
              <c:idx val="51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1FF-F628-46A7-9E5E-739C6B450CAB}"/>
                </c:ext>
              </c:extLst>
            </c:dLbl>
            <c:dLbl>
              <c:idx val="51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0-F628-46A7-9E5E-739C6B450CAB}"/>
                </c:ext>
              </c:extLst>
            </c:dLbl>
            <c:dLbl>
              <c:idx val="51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1-F628-46A7-9E5E-739C6B450CAB}"/>
                </c:ext>
              </c:extLst>
            </c:dLbl>
            <c:dLbl>
              <c:idx val="51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2-F628-46A7-9E5E-739C6B450CAB}"/>
                </c:ext>
              </c:extLst>
            </c:dLbl>
            <c:dLbl>
              <c:idx val="51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3-F628-46A7-9E5E-739C6B450CAB}"/>
                </c:ext>
              </c:extLst>
            </c:dLbl>
            <c:dLbl>
              <c:idx val="51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4-F628-46A7-9E5E-739C6B450CAB}"/>
                </c:ext>
              </c:extLst>
            </c:dLbl>
            <c:dLbl>
              <c:idx val="51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5-F628-46A7-9E5E-739C6B450CAB}"/>
                </c:ext>
              </c:extLst>
            </c:dLbl>
            <c:dLbl>
              <c:idx val="51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6-F628-46A7-9E5E-739C6B450CAB}"/>
                </c:ext>
              </c:extLst>
            </c:dLbl>
            <c:dLbl>
              <c:idx val="51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7-F628-46A7-9E5E-739C6B450CAB}"/>
                </c:ext>
              </c:extLst>
            </c:dLbl>
            <c:dLbl>
              <c:idx val="52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8-F628-46A7-9E5E-739C6B450CAB}"/>
                </c:ext>
              </c:extLst>
            </c:dLbl>
            <c:dLbl>
              <c:idx val="52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9-F628-46A7-9E5E-739C6B450CAB}"/>
                </c:ext>
              </c:extLst>
            </c:dLbl>
            <c:dLbl>
              <c:idx val="52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A-F628-46A7-9E5E-739C6B450CAB}"/>
                </c:ext>
              </c:extLst>
            </c:dLbl>
            <c:dLbl>
              <c:idx val="52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B-F628-46A7-9E5E-739C6B450CAB}"/>
                </c:ext>
              </c:extLst>
            </c:dLbl>
            <c:dLbl>
              <c:idx val="52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C-F628-46A7-9E5E-739C6B450CAB}"/>
                </c:ext>
              </c:extLst>
            </c:dLbl>
            <c:dLbl>
              <c:idx val="52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D-F628-46A7-9E5E-739C6B450CAB}"/>
                </c:ext>
              </c:extLst>
            </c:dLbl>
            <c:dLbl>
              <c:idx val="52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E-F628-46A7-9E5E-739C6B450CAB}"/>
                </c:ext>
              </c:extLst>
            </c:dLbl>
            <c:dLbl>
              <c:idx val="52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0F-F628-46A7-9E5E-739C6B450CAB}"/>
                </c:ext>
              </c:extLst>
            </c:dLbl>
            <c:dLbl>
              <c:idx val="52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0-F628-46A7-9E5E-739C6B450CAB}"/>
                </c:ext>
              </c:extLst>
            </c:dLbl>
            <c:dLbl>
              <c:idx val="52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1-F628-46A7-9E5E-739C6B450CAB}"/>
                </c:ext>
              </c:extLst>
            </c:dLbl>
            <c:dLbl>
              <c:idx val="53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2-F628-46A7-9E5E-739C6B450CAB}"/>
                </c:ext>
              </c:extLst>
            </c:dLbl>
            <c:dLbl>
              <c:idx val="53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3-F628-46A7-9E5E-739C6B450CAB}"/>
                </c:ext>
              </c:extLst>
            </c:dLbl>
            <c:dLbl>
              <c:idx val="53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4-F628-46A7-9E5E-739C6B450CAB}"/>
                </c:ext>
              </c:extLst>
            </c:dLbl>
            <c:dLbl>
              <c:idx val="53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5-F628-46A7-9E5E-739C6B450CAB}"/>
                </c:ext>
              </c:extLst>
            </c:dLbl>
            <c:dLbl>
              <c:idx val="53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6-F628-46A7-9E5E-739C6B450CAB}"/>
                </c:ext>
              </c:extLst>
            </c:dLbl>
            <c:dLbl>
              <c:idx val="53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7-F628-46A7-9E5E-739C6B450CAB}"/>
                </c:ext>
              </c:extLst>
            </c:dLbl>
            <c:dLbl>
              <c:idx val="53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8-F628-46A7-9E5E-739C6B450CAB}"/>
                </c:ext>
              </c:extLst>
            </c:dLbl>
            <c:dLbl>
              <c:idx val="53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9-F628-46A7-9E5E-739C6B450CAB}"/>
                </c:ext>
              </c:extLst>
            </c:dLbl>
            <c:dLbl>
              <c:idx val="53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A-F628-46A7-9E5E-739C6B450CAB}"/>
                </c:ext>
              </c:extLst>
            </c:dLbl>
            <c:dLbl>
              <c:idx val="53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B-F628-46A7-9E5E-739C6B450CAB}"/>
                </c:ext>
              </c:extLst>
            </c:dLbl>
            <c:dLbl>
              <c:idx val="54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C-F628-46A7-9E5E-739C6B450CAB}"/>
                </c:ext>
              </c:extLst>
            </c:dLbl>
            <c:dLbl>
              <c:idx val="54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D-F628-46A7-9E5E-739C6B450CAB}"/>
                </c:ext>
              </c:extLst>
            </c:dLbl>
            <c:dLbl>
              <c:idx val="54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E-F628-46A7-9E5E-739C6B450CAB}"/>
                </c:ext>
              </c:extLst>
            </c:dLbl>
            <c:dLbl>
              <c:idx val="54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1F-F628-46A7-9E5E-739C6B450CAB}"/>
                </c:ext>
              </c:extLst>
            </c:dLbl>
            <c:dLbl>
              <c:idx val="54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0-F628-46A7-9E5E-739C6B450CAB}"/>
                </c:ext>
              </c:extLst>
            </c:dLbl>
            <c:dLbl>
              <c:idx val="54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1-F628-46A7-9E5E-739C6B450CAB}"/>
                </c:ext>
              </c:extLst>
            </c:dLbl>
            <c:dLbl>
              <c:idx val="54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2-F628-46A7-9E5E-739C6B450CAB}"/>
                </c:ext>
              </c:extLst>
            </c:dLbl>
            <c:dLbl>
              <c:idx val="54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3-F628-46A7-9E5E-739C6B450CAB}"/>
                </c:ext>
              </c:extLst>
            </c:dLbl>
            <c:dLbl>
              <c:idx val="54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4-F628-46A7-9E5E-739C6B450CAB}"/>
                </c:ext>
              </c:extLst>
            </c:dLbl>
            <c:dLbl>
              <c:idx val="54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5-F628-46A7-9E5E-739C6B450CAB}"/>
                </c:ext>
              </c:extLst>
            </c:dLbl>
            <c:dLbl>
              <c:idx val="55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6-F628-46A7-9E5E-739C6B450CAB}"/>
                </c:ext>
              </c:extLst>
            </c:dLbl>
            <c:dLbl>
              <c:idx val="55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7-F628-46A7-9E5E-739C6B450CAB}"/>
                </c:ext>
              </c:extLst>
            </c:dLbl>
            <c:dLbl>
              <c:idx val="55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8-F628-46A7-9E5E-739C6B450CAB}"/>
                </c:ext>
              </c:extLst>
            </c:dLbl>
            <c:dLbl>
              <c:idx val="55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9-F628-46A7-9E5E-739C6B450CAB}"/>
                </c:ext>
              </c:extLst>
            </c:dLbl>
            <c:dLbl>
              <c:idx val="55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A-F628-46A7-9E5E-739C6B450CAB}"/>
                </c:ext>
              </c:extLst>
            </c:dLbl>
            <c:dLbl>
              <c:idx val="55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B-F628-46A7-9E5E-739C6B450CAB}"/>
                </c:ext>
              </c:extLst>
            </c:dLbl>
            <c:dLbl>
              <c:idx val="55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C-F628-46A7-9E5E-739C6B450CAB}"/>
                </c:ext>
              </c:extLst>
            </c:dLbl>
            <c:dLbl>
              <c:idx val="55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D-F628-46A7-9E5E-739C6B450CAB}"/>
                </c:ext>
              </c:extLst>
            </c:dLbl>
            <c:dLbl>
              <c:idx val="55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E-F628-46A7-9E5E-739C6B450CAB}"/>
                </c:ext>
              </c:extLst>
            </c:dLbl>
            <c:dLbl>
              <c:idx val="55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2F-F628-46A7-9E5E-739C6B450CAB}"/>
                </c:ext>
              </c:extLst>
            </c:dLbl>
            <c:dLbl>
              <c:idx val="56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0-F628-46A7-9E5E-739C6B450CAB}"/>
                </c:ext>
              </c:extLst>
            </c:dLbl>
            <c:dLbl>
              <c:idx val="56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1-F628-46A7-9E5E-739C6B450CAB}"/>
                </c:ext>
              </c:extLst>
            </c:dLbl>
            <c:dLbl>
              <c:idx val="56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2-F628-46A7-9E5E-739C6B450CAB}"/>
                </c:ext>
              </c:extLst>
            </c:dLbl>
            <c:dLbl>
              <c:idx val="56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3-F628-46A7-9E5E-739C6B450CAB}"/>
                </c:ext>
              </c:extLst>
            </c:dLbl>
            <c:dLbl>
              <c:idx val="56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4-F628-46A7-9E5E-739C6B450CAB}"/>
                </c:ext>
              </c:extLst>
            </c:dLbl>
            <c:dLbl>
              <c:idx val="56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5-F628-46A7-9E5E-739C6B450CAB}"/>
                </c:ext>
              </c:extLst>
            </c:dLbl>
            <c:dLbl>
              <c:idx val="56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6-F628-46A7-9E5E-739C6B450CAB}"/>
                </c:ext>
              </c:extLst>
            </c:dLbl>
            <c:dLbl>
              <c:idx val="56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7-F628-46A7-9E5E-739C6B450CAB}"/>
                </c:ext>
              </c:extLst>
            </c:dLbl>
            <c:dLbl>
              <c:idx val="56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8-F628-46A7-9E5E-739C6B450CAB}"/>
                </c:ext>
              </c:extLst>
            </c:dLbl>
            <c:dLbl>
              <c:idx val="56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9-F628-46A7-9E5E-739C6B450CAB}"/>
                </c:ext>
              </c:extLst>
            </c:dLbl>
            <c:dLbl>
              <c:idx val="57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A-F628-46A7-9E5E-739C6B450CAB}"/>
                </c:ext>
              </c:extLst>
            </c:dLbl>
            <c:dLbl>
              <c:idx val="57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B-F628-46A7-9E5E-739C6B450CAB}"/>
                </c:ext>
              </c:extLst>
            </c:dLbl>
            <c:dLbl>
              <c:idx val="57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C-F628-46A7-9E5E-739C6B450CAB}"/>
                </c:ext>
              </c:extLst>
            </c:dLbl>
            <c:dLbl>
              <c:idx val="57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D-F628-46A7-9E5E-739C6B450CAB}"/>
                </c:ext>
              </c:extLst>
            </c:dLbl>
            <c:dLbl>
              <c:idx val="57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E-F628-46A7-9E5E-739C6B450CAB}"/>
                </c:ext>
              </c:extLst>
            </c:dLbl>
            <c:dLbl>
              <c:idx val="57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3F-F628-46A7-9E5E-739C6B450CAB}"/>
                </c:ext>
              </c:extLst>
            </c:dLbl>
            <c:dLbl>
              <c:idx val="57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0-F628-46A7-9E5E-739C6B450CAB}"/>
                </c:ext>
              </c:extLst>
            </c:dLbl>
            <c:dLbl>
              <c:idx val="57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1-F628-46A7-9E5E-739C6B450CAB}"/>
                </c:ext>
              </c:extLst>
            </c:dLbl>
            <c:dLbl>
              <c:idx val="57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2-F628-46A7-9E5E-739C6B450CAB}"/>
                </c:ext>
              </c:extLst>
            </c:dLbl>
            <c:dLbl>
              <c:idx val="57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3-F628-46A7-9E5E-739C6B450CAB}"/>
                </c:ext>
              </c:extLst>
            </c:dLbl>
            <c:dLbl>
              <c:idx val="58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4-F628-46A7-9E5E-739C6B450CAB}"/>
                </c:ext>
              </c:extLst>
            </c:dLbl>
            <c:dLbl>
              <c:idx val="58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5-F628-46A7-9E5E-739C6B450CAB}"/>
                </c:ext>
              </c:extLst>
            </c:dLbl>
            <c:dLbl>
              <c:idx val="58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6-F628-46A7-9E5E-739C6B450CAB}"/>
                </c:ext>
              </c:extLst>
            </c:dLbl>
            <c:dLbl>
              <c:idx val="58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7-F628-46A7-9E5E-739C6B450CAB}"/>
                </c:ext>
              </c:extLst>
            </c:dLbl>
            <c:dLbl>
              <c:idx val="58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8-F628-46A7-9E5E-739C6B450CAB}"/>
                </c:ext>
              </c:extLst>
            </c:dLbl>
            <c:dLbl>
              <c:idx val="58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9-F628-46A7-9E5E-739C6B450CAB}"/>
                </c:ext>
              </c:extLst>
            </c:dLbl>
            <c:dLbl>
              <c:idx val="58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A-F628-46A7-9E5E-739C6B450CAB}"/>
                </c:ext>
              </c:extLst>
            </c:dLbl>
            <c:dLbl>
              <c:idx val="58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B-F628-46A7-9E5E-739C6B450CAB}"/>
                </c:ext>
              </c:extLst>
            </c:dLbl>
            <c:dLbl>
              <c:idx val="58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C-F628-46A7-9E5E-739C6B450CAB}"/>
                </c:ext>
              </c:extLst>
            </c:dLbl>
            <c:dLbl>
              <c:idx val="58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D-F628-46A7-9E5E-739C6B450CAB}"/>
                </c:ext>
              </c:extLst>
            </c:dLbl>
            <c:dLbl>
              <c:idx val="59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E-F628-46A7-9E5E-739C6B450CAB}"/>
                </c:ext>
              </c:extLst>
            </c:dLbl>
            <c:dLbl>
              <c:idx val="59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4F-F628-46A7-9E5E-739C6B450CAB}"/>
                </c:ext>
              </c:extLst>
            </c:dLbl>
            <c:dLbl>
              <c:idx val="59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0-F628-46A7-9E5E-739C6B450CAB}"/>
                </c:ext>
              </c:extLst>
            </c:dLbl>
            <c:dLbl>
              <c:idx val="59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1-F628-46A7-9E5E-739C6B450CAB}"/>
                </c:ext>
              </c:extLst>
            </c:dLbl>
            <c:dLbl>
              <c:idx val="59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2-F628-46A7-9E5E-739C6B450CAB}"/>
                </c:ext>
              </c:extLst>
            </c:dLbl>
            <c:dLbl>
              <c:idx val="59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3-F628-46A7-9E5E-739C6B450CAB}"/>
                </c:ext>
              </c:extLst>
            </c:dLbl>
            <c:dLbl>
              <c:idx val="59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4-F628-46A7-9E5E-739C6B450CAB}"/>
                </c:ext>
              </c:extLst>
            </c:dLbl>
            <c:dLbl>
              <c:idx val="59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5-F628-46A7-9E5E-739C6B450CAB}"/>
                </c:ext>
              </c:extLst>
            </c:dLbl>
            <c:dLbl>
              <c:idx val="59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6-F628-46A7-9E5E-739C6B450CAB}"/>
                </c:ext>
              </c:extLst>
            </c:dLbl>
            <c:dLbl>
              <c:idx val="59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7-F628-46A7-9E5E-739C6B450CAB}"/>
                </c:ext>
              </c:extLst>
            </c:dLbl>
            <c:dLbl>
              <c:idx val="60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8-F628-46A7-9E5E-739C6B450CAB}"/>
                </c:ext>
              </c:extLst>
            </c:dLbl>
            <c:dLbl>
              <c:idx val="60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9-F628-46A7-9E5E-739C6B450CAB}"/>
                </c:ext>
              </c:extLst>
            </c:dLbl>
            <c:dLbl>
              <c:idx val="60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A-F628-46A7-9E5E-739C6B450CAB}"/>
                </c:ext>
              </c:extLst>
            </c:dLbl>
            <c:dLbl>
              <c:idx val="60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B-F628-46A7-9E5E-739C6B450CAB}"/>
                </c:ext>
              </c:extLst>
            </c:dLbl>
            <c:dLbl>
              <c:idx val="60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C-F628-46A7-9E5E-739C6B450CAB}"/>
                </c:ext>
              </c:extLst>
            </c:dLbl>
            <c:dLbl>
              <c:idx val="60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D-F628-46A7-9E5E-739C6B450CAB}"/>
                </c:ext>
              </c:extLst>
            </c:dLbl>
            <c:dLbl>
              <c:idx val="60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E-F628-46A7-9E5E-739C6B450CAB}"/>
                </c:ext>
              </c:extLst>
            </c:dLbl>
            <c:dLbl>
              <c:idx val="60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5F-F628-46A7-9E5E-739C6B450CAB}"/>
                </c:ext>
              </c:extLst>
            </c:dLbl>
            <c:dLbl>
              <c:idx val="60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0-F628-46A7-9E5E-739C6B450CAB}"/>
                </c:ext>
              </c:extLst>
            </c:dLbl>
            <c:dLbl>
              <c:idx val="60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1-F628-46A7-9E5E-739C6B450CAB}"/>
                </c:ext>
              </c:extLst>
            </c:dLbl>
            <c:dLbl>
              <c:idx val="61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2-F628-46A7-9E5E-739C6B450CAB}"/>
                </c:ext>
              </c:extLst>
            </c:dLbl>
            <c:dLbl>
              <c:idx val="61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3-F628-46A7-9E5E-739C6B450CAB}"/>
                </c:ext>
              </c:extLst>
            </c:dLbl>
            <c:dLbl>
              <c:idx val="61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4-F628-46A7-9E5E-739C6B450CAB}"/>
                </c:ext>
              </c:extLst>
            </c:dLbl>
            <c:dLbl>
              <c:idx val="61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5-F628-46A7-9E5E-739C6B450CAB}"/>
                </c:ext>
              </c:extLst>
            </c:dLbl>
            <c:dLbl>
              <c:idx val="61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6-F628-46A7-9E5E-739C6B450CAB}"/>
                </c:ext>
              </c:extLst>
            </c:dLbl>
            <c:dLbl>
              <c:idx val="61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7-F628-46A7-9E5E-739C6B450CAB}"/>
                </c:ext>
              </c:extLst>
            </c:dLbl>
            <c:dLbl>
              <c:idx val="61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8-F628-46A7-9E5E-739C6B450CAB}"/>
                </c:ext>
              </c:extLst>
            </c:dLbl>
            <c:dLbl>
              <c:idx val="61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9-F628-46A7-9E5E-739C6B450CAB}"/>
                </c:ext>
              </c:extLst>
            </c:dLbl>
            <c:dLbl>
              <c:idx val="61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A-F628-46A7-9E5E-739C6B450CAB}"/>
                </c:ext>
              </c:extLst>
            </c:dLbl>
            <c:dLbl>
              <c:idx val="61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B-F628-46A7-9E5E-739C6B450CAB}"/>
                </c:ext>
              </c:extLst>
            </c:dLbl>
            <c:dLbl>
              <c:idx val="62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C-F628-46A7-9E5E-739C6B450CAB}"/>
                </c:ext>
              </c:extLst>
            </c:dLbl>
            <c:dLbl>
              <c:idx val="62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D-F628-46A7-9E5E-739C6B450CAB}"/>
                </c:ext>
              </c:extLst>
            </c:dLbl>
            <c:dLbl>
              <c:idx val="62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E-F628-46A7-9E5E-739C6B450CAB}"/>
                </c:ext>
              </c:extLst>
            </c:dLbl>
            <c:dLbl>
              <c:idx val="62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6F-F628-46A7-9E5E-739C6B450CAB}"/>
                </c:ext>
              </c:extLst>
            </c:dLbl>
            <c:dLbl>
              <c:idx val="62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0-F628-46A7-9E5E-739C6B450CAB}"/>
                </c:ext>
              </c:extLst>
            </c:dLbl>
            <c:dLbl>
              <c:idx val="62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1-F628-46A7-9E5E-739C6B450CAB}"/>
                </c:ext>
              </c:extLst>
            </c:dLbl>
            <c:dLbl>
              <c:idx val="62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2-F628-46A7-9E5E-739C6B450CAB}"/>
                </c:ext>
              </c:extLst>
            </c:dLbl>
            <c:dLbl>
              <c:idx val="62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3-F628-46A7-9E5E-739C6B450CAB}"/>
                </c:ext>
              </c:extLst>
            </c:dLbl>
            <c:dLbl>
              <c:idx val="62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4-F628-46A7-9E5E-739C6B450CAB}"/>
                </c:ext>
              </c:extLst>
            </c:dLbl>
            <c:dLbl>
              <c:idx val="62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5-F628-46A7-9E5E-739C6B450CAB}"/>
                </c:ext>
              </c:extLst>
            </c:dLbl>
            <c:dLbl>
              <c:idx val="63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6-F628-46A7-9E5E-739C6B450CAB}"/>
                </c:ext>
              </c:extLst>
            </c:dLbl>
            <c:dLbl>
              <c:idx val="63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7-F628-46A7-9E5E-739C6B450CAB}"/>
                </c:ext>
              </c:extLst>
            </c:dLbl>
            <c:dLbl>
              <c:idx val="63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8-F628-46A7-9E5E-739C6B450CAB}"/>
                </c:ext>
              </c:extLst>
            </c:dLbl>
            <c:dLbl>
              <c:idx val="63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9-F628-46A7-9E5E-739C6B450CAB}"/>
                </c:ext>
              </c:extLst>
            </c:dLbl>
            <c:dLbl>
              <c:idx val="63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A-F628-46A7-9E5E-739C6B450CAB}"/>
                </c:ext>
              </c:extLst>
            </c:dLbl>
            <c:dLbl>
              <c:idx val="63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B-F628-46A7-9E5E-739C6B450CAB}"/>
                </c:ext>
              </c:extLst>
            </c:dLbl>
            <c:dLbl>
              <c:idx val="63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C-F628-46A7-9E5E-739C6B450CAB}"/>
                </c:ext>
              </c:extLst>
            </c:dLbl>
            <c:dLbl>
              <c:idx val="63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D-F628-46A7-9E5E-739C6B450CAB}"/>
                </c:ext>
              </c:extLst>
            </c:dLbl>
            <c:dLbl>
              <c:idx val="63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E-F628-46A7-9E5E-739C6B450CAB}"/>
                </c:ext>
              </c:extLst>
            </c:dLbl>
            <c:dLbl>
              <c:idx val="63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7F-F628-46A7-9E5E-739C6B450CAB}"/>
                </c:ext>
              </c:extLst>
            </c:dLbl>
            <c:dLbl>
              <c:idx val="64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0-F628-46A7-9E5E-739C6B450CAB}"/>
                </c:ext>
              </c:extLst>
            </c:dLbl>
            <c:dLbl>
              <c:idx val="64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1-F628-46A7-9E5E-739C6B450CAB}"/>
                </c:ext>
              </c:extLst>
            </c:dLbl>
            <c:dLbl>
              <c:idx val="64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2-F628-46A7-9E5E-739C6B450CAB}"/>
                </c:ext>
              </c:extLst>
            </c:dLbl>
            <c:dLbl>
              <c:idx val="64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3-F628-46A7-9E5E-739C6B450CAB}"/>
                </c:ext>
              </c:extLst>
            </c:dLbl>
            <c:dLbl>
              <c:idx val="64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4-F628-46A7-9E5E-739C6B450CAB}"/>
                </c:ext>
              </c:extLst>
            </c:dLbl>
            <c:dLbl>
              <c:idx val="64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5-F628-46A7-9E5E-739C6B450CAB}"/>
                </c:ext>
              </c:extLst>
            </c:dLbl>
            <c:dLbl>
              <c:idx val="64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6-F628-46A7-9E5E-739C6B450CAB}"/>
                </c:ext>
              </c:extLst>
            </c:dLbl>
            <c:dLbl>
              <c:idx val="64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7-F628-46A7-9E5E-739C6B450CAB}"/>
                </c:ext>
              </c:extLst>
            </c:dLbl>
            <c:dLbl>
              <c:idx val="64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8-F628-46A7-9E5E-739C6B450CAB}"/>
                </c:ext>
              </c:extLst>
            </c:dLbl>
            <c:dLbl>
              <c:idx val="64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9-F628-46A7-9E5E-739C6B450CAB}"/>
                </c:ext>
              </c:extLst>
            </c:dLbl>
            <c:dLbl>
              <c:idx val="65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A-F628-46A7-9E5E-739C6B450CAB}"/>
                </c:ext>
              </c:extLst>
            </c:dLbl>
            <c:dLbl>
              <c:idx val="65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B-F628-46A7-9E5E-739C6B450CAB}"/>
                </c:ext>
              </c:extLst>
            </c:dLbl>
            <c:dLbl>
              <c:idx val="65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C-F628-46A7-9E5E-739C6B450CAB}"/>
                </c:ext>
              </c:extLst>
            </c:dLbl>
            <c:dLbl>
              <c:idx val="65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D-F628-46A7-9E5E-739C6B450CAB}"/>
                </c:ext>
              </c:extLst>
            </c:dLbl>
            <c:dLbl>
              <c:idx val="65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E-F628-46A7-9E5E-739C6B450CAB}"/>
                </c:ext>
              </c:extLst>
            </c:dLbl>
            <c:dLbl>
              <c:idx val="65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8F-F628-46A7-9E5E-739C6B450CAB}"/>
                </c:ext>
              </c:extLst>
            </c:dLbl>
            <c:dLbl>
              <c:idx val="65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0-F628-46A7-9E5E-739C6B450CAB}"/>
                </c:ext>
              </c:extLst>
            </c:dLbl>
            <c:dLbl>
              <c:idx val="65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1-F628-46A7-9E5E-739C6B450CAB}"/>
                </c:ext>
              </c:extLst>
            </c:dLbl>
            <c:dLbl>
              <c:idx val="65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2-F628-46A7-9E5E-739C6B450CAB}"/>
                </c:ext>
              </c:extLst>
            </c:dLbl>
            <c:dLbl>
              <c:idx val="65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3-F628-46A7-9E5E-739C6B450CAB}"/>
                </c:ext>
              </c:extLst>
            </c:dLbl>
            <c:dLbl>
              <c:idx val="66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4-F628-46A7-9E5E-739C6B450CAB}"/>
                </c:ext>
              </c:extLst>
            </c:dLbl>
            <c:dLbl>
              <c:idx val="66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5-F628-46A7-9E5E-739C6B450CAB}"/>
                </c:ext>
              </c:extLst>
            </c:dLbl>
            <c:dLbl>
              <c:idx val="66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6-F628-46A7-9E5E-739C6B450CAB}"/>
                </c:ext>
              </c:extLst>
            </c:dLbl>
            <c:dLbl>
              <c:idx val="66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7-F628-46A7-9E5E-739C6B450CAB}"/>
                </c:ext>
              </c:extLst>
            </c:dLbl>
            <c:dLbl>
              <c:idx val="66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8-F628-46A7-9E5E-739C6B450CAB}"/>
                </c:ext>
              </c:extLst>
            </c:dLbl>
            <c:dLbl>
              <c:idx val="66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9-F628-46A7-9E5E-739C6B450CAB}"/>
                </c:ext>
              </c:extLst>
            </c:dLbl>
            <c:dLbl>
              <c:idx val="66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A-F628-46A7-9E5E-739C6B450CAB}"/>
                </c:ext>
              </c:extLst>
            </c:dLbl>
            <c:dLbl>
              <c:idx val="66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B-F628-46A7-9E5E-739C6B450CAB}"/>
                </c:ext>
              </c:extLst>
            </c:dLbl>
            <c:dLbl>
              <c:idx val="66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C-F628-46A7-9E5E-739C6B450CAB}"/>
                </c:ext>
              </c:extLst>
            </c:dLbl>
            <c:dLbl>
              <c:idx val="66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D-F628-46A7-9E5E-739C6B450CAB}"/>
                </c:ext>
              </c:extLst>
            </c:dLbl>
            <c:dLbl>
              <c:idx val="67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E-F628-46A7-9E5E-739C6B450CAB}"/>
                </c:ext>
              </c:extLst>
            </c:dLbl>
            <c:dLbl>
              <c:idx val="67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9F-F628-46A7-9E5E-739C6B450CAB}"/>
                </c:ext>
              </c:extLst>
            </c:dLbl>
            <c:dLbl>
              <c:idx val="67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0-F628-46A7-9E5E-739C6B450CAB}"/>
                </c:ext>
              </c:extLst>
            </c:dLbl>
            <c:dLbl>
              <c:idx val="67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1-F628-46A7-9E5E-739C6B450CAB}"/>
                </c:ext>
              </c:extLst>
            </c:dLbl>
            <c:dLbl>
              <c:idx val="67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2-F628-46A7-9E5E-739C6B450CAB}"/>
                </c:ext>
              </c:extLst>
            </c:dLbl>
            <c:dLbl>
              <c:idx val="67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3-F628-46A7-9E5E-739C6B450CAB}"/>
                </c:ext>
              </c:extLst>
            </c:dLbl>
            <c:dLbl>
              <c:idx val="67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4-F628-46A7-9E5E-739C6B450CAB}"/>
                </c:ext>
              </c:extLst>
            </c:dLbl>
            <c:dLbl>
              <c:idx val="67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5-F628-46A7-9E5E-739C6B450CAB}"/>
                </c:ext>
              </c:extLst>
            </c:dLbl>
            <c:dLbl>
              <c:idx val="67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6-F628-46A7-9E5E-739C6B450CAB}"/>
                </c:ext>
              </c:extLst>
            </c:dLbl>
            <c:dLbl>
              <c:idx val="67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7-F628-46A7-9E5E-739C6B450CAB}"/>
                </c:ext>
              </c:extLst>
            </c:dLbl>
            <c:dLbl>
              <c:idx val="68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8-F628-46A7-9E5E-739C6B450CAB}"/>
                </c:ext>
              </c:extLst>
            </c:dLbl>
            <c:dLbl>
              <c:idx val="68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9-F628-46A7-9E5E-739C6B450CAB}"/>
                </c:ext>
              </c:extLst>
            </c:dLbl>
            <c:dLbl>
              <c:idx val="68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A-F628-46A7-9E5E-739C6B450CAB}"/>
                </c:ext>
              </c:extLst>
            </c:dLbl>
            <c:dLbl>
              <c:idx val="68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B-F628-46A7-9E5E-739C6B450CAB}"/>
                </c:ext>
              </c:extLst>
            </c:dLbl>
            <c:dLbl>
              <c:idx val="68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C-F628-46A7-9E5E-739C6B450CAB}"/>
                </c:ext>
              </c:extLst>
            </c:dLbl>
            <c:dLbl>
              <c:idx val="68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D-F628-46A7-9E5E-739C6B450CAB}"/>
                </c:ext>
              </c:extLst>
            </c:dLbl>
            <c:dLbl>
              <c:idx val="68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E-F628-46A7-9E5E-739C6B450CAB}"/>
                </c:ext>
              </c:extLst>
            </c:dLbl>
            <c:dLbl>
              <c:idx val="68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AF-F628-46A7-9E5E-739C6B450CAB}"/>
                </c:ext>
              </c:extLst>
            </c:dLbl>
            <c:dLbl>
              <c:idx val="68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0-F628-46A7-9E5E-739C6B450CAB}"/>
                </c:ext>
              </c:extLst>
            </c:dLbl>
            <c:dLbl>
              <c:idx val="68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1-F628-46A7-9E5E-739C6B450CAB}"/>
                </c:ext>
              </c:extLst>
            </c:dLbl>
            <c:dLbl>
              <c:idx val="69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2-F628-46A7-9E5E-739C6B450CAB}"/>
                </c:ext>
              </c:extLst>
            </c:dLbl>
            <c:dLbl>
              <c:idx val="69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3-F628-46A7-9E5E-739C6B450CAB}"/>
                </c:ext>
              </c:extLst>
            </c:dLbl>
            <c:dLbl>
              <c:idx val="69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4-F628-46A7-9E5E-739C6B450CAB}"/>
                </c:ext>
              </c:extLst>
            </c:dLbl>
            <c:dLbl>
              <c:idx val="69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5-F628-46A7-9E5E-739C6B450CAB}"/>
                </c:ext>
              </c:extLst>
            </c:dLbl>
            <c:dLbl>
              <c:idx val="69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6-F628-46A7-9E5E-739C6B450CAB}"/>
                </c:ext>
              </c:extLst>
            </c:dLbl>
            <c:dLbl>
              <c:idx val="69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7-F628-46A7-9E5E-739C6B450CAB}"/>
                </c:ext>
              </c:extLst>
            </c:dLbl>
            <c:dLbl>
              <c:idx val="69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8-F628-46A7-9E5E-739C6B450CAB}"/>
                </c:ext>
              </c:extLst>
            </c:dLbl>
            <c:dLbl>
              <c:idx val="69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9-F628-46A7-9E5E-739C6B450CAB}"/>
                </c:ext>
              </c:extLst>
            </c:dLbl>
            <c:dLbl>
              <c:idx val="69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A-F628-46A7-9E5E-739C6B450CAB}"/>
                </c:ext>
              </c:extLst>
            </c:dLbl>
            <c:dLbl>
              <c:idx val="69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B-F628-46A7-9E5E-739C6B450CAB}"/>
                </c:ext>
              </c:extLst>
            </c:dLbl>
            <c:dLbl>
              <c:idx val="70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C-F628-46A7-9E5E-739C6B450CAB}"/>
                </c:ext>
              </c:extLst>
            </c:dLbl>
            <c:dLbl>
              <c:idx val="70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D-F628-46A7-9E5E-739C6B450CAB}"/>
                </c:ext>
              </c:extLst>
            </c:dLbl>
            <c:dLbl>
              <c:idx val="70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E-F628-46A7-9E5E-739C6B450CAB}"/>
                </c:ext>
              </c:extLst>
            </c:dLbl>
            <c:dLbl>
              <c:idx val="70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BF-F628-46A7-9E5E-739C6B450CAB}"/>
                </c:ext>
              </c:extLst>
            </c:dLbl>
            <c:dLbl>
              <c:idx val="70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0-F628-46A7-9E5E-739C6B450CAB}"/>
                </c:ext>
              </c:extLst>
            </c:dLbl>
            <c:dLbl>
              <c:idx val="70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1-F628-46A7-9E5E-739C6B450CAB}"/>
                </c:ext>
              </c:extLst>
            </c:dLbl>
            <c:dLbl>
              <c:idx val="70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2-F628-46A7-9E5E-739C6B450CAB}"/>
                </c:ext>
              </c:extLst>
            </c:dLbl>
            <c:dLbl>
              <c:idx val="70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3-F628-46A7-9E5E-739C6B450CAB}"/>
                </c:ext>
              </c:extLst>
            </c:dLbl>
            <c:dLbl>
              <c:idx val="70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4-F628-46A7-9E5E-739C6B450CAB}"/>
                </c:ext>
              </c:extLst>
            </c:dLbl>
            <c:dLbl>
              <c:idx val="70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5-F628-46A7-9E5E-739C6B450CAB}"/>
                </c:ext>
              </c:extLst>
            </c:dLbl>
            <c:dLbl>
              <c:idx val="71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6-F628-46A7-9E5E-739C6B450CAB}"/>
                </c:ext>
              </c:extLst>
            </c:dLbl>
            <c:dLbl>
              <c:idx val="71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7-F628-46A7-9E5E-739C6B450CAB}"/>
                </c:ext>
              </c:extLst>
            </c:dLbl>
            <c:dLbl>
              <c:idx val="71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8-F628-46A7-9E5E-739C6B450CAB}"/>
                </c:ext>
              </c:extLst>
            </c:dLbl>
            <c:dLbl>
              <c:idx val="71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9-F628-46A7-9E5E-739C6B450CAB}"/>
                </c:ext>
              </c:extLst>
            </c:dLbl>
            <c:dLbl>
              <c:idx val="71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A-F628-46A7-9E5E-739C6B450CAB}"/>
                </c:ext>
              </c:extLst>
            </c:dLbl>
            <c:dLbl>
              <c:idx val="71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B-F628-46A7-9E5E-739C6B450CAB}"/>
                </c:ext>
              </c:extLst>
            </c:dLbl>
            <c:dLbl>
              <c:idx val="71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C-F628-46A7-9E5E-739C6B450CAB}"/>
                </c:ext>
              </c:extLst>
            </c:dLbl>
            <c:dLbl>
              <c:idx val="71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D-F628-46A7-9E5E-739C6B450CAB}"/>
                </c:ext>
              </c:extLst>
            </c:dLbl>
            <c:dLbl>
              <c:idx val="71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E-F628-46A7-9E5E-739C6B450CAB}"/>
                </c:ext>
              </c:extLst>
            </c:dLbl>
            <c:dLbl>
              <c:idx val="71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CF-F628-46A7-9E5E-739C6B450CAB}"/>
                </c:ext>
              </c:extLst>
            </c:dLbl>
            <c:dLbl>
              <c:idx val="72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0-F628-46A7-9E5E-739C6B450CAB}"/>
                </c:ext>
              </c:extLst>
            </c:dLbl>
            <c:dLbl>
              <c:idx val="72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1-F628-46A7-9E5E-739C6B450CAB}"/>
                </c:ext>
              </c:extLst>
            </c:dLbl>
            <c:dLbl>
              <c:idx val="72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2-F628-46A7-9E5E-739C6B450CAB}"/>
                </c:ext>
              </c:extLst>
            </c:dLbl>
            <c:dLbl>
              <c:idx val="72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3-F628-46A7-9E5E-739C6B450CAB}"/>
                </c:ext>
              </c:extLst>
            </c:dLbl>
            <c:dLbl>
              <c:idx val="72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4-F628-46A7-9E5E-739C6B450CAB}"/>
                </c:ext>
              </c:extLst>
            </c:dLbl>
            <c:dLbl>
              <c:idx val="72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5-F628-46A7-9E5E-739C6B450CAB}"/>
                </c:ext>
              </c:extLst>
            </c:dLbl>
            <c:dLbl>
              <c:idx val="72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6-F628-46A7-9E5E-739C6B450CAB}"/>
                </c:ext>
              </c:extLst>
            </c:dLbl>
            <c:dLbl>
              <c:idx val="72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7-F628-46A7-9E5E-739C6B450CAB}"/>
                </c:ext>
              </c:extLst>
            </c:dLbl>
            <c:dLbl>
              <c:idx val="72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8-F628-46A7-9E5E-739C6B450CAB}"/>
                </c:ext>
              </c:extLst>
            </c:dLbl>
            <c:dLbl>
              <c:idx val="72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9-F628-46A7-9E5E-739C6B450CAB}"/>
                </c:ext>
              </c:extLst>
            </c:dLbl>
            <c:dLbl>
              <c:idx val="73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A-F628-46A7-9E5E-739C6B450CAB}"/>
                </c:ext>
              </c:extLst>
            </c:dLbl>
            <c:dLbl>
              <c:idx val="73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B-F628-46A7-9E5E-739C6B450CAB}"/>
                </c:ext>
              </c:extLst>
            </c:dLbl>
            <c:dLbl>
              <c:idx val="73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C-F628-46A7-9E5E-739C6B450CAB}"/>
                </c:ext>
              </c:extLst>
            </c:dLbl>
            <c:dLbl>
              <c:idx val="73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D-F628-46A7-9E5E-739C6B450CAB}"/>
                </c:ext>
              </c:extLst>
            </c:dLbl>
            <c:dLbl>
              <c:idx val="73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E-F628-46A7-9E5E-739C6B450CAB}"/>
                </c:ext>
              </c:extLst>
            </c:dLbl>
            <c:dLbl>
              <c:idx val="73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DF-F628-46A7-9E5E-739C6B450CAB}"/>
                </c:ext>
              </c:extLst>
            </c:dLbl>
            <c:dLbl>
              <c:idx val="73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0-F628-46A7-9E5E-739C6B450CAB}"/>
                </c:ext>
              </c:extLst>
            </c:dLbl>
            <c:dLbl>
              <c:idx val="73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1-F628-46A7-9E5E-739C6B450CAB}"/>
                </c:ext>
              </c:extLst>
            </c:dLbl>
            <c:dLbl>
              <c:idx val="73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2-F628-46A7-9E5E-739C6B450CAB}"/>
                </c:ext>
              </c:extLst>
            </c:dLbl>
            <c:dLbl>
              <c:idx val="73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3-F628-46A7-9E5E-739C6B450CAB}"/>
                </c:ext>
              </c:extLst>
            </c:dLbl>
            <c:dLbl>
              <c:idx val="74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4-F628-46A7-9E5E-739C6B450CAB}"/>
                </c:ext>
              </c:extLst>
            </c:dLbl>
            <c:dLbl>
              <c:idx val="74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5-F628-46A7-9E5E-739C6B450CAB}"/>
                </c:ext>
              </c:extLst>
            </c:dLbl>
            <c:dLbl>
              <c:idx val="74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6-F628-46A7-9E5E-739C6B450CAB}"/>
                </c:ext>
              </c:extLst>
            </c:dLbl>
            <c:dLbl>
              <c:idx val="74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7-F628-46A7-9E5E-739C6B450CAB}"/>
                </c:ext>
              </c:extLst>
            </c:dLbl>
            <c:dLbl>
              <c:idx val="74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8-F628-46A7-9E5E-739C6B450CAB}"/>
                </c:ext>
              </c:extLst>
            </c:dLbl>
            <c:dLbl>
              <c:idx val="74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9-F628-46A7-9E5E-739C6B450CAB}"/>
                </c:ext>
              </c:extLst>
            </c:dLbl>
            <c:dLbl>
              <c:idx val="74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A-F628-46A7-9E5E-739C6B450CAB}"/>
                </c:ext>
              </c:extLst>
            </c:dLbl>
            <c:dLbl>
              <c:idx val="74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B-F628-46A7-9E5E-739C6B450CAB}"/>
                </c:ext>
              </c:extLst>
            </c:dLbl>
            <c:dLbl>
              <c:idx val="74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C-F628-46A7-9E5E-739C6B450CAB}"/>
                </c:ext>
              </c:extLst>
            </c:dLbl>
            <c:dLbl>
              <c:idx val="74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D-F628-46A7-9E5E-739C6B450CAB}"/>
                </c:ext>
              </c:extLst>
            </c:dLbl>
            <c:dLbl>
              <c:idx val="75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E-F628-46A7-9E5E-739C6B450CAB}"/>
                </c:ext>
              </c:extLst>
            </c:dLbl>
            <c:dLbl>
              <c:idx val="75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EF-F628-46A7-9E5E-739C6B450CAB}"/>
                </c:ext>
              </c:extLst>
            </c:dLbl>
            <c:dLbl>
              <c:idx val="75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0-F628-46A7-9E5E-739C6B450CAB}"/>
                </c:ext>
              </c:extLst>
            </c:dLbl>
            <c:dLbl>
              <c:idx val="75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1-F628-46A7-9E5E-739C6B450CAB}"/>
                </c:ext>
              </c:extLst>
            </c:dLbl>
            <c:dLbl>
              <c:idx val="75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2-F628-46A7-9E5E-739C6B450CAB}"/>
                </c:ext>
              </c:extLst>
            </c:dLbl>
            <c:dLbl>
              <c:idx val="75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3-F628-46A7-9E5E-739C6B450CAB}"/>
                </c:ext>
              </c:extLst>
            </c:dLbl>
            <c:dLbl>
              <c:idx val="75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4-F628-46A7-9E5E-739C6B450CAB}"/>
                </c:ext>
              </c:extLst>
            </c:dLbl>
            <c:dLbl>
              <c:idx val="75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5-F628-46A7-9E5E-739C6B450CAB}"/>
                </c:ext>
              </c:extLst>
            </c:dLbl>
            <c:dLbl>
              <c:idx val="75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6-F628-46A7-9E5E-739C6B450CAB}"/>
                </c:ext>
              </c:extLst>
            </c:dLbl>
            <c:dLbl>
              <c:idx val="75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7-F628-46A7-9E5E-739C6B450CAB}"/>
                </c:ext>
              </c:extLst>
            </c:dLbl>
            <c:dLbl>
              <c:idx val="76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8-F628-46A7-9E5E-739C6B450CAB}"/>
                </c:ext>
              </c:extLst>
            </c:dLbl>
            <c:dLbl>
              <c:idx val="76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9-F628-46A7-9E5E-739C6B450CAB}"/>
                </c:ext>
              </c:extLst>
            </c:dLbl>
            <c:dLbl>
              <c:idx val="76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A-F628-46A7-9E5E-739C6B450CAB}"/>
                </c:ext>
              </c:extLst>
            </c:dLbl>
            <c:dLbl>
              <c:idx val="76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B-F628-46A7-9E5E-739C6B450CAB}"/>
                </c:ext>
              </c:extLst>
            </c:dLbl>
            <c:dLbl>
              <c:idx val="76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C-F628-46A7-9E5E-739C6B450CAB}"/>
                </c:ext>
              </c:extLst>
            </c:dLbl>
            <c:dLbl>
              <c:idx val="76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D-F628-46A7-9E5E-739C6B450CAB}"/>
                </c:ext>
              </c:extLst>
            </c:dLbl>
            <c:dLbl>
              <c:idx val="76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E-F628-46A7-9E5E-739C6B450CAB}"/>
                </c:ext>
              </c:extLst>
            </c:dLbl>
            <c:dLbl>
              <c:idx val="76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2FF-F628-46A7-9E5E-739C6B450CAB}"/>
                </c:ext>
              </c:extLst>
            </c:dLbl>
            <c:dLbl>
              <c:idx val="76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0-F628-46A7-9E5E-739C6B450CAB}"/>
                </c:ext>
              </c:extLst>
            </c:dLbl>
            <c:dLbl>
              <c:idx val="76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1-F628-46A7-9E5E-739C6B450CAB}"/>
                </c:ext>
              </c:extLst>
            </c:dLbl>
            <c:dLbl>
              <c:idx val="77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2-F628-46A7-9E5E-739C6B450CAB}"/>
                </c:ext>
              </c:extLst>
            </c:dLbl>
            <c:dLbl>
              <c:idx val="77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3-F628-46A7-9E5E-739C6B450CAB}"/>
                </c:ext>
              </c:extLst>
            </c:dLbl>
            <c:dLbl>
              <c:idx val="77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4-F628-46A7-9E5E-739C6B450CAB}"/>
                </c:ext>
              </c:extLst>
            </c:dLbl>
            <c:dLbl>
              <c:idx val="77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5-F628-46A7-9E5E-739C6B450CAB}"/>
                </c:ext>
              </c:extLst>
            </c:dLbl>
            <c:dLbl>
              <c:idx val="77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6-F628-46A7-9E5E-739C6B450CAB}"/>
                </c:ext>
              </c:extLst>
            </c:dLbl>
            <c:dLbl>
              <c:idx val="77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7-F628-46A7-9E5E-739C6B450CAB}"/>
                </c:ext>
              </c:extLst>
            </c:dLbl>
            <c:dLbl>
              <c:idx val="77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8-F628-46A7-9E5E-739C6B450CAB}"/>
                </c:ext>
              </c:extLst>
            </c:dLbl>
            <c:dLbl>
              <c:idx val="77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9-F628-46A7-9E5E-739C6B450CAB}"/>
                </c:ext>
              </c:extLst>
            </c:dLbl>
            <c:dLbl>
              <c:idx val="77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A-F628-46A7-9E5E-739C6B450CAB}"/>
                </c:ext>
              </c:extLst>
            </c:dLbl>
            <c:dLbl>
              <c:idx val="77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B-F628-46A7-9E5E-739C6B450CAB}"/>
                </c:ext>
              </c:extLst>
            </c:dLbl>
            <c:dLbl>
              <c:idx val="78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C-F628-46A7-9E5E-739C6B450CAB}"/>
                </c:ext>
              </c:extLst>
            </c:dLbl>
            <c:dLbl>
              <c:idx val="78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D-F628-46A7-9E5E-739C6B450CAB}"/>
                </c:ext>
              </c:extLst>
            </c:dLbl>
            <c:dLbl>
              <c:idx val="78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E-F628-46A7-9E5E-739C6B450CAB}"/>
                </c:ext>
              </c:extLst>
            </c:dLbl>
            <c:dLbl>
              <c:idx val="78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0F-F628-46A7-9E5E-739C6B450CAB}"/>
                </c:ext>
              </c:extLst>
            </c:dLbl>
            <c:dLbl>
              <c:idx val="78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0-F628-46A7-9E5E-739C6B450CAB}"/>
                </c:ext>
              </c:extLst>
            </c:dLbl>
            <c:dLbl>
              <c:idx val="78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1-F628-46A7-9E5E-739C6B450CAB}"/>
                </c:ext>
              </c:extLst>
            </c:dLbl>
            <c:dLbl>
              <c:idx val="78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2-F628-46A7-9E5E-739C6B450CAB}"/>
                </c:ext>
              </c:extLst>
            </c:dLbl>
            <c:dLbl>
              <c:idx val="78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3-F628-46A7-9E5E-739C6B450CAB}"/>
                </c:ext>
              </c:extLst>
            </c:dLbl>
            <c:dLbl>
              <c:idx val="78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4-F628-46A7-9E5E-739C6B450CAB}"/>
                </c:ext>
              </c:extLst>
            </c:dLbl>
            <c:dLbl>
              <c:idx val="78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5-F628-46A7-9E5E-739C6B450CAB}"/>
                </c:ext>
              </c:extLst>
            </c:dLbl>
            <c:dLbl>
              <c:idx val="79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6-F628-46A7-9E5E-739C6B450CAB}"/>
                </c:ext>
              </c:extLst>
            </c:dLbl>
            <c:dLbl>
              <c:idx val="79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7-F628-46A7-9E5E-739C6B450CAB}"/>
                </c:ext>
              </c:extLst>
            </c:dLbl>
            <c:dLbl>
              <c:idx val="79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8-F628-46A7-9E5E-739C6B450CAB}"/>
                </c:ext>
              </c:extLst>
            </c:dLbl>
            <c:dLbl>
              <c:idx val="79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9-F628-46A7-9E5E-739C6B450CAB}"/>
                </c:ext>
              </c:extLst>
            </c:dLbl>
            <c:dLbl>
              <c:idx val="79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A-F628-46A7-9E5E-739C6B450CAB}"/>
                </c:ext>
              </c:extLst>
            </c:dLbl>
            <c:dLbl>
              <c:idx val="79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B-F628-46A7-9E5E-739C6B450CAB}"/>
                </c:ext>
              </c:extLst>
            </c:dLbl>
            <c:dLbl>
              <c:idx val="79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C-F628-46A7-9E5E-739C6B450CAB}"/>
                </c:ext>
              </c:extLst>
            </c:dLbl>
            <c:dLbl>
              <c:idx val="79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D-F628-46A7-9E5E-739C6B450CAB}"/>
                </c:ext>
              </c:extLst>
            </c:dLbl>
            <c:dLbl>
              <c:idx val="79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E-F628-46A7-9E5E-739C6B450CAB}"/>
                </c:ext>
              </c:extLst>
            </c:dLbl>
            <c:dLbl>
              <c:idx val="79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1F-F628-46A7-9E5E-739C6B450CAB}"/>
                </c:ext>
              </c:extLst>
            </c:dLbl>
            <c:dLbl>
              <c:idx val="80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0-F628-46A7-9E5E-739C6B450CAB}"/>
                </c:ext>
              </c:extLst>
            </c:dLbl>
            <c:dLbl>
              <c:idx val="80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1-F628-46A7-9E5E-739C6B450CAB}"/>
                </c:ext>
              </c:extLst>
            </c:dLbl>
            <c:dLbl>
              <c:idx val="80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2-F628-46A7-9E5E-739C6B450CAB}"/>
                </c:ext>
              </c:extLst>
            </c:dLbl>
            <c:dLbl>
              <c:idx val="80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3-F628-46A7-9E5E-739C6B450CAB}"/>
                </c:ext>
              </c:extLst>
            </c:dLbl>
            <c:dLbl>
              <c:idx val="80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4-F628-46A7-9E5E-739C6B450CAB}"/>
                </c:ext>
              </c:extLst>
            </c:dLbl>
            <c:dLbl>
              <c:idx val="80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5-F628-46A7-9E5E-739C6B450CAB}"/>
                </c:ext>
              </c:extLst>
            </c:dLbl>
            <c:dLbl>
              <c:idx val="80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6-F628-46A7-9E5E-739C6B450CAB}"/>
                </c:ext>
              </c:extLst>
            </c:dLbl>
            <c:dLbl>
              <c:idx val="80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7-F628-46A7-9E5E-739C6B450CAB}"/>
                </c:ext>
              </c:extLst>
            </c:dLbl>
            <c:dLbl>
              <c:idx val="80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8-F628-46A7-9E5E-739C6B450CAB}"/>
                </c:ext>
              </c:extLst>
            </c:dLbl>
            <c:dLbl>
              <c:idx val="80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9-F628-46A7-9E5E-739C6B450CAB}"/>
                </c:ext>
              </c:extLst>
            </c:dLbl>
            <c:dLbl>
              <c:idx val="81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A-F628-46A7-9E5E-739C6B450CAB}"/>
                </c:ext>
              </c:extLst>
            </c:dLbl>
            <c:dLbl>
              <c:idx val="81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B-F628-46A7-9E5E-739C6B450CAB}"/>
                </c:ext>
              </c:extLst>
            </c:dLbl>
            <c:dLbl>
              <c:idx val="81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C-F628-46A7-9E5E-739C6B450CAB}"/>
                </c:ext>
              </c:extLst>
            </c:dLbl>
            <c:dLbl>
              <c:idx val="81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D-F628-46A7-9E5E-739C6B450CAB}"/>
                </c:ext>
              </c:extLst>
            </c:dLbl>
            <c:dLbl>
              <c:idx val="81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E-F628-46A7-9E5E-739C6B450CAB}"/>
                </c:ext>
              </c:extLst>
            </c:dLbl>
            <c:dLbl>
              <c:idx val="81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2F-F628-46A7-9E5E-739C6B450CAB}"/>
                </c:ext>
              </c:extLst>
            </c:dLbl>
            <c:dLbl>
              <c:idx val="81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0-F628-46A7-9E5E-739C6B450CAB}"/>
                </c:ext>
              </c:extLst>
            </c:dLbl>
            <c:dLbl>
              <c:idx val="81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1-F628-46A7-9E5E-739C6B450CAB}"/>
                </c:ext>
              </c:extLst>
            </c:dLbl>
            <c:dLbl>
              <c:idx val="81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2-F628-46A7-9E5E-739C6B450CAB}"/>
                </c:ext>
              </c:extLst>
            </c:dLbl>
            <c:dLbl>
              <c:idx val="81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3-F628-46A7-9E5E-739C6B450CAB}"/>
                </c:ext>
              </c:extLst>
            </c:dLbl>
            <c:dLbl>
              <c:idx val="82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4-F628-46A7-9E5E-739C6B450CAB}"/>
                </c:ext>
              </c:extLst>
            </c:dLbl>
            <c:dLbl>
              <c:idx val="82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5-F628-46A7-9E5E-739C6B450CAB}"/>
                </c:ext>
              </c:extLst>
            </c:dLbl>
            <c:dLbl>
              <c:idx val="82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6-F628-46A7-9E5E-739C6B450CAB}"/>
                </c:ext>
              </c:extLst>
            </c:dLbl>
            <c:dLbl>
              <c:idx val="82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7-F628-46A7-9E5E-739C6B450CAB}"/>
                </c:ext>
              </c:extLst>
            </c:dLbl>
            <c:dLbl>
              <c:idx val="82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8-F628-46A7-9E5E-739C6B450CAB}"/>
                </c:ext>
              </c:extLst>
            </c:dLbl>
            <c:dLbl>
              <c:idx val="82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9-F628-46A7-9E5E-739C6B450CAB}"/>
                </c:ext>
              </c:extLst>
            </c:dLbl>
            <c:dLbl>
              <c:idx val="82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A-F628-46A7-9E5E-739C6B450CAB}"/>
                </c:ext>
              </c:extLst>
            </c:dLbl>
            <c:dLbl>
              <c:idx val="82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B-F628-46A7-9E5E-739C6B450CAB}"/>
                </c:ext>
              </c:extLst>
            </c:dLbl>
            <c:dLbl>
              <c:idx val="82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C-F628-46A7-9E5E-739C6B450CAB}"/>
                </c:ext>
              </c:extLst>
            </c:dLbl>
            <c:dLbl>
              <c:idx val="82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D-F628-46A7-9E5E-739C6B450CAB}"/>
                </c:ext>
              </c:extLst>
            </c:dLbl>
            <c:dLbl>
              <c:idx val="83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E-F628-46A7-9E5E-739C6B450CAB}"/>
                </c:ext>
              </c:extLst>
            </c:dLbl>
            <c:dLbl>
              <c:idx val="83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3F-F628-46A7-9E5E-739C6B450CAB}"/>
                </c:ext>
              </c:extLst>
            </c:dLbl>
            <c:dLbl>
              <c:idx val="83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0-F628-46A7-9E5E-739C6B450CAB}"/>
                </c:ext>
              </c:extLst>
            </c:dLbl>
            <c:dLbl>
              <c:idx val="83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1-F628-46A7-9E5E-739C6B450CAB}"/>
                </c:ext>
              </c:extLst>
            </c:dLbl>
            <c:dLbl>
              <c:idx val="83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2-F628-46A7-9E5E-739C6B450CAB}"/>
                </c:ext>
              </c:extLst>
            </c:dLbl>
            <c:dLbl>
              <c:idx val="83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3-F628-46A7-9E5E-739C6B450CAB}"/>
                </c:ext>
              </c:extLst>
            </c:dLbl>
            <c:dLbl>
              <c:idx val="83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4-F628-46A7-9E5E-739C6B450CAB}"/>
                </c:ext>
              </c:extLst>
            </c:dLbl>
            <c:dLbl>
              <c:idx val="83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5-F628-46A7-9E5E-739C6B450CAB}"/>
                </c:ext>
              </c:extLst>
            </c:dLbl>
            <c:dLbl>
              <c:idx val="838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6-F628-46A7-9E5E-739C6B450CAB}"/>
                </c:ext>
              </c:extLst>
            </c:dLbl>
            <c:dLbl>
              <c:idx val="839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7-F628-46A7-9E5E-739C6B450CAB}"/>
                </c:ext>
              </c:extLst>
            </c:dLbl>
            <c:dLbl>
              <c:idx val="840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8-F628-46A7-9E5E-739C6B450CAB}"/>
                </c:ext>
              </c:extLst>
            </c:dLbl>
            <c:dLbl>
              <c:idx val="841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9-F628-46A7-9E5E-739C6B450CAB}"/>
                </c:ext>
              </c:extLst>
            </c:dLbl>
            <c:dLbl>
              <c:idx val="842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A-F628-46A7-9E5E-739C6B450CAB}"/>
                </c:ext>
              </c:extLst>
            </c:dLbl>
            <c:dLbl>
              <c:idx val="843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B-F628-46A7-9E5E-739C6B450CAB}"/>
                </c:ext>
              </c:extLst>
            </c:dLbl>
            <c:dLbl>
              <c:idx val="844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C-F628-46A7-9E5E-739C6B450CAB}"/>
                </c:ext>
              </c:extLst>
            </c:dLbl>
            <c:dLbl>
              <c:idx val="845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D-F628-46A7-9E5E-739C6B450CAB}"/>
                </c:ext>
              </c:extLst>
            </c:dLbl>
            <c:dLbl>
              <c:idx val="846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E-F628-46A7-9E5E-739C6B450CAB}"/>
                </c:ext>
              </c:extLst>
            </c:dLbl>
            <c:dLbl>
              <c:idx val="847"/>
              <c:tx>
                <c:rich>
                  <a:bodyPr/>
                  <a:lstStyle/>
                  <a:p>
                    <a:endParaRPr lang="ru-RU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34F-F628-46A7-9E5E-739C6B450C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'[1]Для построения'!$B$3:$B$850</c:f>
              <c:numCache>
                <c:formatCode>General</c:formatCode>
                <c:ptCount val="848"/>
                <c:pt idx="0">
                  <c:v>52233.37</c:v>
                </c:pt>
                <c:pt idx="1">
                  <c:v>52205.25</c:v>
                </c:pt>
                <c:pt idx="2">
                  <c:v>52202.33</c:v>
                </c:pt>
                <c:pt idx="3">
                  <c:v>52196.2</c:v>
                </c:pt>
                <c:pt idx="4">
                  <c:v>52187.95</c:v>
                </c:pt>
                <c:pt idx="5">
                  <c:v>52185.16</c:v>
                </c:pt>
                <c:pt idx="6">
                  <c:v>52167.5</c:v>
                </c:pt>
                <c:pt idx="7">
                  <c:v>52161.760000000002</c:v>
                </c:pt>
                <c:pt idx="8">
                  <c:v>52159.27</c:v>
                </c:pt>
                <c:pt idx="9">
                  <c:v>52230.63</c:v>
                </c:pt>
                <c:pt idx="10">
                  <c:v>52224.69</c:v>
                </c:pt>
                <c:pt idx="11">
                  <c:v>52218.75</c:v>
                </c:pt>
                <c:pt idx="12">
                  <c:v>52212.82</c:v>
                </c:pt>
                <c:pt idx="13">
                  <c:v>52200.94</c:v>
                </c:pt>
                <c:pt idx="14">
                  <c:v>52195</c:v>
                </c:pt>
                <c:pt idx="15">
                  <c:v>52189.06</c:v>
                </c:pt>
                <c:pt idx="16">
                  <c:v>52183.12</c:v>
                </c:pt>
                <c:pt idx="17">
                  <c:v>52177.19</c:v>
                </c:pt>
                <c:pt idx="18">
                  <c:v>52171.25</c:v>
                </c:pt>
                <c:pt idx="19">
                  <c:v>52165.31</c:v>
                </c:pt>
                <c:pt idx="20">
                  <c:v>52159.37</c:v>
                </c:pt>
                <c:pt idx="21">
                  <c:v>52225.38</c:v>
                </c:pt>
                <c:pt idx="22">
                  <c:v>52219.56</c:v>
                </c:pt>
                <c:pt idx="23">
                  <c:v>52213.51</c:v>
                </c:pt>
                <c:pt idx="24">
                  <c:v>52207.57</c:v>
                </c:pt>
                <c:pt idx="25">
                  <c:v>52201.63</c:v>
                </c:pt>
                <c:pt idx="26">
                  <c:v>52195.69</c:v>
                </c:pt>
                <c:pt idx="27">
                  <c:v>52189.75</c:v>
                </c:pt>
                <c:pt idx="28">
                  <c:v>52183.82</c:v>
                </c:pt>
                <c:pt idx="29">
                  <c:v>52177.88</c:v>
                </c:pt>
                <c:pt idx="30">
                  <c:v>52171.94</c:v>
                </c:pt>
                <c:pt idx="31">
                  <c:v>52166</c:v>
                </c:pt>
                <c:pt idx="32">
                  <c:v>52160.06</c:v>
                </c:pt>
                <c:pt idx="33">
                  <c:v>52219.39</c:v>
                </c:pt>
                <c:pt idx="34">
                  <c:v>52214.2</c:v>
                </c:pt>
                <c:pt idx="35">
                  <c:v>52208.26</c:v>
                </c:pt>
                <c:pt idx="36">
                  <c:v>52202.32</c:v>
                </c:pt>
                <c:pt idx="37">
                  <c:v>52196.38</c:v>
                </c:pt>
                <c:pt idx="38">
                  <c:v>52190.45</c:v>
                </c:pt>
                <c:pt idx="39">
                  <c:v>52184.51</c:v>
                </c:pt>
                <c:pt idx="40">
                  <c:v>52178.57</c:v>
                </c:pt>
                <c:pt idx="41">
                  <c:v>52172.63</c:v>
                </c:pt>
                <c:pt idx="42">
                  <c:v>52166.69</c:v>
                </c:pt>
                <c:pt idx="43">
                  <c:v>52160.76</c:v>
                </c:pt>
                <c:pt idx="44">
                  <c:v>52154.82</c:v>
                </c:pt>
                <c:pt idx="45">
                  <c:v>52208.95</c:v>
                </c:pt>
                <c:pt idx="46">
                  <c:v>52203.01</c:v>
                </c:pt>
                <c:pt idx="47">
                  <c:v>52197.07</c:v>
                </c:pt>
                <c:pt idx="48">
                  <c:v>52191.14</c:v>
                </c:pt>
                <c:pt idx="49">
                  <c:v>52185.2</c:v>
                </c:pt>
                <c:pt idx="50">
                  <c:v>52179.26</c:v>
                </c:pt>
                <c:pt idx="51">
                  <c:v>52173.32</c:v>
                </c:pt>
                <c:pt idx="52">
                  <c:v>52167.38</c:v>
                </c:pt>
                <c:pt idx="53">
                  <c:v>52161.45</c:v>
                </c:pt>
                <c:pt idx="54">
                  <c:v>52155.51</c:v>
                </c:pt>
                <c:pt idx="55">
                  <c:v>52197.77</c:v>
                </c:pt>
                <c:pt idx="56">
                  <c:v>52191.83</c:v>
                </c:pt>
                <c:pt idx="57">
                  <c:v>52185.89</c:v>
                </c:pt>
                <c:pt idx="58">
                  <c:v>52179.95</c:v>
                </c:pt>
                <c:pt idx="59">
                  <c:v>52174.01</c:v>
                </c:pt>
                <c:pt idx="60">
                  <c:v>52168.08</c:v>
                </c:pt>
                <c:pt idx="61">
                  <c:v>52162.14</c:v>
                </c:pt>
                <c:pt idx="62">
                  <c:v>52156.2</c:v>
                </c:pt>
                <c:pt idx="63">
                  <c:v>52150.26</c:v>
                </c:pt>
                <c:pt idx="64">
                  <c:v>52192.49</c:v>
                </c:pt>
                <c:pt idx="65">
                  <c:v>52186.58</c:v>
                </c:pt>
                <c:pt idx="66">
                  <c:v>52180.639999999999</c:v>
                </c:pt>
                <c:pt idx="67">
                  <c:v>52174.71</c:v>
                </c:pt>
                <c:pt idx="68">
                  <c:v>52168.77</c:v>
                </c:pt>
                <c:pt idx="69">
                  <c:v>52162.83</c:v>
                </c:pt>
                <c:pt idx="70">
                  <c:v>52156.89</c:v>
                </c:pt>
                <c:pt idx="71">
                  <c:v>52150.95</c:v>
                </c:pt>
                <c:pt idx="72">
                  <c:v>52175.8</c:v>
                </c:pt>
                <c:pt idx="73">
                  <c:v>52169.46</c:v>
                </c:pt>
                <c:pt idx="74">
                  <c:v>52163.519999999997</c:v>
                </c:pt>
                <c:pt idx="75">
                  <c:v>52157.58</c:v>
                </c:pt>
                <c:pt idx="76">
                  <c:v>52151.64</c:v>
                </c:pt>
                <c:pt idx="77">
                  <c:v>52145.71</c:v>
                </c:pt>
                <c:pt idx="78">
                  <c:v>52159.01</c:v>
                </c:pt>
                <c:pt idx="79">
                  <c:v>52152.6</c:v>
                </c:pt>
                <c:pt idx="80">
                  <c:v>52146.400000000001</c:v>
                </c:pt>
                <c:pt idx="81">
                  <c:v>52153.43</c:v>
                </c:pt>
                <c:pt idx="82">
                  <c:v>52147.5</c:v>
                </c:pt>
                <c:pt idx="83">
                  <c:v>52141.56</c:v>
                </c:pt>
                <c:pt idx="84">
                  <c:v>52154.13</c:v>
                </c:pt>
                <c:pt idx="85">
                  <c:v>52148.19</c:v>
                </c:pt>
                <c:pt idx="86">
                  <c:v>52142.25</c:v>
                </c:pt>
                <c:pt idx="87">
                  <c:v>52136.31</c:v>
                </c:pt>
                <c:pt idx="88">
                  <c:v>52148.88</c:v>
                </c:pt>
                <c:pt idx="89">
                  <c:v>52142.94</c:v>
                </c:pt>
                <c:pt idx="90">
                  <c:v>52137</c:v>
                </c:pt>
                <c:pt idx="91">
                  <c:v>52131.07</c:v>
                </c:pt>
                <c:pt idx="92">
                  <c:v>52149.57</c:v>
                </c:pt>
                <c:pt idx="93">
                  <c:v>52143.63</c:v>
                </c:pt>
                <c:pt idx="94">
                  <c:v>52137.69</c:v>
                </c:pt>
                <c:pt idx="95">
                  <c:v>52131.76</c:v>
                </c:pt>
                <c:pt idx="96">
                  <c:v>52125.82</c:v>
                </c:pt>
                <c:pt idx="97">
                  <c:v>52144.32</c:v>
                </c:pt>
                <c:pt idx="98">
                  <c:v>52138.39</c:v>
                </c:pt>
                <c:pt idx="99">
                  <c:v>52132.45</c:v>
                </c:pt>
                <c:pt idx="100">
                  <c:v>52126.51</c:v>
                </c:pt>
                <c:pt idx="101">
                  <c:v>52120.57</c:v>
                </c:pt>
                <c:pt idx="102">
                  <c:v>52145.02</c:v>
                </c:pt>
                <c:pt idx="103">
                  <c:v>52139.08</c:v>
                </c:pt>
                <c:pt idx="104">
                  <c:v>52133.14</c:v>
                </c:pt>
                <c:pt idx="105">
                  <c:v>52127.199999999997</c:v>
                </c:pt>
                <c:pt idx="106">
                  <c:v>52121.26</c:v>
                </c:pt>
                <c:pt idx="107">
                  <c:v>52139.77</c:v>
                </c:pt>
                <c:pt idx="108">
                  <c:v>52133.83</c:v>
                </c:pt>
                <c:pt idx="109">
                  <c:v>52127.89</c:v>
                </c:pt>
                <c:pt idx="110">
                  <c:v>52140.46</c:v>
                </c:pt>
                <c:pt idx="111">
                  <c:v>52134.9</c:v>
                </c:pt>
                <c:pt idx="112">
                  <c:v>52148.72</c:v>
                </c:pt>
                <c:pt idx="113">
                  <c:v>52142.55</c:v>
                </c:pt>
                <c:pt idx="114">
                  <c:v>52140.23</c:v>
                </c:pt>
                <c:pt idx="115">
                  <c:v>52134.76</c:v>
                </c:pt>
                <c:pt idx="116">
                  <c:v>52133.49</c:v>
                </c:pt>
                <c:pt idx="117">
                  <c:v>52130.94</c:v>
                </c:pt>
                <c:pt idx="118">
                  <c:v>52119.45</c:v>
                </c:pt>
                <c:pt idx="119">
                  <c:v>52117.01</c:v>
                </c:pt>
                <c:pt idx="120">
                  <c:v>52107.77</c:v>
                </c:pt>
                <c:pt idx="121">
                  <c:v>52102.1</c:v>
                </c:pt>
                <c:pt idx="122">
                  <c:v>52090.82</c:v>
                </c:pt>
                <c:pt idx="123">
                  <c:v>52111.08</c:v>
                </c:pt>
                <c:pt idx="124">
                  <c:v>52147.5</c:v>
                </c:pt>
                <c:pt idx="125">
                  <c:v>52118.91</c:v>
                </c:pt>
                <c:pt idx="126">
                  <c:v>52112.97</c:v>
                </c:pt>
                <c:pt idx="127">
                  <c:v>52107.03</c:v>
                </c:pt>
                <c:pt idx="128">
                  <c:v>52101.09</c:v>
                </c:pt>
                <c:pt idx="129">
                  <c:v>52095.15</c:v>
                </c:pt>
                <c:pt idx="130">
                  <c:v>52089.22</c:v>
                </c:pt>
                <c:pt idx="131">
                  <c:v>52130.42</c:v>
                </c:pt>
                <c:pt idx="132">
                  <c:v>52125.53</c:v>
                </c:pt>
                <c:pt idx="133">
                  <c:v>52119.6</c:v>
                </c:pt>
                <c:pt idx="134">
                  <c:v>52113.66</c:v>
                </c:pt>
                <c:pt idx="135">
                  <c:v>52107.72</c:v>
                </c:pt>
                <c:pt idx="136">
                  <c:v>52101.78</c:v>
                </c:pt>
                <c:pt idx="137">
                  <c:v>52095.839999999997</c:v>
                </c:pt>
                <c:pt idx="138">
                  <c:v>52089.91</c:v>
                </c:pt>
                <c:pt idx="139">
                  <c:v>52085.11</c:v>
                </c:pt>
                <c:pt idx="140">
                  <c:v>52137.3</c:v>
                </c:pt>
                <c:pt idx="141">
                  <c:v>52132.160000000003</c:v>
                </c:pt>
                <c:pt idx="142">
                  <c:v>52126.23</c:v>
                </c:pt>
                <c:pt idx="143">
                  <c:v>52120.29</c:v>
                </c:pt>
                <c:pt idx="144">
                  <c:v>52114.35</c:v>
                </c:pt>
                <c:pt idx="145">
                  <c:v>52108.41</c:v>
                </c:pt>
                <c:pt idx="146">
                  <c:v>52102.47</c:v>
                </c:pt>
                <c:pt idx="147">
                  <c:v>52096.54</c:v>
                </c:pt>
                <c:pt idx="148">
                  <c:v>52090.6</c:v>
                </c:pt>
                <c:pt idx="149">
                  <c:v>52085.55</c:v>
                </c:pt>
                <c:pt idx="150">
                  <c:v>52081.42</c:v>
                </c:pt>
                <c:pt idx="151">
                  <c:v>52144.73</c:v>
                </c:pt>
                <c:pt idx="152">
                  <c:v>52138.79</c:v>
                </c:pt>
                <c:pt idx="153">
                  <c:v>52132.86</c:v>
                </c:pt>
                <c:pt idx="154">
                  <c:v>52126.92</c:v>
                </c:pt>
                <c:pt idx="155">
                  <c:v>52120.98</c:v>
                </c:pt>
                <c:pt idx="156">
                  <c:v>52115.040000000001</c:v>
                </c:pt>
                <c:pt idx="157">
                  <c:v>52109.1</c:v>
                </c:pt>
                <c:pt idx="158">
                  <c:v>52103.17</c:v>
                </c:pt>
                <c:pt idx="159">
                  <c:v>52097.23</c:v>
                </c:pt>
                <c:pt idx="160">
                  <c:v>52151.360000000001</c:v>
                </c:pt>
                <c:pt idx="161">
                  <c:v>52145.42</c:v>
                </c:pt>
                <c:pt idx="162">
                  <c:v>52127.61</c:v>
                </c:pt>
                <c:pt idx="163">
                  <c:v>52115.73</c:v>
                </c:pt>
                <c:pt idx="164">
                  <c:v>52109.79</c:v>
                </c:pt>
                <c:pt idx="165">
                  <c:v>52103.86</c:v>
                </c:pt>
                <c:pt idx="166">
                  <c:v>52097.919999999998</c:v>
                </c:pt>
                <c:pt idx="167">
                  <c:v>52152.05</c:v>
                </c:pt>
                <c:pt idx="168">
                  <c:v>52141.33</c:v>
                </c:pt>
                <c:pt idx="169">
                  <c:v>52138.97</c:v>
                </c:pt>
                <c:pt idx="170">
                  <c:v>52098.61</c:v>
                </c:pt>
                <c:pt idx="171">
                  <c:v>52153.38</c:v>
                </c:pt>
                <c:pt idx="172">
                  <c:v>52147.44</c:v>
                </c:pt>
                <c:pt idx="173">
                  <c:v>52141.51</c:v>
                </c:pt>
                <c:pt idx="174">
                  <c:v>52135.57</c:v>
                </c:pt>
                <c:pt idx="175">
                  <c:v>52129.46</c:v>
                </c:pt>
                <c:pt idx="176">
                  <c:v>52123.48</c:v>
                </c:pt>
                <c:pt idx="177">
                  <c:v>52117.75</c:v>
                </c:pt>
                <c:pt idx="178">
                  <c:v>52104.19</c:v>
                </c:pt>
                <c:pt idx="179">
                  <c:v>52099.51</c:v>
                </c:pt>
                <c:pt idx="180">
                  <c:v>52135.62</c:v>
                </c:pt>
                <c:pt idx="181">
                  <c:v>52123.74</c:v>
                </c:pt>
                <c:pt idx="182">
                  <c:v>52117.81</c:v>
                </c:pt>
                <c:pt idx="183">
                  <c:v>52130.37</c:v>
                </c:pt>
                <c:pt idx="184">
                  <c:v>52124.44</c:v>
                </c:pt>
                <c:pt idx="185">
                  <c:v>52118.5</c:v>
                </c:pt>
                <c:pt idx="186">
                  <c:v>52112.56</c:v>
                </c:pt>
                <c:pt idx="187">
                  <c:v>52125.13</c:v>
                </c:pt>
                <c:pt idx="188">
                  <c:v>52119.19</c:v>
                </c:pt>
                <c:pt idx="189">
                  <c:v>52113.25</c:v>
                </c:pt>
                <c:pt idx="190">
                  <c:v>52107.31</c:v>
                </c:pt>
                <c:pt idx="191">
                  <c:v>52119.88</c:v>
                </c:pt>
                <c:pt idx="192">
                  <c:v>52113.94</c:v>
                </c:pt>
                <c:pt idx="193">
                  <c:v>52109.59</c:v>
                </c:pt>
                <c:pt idx="194">
                  <c:v>52116.480000000003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xVal>
          <c:yVal>
            <c:numRef>
              <c:f>'[1]Для построения'!$C$3:$C$850</c:f>
              <c:numCache>
                <c:formatCode>General</c:formatCode>
                <c:ptCount val="848"/>
                <c:pt idx="0">
                  <c:v>29101.82</c:v>
                </c:pt>
                <c:pt idx="1">
                  <c:v>29087.98</c:v>
                </c:pt>
                <c:pt idx="2">
                  <c:v>29087.03</c:v>
                </c:pt>
                <c:pt idx="3">
                  <c:v>29084.799999999999</c:v>
                </c:pt>
                <c:pt idx="4">
                  <c:v>29080.17</c:v>
                </c:pt>
                <c:pt idx="5">
                  <c:v>29079.040000000001</c:v>
                </c:pt>
                <c:pt idx="6">
                  <c:v>29071.7</c:v>
                </c:pt>
                <c:pt idx="7">
                  <c:v>29068.67</c:v>
                </c:pt>
                <c:pt idx="8">
                  <c:v>29067.53</c:v>
                </c:pt>
                <c:pt idx="9">
                  <c:v>29105.38</c:v>
                </c:pt>
                <c:pt idx="10">
                  <c:v>29102.74</c:v>
                </c:pt>
                <c:pt idx="11">
                  <c:v>29100.09</c:v>
                </c:pt>
                <c:pt idx="12">
                  <c:v>29097.45</c:v>
                </c:pt>
                <c:pt idx="13">
                  <c:v>29092.16</c:v>
                </c:pt>
                <c:pt idx="14">
                  <c:v>29089.52</c:v>
                </c:pt>
                <c:pt idx="15">
                  <c:v>29086.880000000001</c:v>
                </c:pt>
                <c:pt idx="16">
                  <c:v>29084.23</c:v>
                </c:pt>
                <c:pt idx="17">
                  <c:v>29081.59</c:v>
                </c:pt>
                <c:pt idx="18">
                  <c:v>29078.94</c:v>
                </c:pt>
                <c:pt idx="19">
                  <c:v>29076.3</c:v>
                </c:pt>
                <c:pt idx="20">
                  <c:v>29073.66</c:v>
                </c:pt>
                <c:pt idx="21">
                  <c:v>29109.18</c:v>
                </c:pt>
                <c:pt idx="22">
                  <c:v>29105.49</c:v>
                </c:pt>
                <c:pt idx="23">
                  <c:v>29103.89</c:v>
                </c:pt>
                <c:pt idx="24">
                  <c:v>29101.24</c:v>
                </c:pt>
                <c:pt idx="25">
                  <c:v>29098.6</c:v>
                </c:pt>
                <c:pt idx="26">
                  <c:v>29095.96</c:v>
                </c:pt>
                <c:pt idx="27">
                  <c:v>29093.31</c:v>
                </c:pt>
                <c:pt idx="28">
                  <c:v>29090.67</c:v>
                </c:pt>
                <c:pt idx="29">
                  <c:v>29088.03</c:v>
                </c:pt>
                <c:pt idx="30">
                  <c:v>29085.38</c:v>
                </c:pt>
                <c:pt idx="31">
                  <c:v>29082.74</c:v>
                </c:pt>
                <c:pt idx="32">
                  <c:v>29080.09</c:v>
                </c:pt>
                <c:pt idx="33">
                  <c:v>29110.42</c:v>
                </c:pt>
                <c:pt idx="34">
                  <c:v>29110.33</c:v>
                </c:pt>
                <c:pt idx="35">
                  <c:v>29107.68</c:v>
                </c:pt>
                <c:pt idx="36">
                  <c:v>29105.040000000001</c:v>
                </c:pt>
                <c:pt idx="37">
                  <c:v>29102.400000000001</c:v>
                </c:pt>
                <c:pt idx="38">
                  <c:v>29099.75</c:v>
                </c:pt>
                <c:pt idx="39">
                  <c:v>29097.11</c:v>
                </c:pt>
                <c:pt idx="40">
                  <c:v>29094.46</c:v>
                </c:pt>
                <c:pt idx="41">
                  <c:v>29091.82</c:v>
                </c:pt>
                <c:pt idx="42">
                  <c:v>29089.18</c:v>
                </c:pt>
                <c:pt idx="43">
                  <c:v>29086.53</c:v>
                </c:pt>
                <c:pt idx="44">
                  <c:v>29083.89</c:v>
                </c:pt>
                <c:pt idx="45">
                  <c:v>29114.12</c:v>
                </c:pt>
                <c:pt idx="46">
                  <c:v>29111.48</c:v>
                </c:pt>
                <c:pt idx="47">
                  <c:v>29108.83</c:v>
                </c:pt>
                <c:pt idx="48">
                  <c:v>29106.19</c:v>
                </c:pt>
                <c:pt idx="49">
                  <c:v>29103.55</c:v>
                </c:pt>
                <c:pt idx="50">
                  <c:v>29100.9</c:v>
                </c:pt>
                <c:pt idx="51">
                  <c:v>29098.26</c:v>
                </c:pt>
                <c:pt idx="52">
                  <c:v>29095.61</c:v>
                </c:pt>
                <c:pt idx="53">
                  <c:v>29092.97</c:v>
                </c:pt>
                <c:pt idx="54">
                  <c:v>29090.33</c:v>
                </c:pt>
                <c:pt idx="55">
                  <c:v>29115.27</c:v>
                </c:pt>
                <c:pt idx="56">
                  <c:v>29112.63</c:v>
                </c:pt>
                <c:pt idx="57">
                  <c:v>29109.98</c:v>
                </c:pt>
                <c:pt idx="58">
                  <c:v>29107.34</c:v>
                </c:pt>
                <c:pt idx="59">
                  <c:v>29104.7</c:v>
                </c:pt>
                <c:pt idx="60">
                  <c:v>29102.05</c:v>
                </c:pt>
                <c:pt idx="61">
                  <c:v>29099.41</c:v>
                </c:pt>
                <c:pt idx="62">
                  <c:v>29096.76</c:v>
                </c:pt>
                <c:pt idx="63">
                  <c:v>29094.12</c:v>
                </c:pt>
                <c:pt idx="64">
                  <c:v>29116.76</c:v>
                </c:pt>
                <c:pt idx="65">
                  <c:v>29116.42</c:v>
                </c:pt>
                <c:pt idx="66">
                  <c:v>29113.78</c:v>
                </c:pt>
                <c:pt idx="67">
                  <c:v>29111.13</c:v>
                </c:pt>
                <c:pt idx="68">
                  <c:v>29108.49</c:v>
                </c:pt>
                <c:pt idx="69">
                  <c:v>29105.85</c:v>
                </c:pt>
                <c:pt idx="70">
                  <c:v>29103.200000000001</c:v>
                </c:pt>
                <c:pt idx="71">
                  <c:v>29100.560000000001</c:v>
                </c:pt>
                <c:pt idx="72">
                  <c:v>29115.1</c:v>
                </c:pt>
                <c:pt idx="73">
                  <c:v>29114.93</c:v>
                </c:pt>
                <c:pt idx="74">
                  <c:v>29112.28</c:v>
                </c:pt>
                <c:pt idx="75">
                  <c:v>29109.64</c:v>
                </c:pt>
                <c:pt idx="76">
                  <c:v>29107</c:v>
                </c:pt>
                <c:pt idx="77">
                  <c:v>29104.35</c:v>
                </c:pt>
                <c:pt idx="78">
                  <c:v>29113.49</c:v>
                </c:pt>
                <c:pt idx="79">
                  <c:v>29112.46</c:v>
                </c:pt>
                <c:pt idx="80">
                  <c:v>29110.79</c:v>
                </c:pt>
                <c:pt idx="81">
                  <c:v>29071.01</c:v>
                </c:pt>
                <c:pt idx="82">
                  <c:v>29068.37</c:v>
                </c:pt>
                <c:pt idx="83">
                  <c:v>29065.73</c:v>
                </c:pt>
                <c:pt idx="84">
                  <c:v>29077.45</c:v>
                </c:pt>
                <c:pt idx="85">
                  <c:v>29074.81</c:v>
                </c:pt>
                <c:pt idx="86">
                  <c:v>29072.16</c:v>
                </c:pt>
                <c:pt idx="87">
                  <c:v>29069.52</c:v>
                </c:pt>
                <c:pt idx="88">
                  <c:v>29081.24</c:v>
                </c:pt>
                <c:pt idx="89">
                  <c:v>29078.6</c:v>
                </c:pt>
                <c:pt idx="90">
                  <c:v>29075.96</c:v>
                </c:pt>
                <c:pt idx="91">
                  <c:v>29073.31</c:v>
                </c:pt>
                <c:pt idx="92">
                  <c:v>29087.68</c:v>
                </c:pt>
                <c:pt idx="93">
                  <c:v>29085.040000000001</c:v>
                </c:pt>
                <c:pt idx="94">
                  <c:v>29082.400000000001</c:v>
                </c:pt>
                <c:pt idx="95">
                  <c:v>29079.75</c:v>
                </c:pt>
                <c:pt idx="96">
                  <c:v>29077.11</c:v>
                </c:pt>
                <c:pt idx="97">
                  <c:v>29091.48</c:v>
                </c:pt>
                <c:pt idx="98">
                  <c:v>29088.83</c:v>
                </c:pt>
                <c:pt idx="99">
                  <c:v>29086.19</c:v>
                </c:pt>
                <c:pt idx="100">
                  <c:v>29083.55</c:v>
                </c:pt>
                <c:pt idx="101">
                  <c:v>29080.9</c:v>
                </c:pt>
                <c:pt idx="102">
                  <c:v>29097.91</c:v>
                </c:pt>
                <c:pt idx="103">
                  <c:v>29095.27</c:v>
                </c:pt>
                <c:pt idx="104">
                  <c:v>29092.63</c:v>
                </c:pt>
                <c:pt idx="105">
                  <c:v>29089.98</c:v>
                </c:pt>
                <c:pt idx="106">
                  <c:v>29087.34</c:v>
                </c:pt>
                <c:pt idx="107">
                  <c:v>29101.71</c:v>
                </c:pt>
                <c:pt idx="108">
                  <c:v>29099.06</c:v>
                </c:pt>
                <c:pt idx="109">
                  <c:v>29096.42</c:v>
                </c:pt>
                <c:pt idx="110">
                  <c:v>29108.15</c:v>
                </c:pt>
                <c:pt idx="111">
                  <c:v>29104.69</c:v>
                </c:pt>
                <c:pt idx="112">
                  <c:v>29042.91</c:v>
                </c:pt>
                <c:pt idx="113">
                  <c:v>29035.48</c:v>
                </c:pt>
                <c:pt idx="114">
                  <c:v>29033.79</c:v>
                </c:pt>
                <c:pt idx="115">
                  <c:v>29026.07</c:v>
                </c:pt>
                <c:pt idx="116">
                  <c:v>29019.94</c:v>
                </c:pt>
                <c:pt idx="117">
                  <c:v>29018.07</c:v>
                </c:pt>
                <c:pt idx="118">
                  <c:v>29007.81</c:v>
                </c:pt>
                <c:pt idx="119">
                  <c:v>29006.26</c:v>
                </c:pt>
                <c:pt idx="120">
                  <c:v>29000.97</c:v>
                </c:pt>
                <c:pt idx="121">
                  <c:v>28999.93</c:v>
                </c:pt>
                <c:pt idx="122">
                  <c:v>28994.99</c:v>
                </c:pt>
                <c:pt idx="123">
                  <c:v>29003.69</c:v>
                </c:pt>
                <c:pt idx="124">
                  <c:v>29042.12</c:v>
                </c:pt>
                <c:pt idx="125">
                  <c:v>29012.73</c:v>
                </c:pt>
                <c:pt idx="126">
                  <c:v>29010.09</c:v>
                </c:pt>
                <c:pt idx="127">
                  <c:v>29007.439999999999</c:v>
                </c:pt>
                <c:pt idx="128">
                  <c:v>29004.799999999999</c:v>
                </c:pt>
                <c:pt idx="129">
                  <c:v>29002.15</c:v>
                </c:pt>
                <c:pt idx="130">
                  <c:v>28999.51</c:v>
                </c:pt>
                <c:pt idx="131">
                  <c:v>29024.07</c:v>
                </c:pt>
                <c:pt idx="132">
                  <c:v>29021.81</c:v>
                </c:pt>
                <c:pt idx="133">
                  <c:v>29019.17</c:v>
                </c:pt>
                <c:pt idx="134">
                  <c:v>29016.52</c:v>
                </c:pt>
                <c:pt idx="135">
                  <c:v>29013.88</c:v>
                </c:pt>
                <c:pt idx="136">
                  <c:v>29011.24</c:v>
                </c:pt>
                <c:pt idx="137">
                  <c:v>29008.59</c:v>
                </c:pt>
                <c:pt idx="138">
                  <c:v>29005.95</c:v>
                </c:pt>
                <c:pt idx="139">
                  <c:v>29003.78</c:v>
                </c:pt>
                <c:pt idx="140">
                  <c:v>29033.200000000001</c:v>
                </c:pt>
                <c:pt idx="141">
                  <c:v>29030.89</c:v>
                </c:pt>
                <c:pt idx="142">
                  <c:v>29028.25</c:v>
                </c:pt>
                <c:pt idx="143">
                  <c:v>29025.61</c:v>
                </c:pt>
                <c:pt idx="144">
                  <c:v>29022.959999999999</c:v>
                </c:pt>
                <c:pt idx="145">
                  <c:v>29020.32</c:v>
                </c:pt>
                <c:pt idx="146">
                  <c:v>29017.67</c:v>
                </c:pt>
                <c:pt idx="147">
                  <c:v>29015.03</c:v>
                </c:pt>
                <c:pt idx="148">
                  <c:v>29012.39</c:v>
                </c:pt>
                <c:pt idx="149">
                  <c:v>29010.11</c:v>
                </c:pt>
                <c:pt idx="150">
                  <c:v>29008.36</c:v>
                </c:pt>
                <c:pt idx="151">
                  <c:v>29042.62</c:v>
                </c:pt>
                <c:pt idx="152">
                  <c:v>29039.97</c:v>
                </c:pt>
                <c:pt idx="153">
                  <c:v>29037.33</c:v>
                </c:pt>
                <c:pt idx="154">
                  <c:v>29034.69</c:v>
                </c:pt>
                <c:pt idx="155">
                  <c:v>29032.04</c:v>
                </c:pt>
                <c:pt idx="156">
                  <c:v>29029.4</c:v>
                </c:pt>
                <c:pt idx="157">
                  <c:v>29026.76</c:v>
                </c:pt>
                <c:pt idx="158">
                  <c:v>29024.11</c:v>
                </c:pt>
                <c:pt idx="159">
                  <c:v>29021.47</c:v>
                </c:pt>
                <c:pt idx="160">
                  <c:v>29051.7</c:v>
                </c:pt>
                <c:pt idx="161">
                  <c:v>29049.06</c:v>
                </c:pt>
                <c:pt idx="162">
                  <c:v>29041.119999999999</c:v>
                </c:pt>
                <c:pt idx="163">
                  <c:v>29035.84</c:v>
                </c:pt>
                <c:pt idx="164">
                  <c:v>29033.19</c:v>
                </c:pt>
                <c:pt idx="165">
                  <c:v>29030.55</c:v>
                </c:pt>
                <c:pt idx="166">
                  <c:v>29027.91</c:v>
                </c:pt>
                <c:pt idx="167">
                  <c:v>29058.14</c:v>
                </c:pt>
                <c:pt idx="168">
                  <c:v>29056.13</c:v>
                </c:pt>
                <c:pt idx="169">
                  <c:v>29054.25</c:v>
                </c:pt>
                <c:pt idx="170">
                  <c:v>29034.34</c:v>
                </c:pt>
                <c:pt idx="171">
                  <c:v>29064.9</c:v>
                </c:pt>
                <c:pt idx="172">
                  <c:v>29062.25</c:v>
                </c:pt>
                <c:pt idx="173">
                  <c:v>29059.61</c:v>
                </c:pt>
                <c:pt idx="174">
                  <c:v>29056.959999999999</c:v>
                </c:pt>
                <c:pt idx="175">
                  <c:v>29054.87</c:v>
                </c:pt>
                <c:pt idx="176">
                  <c:v>29052.21</c:v>
                </c:pt>
                <c:pt idx="177">
                  <c:v>29049.03</c:v>
                </c:pt>
                <c:pt idx="178">
                  <c:v>29042.01</c:v>
                </c:pt>
                <c:pt idx="179">
                  <c:v>29040.04</c:v>
                </c:pt>
                <c:pt idx="180">
                  <c:v>29063.08</c:v>
                </c:pt>
                <c:pt idx="181">
                  <c:v>29057.79</c:v>
                </c:pt>
                <c:pt idx="182">
                  <c:v>29055.15</c:v>
                </c:pt>
                <c:pt idx="183">
                  <c:v>29066.880000000001</c:v>
                </c:pt>
                <c:pt idx="184">
                  <c:v>29064.23</c:v>
                </c:pt>
                <c:pt idx="185">
                  <c:v>29061.59</c:v>
                </c:pt>
                <c:pt idx="186">
                  <c:v>29058.94</c:v>
                </c:pt>
                <c:pt idx="187">
                  <c:v>29070.67</c:v>
                </c:pt>
                <c:pt idx="188">
                  <c:v>29068.03</c:v>
                </c:pt>
                <c:pt idx="189">
                  <c:v>29065.38</c:v>
                </c:pt>
                <c:pt idx="190">
                  <c:v>29062.74</c:v>
                </c:pt>
                <c:pt idx="191">
                  <c:v>29074.46</c:v>
                </c:pt>
                <c:pt idx="192">
                  <c:v>29071.82</c:v>
                </c:pt>
                <c:pt idx="193">
                  <c:v>29068.15</c:v>
                </c:pt>
                <c:pt idx="194">
                  <c:v>29078.240000000002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'[1]Для построения'!$A$3:$A$850</c15:f>
                <c15:dlblRangeCache>
                  <c:ptCount val="848"/>
                  <c:pt idx="0">
                    <c:v>1</c:v>
                  </c:pt>
                  <c:pt idx="1">
                    <c:v>7</c:v>
                  </c:pt>
                  <c:pt idx="2">
                    <c:v>8</c:v>
                  </c:pt>
                  <c:pt idx="3">
                    <c:v>9</c:v>
                  </c:pt>
                  <c:pt idx="4">
                    <c:v>11</c:v>
                  </c:pt>
                  <c:pt idx="5">
                    <c:v>12</c:v>
                  </c:pt>
                  <c:pt idx="6">
                    <c:v>16</c:v>
                  </c:pt>
                  <c:pt idx="7">
                    <c:v>17</c:v>
                  </c:pt>
                  <c:pt idx="8">
                    <c:v>18</c:v>
                  </c:pt>
                  <c:pt idx="9">
                    <c:v>19</c:v>
                  </c:pt>
                  <c:pt idx="10">
                    <c:v>20</c:v>
                  </c:pt>
                  <c:pt idx="11">
                    <c:v>21</c:v>
                  </c:pt>
                  <c:pt idx="12">
                    <c:v>22</c:v>
                  </c:pt>
                  <c:pt idx="13">
                    <c:v>24</c:v>
                  </c:pt>
                  <c:pt idx="14">
                    <c:v>25</c:v>
                  </c:pt>
                  <c:pt idx="15">
                    <c:v>26</c:v>
                  </c:pt>
                  <c:pt idx="16">
                    <c:v>27</c:v>
                  </c:pt>
                  <c:pt idx="17">
                    <c:v>28</c:v>
                  </c:pt>
                  <c:pt idx="18">
                    <c:v>29</c:v>
                  </c:pt>
                  <c:pt idx="19">
                    <c:v>30</c:v>
                  </c:pt>
                  <c:pt idx="20">
                    <c:v>31</c:v>
                  </c:pt>
                  <c:pt idx="21">
                    <c:v>32</c:v>
                  </c:pt>
                  <c:pt idx="22">
                    <c:v>33</c:v>
                  </c:pt>
                  <c:pt idx="23">
                    <c:v>34</c:v>
                  </c:pt>
                  <c:pt idx="24">
                    <c:v>35</c:v>
                  </c:pt>
                  <c:pt idx="25">
                    <c:v>36</c:v>
                  </c:pt>
                  <c:pt idx="26">
                    <c:v>37</c:v>
                  </c:pt>
                  <c:pt idx="27">
                    <c:v>38</c:v>
                  </c:pt>
                  <c:pt idx="28">
                    <c:v>39</c:v>
                  </c:pt>
                  <c:pt idx="29">
                    <c:v>40</c:v>
                  </c:pt>
                  <c:pt idx="30">
                    <c:v>41</c:v>
                  </c:pt>
                  <c:pt idx="31">
                    <c:v>42</c:v>
                  </c:pt>
                  <c:pt idx="32">
                    <c:v>43</c:v>
                  </c:pt>
                  <c:pt idx="33">
                    <c:v>44</c:v>
                  </c:pt>
                  <c:pt idx="34">
                    <c:v>45</c:v>
                  </c:pt>
                  <c:pt idx="35">
                    <c:v>46</c:v>
                  </c:pt>
                  <c:pt idx="36">
                    <c:v>47</c:v>
                  </c:pt>
                  <c:pt idx="37">
                    <c:v>48</c:v>
                  </c:pt>
                  <c:pt idx="38">
                    <c:v>49</c:v>
                  </c:pt>
                  <c:pt idx="39">
                    <c:v>50</c:v>
                  </c:pt>
                  <c:pt idx="40">
                    <c:v>51</c:v>
                  </c:pt>
                  <c:pt idx="41">
                    <c:v>52</c:v>
                  </c:pt>
                  <c:pt idx="42">
                    <c:v>53</c:v>
                  </c:pt>
                  <c:pt idx="43">
                    <c:v>54</c:v>
                  </c:pt>
                  <c:pt idx="44">
                    <c:v>55</c:v>
                  </c:pt>
                  <c:pt idx="45">
                    <c:v>56</c:v>
                  </c:pt>
                  <c:pt idx="46">
                    <c:v>57</c:v>
                  </c:pt>
                  <c:pt idx="47">
                    <c:v>58</c:v>
                  </c:pt>
                  <c:pt idx="48">
                    <c:v>59</c:v>
                  </c:pt>
                  <c:pt idx="49">
                    <c:v>60</c:v>
                  </c:pt>
                  <c:pt idx="50">
                    <c:v>61</c:v>
                  </c:pt>
                  <c:pt idx="51">
                    <c:v>62</c:v>
                  </c:pt>
                  <c:pt idx="52">
                    <c:v>63</c:v>
                  </c:pt>
                  <c:pt idx="53">
                    <c:v>64</c:v>
                  </c:pt>
                  <c:pt idx="54">
                    <c:v>65</c:v>
                  </c:pt>
                  <c:pt idx="55">
                    <c:v>66</c:v>
                  </c:pt>
                  <c:pt idx="56">
                    <c:v>67</c:v>
                  </c:pt>
                  <c:pt idx="57">
                    <c:v>68</c:v>
                  </c:pt>
                  <c:pt idx="58">
                    <c:v>69</c:v>
                  </c:pt>
                  <c:pt idx="59">
                    <c:v>70</c:v>
                  </c:pt>
                  <c:pt idx="60">
                    <c:v>71</c:v>
                  </c:pt>
                  <c:pt idx="61">
                    <c:v>72</c:v>
                  </c:pt>
                  <c:pt idx="62">
                    <c:v>73</c:v>
                  </c:pt>
                  <c:pt idx="63">
                    <c:v>74</c:v>
                  </c:pt>
                  <c:pt idx="64">
                    <c:v>75</c:v>
                  </c:pt>
                  <c:pt idx="65">
                    <c:v>76</c:v>
                  </c:pt>
                  <c:pt idx="66">
                    <c:v>77</c:v>
                  </c:pt>
                  <c:pt idx="67">
                    <c:v>78</c:v>
                  </c:pt>
                  <c:pt idx="68">
                    <c:v>79</c:v>
                  </c:pt>
                  <c:pt idx="69">
                    <c:v>80</c:v>
                  </c:pt>
                  <c:pt idx="70">
                    <c:v>81</c:v>
                  </c:pt>
                  <c:pt idx="71">
                    <c:v>82</c:v>
                  </c:pt>
                  <c:pt idx="72">
                    <c:v>83</c:v>
                  </c:pt>
                  <c:pt idx="73">
                    <c:v>84</c:v>
                  </c:pt>
                  <c:pt idx="74">
                    <c:v>85</c:v>
                  </c:pt>
                  <c:pt idx="75">
                    <c:v>86</c:v>
                  </c:pt>
                  <c:pt idx="76">
                    <c:v>87</c:v>
                  </c:pt>
                  <c:pt idx="77">
                    <c:v>88</c:v>
                  </c:pt>
                  <c:pt idx="78">
                    <c:v>89</c:v>
                  </c:pt>
                  <c:pt idx="79">
                    <c:v>90</c:v>
                  </c:pt>
                  <c:pt idx="80">
                    <c:v>91</c:v>
                  </c:pt>
                  <c:pt idx="81">
                    <c:v>92</c:v>
                  </c:pt>
                  <c:pt idx="82">
                    <c:v>93</c:v>
                  </c:pt>
                  <c:pt idx="83">
                    <c:v>94</c:v>
                  </c:pt>
                  <c:pt idx="84">
                    <c:v>95</c:v>
                  </c:pt>
                  <c:pt idx="85">
                    <c:v>96</c:v>
                  </c:pt>
                  <c:pt idx="86">
                    <c:v>97</c:v>
                  </c:pt>
                  <c:pt idx="87">
                    <c:v>98</c:v>
                  </c:pt>
                  <c:pt idx="88">
                    <c:v>99</c:v>
                  </c:pt>
                  <c:pt idx="89">
                    <c:v>100</c:v>
                  </c:pt>
                  <c:pt idx="90">
                    <c:v>101</c:v>
                  </c:pt>
                  <c:pt idx="91">
                    <c:v>102</c:v>
                  </c:pt>
                  <c:pt idx="92">
                    <c:v>103</c:v>
                  </c:pt>
                  <c:pt idx="93">
                    <c:v>104</c:v>
                  </c:pt>
                  <c:pt idx="94">
                    <c:v>105</c:v>
                  </c:pt>
                  <c:pt idx="95">
                    <c:v>106</c:v>
                  </c:pt>
                  <c:pt idx="96">
                    <c:v>107</c:v>
                  </c:pt>
                  <c:pt idx="97">
                    <c:v>108</c:v>
                  </c:pt>
                  <c:pt idx="98">
                    <c:v>109</c:v>
                  </c:pt>
                  <c:pt idx="99">
                    <c:v>110</c:v>
                  </c:pt>
                  <c:pt idx="100">
                    <c:v>111</c:v>
                  </c:pt>
                  <c:pt idx="101">
                    <c:v>112</c:v>
                  </c:pt>
                  <c:pt idx="102">
                    <c:v>113</c:v>
                  </c:pt>
                  <c:pt idx="103">
                    <c:v>114</c:v>
                  </c:pt>
                  <c:pt idx="104">
                    <c:v>115</c:v>
                  </c:pt>
                  <c:pt idx="105">
                    <c:v>116</c:v>
                  </c:pt>
                  <c:pt idx="106">
                    <c:v>117</c:v>
                  </c:pt>
                  <c:pt idx="107">
                    <c:v>118</c:v>
                  </c:pt>
                  <c:pt idx="108">
                    <c:v>119</c:v>
                  </c:pt>
                  <c:pt idx="109">
                    <c:v>120</c:v>
                  </c:pt>
                  <c:pt idx="110">
                    <c:v>121</c:v>
                  </c:pt>
                  <c:pt idx="111">
                    <c:v>122</c:v>
                  </c:pt>
                  <c:pt idx="112">
                    <c:v>128</c:v>
                  </c:pt>
                  <c:pt idx="113">
                    <c:v>131</c:v>
                  </c:pt>
                  <c:pt idx="114">
                    <c:v>132</c:v>
                  </c:pt>
                  <c:pt idx="115">
                    <c:v>134</c:v>
                  </c:pt>
                  <c:pt idx="116">
                    <c:v>135</c:v>
                  </c:pt>
                  <c:pt idx="117">
                    <c:v>136</c:v>
                  </c:pt>
                  <c:pt idx="118">
                    <c:v>139</c:v>
                  </c:pt>
                  <c:pt idx="119">
                    <c:v>140</c:v>
                  </c:pt>
                  <c:pt idx="120">
                    <c:v>142</c:v>
                  </c:pt>
                  <c:pt idx="121">
                    <c:v>143</c:v>
                  </c:pt>
                  <c:pt idx="122">
                    <c:v>146</c:v>
                  </c:pt>
                  <c:pt idx="123">
                    <c:v>147</c:v>
                  </c:pt>
                  <c:pt idx="124">
                    <c:v>149</c:v>
                  </c:pt>
                  <c:pt idx="125">
                    <c:v>149</c:v>
                  </c:pt>
                  <c:pt idx="126">
                    <c:v>150</c:v>
                  </c:pt>
                  <c:pt idx="127">
                    <c:v>151</c:v>
                  </c:pt>
                  <c:pt idx="128">
                    <c:v>152</c:v>
                  </c:pt>
                  <c:pt idx="129">
                    <c:v>153</c:v>
                  </c:pt>
                  <c:pt idx="130">
                    <c:v>154</c:v>
                  </c:pt>
                  <c:pt idx="131">
                    <c:v>155</c:v>
                  </c:pt>
                  <c:pt idx="132">
                    <c:v>156</c:v>
                  </c:pt>
                  <c:pt idx="133">
                    <c:v>157</c:v>
                  </c:pt>
                  <c:pt idx="134">
                    <c:v>158</c:v>
                  </c:pt>
                  <c:pt idx="135">
                    <c:v>159</c:v>
                  </c:pt>
                  <c:pt idx="136">
                    <c:v>160</c:v>
                  </c:pt>
                  <c:pt idx="137">
                    <c:v>161</c:v>
                  </c:pt>
                  <c:pt idx="138">
                    <c:v>162</c:v>
                  </c:pt>
                  <c:pt idx="139">
                    <c:v>163</c:v>
                  </c:pt>
                  <c:pt idx="140">
                    <c:v>165</c:v>
                  </c:pt>
                  <c:pt idx="141">
                    <c:v>166</c:v>
                  </c:pt>
                  <c:pt idx="142">
                    <c:v>167</c:v>
                  </c:pt>
                  <c:pt idx="143">
                    <c:v>168</c:v>
                  </c:pt>
                  <c:pt idx="144">
                    <c:v>169</c:v>
                  </c:pt>
                  <c:pt idx="145">
                    <c:v>170</c:v>
                  </c:pt>
                  <c:pt idx="146">
                    <c:v>171</c:v>
                  </c:pt>
                  <c:pt idx="147">
                    <c:v>172</c:v>
                  </c:pt>
                  <c:pt idx="148">
                    <c:v>173</c:v>
                  </c:pt>
                  <c:pt idx="149">
                    <c:v>174</c:v>
                  </c:pt>
                  <c:pt idx="150">
                    <c:v>175</c:v>
                  </c:pt>
                  <c:pt idx="151">
                    <c:v>177</c:v>
                  </c:pt>
                  <c:pt idx="152">
                    <c:v>178</c:v>
                  </c:pt>
                  <c:pt idx="153">
                    <c:v>179</c:v>
                  </c:pt>
                  <c:pt idx="154">
                    <c:v>180</c:v>
                  </c:pt>
                  <c:pt idx="155">
                    <c:v>181</c:v>
                  </c:pt>
                  <c:pt idx="156">
                    <c:v>182</c:v>
                  </c:pt>
                  <c:pt idx="157">
                    <c:v>183</c:v>
                  </c:pt>
                  <c:pt idx="158">
                    <c:v>184</c:v>
                  </c:pt>
                  <c:pt idx="159">
                    <c:v>185</c:v>
                  </c:pt>
                  <c:pt idx="160">
                    <c:v>189</c:v>
                  </c:pt>
                  <c:pt idx="161">
                    <c:v>190</c:v>
                  </c:pt>
                  <c:pt idx="162">
                    <c:v>193</c:v>
                  </c:pt>
                  <c:pt idx="163">
                    <c:v>195</c:v>
                  </c:pt>
                  <c:pt idx="164">
                    <c:v>196</c:v>
                  </c:pt>
                  <c:pt idx="165">
                    <c:v>197</c:v>
                  </c:pt>
                  <c:pt idx="166">
                    <c:v>198</c:v>
                  </c:pt>
                  <c:pt idx="167">
                    <c:v>203</c:v>
                  </c:pt>
                  <c:pt idx="168">
                    <c:v>205</c:v>
                  </c:pt>
                  <c:pt idx="169">
                    <c:v>206</c:v>
                  </c:pt>
                  <c:pt idx="170">
                    <c:v>215</c:v>
                  </c:pt>
                  <c:pt idx="171">
                    <c:v>221</c:v>
                  </c:pt>
                  <c:pt idx="172">
                    <c:v>222</c:v>
                  </c:pt>
                  <c:pt idx="173">
                    <c:v>223</c:v>
                  </c:pt>
                  <c:pt idx="174">
                    <c:v>224</c:v>
                  </c:pt>
                  <c:pt idx="175">
                    <c:v>225</c:v>
                  </c:pt>
                  <c:pt idx="176">
                    <c:v>226</c:v>
                  </c:pt>
                  <c:pt idx="177">
                    <c:v>227</c:v>
                  </c:pt>
                  <c:pt idx="178">
                    <c:v>229</c:v>
                  </c:pt>
                  <c:pt idx="179">
                    <c:v>230</c:v>
                  </c:pt>
                  <c:pt idx="180">
                    <c:v>233</c:v>
                  </c:pt>
                  <c:pt idx="181">
                    <c:v>235</c:v>
                  </c:pt>
                  <c:pt idx="182">
                    <c:v>236</c:v>
                  </c:pt>
                  <c:pt idx="183">
                    <c:v>243</c:v>
                  </c:pt>
                  <c:pt idx="184">
                    <c:v>244</c:v>
                  </c:pt>
                  <c:pt idx="185">
                    <c:v>245</c:v>
                  </c:pt>
                  <c:pt idx="186">
                    <c:v>246</c:v>
                  </c:pt>
                  <c:pt idx="187">
                    <c:v>250</c:v>
                  </c:pt>
                  <c:pt idx="188">
                    <c:v>251</c:v>
                  </c:pt>
                  <c:pt idx="189">
                    <c:v>252</c:v>
                  </c:pt>
                  <c:pt idx="190">
                    <c:v>253</c:v>
                  </c:pt>
                  <c:pt idx="191">
                    <c:v>255</c:v>
                  </c:pt>
                  <c:pt idx="192">
                    <c:v>256</c:v>
                  </c:pt>
                  <c:pt idx="193">
                    <c:v>257</c:v>
                  </c:pt>
                  <c:pt idx="194">
                    <c:v>258</c:v>
                  </c:pt>
                  <c:pt idx="195">
                    <c:v>#Н/Д</c:v>
                  </c:pt>
                  <c:pt idx="196">
                    <c:v>#Н/Д</c:v>
                  </c:pt>
                  <c:pt idx="197">
                    <c:v>#Н/Д</c:v>
                  </c:pt>
                  <c:pt idx="198">
                    <c:v>#Н/Д</c:v>
                  </c:pt>
                  <c:pt idx="199">
                    <c:v>#Н/Д</c:v>
                  </c:pt>
                  <c:pt idx="200">
                    <c:v>#Н/Д</c:v>
                  </c:pt>
                  <c:pt idx="201">
                    <c:v>#Н/Д</c:v>
                  </c:pt>
                  <c:pt idx="202">
                    <c:v>#Н/Д</c:v>
                  </c:pt>
                  <c:pt idx="203">
                    <c:v>#Н/Д</c:v>
                  </c:pt>
                  <c:pt idx="204">
                    <c:v>#Н/Д</c:v>
                  </c:pt>
                  <c:pt idx="205">
                    <c:v>#Н/Д</c:v>
                  </c:pt>
                  <c:pt idx="206">
                    <c:v>#Н/Д</c:v>
                  </c:pt>
                  <c:pt idx="207">
                    <c:v>#Н/Д</c:v>
                  </c:pt>
                  <c:pt idx="208">
                    <c:v>#Н/Д</c:v>
                  </c:pt>
                  <c:pt idx="209">
                    <c:v>#Н/Д</c:v>
                  </c:pt>
                  <c:pt idx="210">
                    <c:v>#Н/Д</c:v>
                  </c:pt>
                  <c:pt idx="211">
                    <c:v>#Н/Д</c:v>
                  </c:pt>
                  <c:pt idx="212">
                    <c:v>#Н/Д</c:v>
                  </c:pt>
                  <c:pt idx="213">
                    <c:v>#Н/Д</c:v>
                  </c:pt>
                  <c:pt idx="214">
                    <c:v>#Н/Д</c:v>
                  </c:pt>
                  <c:pt idx="215">
                    <c:v>#Н/Д</c:v>
                  </c:pt>
                  <c:pt idx="216">
                    <c:v>#Н/Д</c:v>
                  </c:pt>
                  <c:pt idx="217">
                    <c:v>#Н/Д</c:v>
                  </c:pt>
                  <c:pt idx="218">
                    <c:v>#Н/Д</c:v>
                  </c:pt>
                  <c:pt idx="219">
                    <c:v>#Н/Д</c:v>
                  </c:pt>
                  <c:pt idx="220">
                    <c:v>#Н/Д</c:v>
                  </c:pt>
                  <c:pt idx="221">
                    <c:v>#Н/Д</c:v>
                  </c:pt>
                  <c:pt idx="222">
                    <c:v>#Н/Д</c:v>
                  </c:pt>
                  <c:pt idx="223">
                    <c:v>#Н/Д</c:v>
                  </c:pt>
                  <c:pt idx="224">
                    <c:v>#Н/Д</c:v>
                  </c:pt>
                  <c:pt idx="225">
                    <c:v>#Н/Д</c:v>
                  </c:pt>
                  <c:pt idx="226">
                    <c:v>#Н/Д</c:v>
                  </c:pt>
                  <c:pt idx="227">
                    <c:v>#Н/Д</c:v>
                  </c:pt>
                  <c:pt idx="228">
                    <c:v>#Н/Д</c:v>
                  </c:pt>
                  <c:pt idx="229">
                    <c:v>#Н/Д</c:v>
                  </c:pt>
                  <c:pt idx="230">
                    <c:v>#Н/Д</c:v>
                  </c:pt>
                  <c:pt idx="231">
                    <c:v>#Н/Д</c:v>
                  </c:pt>
                  <c:pt idx="232">
                    <c:v>#Н/Д</c:v>
                  </c:pt>
                  <c:pt idx="233">
                    <c:v>#Н/Д</c:v>
                  </c:pt>
                  <c:pt idx="234">
                    <c:v>#Н/Д</c:v>
                  </c:pt>
                  <c:pt idx="235">
                    <c:v>#Н/Д</c:v>
                  </c:pt>
                  <c:pt idx="236">
                    <c:v>#Н/Д</c:v>
                  </c:pt>
                  <c:pt idx="237">
                    <c:v>#Н/Д</c:v>
                  </c:pt>
                  <c:pt idx="238">
                    <c:v>#Н/Д</c:v>
                  </c:pt>
                  <c:pt idx="239">
                    <c:v>#Н/Д</c:v>
                  </c:pt>
                  <c:pt idx="240">
                    <c:v>#Н/Д</c:v>
                  </c:pt>
                  <c:pt idx="241">
                    <c:v>#Н/Д</c:v>
                  </c:pt>
                  <c:pt idx="242">
                    <c:v>#Н/Д</c:v>
                  </c:pt>
                  <c:pt idx="243">
                    <c:v>#Н/Д</c:v>
                  </c:pt>
                  <c:pt idx="244">
                    <c:v>#Н/Д</c:v>
                  </c:pt>
                  <c:pt idx="245">
                    <c:v>#Н/Д</c:v>
                  </c:pt>
                  <c:pt idx="246">
                    <c:v>#Н/Д</c:v>
                  </c:pt>
                  <c:pt idx="247">
                    <c:v>#Н/Д</c:v>
                  </c:pt>
                  <c:pt idx="248">
                    <c:v>#Н/Д</c:v>
                  </c:pt>
                  <c:pt idx="249">
                    <c:v>#Н/Д</c:v>
                  </c:pt>
                  <c:pt idx="250">
                    <c:v>#Н/Д</c:v>
                  </c:pt>
                  <c:pt idx="251">
                    <c:v>#Н/Д</c:v>
                  </c:pt>
                  <c:pt idx="252">
                    <c:v>#Н/Д</c:v>
                  </c:pt>
                  <c:pt idx="253">
                    <c:v>#Н/Д</c:v>
                  </c:pt>
                  <c:pt idx="254">
                    <c:v>#Н/Д</c:v>
                  </c:pt>
                  <c:pt idx="255">
                    <c:v>#Н/Д</c:v>
                  </c:pt>
                  <c:pt idx="256">
                    <c:v>#Н/Д</c:v>
                  </c:pt>
                  <c:pt idx="257">
                    <c:v>#Н/Д</c:v>
                  </c:pt>
                  <c:pt idx="258">
                    <c:v>#Н/Д</c:v>
                  </c:pt>
                  <c:pt idx="259">
                    <c:v>#Н/Д</c:v>
                  </c:pt>
                  <c:pt idx="260">
                    <c:v>#Н/Д</c:v>
                  </c:pt>
                  <c:pt idx="261">
                    <c:v>#Н/Д</c:v>
                  </c:pt>
                  <c:pt idx="262">
                    <c:v>#Н/Д</c:v>
                  </c:pt>
                  <c:pt idx="263">
                    <c:v>#Н/Д</c:v>
                  </c:pt>
                  <c:pt idx="264">
                    <c:v>#Н/Д</c:v>
                  </c:pt>
                  <c:pt idx="265">
                    <c:v>#Н/Д</c:v>
                  </c:pt>
                  <c:pt idx="266">
                    <c:v>#Н/Д</c:v>
                  </c:pt>
                  <c:pt idx="267">
                    <c:v>#Н/Д</c:v>
                  </c:pt>
                  <c:pt idx="268">
                    <c:v>#Н/Д</c:v>
                  </c:pt>
                  <c:pt idx="269">
                    <c:v>#Н/Д</c:v>
                  </c:pt>
                  <c:pt idx="270">
                    <c:v>#Н/Д</c:v>
                  </c:pt>
                  <c:pt idx="271">
                    <c:v>#Н/Д</c:v>
                  </c:pt>
                  <c:pt idx="272">
                    <c:v>#Н/Д</c:v>
                  </c:pt>
                  <c:pt idx="273">
                    <c:v>#Н/Д</c:v>
                  </c:pt>
                  <c:pt idx="274">
                    <c:v>#Н/Д</c:v>
                  </c:pt>
                  <c:pt idx="275">
                    <c:v>#Н/Д</c:v>
                  </c:pt>
                  <c:pt idx="276">
                    <c:v>#Н/Д</c:v>
                  </c:pt>
                  <c:pt idx="277">
                    <c:v>#Н/Д</c:v>
                  </c:pt>
                  <c:pt idx="278">
                    <c:v>#Н/Д</c:v>
                  </c:pt>
                  <c:pt idx="279">
                    <c:v>#Н/Д</c:v>
                  </c:pt>
                  <c:pt idx="280">
                    <c:v>#Н/Д</c:v>
                  </c:pt>
                  <c:pt idx="281">
                    <c:v>#Н/Д</c:v>
                  </c:pt>
                  <c:pt idx="282">
                    <c:v>#Н/Д</c:v>
                  </c:pt>
                  <c:pt idx="283">
                    <c:v>#Н/Д</c:v>
                  </c:pt>
                  <c:pt idx="284">
                    <c:v>#Н/Д</c:v>
                  </c:pt>
                  <c:pt idx="285">
                    <c:v>#Н/Д</c:v>
                  </c:pt>
                  <c:pt idx="286">
                    <c:v>#Н/Д</c:v>
                  </c:pt>
                  <c:pt idx="287">
                    <c:v>#Н/Д</c:v>
                  </c:pt>
                  <c:pt idx="288">
                    <c:v>#Н/Д</c:v>
                  </c:pt>
                  <c:pt idx="289">
                    <c:v>#Н/Д</c:v>
                  </c:pt>
                  <c:pt idx="290">
                    <c:v>#Н/Д</c:v>
                  </c:pt>
                  <c:pt idx="291">
                    <c:v>#Н/Д</c:v>
                  </c:pt>
                  <c:pt idx="292">
                    <c:v>#Н/Д</c:v>
                  </c:pt>
                  <c:pt idx="293">
                    <c:v>#Н/Д</c:v>
                  </c:pt>
                  <c:pt idx="294">
                    <c:v>#Н/Д</c:v>
                  </c:pt>
                  <c:pt idx="295">
                    <c:v>#Н/Д</c:v>
                  </c:pt>
                  <c:pt idx="296">
                    <c:v>#Н/Д</c:v>
                  </c:pt>
                  <c:pt idx="297">
                    <c:v>#Н/Д</c:v>
                  </c:pt>
                  <c:pt idx="298">
                    <c:v>#Н/Д</c:v>
                  </c:pt>
                  <c:pt idx="299">
                    <c:v>#Н/Д</c:v>
                  </c:pt>
                  <c:pt idx="300">
                    <c:v>#Н/Д</c:v>
                  </c:pt>
                  <c:pt idx="301">
                    <c:v>#Н/Д</c:v>
                  </c:pt>
                  <c:pt idx="302">
                    <c:v>#Н/Д</c:v>
                  </c:pt>
                  <c:pt idx="303">
                    <c:v>#Н/Д</c:v>
                  </c:pt>
                  <c:pt idx="304">
                    <c:v>#Н/Д</c:v>
                  </c:pt>
                  <c:pt idx="305">
                    <c:v>#Н/Д</c:v>
                  </c:pt>
                  <c:pt idx="306">
                    <c:v>#Н/Д</c:v>
                  </c:pt>
                  <c:pt idx="307">
                    <c:v>#Н/Д</c:v>
                  </c:pt>
                  <c:pt idx="308">
                    <c:v>#Н/Д</c:v>
                  </c:pt>
                  <c:pt idx="309">
                    <c:v>#Н/Д</c:v>
                  </c:pt>
                  <c:pt idx="310">
                    <c:v>#Н/Д</c:v>
                  </c:pt>
                  <c:pt idx="311">
                    <c:v>#Н/Д</c:v>
                  </c:pt>
                  <c:pt idx="312">
                    <c:v>#Н/Д</c:v>
                  </c:pt>
                  <c:pt idx="313">
                    <c:v>#Н/Д</c:v>
                  </c:pt>
                  <c:pt idx="314">
                    <c:v>#Н/Д</c:v>
                  </c:pt>
                  <c:pt idx="315">
                    <c:v>#Н/Д</c:v>
                  </c:pt>
                  <c:pt idx="316">
                    <c:v>#Н/Д</c:v>
                  </c:pt>
                  <c:pt idx="317">
                    <c:v>#Н/Д</c:v>
                  </c:pt>
                  <c:pt idx="318">
                    <c:v>#Н/Д</c:v>
                  </c:pt>
                  <c:pt idx="319">
                    <c:v>#Н/Д</c:v>
                  </c:pt>
                  <c:pt idx="320">
                    <c:v>#Н/Д</c:v>
                  </c:pt>
                  <c:pt idx="321">
                    <c:v>#Н/Д</c:v>
                  </c:pt>
                  <c:pt idx="322">
                    <c:v>#Н/Д</c:v>
                  </c:pt>
                  <c:pt idx="323">
                    <c:v>#Н/Д</c:v>
                  </c:pt>
                  <c:pt idx="324">
                    <c:v>#Н/Д</c:v>
                  </c:pt>
                  <c:pt idx="325">
                    <c:v>#Н/Д</c:v>
                  </c:pt>
                  <c:pt idx="326">
                    <c:v>#Н/Д</c:v>
                  </c:pt>
                  <c:pt idx="327">
                    <c:v>#Н/Д</c:v>
                  </c:pt>
                  <c:pt idx="328">
                    <c:v>#Н/Д</c:v>
                  </c:pt>
                  <c:pt idx="329">
                    <c:v>#Н/Д</c:v>
                  </c:pt>
                  <c:pt idx="330">
                    <c:v>#Н/Д</c:v>
                  </c:pt>
                  <c:pt idx="331">
                    <c:v>#Н/Д</c:v>
                  </c:pt>
                  <c:pt idx="332">
                    <c:v>#Н/Д</c:v>
                  </c:pt>
                  <c:pt idx="333">
                    <c:v>#Н/Д</c:v>
                  </c:pt>
                  <c:pt idx="334">
                    <c:v>#Н/Д</c:v>
                  </c:pt>
                  <c:pt idx="335">
                    <c:v>#Н/Д</c:v>
                  </c:pt>
                  <c:pt idx="336">
                    <c:v>#Н/Д</c:v>
                  </c:pt>
                  <c:pt idx="337">
                    <c:v>#Н/Д</c:v>
                  </c:pt>
                  <c:pt idx="338">
                    <c:v>#Н/Д</c:v>
                  </c:pt>
                  <c:pt idx="339">
                    <c:v>#Н/Д</c:v>
                  </c:pt>
                  <c:pt idx="340">
                    <c:v>#Н/Д</c:v>
                  </c:pt>
                  <c:pt idx="341">
                    <c:v>#Н/Д</c:v>
                  </c:pt>
                  <c:pt idx="342">
                    <c:v>#Н/Д</c:v>
                  </c:pt>
                  <c:pt idx="343">
                    <c:v>#Н/Д</c:v>
                  </c:pt>
                  <c:pt idx="344">
                    <c:v>#Н/Д</c:v>
                  </c:pt>
                  <c:pt idx="345">
                    <c:v>#Н/Д</c:v>
                  </c:pt>
                  <c:pt idx="346">
                    <c:v>#Н/Д</c:v>
                  </c:pt>
                  <c:pt idx="347">
                    <c:v>#Н/Д</c:v>
                  </c:pt>
                  <c:pt idx="348">
                    <c:v>#Н/Д</c:v>
                  </c:pt>
                  <c:pt idx="349">
                    <c:v>#Н/Д</c:v>
                  </c:pt>
                  <c:pt idx="350">
                    <c:v>#Н/Д</c:v>
                  </c:pt>
                  <c:pt idx="351">
                    <c:v>#Н/Д</c:v>
                  </c:pt>
                  <c:pt idx="352">
                    <c:v>#Н/Д</c:v>
                  </c:pt>
                  <c:pt idx="353">
                    <c:v>#Н/Д</c:v>
                  </c:pt>
                  <c:pt idx="354">
                    <c:v>#Н/Д</c:v>
                  </c:pt>
                  <c:pt idx="355">
                    <c:v>#Н/Д</c:v>
                  </c:pt>
                  <c:pt idx="356">
                    <c:v>#Н/Д</c:v>
                  </c:pt>
                  <c:pt idx="357">
                    <c:v>#Н/Д</c:v>
                  </c:pt>
                  <c:pt idx="358">
                    <c:v>#Н/Д</c:v>
                  </c:pt>
                  <c:pt idx="359">
                    <c:v>#Н/Д</c:v>
                  </c:pt>
                  <c:pt idx="360">
                    <c:v>#Н/Д</c:v>
                  </c:pt>
                  <c:pt idx="361">
                    <c:v>#Н/Д</c:v>
                  </c:pt>
                  <c:pt idx="362">
                    <c:v>#Н/Д</c:v>
                  </c:pt>
                  <c:pt idx="363">
                    <c:v>#Н/Д</c:v>
                  </c:pt>
                  <c:pt idx="364">
                    <c:v>#Н/Д</c:v>
                  </c:pt>
                  <c:pt idx="365">
                    <c:v>#Н/Д</c:v>
                  </c:pt>
                  <c:pt idx="366">
                    <c:v>#Н/Д</c:v>
                  </c:pt>
                  <c:pt idx="367">
                    <c:v>#Н/Д</c:v>
                  </c:pt>
                  <c:pt idx="368">
                    <c:v>#Н/Д</c:v>
                  </c:pt>
                  <c:pt idx="369">
                    <c:v>#Н/Д</c:v>
                  </c:pt>
                  <c:pt idx="370">
                    <c:v>#Н/Д</c:v>
                  </c:pt>
                  <c:pt idx="371">
                    <c:v>#Н/Д</c:v>
                  </c:pt>
                  <c:pt idx="372">
                    <c:v>#Н/Д</c:v>
                  </c:pt>
                  <c:pt idx="373">
                    <c:v>#Н/Д</c:v>
                  </c:pt>
                  <c:pt idx="374">
                    <c:v>#Н/Д</c:v>
                  </c:pt>
                  <c:pt idx="375">
                    <c:v>#Н/Д</c:v>
                  </c:pt>
                  <c:pt idx="376">
                    <c:v>#Н/Д</c:v>
                  </c:pt>
                  <c:pt idx="377">
                    <c:v>#Н/Д</c:v>
                  </c:pt>
                  <c:pt idx="378">
                    <c:v>#Н/Д</c:v>
                  </c:pt>
                  <c:pt idx="379">
                    <c:v>#Н/Д</c:v>
                  </c:pt>
                  <c:pt idx="380">
                    <c:v>#Н/Д</c:v>
                  </c:pt>
                  <c:pt idx="381">
                    <c:v>#Н/Д</c:v>
                  </c:pt>
                  <c:pt idx="382">
                    <c:v>#Н/Д</c:v>
                  </c:pt>
                  <c:pt idx="383">
                    <c:v>#Н/Д</c:v>
                  </c:pt>
                  <c:pt idx="384">
                    <c:v>#Н/Д</c:v>
                  </c:pt>
                  <c:pt idx="385">
                    <c:v>#Н/Д</c:v>
                  </c:pt>
                  <c:pt idx="386">
                    <c:v>#Н/Д</c:v>
                  </c:pt>
                  <c:pt idx="387">
                    <c:v>#Н/Д</c:v>
                  </c:pt>
                  <c:pt idx="388">
                    <c:v>#Н/Д</c:v>
                  </c:pt>
                  <c:pt idx="389">
                    <c:v>#Н/Д</c:v>
                  </c:pt>
                  <c:pt idx="390">
                    <c:v>#Н/Д</c:v>
                  </c:pt>
                  <c:pt idx="391">
                    <c:v>#Н/Д</c:v>
                  </c:pt>
                  <c:pt idx="392">
                    <c:v>#Н/Д</c:v>
                  </c:pt>
                  <c:pt idx="393">
                    <c:v>#Н/Д</c:v>
                  </c:pt>
                  <c:pt idx="394">
                    <c:v>#Н/Д</c:v>
                  </c:pt>
                  <c:pt idx="395">
                    <c:v>#Н/Д</c:v>
                  </c:pt>
                  <c:pt idx="396">
                    <c:v>#Н/Д</c:v>
                  </c:pt>
                  <c:pt idx="397">
                    <c:v>#Н/Д</c:v>
                  </c:pt>
                  <c:pt idx="398">
                    <c:v>#Н/Д</c:v>
                  </c:pt>
                  <c:pt idx="399">
                    <c:v>#Н/Д</c:v>
                  </c:pt>
                  <c:pt idx="400">
                    <c:v>#Н/Д</c:v>
                  </c:pt>
                  <c:pt idx="401">
                    <c:v>#Н/Д</c:v>
                  </c:pt>
                  <c:pt idx="402">
                    <c:v>#Н/Д</c:v>
                  </c:pt>
                  <c:pt idx="403">
                    <c:v>#Н/Д</c:v>
                  </c:pt>
                  <c:pt idx="404">
                    <c:v>#Н/Д</c:v>
                  </c:pt>
                  <c:pt idx="405">
                    <c:v>#Н/Д</c:v>
                  </c:pt>
                  <c:pt idx="406">
                    <c:v>#Н/Д</c:v>
                  </c:pt>
                  <c:pt idx="407">
                    <c:v>#Н/Д</c:v>
                  </c:pt>
                  <c:pt idx="408">
                    <c:v>#Н/Д</c:v>
                  </c:pt>
                  <c:pt idx="409">
                    <c:v>#Н/Д</c:v>
                  </c:pt>
                  <c:pt idx="410">
                    <c:v>#Н/Д</c:v>
                  </c:pt>
                  <c:pt idx="411">
                    <c:v>#Н/Д</c:v>
                  </c:pt>
                  <c:pt idx="412">
                    <c:v>#Н/Д</c:v>
                  </c:pt>
                  <c:pt idx="413">
                    <c:v>#Н/Д</c:v>
                  </c:pt>
                  <c:pt idx="414">
                    <c:v>#Н/Д</c:v>
                  </c:pt>
                  <c:pt idx="415">
                    <c:v>#Н/Д</c:v>
                  </c:pt>
                  <c:pt idx="416">
                    <c:v>#Н/Д</c:v>
                  </c:pt>
                  <c:pt idx="417">
                    <c:v>#Н/Д</c:v>
                  </c:pt>
                  <c:pt idx="418">
                    <c:v>#Н/Д</c:v>
                  </c:pt>
                  <c:pt idx="419">
                    <c:v>#Н/Д</c:v>
                  </c:pt>
                  <c:pt idx="420">
                    <c:v>#Н/Д</c:v>
                  </c:pt>
                  <c:pt idx="421">
                    <c:v>#Н/Д</c:v>
                  </c:pt>
                  <c:pt idx="422">
                    <c:v>#Н/Д</c:v>
                  </c:pt>
                  <c:pt idx="423">
                    <c:v>#Н/Д</c:v>
                  </c:pt>
                  <c:pt idx="424">
                    <c:v>#Н/Д</c:v>
                  </c:pt>
                  <c:pt idx="425">
                    <c:v>#Н/Д</c:v>
                  </c:pt>
                  <c:pt idx="426">
                    <c:v>#Н/Д</c:v>
                  </c:pt>
                  <c:pt idx="427">
                    <c:v>#Н/Д</c:v>
                  </c:pt>
                  <c:pt idx="428">
                    <c:v>#Н/Д</c:v>
                  </c:pt>
                  <c:pt idx="429">
                    <c:v>#Н/Д</c:v>
                  </c:pt>
                  <c:pt idx="430">
                    <c:v>#Н/Д</c:v>
                  </c:pt>
                  <c:pt idx="431">
                    <c:v>#Н/Д</c:v>
                  </c:pt>
                  <c:pt idx="432">
                    <c:v>#Н/Д</c:v>
                  </c:pt>
                  <c:pt idx="433">
                    <c:v>#Н/Д</c:v>
                  </c:pt>
                  <c:pt idx="434">
                    <c:v>#Н/Д</c:v>
                  </c:pt>
                  <c:pt idx="435">
                    <c:v>#Н/Д</c:v>
                  </c:pt>
                  <c:pt idx="436">
                    <c:v>#Н/Д</c:v>
                  </c:pt>
                  <c:pt idx="437">
                    <c:v>#Н/Д</c:v>
                  </c:pt>
                  <c:pt idx="438">
                    <c:v>#Н/Д</c:v>
                  </c:pt>
                  <c:pt idx="439">
                    <c:v>#Н/Д</c:v>
                  </c:pt>
                  <c:pt idx="440">
                    <c:v>#Н/Д</c:v>
                  </c:pt>
                  <c:pt idx="441">
                    <c:v>#Н/Д</c:v>
                  </c:pt>
                  <c:pt idx="442">
                    <c:v>#Н/Д</c:v>
                  </c:pt>
                  <c:pt idx="443">
                    <c:v>#Н/Д</c:v>
                  </c:pt>
                  <c:pt idx="444">
                    <c:v>#Н/Д</c:v>
                  </c:pt>
                  <c:pt idx="445">
                    <c:v>#Н/Д</c:v>
                  </c:pt>
                  <c:pt idx="446">
                    <c:v>#Н/Д</c:v>
                  </c:pt>
                  <c:pt idx="447">
                    <c:v>#Н/Д</c:v>
                  </c:pt>
                  <c:pt idx="448">
                    <c:v>#Н/Д</c:v>
                  </c:pt>
                  <c:pt idx="449">
                    <c:v>#Н/Д</c:v>
                  </c:pt>
                  <c:pt idx="450">
                    <c:v>#Н/Д</c:v>
                  </c:pt>
                  <c:pt idx="451">
                    <c:v>#Н/Д</c:v>
                  </c:pt>
                  <c:pt idx="452">
                    <c:v>#Н/Д</c:v>
                  </c:pt>
                  <c:pt idx="453">
                    <c:v>#Н/Д</c:v>
                  </c:pt>
                  <c:pt idx="454">
                    <c:v>#Н/Д</c:v>
                  </c:pt>
                  <c:pt idx="455">
                    <c:v>#Н/Д</c:v>
                  </c:pt>
                  <c:pt idx="456">
                    <c:v>#Н/Д</c:v>
                  </c:pt>
                  <c:pt idx="457">
                    <c:v>#Н/Д</c:v>
                  </c:pt>
                  <c:pt idx="458">
                    <c:v>#Н/Д</c:v>
                  </c:pt>
                  <c:pt idx="459">
                    <c:v>#Н/Д</c:v>
                  </c:pt>
                  <c:pt idx="460">
                    <c:v>#Н/Д</c:v>
                  </c:pt>
                  <c:pt idx="461">
                    <c:v>#Н/Д</c:v>
                  </c:pt>
                  <c:pt idx="462">
                    <c:v>#Н/Д</c:v>
                  </c:pt>
                  <c:pt idx="463">
                    <c:v>#Н/Д</c:v>
                  </c:pt>
                  <c:pt idx="464">
                    <c:v>#Н/Д</c:v>
                  </c:pt>
                  <c:pt idx="465">
                    <c:v>#Н/Д</c:v>
                  </c:pt>
                  <c:pt idx="466">
                    <c:v>#Н/Д</c:v>
                  </c:pt>
                  <c:pt idx="467">
                    <c:v>#Н/Д</c:v>
                  </c:pt>
                  <c:pt idx="468">
                    <c:v>#Н/Д</c:v>
                  </c:pt>
                  <c:pt idx="469">
                    <c:v>#Н/Д</c:v>
                  </c:pt>
                  <c:pt idx="470">
                    <c:v>#Н/Д</c:v>
                  </c:pt>
                  <c:pt idx="471">
                    <c:v>#Н/Д</c:v>
                  </c:pt>
                  <c:pt idx="472">
                    <c:v>#Н/Д</c:v>
                  </c:pt>
                  <c:pt idx="473">
                    <c:v>#Н/Д</c:v>
                  </c:pt>
                  <c:pt idx="474">
                    <c:v>#Н/Д</c:v>
                  </c:pt>
                  <c:pt idx="475">
                    <c:v>#Н/Д</c:v>
                  </c:pt>
                  <c:pt idx="476">
                    <c:v>#Н/Д</c:v>
                  </c:pt>
                  <c:pt idx="477">
                    <c:v>#Н/Д</c:v>
                  </c:pt>
                  <c:pt idx="478">
                    <c:v>#Н/Д</c:v>
                  </c:pt>
                  <c:pt idx="479">
                    <c:v>#Н/Д</c:v>
                  </c:pt>
                  <c:pt idx="480">
                    <c:v>#Н/Д</c:v>
                  </c:pt>
                  <c:pt idx="481">
                    <c:v>#Н/Д</c:v>
                  </c:pt>
                  <c:pt idx="482">
                    <c:v>#Н/Д</c:v>
                  </c:pt>
                  <c:pt idx="483">
                    <c:v>#Н/Д</c:v>
                  </c:pt>
                  <c:pt idx="484">
                    <c:v>#Н/Д</c:v>
                  </c:pt>
                  <c:pt idx="485">
                    <c:v>#Н/Д</c:v>
                  </c:pt>
                  <c:pt idx="486">
                    <c:v>#Н/Д</c:v>
                  </c:pt>
                  <c:pt idx="487">
                    <c:v>#Н/Д</c:v>
                  </c:pt>
                  <c:pt idx="488">
                    <c:v>#Н/Д</c:v>
                  </c:pt>
                  <c:pt idx="489">
                    <c:v>#Н/Д</c:v>
                  </c:pt>
                  <c:pt idx="490">
                    <c:v>#Н/Д</c:v>
                  </c:pt>
                  <c:pt idx="491">
                    <c:v>#Н/Д</c:v>
                  </c:pt>
                  <c:pt idx="492">
                    <c:v>#Н/Д</c:v>
                  </c:pt>
                  <c:pt idx="493">
                    <c:v>#Н/Д</c:v>
                  </c:pt>
                  <c:pt idx="494">
                    <c:v>#Н/Д</c:v>
                  </c:pt>
                  <c:pt idx="495">
                    <c:v>#Н/Д</c:v>
                  </c:pt>
                  <c:pt idx="496">
                    <c:v>#Н/Д</c:v>
                  </c:pt>
                  <c:pt idx="497">
                    <c:v>#Н/Д</c:v>
                  </c:pt>
                  <c:pt idx="498">
                    <c:v>#Н/Д</c:v>
                  </c:pt>
                  <c:pt idx="499">
                    <c:v>#Н/Д</c:v>
                  </c:pt>
                  <c:pt idx="500">
                    <c:v>#Н/Д</c:v>
                  </c:pt>
                  <c:pt idx="501">
                    <c:v>#Н/Д</c:v>
                  </c:pt>
                  <c:pt idx="502">
                    <c:v>#Н/Д</c:v>
                  </c:pt>
                  <c:pt idx="503">
                    <c:v>#Н/Д</c:v>
                  </c:pt>
                  <c:pt idx="504">
                    <c:v>#Н/Д</c:v>
                  </c:pt>
                  <c:pt idx="505">
                    <c:v>#Н/Д</c:v>
                  </c:pt>
                  <c:pt idx="506">
                    <c:v>#Н/Д</c:v>
                  </c:pt>
                  <c:pt idx="507">
                    <c:v>#Н/Д</c:v>
                  </c:pt>
                  <c:pt idx="508">
                    <c:v>#Н/Д</c:v>
                  </c:pt>
                  <c:pt idx="509">
                    <c:v>#Н/Д</c:v>
                  </c:pt>
                  <c:pt idx="510">
                    <c:v>#Н/Д</c:v>
                  </c:pt>
                  <c:pt idx="511">
                    <c:v>#Н/Д</c:v>
                  </c:pt>
                  <c:pt idx="512">
                    <c:v>#Н/Д</c:v>
                  </c:pt>
                  <c:pt idx="513">
                    <c:v>#Н/Д</c:v>
                  </c:pt>
                  <c:pt idx="514">
                    <c:v>#Н/Д</c:v>
                  </c:pt>
                  <c:pt idx="515">
                    <c:v>#Н/Д</c:v>
                  </c:pt>
                  <c:pt idx="516">
                    <c:v>#Н/Д</c:v>
                  </c:pt>
                  <c:pt idx="517">
                    <c:v>#Н/Д</c:v>
                  </c:pt>
                  <c:pt idx="518">
                    <c:v>#Н/Д</c:v>
                  </c:pt>
                  <c:pt idx="519">
                    <c:v>#Н/Д</c:v>
                  </c:pt>
                  <c:pt idx="520">
                    <c:v>#Н/Д</c:v>
                  </c:pt>
                  <c:pt idx="521">
                    <c:v>#Н/Д</c:v>
                  </c:pt>
                  <c:pt idx="522">
                    <c:v>#Н/Д</c:v>
                  </c:pt>
                  <c:pt idx="523">
                    <c:v>#Н/Д</c:v>
                  </c:pt>
                  <c:pt idx="524">
                    <c:v>#Н/Д</c:v>
                  </c:pt>
                  <c:pt idx="525">
                    <c:v>#Н/Д</c:v>
                  </c:pt>
                  <c:pt idx="526">
                    <c:v>#Н/Д</c:v>
                  </c:pt>
                  <c:pt idx="527">
                    <c:v>#Н/Д</c:v>
                  </c:pt>
                  <c:pt idx="528">
                    <c:v>#Н/Д</c:v>
                  </c:pt>
                  <c:pt idx="529">
                    <c:v>#Н/Д</c:v>
                  </c:pt>
                  <c:pt idx="530">
                    <c:v>#Н/Д</c:v>
                  </c:pt>
                  <c:pt idx="531">
                    <c:v>#Н/Д</c:v>
                  </c:pt>
                  <c:pt idx="532">
                    <c:v>#Н/Д</c:v>
                  </c:pt>
                  <c:pt idx="533">
                    <c:v>#Н/Д</c:v>
                  </c:pt>
                  <c:pt idx="534">
                    <c:v>#Н/Д</c:v>
                  </c:pt>
                  <c:pt idx="535">
                    <c:v>#Н/Д</c:v>
                  </c:pt>
                  <c:pt idx="536">
                    <c:v>#Н/Д</c:v>
                  </c:pt>
                  <c:pt idx="537">
                    <c:v>#Н/Д</c:v>
                  </c:pt>
                  <c:pt idx="538">
                    <c:v>#Н/Д</c:v>
                  </c:pt>
                  <c:pt idx="539">
                    <c:v>#Н/Д</c:v>
                  </c:pt>
                  <c:pt idx="540">
                    <c:v>#Н/Д</c:v>
                  </c:pt>
                  <c:pt idx="541">
                    <c:v>#Н/Д</c:v>
                  </c:pt>
                  <c:pt idx="542">
                    <c:v>#Н/Д</c:v>
                  </c:pt>
                  <c:pt idx="543">
                    <c:v>#Н/Д</c:v>
                  </c:pt>
                  <c:pt idx="544">
                    <c:v>#Н/Д</c:v>
                  </c:pt>
                  <c:pt idx="545">
                    <c:v>#Н/Д</c:v>
                  </c:pt>
                  <c:pt idx="546">
                    <c:v>#Н/Д</c:v>
                  </c:pt>
                  <c:pt idx="547">
                    <c:v>#Н/Д</c:v>
                  </c:pt>
                  <c:pt idx="548">
                    <c:v>#Н/Д</c:v>
                  </c:pt>
                  <c:pt idx="549">
                    <c:v>#Н/Д</c:v>
                  </c:pt>
                  <c:pt idx="550">
                    <c:v>#Н/Д</c:v>
                  </c:pt>
                  <c:pt idx="551">
                    <c:v>#Н/Д</c:v>
                  </c:pt>
                  <c:pt idx="552">
                    <c:v>#Н/Д</c:v>
                  </c:pt>
                  <c:pt idx="553">
                    <c:v>#Н/Д</c:v>
                  </c:pt>
                  <c:pt idx="554">
                    <c:v>#Н/Д</c:v>
                  </c:pt>
                  <c:pt idx="555">
                    <c:v>#Н/Д</c:v>
                  </c:pt>
                  <c:pt idx="556">
                    <c:v>#Н/Д</c:v>
                  </c:pt>
                  <c:pt idx="557">
                    <c:v>#Н/Д</c:v>
                  </c:pt>
                  <c:pt idx="558">
                    <c:v>#Н/Д</c:v>
                  </c:pt>
                  <c:pt idx="559">
                    <c:v>#Н/Д</c:v>
                  </c:pt>
                  <c:pt idx="560">
                    <c:v>#Н/Д</c:v>
                  </c:pt>
                  <c:pt idx="561">
                    <c:v>#Н/Д</c:v>
                  </c:pt>
                  <c:pt idx="562">
                    <c:v>#Н/Д</c:v>
                  </c:pt>
                  <c:pt idx="563">
                    <c:v>#Н/Д</c:v>
                  </c:pt>
                  <c:pt idx="564">
                    <c:v>#Н/Д</c:v>
                  </c:pt>
                  <c:pt idx="565">
                    <c:v>#Н/Д</c:v>
                  </c:pt>
                  <c:pt idx="566">
                    <c:v>#Н/Д</c:v>
                  </c:pt>
                  <c:pt idx="567">
                    <c:v>#Н/Д</c:v>
                  </c:pt>
                  <c:pt idx="568">
                    <c:v>#Н/Д</c:v>
                  </c:pt>
                  <c:pt idx="569">
                    <c:v>#Н/Д</c:v>
                  </c:pt>
                  <c:pt idx="570">
                    <c:v>#Н/Д</c:v>
                  </c:pt>
                  <c:pt idx="571">
                    <c:v>#Н/Д</c:v>
                  </c:pt>
                  <c:pt idx="572">
                    <c:v>#Н/Д</c:v>
                  </c:pt>
                  <c:pt idx="573">
                    <c:v>#Н/Д</c:v>
                  </c:pt>
                  <c:pt idx="574">
                    <c:v>#Н/Д</c:v>
                  </c:pt>
                  <c:pt idx="575">
                    <c:v>#Н/Д</c:v>
                  </c:pt>
                  <c:pt idx="576">
                    <c:v>#Н/Д</c:v>
                  </c:pt>
                  <c:pt idx="577">
                    <c:v>#Н/Д</c:v>
                  </c:pt>
                  <c:pt idx="578">
                    <c:v>#Н/Д</c:v>
                  </c:pt>
                  <c:pt idx="579">
                    <c:v>#Н/Д</c:v>
                  </c:pt>
                  <c:pt idx="580">
                    <c:v>#Н/Д</c:v>
                  </c:pt>
                  <c:pt idx="581">
                    <c:v>#Н/Д</c:v>
                  </c:pt>
                  <c:pt idx="582">
                    <c:v>#Н/Д</c:v>
                  </c:pt>
                  <c:pt idx="583">
                    <c:v>#Н/Д</c:v>
                  </c:pt>
                  <c:pt idx="584">
                    <c:v>#Н/Д</c:v>
                  </c:pt>
                  <c:pt idx="585">
                    <c:v>#Н/Д</c:v>
                  </c:pt>
                  <c:pt idx="586">
                    <c:v>#Н/Д</c:v>
                  </c:pt>
                  <c:pt idx="587">
                    <c:v>#Н/Д</c:v>
                  </c:pt>
                  <c:pt idx="588">
                    <c:v>#Н/Д</c:v>
                  </c:pt>
                  <c:pt idx="589">
                    <c:v>#Н/Д</c:v>
                  </c:pt>
                  <c:pt idx="590">
                    <c:v>#Н/Д</c:v>
                  </c:pt>
                  <c:pt idx="591">
                    <c:v>#Н/Д</c:v>
                  </c:pt>
                  <c:pt idx="592">
                    <c:v>#Н/Д</c:v>
                  </c:pt>
                  <c:pt idx="593">
                    <c:v>#Н/Д</c:v>
                  </c:pt>
                  <c:pt idx="594">
                    <c:v>#Н/Д</c:v>
                  </c:pt>
                  <c:pt idx="595">
                    <c:v>#Н/Д</c:v>
                  </c:pt>
                  <c:pt idx="596">
                    <c:v>#Н/Д</c:v>
                  </c:pt>
                  <c:pt idx="597">
                    <c:v>#Н/Д</c:v>
                  </c:pt>
                  <c:pt idx="598">
                    <c:v>#Н/Д</c:v>
                  </c:pt>
                  <c:pt idx="599">
                    <c:v>#Н/Д</c:v>
                  </c:pt>
                  <c:pt idx="600">
                    <c:v>#Н/Д</c:v>
                  </c:pt>
                  <c:pt idx="601">
                    <c:v>#Н/Д</c:v>
                  </c:pt>
                  <c:pt idx="602">
                    <c:v>#Н/Д</c:v>
                  </c:pt>
                  <c:pt idx="603">
                    <c:v>#Н/Д</c:v>
                  </c:pt>
                  <c:pt idx="604">
                    <c:v>#Н/Д</c:v>
                  </c:pt>
                  <c:pt idx="605">
                    <c:v>#Н/Д</c:v>
                  </c:pt>
                  <c:pt idx="606">
                    <c:v>#Н/Д</c:v>
                  </c:pt>
                  <c:pt idx="607">
                    <c:v>#Н/Д</c:v>
                  </c:pt>
                  <c:pt idx="608">
                    <c:v>#Н/Д</c:v>
                  </c:pt>
                  <c:pt idx="609">
                    <c:v>#Н/Д</c:v>
                  </c:pt>
                  <c:pt idx="610">
                    <c:v>#Н/Д</c:v>
                  </c:pt>
                  <c:pt idx="611">
                    <c:v>#Н/Д</c:v>
                  </c:pt>
                  <c:pt idx="612">
                    <c:v>#Н/Д</c:v>
                  </c:pt>
                  <c:pt idx="613">
                    <c:v>#Н/Д</c:v>
                  </c:pt>
                  <c:pt idx="614">
                    <c:v>#Н/Д</c:v>
                  </c:pt>
                  <c:pt idx="615">
                    <c:v>#Н/Д</c:v>
                  </c:pt>
                  <c:pt idx="616">
                    <c:v>#Н/Д</c:v>
                  </c:pt>
                  <c:pt idx="617">
                    <c:v>#Н/Д</c:v>
                  </c:pt>
                  <c:pt idx="618">
                    <c:v>#Н/Д</c:v>
                  </c:pt>
                  <c:pt idx="619">
                    <c:v>#Н/Д</c:v>
                  </c:pt>
                  <c:pt idx="620">
                    <c:v>#Н/Д</c:v>
                  </c:pt>
                  <c:pt idx="621">
                    <c:v>#Н/Д</c:v>
                  </c:pt>
                  <c:pt idx="622">
                    <c:v>#Н/Д</c:v>
                  </c:pt>
                  <c:pt idx="623">
                    <c:v>#Н/Д</c:v>
                  </c:pt>
                  <c:pt idx="624">
                    <c:v>#Н/Д</c:v>
                  </c:pt>
                  <c:pt idx="625">
                    <c:v>#Н/Д</c:v>
                  </c:pt>
                  <c:pt idx="626">
                    <c:v>#Н/Д</c:v>
                  </c:pt>
                  <c:pt idx="627">
                    <c:v>#Н/Д</c:v>
                  </c:pt>
                  <c:pt idx="628">
                    <c:v>#Н/Д</c:v>
                  </c:pt>
                  <c:pt idx="629">
                    <c:v>#Н/Д</c:v>
                  </c:pt>
                  <c:pt idx="630">
                    <c:v>#Н/Д</c:v>
                  </c:pt>
                  <c:pt idx="631">
                    <c:v>#Н/Д</c:v>
                  </c:pt>
                  <c:pt idx="632">
                    <c:v>#Н/Д</c:v>
                  </c:pt>
                  <c:pt idx="633">
                    <c:v>#Н/Д</c:v>
                  </c:pt>
                  <c:pt idx="634">
                    <c:v>#Н/Д</c:v>
                  </c:pt>
                  <c:pt idx="635">
                    <c:v>#Н/Д</c:v>
                  </c:pt>
                  <c:pt idx="636">
                    <c:v>#Н/Д</c:v>
                  </c:pt>
                  <c:pt idx="637">
                    <c:v>#Н/Д</c:v>
                  </c:pt>
                  <c:pt idx="638">
                    <c:v>#Н/Д</c:v>
                  </c:pt>
                  <c:pt idx="639">
                    <c:v>#Н/Д</c:v>
                  </c:pt>
                  <c:pt idx="640">
                    <c:v>#Н/Д</c:v>
                  </c:pt>
                  <c:pt idx="641">
                    <c:v>#Н/Д</c:v>
                  </c:pt>
                  <c:pt idx="642">
                    <c:v>#Н/Д</c:v>
                  </c:pt>
                  <c:pt idx="643">
                    <c:v>#Н/Д</c:v>
                  </c:pt>
                  <c:pt idx="644">
                    <c:v>#Н/Д</c:v>
                  </c:pt>
                  <c:pt idx="645">
                    <c:v>#Н/Д</c:v>
                  </c:pt>
                  <c:pt idx="646">
                    <c:v>#Н/Д</c:v>
                  </c:pt>
                  <c:pt idx="647">
                    <c:v>#Н/Д</c:v>
                  </c:pt>
                  <c:pt idx="648">
                    <c:v>#Н/Д</c:v>
                  </c:pt>
                  <c:pt idx="649">
                    <c:v>#Н/Д</c:v>
                  </c:pt>
                  <c:pt idx="650">
                    <c:v>#Н/Д</c:v>
                  </c:pt>
                  <c:pt idx="651">
                    <c:v>#Н/Д</c:v>
                  </c:pt>
                  <c:pt idx="652">
                    <c:v>#Н/Д</c:v>
                  </c:pt>
                  <c:pt idx="653">
                    <c:v>#Н/Д</c:v>
                  </c:pt>
                  <c:pt idx="654">
                    <c:v>#Н/Д</c:v>
                  </c:pt>
                  <c:pt idx="655">
                    <c:v>#Н/Д</c:v>
                  </c:pt>
                  <c:pt idx="656">
                    <c:v>#Н/Д</c:v>
                  </c:pt>
                  <c:pt idx="657">
                    <c:v>#Н/Д</c:v>
                  </c:pt>
                  <c:pt idx="658">
                    <c:v>#Н/Д</c:v>
                  </c:pt>
                  <c:pt idx="659">
                    <c:v>#Н/Д</c:v>
                  </c:pt>
                  <c:pt idx="660">
                    <c:v>#Н/Д</c:v>
                  </c:pt>
                  <c:pt idx="661">
                    <c:v>#Н/Д</c:v>
                  </c:pt>
                  <c:pt idx="662">
                    <c:v>#Н/Д</c:v>
                  </c:pt>
                  <c:pt idx="663">
                    <c:v>#Н/Д</c:v>
                  </c:pt>
                  <c:pt idx="664">
                    <c:v>#Н/Д</c:v>
                  </c:pt>
                  <c:pt idx="665">
                    <c:v>#Н/Д</c:v>
                  </c:pt>
                  <c:pt idx="666">
                    <c:v>#Н/Д</c:v>
                  </c:pt>
                  <c:pt idx="667">
                    <c:v>#Н/Д</c:v>
                  </c:pt>
                  <c:pt idx="668">
                    <c:v>#Н/Д</c:v>
                  </c:pt>
                  <c:pt idx="669">
                    <c:v>#Н/Д</c:v>
                  </c:pt>
                  <c:pt idx="670">
                    <c:v>#Н/Д</c:v>
                  </c:pt>
                  <c:pt idx="671">
                    <c:v>#Н/Д</c:v>
                  </c:pt>
                  <c:pt idx="672">
                    <c:v>#Н/Д</c:v>
                  </c:pt>
                  <c:pt idx="673">
                    <c:v>#Н/Д</c:v>
                  </c:pt>
                  <c:pt idx="674">
                    <c:v>#Н/Д</c:v>
                  </c:pt>
                  <c:pt idx="675">
                    <c:v>#Н/Д</c:v>
                  </c:pt>
                  <c:pt idx="676">
                    <c:v>#Н/Д</c:v>
                  </c:pt>
                  <c:pt idx="677">
                    <c:v>#Н/Д</c:v>
                  </c:pt>
                  <c:pt idx="678">
                    <c:v>#Н/Д</c:v>
                  </c:pt>
                  <c:pt idx="679">
                    <c:v>#Н/Д</c:v>
                  </c:pt>
                  <c:pt idx="680">
                    <c:v>#Н/Д</c:v>
                  </c:pt>
                  <c:pt idx="681">
                    <c:v>#Н/Д</c:v>
                  </c:pt>
                  <c:pt idx="682">
                    <c:v>#Н/Д</c:v>
                  </c:pt>
                  <c:pt idx="683">
                    <c:v>#Н/Д</c:v>
                  </c:pt>
                  <c:pt idx="684">
                    <c:v>#Н/Д</c:v>
                  </c:pt>
                  <c:pt idx="685">
                    <c:v>#Н/Д</c:v>
                  </c:pt>
                  <c:pt idx="686">
                    <c:v>#Н/Д</c:v>
                  </c:pt>
                  <c:pt idx="687">
                    <c:v>#Н/Д</c:v>
                  </c:pt>
                  <c:pt idx="688">
                    <c:v>#Н/Д</c:v>
                  </c:pt>
                  <c:pt idx="689">
                    <c:v>#Н/Д</c:v>
                  </c:pt>
                  <c:pt idx="690">
                    <c:v>#Н/Д</c:v>
                  </c:pt>
                  <c:pt idx="691">
                    <c:v>#Н/Д</c:v>
                  </c:pt>
                  <c:pt idx="692">
                    <c:v>#Н/Д</c:v>
                  </c:pt>
                  <c:pt idx="693">
                    <c:v>#Н/Д</c:v>
                  </c:pt>
                  <c:pt idx="694">
                    <c:v>#Н/Д</c:v>
                  </c:pt>
                  <c:pt idx="695">
                    <c:v>#Н/Д</c:v>
                  </c:pt>
                  <c:pt idx="696">
                    <c:v>#Н/Д</c:v>
                  </c:pt>
                  <c:pt idx="697">
                    <c:v>#Н/Д</c:v>
                  </c:pt>
                  <c:pt idx="698">
                    <c:v>#Н/Д</c:v>
                  </c:pt>
                  <c:pt idx="699">
                    <c:v>#Н/Д</c:v>
                  </c:pt>
                  <c:pt idx="700">
                    <c:v>#Н/Д</c:v>
                  </c:pt>
                  <c:pt idx="701">
                    <c:v>#Н/Д</c:v>
                  </c:pt>
                  <c:pt idx="702">
                    <c:v>#Н/Д</c:v>
                  </c:pt>
                  <c:pt idx="703">
                    <c:v>#Н/Д</c:v>
                  </c:pt>
                  <c:pt idx="704">
                    <c:v>#Н/Д</c:v>
                  </c:pt>
                  <c:pt idx="705">
                    <c:v>#Н/Д</c:v>
                  </c:pt>
                  <c:pt idx="706">
                    <c:v>#Н/Д</c:v>
                  </c:pt>
                  <c:pt idx="707">
                    <c:v>#Н/Д</c:v>
                  </c:pt>
                  <c:pt idx="708">
                    <c:v>#Н/Д</c:v>
                  </c:pt>
                  <c:pt idx="709">
                    <c:v>#Н/Д</c:v>
                  </c:pt>
                  <c:pt idx="710">
                    <c:v>#Н/Д</c:v>
                  </c:pt>
                  <c:pt idx="711">
                    <c:v>#Н/Д</c:v>
                  </c:pt>
                  <c:pt idx="712">
                    <c:v>#Н/Д</c:v>
                  </c:pt>
                  <c:pt idx="713">
                    <c:v>#Н/Д</c:v>
                  </c:pt>
                  <c:pt idx="714">
                    <c:v>#Н/Д</c:v>
                  </c:pt>
                  <c:pt idx="715">
                    <c:v>#Н/Д</c:v>
                  </c:pt>
                  <c:pt idx="716">
                    <c:v>#Н/Д</c:v>
                  </c:pt>
                  <c:pt idx="717">
                    <c:v>#Н/Д</c:v>
                  </c:pt>
                  <c:pt idx="718">
                    <c:v>#Н/Д</c:v>
                  </c:pt>
                  <c:pt idx="719">
                    <c:v>#Н/Д</c:v>
                  </c:pt>
                  <c:pt idx="720">
                    <c:v>#Н/Д</c:v>
                  </c:pt>
                  <c:pt idx="721">
                    <c:v>#Н/Д</c:v>
                  </c:pt>
                  <c:pt idx="722">
                    <c:v>#Н/Д</c:v>
                  </c:pt>
                  <c:pt idx="723">
                    <c:v>#Н/Д</c:v>
                  </c:pt>
                  <c:pt idx="724">
                    <c:v>#Н/Д</c:v>
                  </c:pt>
                  <c:pt idx="725">
                    <c:v>#Н/Д</c:v>
                  </c:pt>
                  <c:pt idx="726">
                    <c:v>#Н/Д</c:v>
                  </c:pt>
                  <c:pt idx="727">
                    <c:v>#Н/Д</c:v>
                  </c:pt>
                  <c:pt idx="728">
                    <c:v>#Н/Д</c:v>
                  </c:pt>
                  <c:pt idx="729">
                    <c:v>#Н/Д</c:v>
                  </c:pt>
                  <c:pt idx="730">
                    <c:v>#Н/Д</c:v>
                  </c:pt>
                  <c:pt idx="731">
                    <c:v>#Н/Д</c:v>
                  </c:pt>
                  <c:pt idx="732">
                    <c:v>#Н/Д</c:v>
                  </c:pt>
                  <c:pt idx="733">
                    <c:v>#Н/Д</c:v>
                  </c:pt>
                  <c:pt idx="734">
                    <c:v>#Н/Д</c:v>
                  </c:pt>
                  <c:pt idx="735">
                    <c:v>#Н/Д</c:v>
                  </c:pt>
                  <c:pt idx="736">
                    <c:v>#Н/Д</c:v>
                  </c:pt>
                  <c:pt idx="737">
                    <c:v>#Н/Д</c:v>
                  </c:pt>
                  <c:pt idx="738">
                    <c:v>#Н/Д</c:v>
                  </c:pt>
                  <c:pt idx="739">
                    <c:v>#Н/Д</c:v>
                  </c:pt>
                  <c:pt idx="740">
                    <c:v>#Н/Д</c:v>
                  </c:pt>
                  <c:pt idx="741">
                    <c:v>#Н/Д</c:v>
                  </c:pt>
                  <c:pt idx="742">
                    <c:v>#Н/Д</c:v>
                  </c:pt>
                  <c:pt idx="743">
                    <c:v>#Н/Д</c:v>
                  </c:pt>
                  <c:pt idx="744">
                    <c:v>#Н/Д</c:v>
                  </c:pt>
                  <c:pt idx="745">
                    <c:v>#Н/Д</c:v>
                  </c:pt>
                  <c:pt idx="746">
                    <c:v>#Н/Д</c:v>
                  </c:pt>
                  <c:pt idx="747">
                    <c:v>#Н/Д</c:v>
                  </c:pt>
                  <c:pt idx="748">
                    <c:v>#Н/Д</c:v>
                  </c:pt>
                  <c:pt idx="749">
                    <c:v>#Н/Д</c:v>
                  </c:pt>
                  <c:pt idx="750">
                    <c:v>#Н/Д</c:v>
                  </c:pt>
                  <c:pt idx="751">
                    <c:v>#Н/Д</c:v>
                  </c:pt>
                  <c:pt idx="752">
                    <c:v>#Н/Д</c:v>
                  </c:pt>
                  <c:pt idx="753">
                    <c:v>#Н/Д</c:v>
                  </c:pt>
                  <c:pt idx="754">
                    <c:v>#Н/Д</c:v>
                  </c:pt>
                  <c:pt idx="755">
                    <c:v>#Н/Д</c:v>
                  </c:pt>
                  <c:pt idx="756">
                    <c:v>#Н/Д</c:v>
                  </c:pt>
                  <c:pt idx="757">
                    <c:v>#Н/Д</c:v>
                  </c:pt>
                  <c:pt idx="758">
                    <c:v>#Н/Д</c:v>
                  </c:pt>
                  <c:pt idx="759">
                    <c:v>#Н/Д</c:v>
                  </c:pt>
                  <c:pt idx="760">
                    <c:v>#Н/Д</c:v>
                  </c:pt>
                  <c:pt idx="761">
                    <c:v>#Н/Д</c:v>
                  </c:pt>
                  <c:pt idx="762">
                    <c:v>#Н/Д</c:v>
                  </c:pt>
                  <c:pt idx="763">
                    <c:v>#Н/Д</c:v>
                  </c:pt>
                  <c:pt idx="764">
                    <c:v>#Н/Д</c:v>
                  </c:pt>
                  <c:pt idx="765">
                    <c:v>#Н/Д</c:v>
                  </c:pt>
                  <c:pt idx="766">
                    <c:v>#Н/Д</c:v>
                  </c:pt>
                  <c:pt idx="767">
                    <c:v>#Н/Д</c:v>
                  </c:pt>
                  <c:pt idx="768">
                    <c:v>#Н/Д</c:v>
                  </c:pt>
                  <c:pt idx="769">
                    <c:v>#Н/Д</c:v>
                  </c:pt>
                  <c:pt idx="770">
                    <c:v>#Н/Д</c:v>
                  </c:pt>
                  <c:pt idx="771">
                    <c:v>#Н/Д</c:v>
                  </c:pt>
                  <c:pt idx="772">
                    <c:v>#Н/Д</c:v>
                  </c:pt>
                  <c:pt idx="773">
                    <c:v>#Н/Д</c:v>
                  </c:pt>
                  <c:pt idx="774">
                    <c:v>#Н/Д</c:v>
                  </c:pt>
                  <c:pt idx="775">
                    <c:v>#Н/Д</c:v>
                  </c:pt>
                  <c:pt idx="776">
                    <c:v>#Н/Д</c:v>
                  </c:pt>
                  <c:pt idx="777">
                    <c:v>#Н/Д</c:v>
                  </c:pt>
                  <c:pt idx="778">
                    <c:v>#Н/Д</c:v>
                  </c:pt>
                  <c:pt idx="779">
                    <c:v>#Н/Д</c:v>
                  </c:pt>
                  <c:pt idx="780">
                    <c:v>#Н/Д</c:v>
                  </c:pt>
                  <c:pt idx="781">
                    <c:v>#Н/Д</c:v>
                  </c:pt>
                  <c:pt idx="782">
                    <c:v>#Н/Д</c:v>
                  </c:pt>
                  <c:pt idx="783">
                    <c:v>#Н/Д</c:v>
                  </c:pt>
                  <c:pt idx="784">
                    <c:v>#Н/Д</c:v>
                  </c:pt>
                  <c:pt idx="785">
                    <c:v>#Н/Д</c:v>
                  </c:pt>
                  <c:pt idx="786">
                    <c:v>#Н/Д</c:v>
                  </c:pt>
                  <c:pt idx="787">
                    <c:v>#Н/Д</c:v>
                  </c:pt>
                  <c:pt idx="788">
                    <c:v>#Н/Д</c:v>
                  </c:pt>
                  <c:pt idx="789">
                    <c:v>#Н/Д</c:v>
                  </c:pt>
                  <c:pt idx="790">
                    <c:v>#Н/Д</c:v>
                  </c:pt>
                  <c:pt idx="791">
                    <c:v>#Н/Д</c:v>
                  </c:pt>
                  <c:pt idx="792">
                    <c:v>#Н/Д</c:v>
                  </c:pt>
                  <c:pt idx="793">
                    <c:v>#Н/Д</c:v>
                  </c:pt>
                  <c:pt idx="794">
                    <c:v>#Н/Д</c:v>
                  </c:pt>
                  <c:pt idx="795">
                    <c:v>#Н/Д</c:v>
                  </c:pt>
                  <c:pt idx="796">
                    <c:v>#Н/Д</c:v>
                  </c:pt>
                  <c:pt idx="797">
                    <c:v>#Н/Д</c:v>
                  </c:pt>
                  <c:pt idx="798">
                    <c:v>#Н/Д</c:v>
                  </c:pt>
                  <c:pt idx="799">
                    <c:v>#Н/Д</c:v>
                  </c:pt>
                  <c:pt idx="800">
                    <c:v>#Н/Д</c:v>
                  </c:pt>
                  <c:pt idx="801">
                    <c:v>#Н/Д</c:v>
                  </c:pt>
                  <c:pt idx="802">
                    <c:v>#Н/Д</c:v>
                  </c:pt>
                  <c:pt idx="803">
                    <c:v>#Н/Д</c:v>
                  </c:pt>
                  <c:pt idx="804">
                    <c:v>#Н/Д</c:v>
                  </c:pt>
                  <c:pt idx="805">
                    <c:v>#Н/Д</c:v>
                  </c:pt>
                  <c:pt idx="806">
                    <c:v>#Н/Д</c:v>
                  </c:pt>
                  <c:pt idx="807">
                    <c:v>#Н/Д</c:v>
                  </c:pt>
                  <c:pt idx="808">
                    <c:v>#Н/Д</c:v>
                  </c:pt>
                  <c:pt idx="809">
                    <c:v>#Н/Д</c:v>
                  </c:pt>
                  <c:pt idx="810">
                    <c:v>#Н/Д</c:v>
                  </c:pt>
                  <c:pt idx="811">
                    <c:v>#Н/Д</c:v>
                  </c:pt>
                  <c:pt idx="812">
                    <c:v>#Н/Д</c:v>
                  </c:pt>
                  <c:pt idx="813">
                    <c:v>#Н/Д</c:v>
                  </c:pt>
                  <c:pt idx="814">
                    <c:v>#Н/Д</c:v>
                  </c:pt>
                  <c:pt idx="815">
                    <c:v>#Н/Д</c:v>
                  </c:pt>
                  <c:pt idx="816">
                    <c:v>#Н/Д</c:v>
                  </c:pt>
                  <c:pt idx="817">
                    <c:v>#Н/Д</c:v>
                  </c:pt>
                  <c:pt idx="818">
                    <c:v>#Н/Д</c:v>
                  </c:pt>
                  <c:pt idx="819">
                    <c:v>#Н/Д</c:v>
                  </c:pt>
                  <c:pt idx="820">
                    <c:v>#Н/Д</c:v>
                  </c:pt>
                  <c:pt idx="821">
                    <c:v>#Н/Д</c:v>
                  </c:pt>
                  <c:pt idx="822">
                    <c:v>#Н/Д</c:v>
                  </c:pt>
                  <c:pt idx="823">
                    <c:v>#Н/Д</c:v>
                  </c:pt>
                  <c:pt idx="824">
                    <c:v>#Н/Д</c:v>
                  </c:pt>
                  <c:pt idx="825">
                    <c:v>#Н/Д</c:v>
                  </c:pt>
                  <c:pt idx="826">
                    <c:v>#Н/Д</c:v>
                  </c:pt>
                  <c:pt idx="827">
                    <c:v>#Н/Д</c:v>
                  </c:pt>
                  <c:pt idx="828">
                    <c:v>#Н/Д</c:v>
                  </c:pt>
                  <c:pt idx="829">
                    <c:v>#Н/Д</c:v>
                  </c:pt>
                  <c:pt idx="830">
                    <c:v>#Н/Д</c:v>
                  </c:pt>
                  <c:pt idx="831">
                    <c:v>#Н/Д</c:v>
                  </c:pt>
                  <c:pt idx="832">
                    <c:v>#Н/Д</c:v>
                  </c:pt>
                  <c:pt idx="833">
                    <c:v>#Н/Д</c:v>
                  </c:pt>
                  <c:pt idx="834">
                    <c:v>#Н/Д</c:v>
                  </c:pt>
                  <c:pt idx="835">
                    <c:v>#Н/Д</c:v>
                  </c:pt>
                  <c:pt idx="836">
                    <c:v>#Н/Д</c:v>
                  </c:pt>
                  <c:pt idx="837">
                    <c:v>#Н/Д</c:v>
                  </c:pt>
                  <c:pt idx="838">
                    <c:v>#Н/Д</c:v>
                  </c:pt>
                  <c:pt idx="839">
                    <c:v>#Н/Д</c:v>
                  </c:pt>
                  <c:pt idx="840">
                    <c:v>#Н/Д</c:v>
                  </c:pt>
                  <c:pt idx="841">
                    <c:v>#Н/Д</c:v>
                  </c:pt>
                  <c:pt idx="842">
                    <c:v>#Н/Д</c:v>
                  </c:pt>
                  <c:pt idx="843">
                    <c:v>#Н/Д</c:v>
                  </c:pt>
                  <c:pt idx="844">
                    <c:v>#Н/Д</c:v>
                  </c:pt>
                  <c:pt idx="845">
                    <c:v>#Н/Д</c:v>
                  </c:pt>
                  <c:pt idx="846">
                    <c:v>#Н/Д</c:v>
                  </c:pt>
                  <c:pt idx="847">
                    <c:v>#Н/Д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350-F628-46A7-9E5E-739C6B450CAB}"/>
            </c:ext>
          </c:extLst>
        </c:ser>
        <c:ser>
          <c:idx val="0"/>
          <c:order val="1"/>
          <c:tx>
            <c:strRef>
              <c:f>'[1]Для построения'!$O$1:$P$1</c:f>
              <c:strCache>
                <c:ptCount val="1"/>
                <c:pt idx="0">
                  <c:v>0-0.1 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22D05C"/>
              </a:solidFill>
              <a:ln w="15875">
                <a:solidFill>
                  <a:srgbClr val="22D05C"/>
                </a:solidFill>
              </a:ln>
              <a:effectLst/>
            </c:spPr>
          </c:marker>
          <c:xVal>
            <c:numRef>
              <c:f>'[1]Для построения'!$O$3:$O$850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52171.199999999997</c:v>
                </c:pt>
                <c:pt idx="19">
                  <c:v>#N/A</c:v>
                </c:pt>
                <c:pt idx="20">
                  <c:v>52159.31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52183.83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52173.279999999999</c:v>
                </c:pt>
                <c:pt idx="52">
                  <c:v>52167.38</c:v>
                </c:pt>
                <c:pt idx="53">
                  <c:v>52161.42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52168.1</c:v>
                </c:pt>
                <c:pt idx="61">
                  <c:v>#N/A</c:v>
                </c:pt>
                <c:pt idx="62">
                  <c:v>52156.25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52144.38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52089.94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52115.040000000001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xVal>
          <c:yVal>
            <c:numRef>
              <c:f>'[1]Для построения'!$P$3:$P$850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29078.92</c:v>
                </c:pt>
                <c:pt idx="19">
                  <c:v>#N/A</c:v>
                </c:pt>
                <c:pt idx="20">
                  <c:v>29073.599999999999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29090.7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29098.32</c:v>
                </c:pt>
                <c:pt idx="52">
                  <c:v>29095.56</c:v>
                </c:pt>
                <c:pt idx="53">
                  <c:v>29092.91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29102.02</c:v>
                </c:pt>
                <c:pt idx="61">
                  <c:v>#N/A</c:v>
                </c:pt>
                <c:pt idx="62">
                  <c:v>29096.78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29091.45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29006.02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29029.46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351-F628-46A7-9E5E-739C6B450CAB}"/>
            </c:ext>
          </c:extLst>
        </c:ser>
        <c:ser>
          <c:idx val="2"/>
          <c:order val="2"/>
          <c:tx>
            <c:strRef>
              <c:f>'[1]Для построения'!$Q$1:$R$1</c:f>
              <c:strCache>
                <c:ptCount val="1"/>
                <c:pt idx="0">
                  <c:v>0.1-0.2 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89A400"/>
              </a:solidFill>
              <a:ln w="15875">
                <a:solidFill>
                  <a:srgbClr val="89A400"/>
                </a:solidFill>
              </a:ln>
              <a:effectLst/>
            </c:spPr>
          </c:marker>
          <c:xVal>
            <c:numRef>
              <c:f>'[1]Для построения'!$Q$3:$Q$850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52167.41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52182.98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52207.69</c:v>
                </c:pt>
                <c:pt idx="25">
                  <c:v>#N/A</c:v>
                </c:pt>
                <c:pt idx="26">
                  <c:v>#N/A</c:v>
                </c:pt>
                <c:pt idx="27">
                  <c:v>52189.57</c:v>
                </c:pt>
                <c:pt idx="28">
                  <c:v>#N/A</c:v>
                </c:pt>
                <c:pt idx="29">
                  <c:v>52177.74</c:v>
                </c:pt>
                <c:pt idx="30">
                  <c:v>#N/A</c:v>
                </c:pt>
                <c:pt idx="31">
                  <c:v>#N/A</c:v>
                </c:pt>
                <c:pt idx="32">
                  <c:v>52159.92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52154.95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52191.040000000001</c:v>
                </c:pt>
                <c:pt idx="49">
                  <c:v>52185.11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52155.48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52173.85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52150.14</c:v>
                </c:pt>
                <c:pt idx="64">
                  <c:v>#N/A</c:v>
                </c:pt>
                <c:pt idx="65">
                  <c:v>#N/A</c:v>
                </c:pt>
                <c:pt idx="66">
                  <c:v>52180.51</c:v>
                </c:pt>
                <c:pt idx="67">
                  <c:v>#N/A</c:v>
                </c:pt>
                <c:pt idx="68">
                  <c:v>52168.7</c:v>
                </c:pt>
                <c:pt idx="69">
                  <c:v>#N/A</c:v>
                </c:pt>
                <c:pt idx="70">
                  <c:v>52156.84</c:v>
                </c:pt>
                <c:pt idx="71">
                  <c:v>#N/A</c:v>
                </c:pt>
                <c:pt idx="72">
                  <c:v>52175.77</c:v>
                </c:pt>
                <c:pt idx="73">
                  <c:v>52169.599999999999</c:v>
                </c:pt>
                <c:pt idx="74">
                  <c:v>52163.41</c:v>
                </c:pt>
                <c:pt idx="75">
                  <c:v>#N/A</c:v>
                </c:pt>
                <c:pt idx="76">
                  <c:v>#N/A</c:v>
                </c:pt>
                <c:pt idx="77">
                  <c:v>52145.82</c:v>
                </c:pt>
                <c:pt idx="78">
                  <c:v>#N/A</c:v>
                </c:pt>
                <c:pt idx="79">
                  <c:v>52152.51</c:v>
                </c:pt>
                <c:pt idx="80">
                  <c:v>52146.26</c:v>
                </c:pt>
                <c:pt idx="81">
                  <c:v>52153.56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52148.89</c:v>
                </c:pt>
                <c:pt idx="89">
                  <c:v>#N/A</c:v>
                </c:pt>
                <c:pt idx="90">
                  <c:v>#N/A</c:v>
                </c:pt>
                <c:pt idx="91">
                  <c:v>52130.99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52131.78</c:v>
                </c:pt>
                <c:pt idx="96">
                  <c:v>52125.71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52133.72</c:v>
                </c:pt>
                <c:pt idx="109">
                  <c:v>52128.01</c:v>
                </c:pt>
                <c:pt idx="110">
                  <c:v>52140.36</c:v>
                </c:pt>
                <c:pt idx="111">
                  <c:v>#N/A</c:v>
                </c:pt>
                <c:pt idx="112">
                  <c:v>52148.79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52133.37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52102.03</c:v>
                </c:pt>
                <c:pt idx="122">
                  <c:v>#N/A</c:v>
                </c:pt>
                <c:pt idx="123">
                  <c:v>52111.199999999997</c:v>
                </c:pt>
                <c:pt idx="124">
                  <c:v>52147.6</c:v>
                </c:pt>
                <c:pt idx="125">
                  <c:v>52118.77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52137.440000000002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52090.7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52152.2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52147.55</c:v>
                </c:pt>
                <c:pt idx="173">
                  <c:v>52141.33</c:v>
                </c:pt>
                <c:pt idx="174">
                  <c:v>#N/A</c:v>
                </c:pt>
                <c:pt idx="175">
                  <c:v>#N/A</c:v>
                </c:pt>
                <c:pt idx="176">
                  <c:v>52123.63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52117.91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52112.38</c:v>
                </c:pt>
                <c:pt idx="187">
                  <c:v>52125.23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52114.06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xVal>
          <c:yVal>
            <c:numRef>
              <c:f>'[1]Для построения'!$R$3:$R$850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29071.62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29084.26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29101.27</c:v>
                </c:pt>
                <c:pt idx="25">
                  <c:v>#N/A</c:v>
                </c:pt>
                <c:pt idx="26">
                  <c:v>#N/A</c:v>
                </c:pt>
                <c:pt idx="27">
                  <c:v>29093.25</c:v>
                </c:pt>
                <c:pt idx="28">
                  <c:v>#N/A</c:v>
                </c:pt>
                <c:pt idx="29">
                  <c:v>29088.04</c:v>
                </c:pt>
                <c:pt idx="30">
                  <c:v>#N/A</c:v>
                </c:pt>
                <c:pt idx="31">
                  <c:v>#N/A</c:v>
                </c:pt>
                <c:pt idx="32">
                  <c:v>29080.12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29083.77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29106.31</c:v>
                </c:pt>
                <c:pt idx="49">
                  <c:v>29103.62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29090.2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29104.66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29094.07</c:v>
                </c:pt>
                <c:pt idx="64">
                  <c:v>#N/A</c:v>
                </c:pt>
                <c:pt idx="65">
                  <c:v>#N/A</c:v>
                </c:pt>
                <c:pt idx="66">
                  <c:v>29113.88</c:v>
                </c:pt>
                <c:pt idx="67">
                  <c:v>#N/A</c:v>
                </c:pt>
                <c:pt idx="68">
                  <c:v>29108.38</c:v>
                </c:pt>
                <c:pt idx="69">
                  <c:v>#N/A</c:v>
                </c:pt>
                <c:pt idx="70">
                  <c:v>29103.040000000001</c:v>
                </c:pt>
                <c:pt idx="71">
                  <c:v>#N/A</c:v>
                </c:pt>
                <c:pt idx="72">
                  <c:v>29114.92</c:v>
                </c:pt>
                <c:pt idx="73">
                  <c:v>29114.84</c:v>
                </c:pt>
                <c:pt idx="74">
                  <c:v>29112.32</c:v>
                </c:pt>
                <c:pt idx="75">
                  <c:v>#N/A</c:v>
                </c:pt>
                <c:pt idx="76">
                  <c:v>#N/A</c:v>
                </c:pt>
                <c:pt idx="77">
                  <c:v>29104.45</c:v>
                </c:pt>
                <c:pt idx="78">
                  <c:v>#N/A</c:v>
                </c:pt>
                <c:pt idx="79">
                  <c:v>29112.39</c:v>
                </c:pt>
                <c:pt idx="80">
                  <c:v>29110.78</c:v>
                </c:pt>
                <c:pt idx="81">
                  <c:v>29071.06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29081.360000000001</c:v>
                </c:pt>
                <c:pt idx="89">
                  <c:v>#N/A</c:v>
                </c:pt>
                <c:pt idx="90">
                  <c:v>#N/A</c:v>
                </c:pt>
                <c:pt idx="91">
                  <c:v>29073.439999999999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29079.87</c:v>
                </c:pt>
                <c:pt idx="96">
                  <c:v>29077.09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29098.93</c:v>
                </c:pt>
                <c:pt idx="109">
                  <c:v>29096.39</c:v>
                </c:pt>
                <c:pt idx="110">
                  <c:v>29108.14</c:v>
                </c:pt>
                <c:pt idx="111">
                  <c:v>#N/A</c:v>
                </c:pt>
                <c:pt idx="112">
                  <c:v>29042.76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29020.04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29000.09</c:v>
                </c:pt>
                <c:pt idx="122">
                  <c:v>#N/A</c:v>
                </c:pt>
                <c:pt idx="123">
                  <c:v>29003.64</c:v>
                </c:pt>
                <c:pt idx="124">
                  <c:v>29041.98</c:v>
                </c:pt>
                <c:pt idx="125">
                  <c:v>29012.59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29033.07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29012.560000000001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29058.17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29062.25</c:v>
                </c:pt>
                <c:pt idx="173">
                  <c:v>29059.599999999999</c:v>
                </c:pt>
                <c:pt idx="174">
                  <c:v>#N/A</c:v>
                </c:pt>
                <c:pt idx="175">
                  <c:v>#N/A</c:v>
                </c:pt>
                <c:pt idx="176">
                  <c:v>29052.21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29055.26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29058.880000000001</c:v>
                </c:pt>
                <c:pt idx="187">
                  <c:v>29070.7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29071.86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352-F628-46A7-9E5E-739C6B450CAB}"/>
            </c:ext>
          </c:extLst>
        </c:ser>
        <c:ser>
          <c:idx val="3"/>
          <c:order val="3"/>
          <c:tx>
            <c:strRef>
              <c:f>'[1]Для построения'!$S$1:$T$1</c:f>
              <c:strCache>
                <c:ptCount val="1"/>
                <c:pt idx="0">
                  <c:v>0.2-0.3 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BB200"/>
              </a:solidFill>
              <a:ln w="15875">
                <a:solidFill>
                  <a:srgbClr val="CBB200"/>
                </a:solidFill>
              </a:ln>
              <a:effectLst/>
            </c:spPr>
          </c:marker>
          <c:xVal>
            <c:numRef>
              <c:f>'[1]Для построения'!$S$3:$S$850</c:f>
              <c:numCache>
                <c:formatCode>General</c:formatCode>
                <c:ptCount val="848"/>
                <c:pt idx="0">
                  <c:v>52233.19</c:v>
                </c:pt>
                <c:pt idx="1">
                  <c:v>52205.08</c:v>
                </c:pt>
                <c:pt idx="2">
                  <c:v>52202.49</c:v>
                </c:pt>
                <c:pt idx="3">
                  <c:v>52195.98</c:v>
                </c:pt>
                <c:pt idx="4">
                  <c:v>52187.78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52159.25</c:v>
                </c:pt>
                <c:pt idx="9">
                  <c:v>52230.38</c:v>
                </c:pt>
                <c:pt idx="10">
                  <c:v>#N/A</c:v>
                </c:pt>
                <c:pt idx="11">
                  <c:v>52218.7</c:v>
                </c:pt>
                <c:pt idx="12">
                  <c:v>52212.59</c:v>
                </c:pt>
                <c:pt idx="13">
                  <c:v>52200.92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52176.99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52225.67</c:v>
                </c:pt>
                <c:pt idx="22">
                  <c:v>52219.45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52171.74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52214.38</c:v>
                </c:pt>
                <c:pt idx="35">
                  <c:v>#N/A</c:v>
                </c:pt>
                <c:pt idx="36">
                  <c:v>52202.32</c:v>
                </c:pt>
                <c:pt idx="37">
                  <c:v>52196.37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52208.77</c:v>
                </c:pt>
                <c:pt idx="46">
                  <c:v>#N/A</c:v>
                </c:pt>
                <c:pt idx="47">
                  <c:v>52196.84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52185.66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52174.46</c:v>
                </c:pt>
                <c:pt idx="68">
                  <c:v>#N/A</c:v>
                </c:pt>
                <c:pt idx="69">
                  <c:v>52162.6</c:v>
                </c:pt>
                <c:pt idx="70">
                  <c:v>#N/A</c:v>
                </c:pt>
                <c:pt idx="71">
                  <c:v>52150.66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52157.38</c:v>
                </c:pt>
                <c:pt idx="76">
                  <c:v>#N/A</c:v>
                </c:pt>
                <c:pt idx="77">
                  <c:v>#N/A</c:v>
                </c:pt>
                <c:pt idx="78">
                  <c:v>52158.8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52147.66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52142.45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52137.09</c:v>
                </c:pt>
                <c:pt idx="91">
                  <c:v>#N/A</c:v>
                </c:pt>
                <c:pt idx="92">
                  <c:v>52149.4</c:v>
                </c:pt>
                <c:pt idx="93">
                  <c:v>52143.54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52138.400000000001</c:v>
                </c:pt>
                <c:pt idx="99">
                  <c:v>52132.66</c:v>
                </c:pt>
                <c:pt idx="100">
                  <c:v>#N/A</c:v>
                </c:pt>
                <c:pt idx="101">
                  <c:v>52120.37</c:v>
                </c:pt>
                <c:pt idx="102">
                  <c:v>#N/A</c:v>
                </c:pt>
                <c:pt idx="103">
                  <c:v>52138.86</c:v>
                </c:pt>
                <c:pt idx="104">
                  <c:v>52133.18</c:v>
                </c:pt>
                <c:pt idx="105">
                  <c:v>52127.41</c:v>
                </c:pt>
                <c:pt idx="106">
                  <c:v>52121.46</c:v>
                </c:pt>
                <c:pt idx="107">
                  <c:v>52139.82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52142.29</c:v>
                </c:pt>
                <c:pt idx="114">
                  <c:v>52140</c:v>
                </c:pt>
                <c:pt idx="115">
                  <c:v>52134.85</c:v>
                </c:pt>
                <c:pt idx="116">
                  <c:v>#N/A</c:v>
                </c:pt>
                <c:pt idx="117">
                  <c:v>#N/A</c:v>
                </c:pt>
                <c:pt idx="118">
                  <c:v>52119.58</c:v>
                </c:pt>
                <c:pt idx="119">
                  <c:v>#N/A</c:v>
                </c:pt>
                <c:pt idx="120">
                  <c:v>52107.92</c:v>
                </c:pt>
                <c:pt idx="121">
                  <c:v>#N/A</c:v>
                </c:pt>
                <c:pt idx="122">
                  <c:v>52090.55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52106.83</c:v>
                </c:pt>
                <c:pt idx="128">
                  <c:v>52100.84</c:v>
                </c:pt>
                <c:pt idx="129">
                  <c:v>52095.15</c:v>
                </c:pt>
                <c:pt idx="130">
                  <c:v>#N/A</c:v>
                </c:pt>
                <c:pt idx="131">
                  <c:v>52130.48</c:v>
                </c:pt>
                <c:pt idx="132">
                  <c:v>#N/A</c:v>
                </c:pt>
                <c:pt idx="133">
                  <c:v>#N/A</c:v>
                </c:pt>
                <c:pt idx="134">
                  <c:v>52113.440000000002</c:v>
                </c:pt>
                <c:pt idx="135">
                  <c:v>#N/A</c:v>
                </c:pt>
                <c:pt idx="136">
                  <c:v>52101.88</c:v>
                </c:pt>
                <c:pt idx="137">
                  <c:v>#N/A</c:v>
                </c:pt>
                <c:pt idx="138">
                  <c:v>#N/A</c:v>
                </c:pt>
                <c:pt idx="139">
                  <c:v>52084.99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52120.09</c:v>
                </c:pt>
                <c:pt idx="144">
                  <c:v>52114.17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52081.46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52109.919999999998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52153.27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52129.38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52118.64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xVal>
          <c:yVal>
            <c:numRef>
              <c:f>'[1]Для построения'!$T$3:$T$850</c:f>
              <c:numCache>
                <c:formatCode>General</c:formatCode>
                <c:ptCount val="848"/>
                <c:pt idx="0">
                  <c:v>29101.99</c:v>
                </c:pt>
                <c:pt idx="1">
                  <c:v>29088.16</c:v>
                </c:pt>
                <c:pt idx="2">
                  <c:v>29087.16</c:v>
                </c:pt>
                <c:pt idx="3">
                  <c:v>29084.68</c:v>
                </c:pt>
                <c:pt idx="4">
                  <c:v>29080.32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29067.73</c:v>
                </c:pt>
                <c:pt idx="9">
                  <c:v>29105.43</c:v>
                </c:pt>
                <c:pt idx="10">
                  <c:v>#N/A</c:v>
                </c:pt>
                <c:pt idx="11">
                  <c:v>29099.88</c:v>
                </c:pt>
                <c:pt idx="12">
                  <c:v>29097.3</c:v>
                </c:pt>
                <c:pt idx="13">
                  <c:v>29092.45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29081.81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29109.18</c:v>
                </c:pt>
                <c:pt idx="22">
                  <c:v>29105.3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29085.59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29110.48</c:v>
                </c:pt>
                <c:pt idx="35">
                  <c:v>#N/A</c:v>
                </c:pt>
                <c:pt idx="36">
                  <c:v>29104.74</c:v>
                </c:pt>
                <c:pt idx="37">
                  <c:v>29102.18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29113.99</c:v>
                </c:pt>
                <c:pt idx="46">
                  <c:v>#N/A</c:v>
                </c:pt>
                <c:pt idx="47">
                  <c:v>29108.69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29109.93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29111.1</c:v>
                </c:pt>
                <c:pt idx="68">
                  <c:v>#N/A</c:v>
                </c:pt>
                <c:pt idx="69">
                  <c:v>29105.71</c:v>
                </c:pt>
                <c:pt idx="70">
                  <c:v>#N/A</c:v>
                </c:pt>
                <c:pt idx="71">
                  <c:v>29100.52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29109.81</c:v>
                </c:pt>
                <c:pt idx="76">
                  <c:v>#N/A</c:v>
                </c:pt>
                <c:pt idx="77">
                  <c:v>#N/A</c:v>
                </c:pt>
                <c:pt idx="78">
                  <c:v>29113.439999999999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29068.5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29072.13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29076.240000000002</c:v>
                </c:pt>
                <c:pt idx="91">
                  <c:v>#N/A</c:v>
                </c:pt>
                <c:pt idx="92">
                  <c:v>29087.47</c:v>
                </c:pt>
                <c:pt idx="93">
                  <c:v>29085.3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29088.62</c:v>
                </c:pt>
                <c:pt idx="99">
                  <c:v>29086.2</c:v>
                </c:pt>
                <c:pt idx="100">
                  <c:v>#N/A</c:v>
                </c:pt>
                <c:pt idx="101">
                  <c:v>29080.94</c:v>
                </c:pt>
                <c:pt idx="102">
                  <c:v>#N/A</c:v>
                </c:pt>
                <c:pt idx="103">
                  <c:v>29095.38</c:v>
                </c:pt>
                <c:pt idx="104">
                  <c:v>29092.84</c:v>
                </c:pt>
                <c:pt idx="105">
                  <c:v>29089.95</c:v>
                </c:pt>
                <c:pt idx="106">
                  <c:v>29087.25</c:v>
                </c:pt>
                <c:pt idx="107">
                  <c:v>29101.98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29035.58</c:v>
                </c:pt>
                <c:pt idx="114">
                  <c:v>29033.89</c:v>
                </c:pt>
                <c:pt idx="115">
                  <c:v>29026.3</c:v>
                </c:pt>
                <c:pt idx="116">
                  <c:v>#N/A</c:v>
                </c:pt>
                <c:pt idx="117">
                  <c:v>#N/A</c:v>
                </c:pt>
                <c:pt idx="118">
                  <c:v>29008</c:v>
                </c:pt>
                <c:pt idx="119">
                  <c:v>#N/A</c:v>
                </c:pt>
                <c:pt idx="120">
                  <c:v>29000.77</c:v>
                </c:pt>
                <c:pt idx="121">
                  <c:v>#N/A</c:v>
                </c:pt>
                <c:pt idx="122">
                  <c:v>28995.119999999999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29007.43</c:v>
                </c:pt>
                <c:pt idx="128">
                  <c:v>29004.799999999999</c:v>
                </c:pt>
                <c:pt idx="129">
                  <c:v>29001.94</c:v>
                </c:pt>
                <c:pt idx="130">
                  <c:v>#N/A</c:v>
                </c:pt>
                <c:pt idx="131">
                  <c:v>29024.28</c:v>
                </c:pt>
                <c:pt idx="132">
                  <c:v>#N/A</c:v>
                </c:pt>
                <c:pt idx="133">
                  <c:v>#N/A</c:v>
                </c:pt>
                <c:pt idx="134">
                  <c:v>29016.5</c:v>
                </c:pt>
                <c:pt idx="135">
                  <c:v>#N/A</c:v>
                </c:pt>
                <c:pt idx="136">
                  <c:v>29011.5</c:v>
                </c:pt>
                <c:pt idx="137">
                  <c:v>#N/A</c:v>
                </c:pt>
                <c:pt idx="138">
                  <c:v>#N/A</c:v>
                </c:pt>
                <c:pt idx="139">
                  <c:v>29003.94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29025.4</c:v>
                </c:pt>
                <c:pt idx="144">
                  <c:v>29022.74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29008.560000000001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29032.94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29064.71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29054.65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29061.79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353-F628-46A7-9E5E-739C6B450CAB}"/>
            </c:ext>
          </c:extLst>
        </c:ser>
        <c:ser>
          <c:idx val="4"/>
          <c:order val="4"/>
          <c:tx>
            <c:strRef>
              <c:f>'[1]Для построения'!$U$1:$V$1</c:f>
              <c:strCache>
                <c:ptCount val="1"/>
                <c:pt idx="0">
                  <c:v>0.3-0.4 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28E00"/>
              </a:solidFill>
              <a:ln w="15875">
                <a:solidFill>
                  <a:srgbClr val="E28E00"/>
                </a:solidFill>
              </a:ln>
              <a:effectLst/>
            </c:spPr>
          </c:marker>
          <c:xVal>
            <c:numRef>
              <c:f>'[1]Для построения'!$U$3:$U$850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52224.42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52189.14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52165.65</c:v>
                </c:pt>
                <c:pt idx="32">
                  <c:v>#N/A</c:v>
                </c:pt>
                <c:pt idx="33">
                  <c:v>52219.05</c:v>
                </c:pt>
                <c:pt idx="34">
                  <c:v>#N/A</c:v>
                </c:pt>
                <c:pt idx="35">
                  <c:v>52208.53</c:v>
                </c:pt>
                <c:pt idx="36">
                  <c:v>#N/A</c:v>
                </c:pt>
                <c:pt idx="37">
                  <c:v>#N/A</c:v>
                </c:pt>
                <c:pt idx="38">
                  <c:v>52190.67</c:v>
                </c:pt>
                <c:pt idx="39">
                  <c:v>52184.71</c:v>
                </c:pt>
                <c:pt idx="40">
                  <c:v>#N/A</c:v>
                </c:pt>
                <c:pt idx="41">
                  <c:v>#N/A</c:v>
                </c:pt>
                <c:pt idx="42">
                  <c:v>52166.34</c:v>
                </c:pt>
                <c:pt idx="43">
                  <c:v>52160.38</c:v>
                </c:pt>
                <c:pt idx="44">
                  <c:v>#N/A</c:v>
                </c:pt>
                <c:pt idx="45">
                  <c:v>#N/A</c:v>
                </c:pt>
                <c:pt idx="46">
                  <c:v>52203.06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52178.91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52161.8</c:v>
                </c:pt>
                <c:pt idx="62">
                  <c:v>#N/A</c:v>
                </c:pt>
                <c:pt idx="63">
                  <c:v>#N/A</c:v>
                </c:pt>
                <c:pt idx="64">
                  <c:v>52192.27</c:v>
                </c:pt>
                <c:pt idx="65">
                  <c:v>52186.58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52151.44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52153.760000000002</c:v>
                </c:pt>
                <c:pt idx="85">
                  <c:v>52147.99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52135.23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52130.97</c:v>
                </c:pt>
                <c:pt idx="118">
                  <c:v>#N/A</c:v>
                </c:pt>
                <c:pt idx="119">
                  <c:v>52116.94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52112.76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52089.26</c:v>
                </c:pt>
                <c:pt idx="131">
                  <c:v>#N/A</c:v>
                </c:pt>
                <c:pt idx="132">
                  <c:v>52125.24</c:v>
                </c:pt>
                <c:pt idx="133">
                  <c:v>#N/A</c:v>
                </c:pt>
                <c:pt idx="134">
                  <c:v>#N/A</c:v>
                </c:pt>
                <c:pt idx="135">
                  <c:v>52108.11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52131.86</c:v>
                </c:pt>
                <c:pt idx="142">
                  <c:v>52125.96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52096.62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52144.51</c:v>
                </c:pt>
                <c:pt idx="152">
                  <c:v>#N/A</c:v>
                </c:pt>
                <c:pt idx="153">
                  <c:v>52132.51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52103.23</c:v>
                </c:pt>
                <c:pt idx="159">
                  <c:v>52096.85</c:v>
                </c:pt>
                <c:pt idx="160">
                  <c:v>#N/A</c:v>
                </c:pt>
                <c:pt idx="161">
                  <c:v>52145.19</c:v>
                </c:pt>
                <c:pt idx="162">
                  <c:v>52127.49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52098.04</c:v>
                </c:pt>
                <c:pt idx="167">
                  <c:v>#N/A</c:v>
                </c:pt>
                <c:pt idx="168">
                  <c:v>52141.01</c:v>
                </c:pt>
                <c:pt idx="169">
                  <c:v>52138.69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52103.89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52124.71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52119.09</c:v>
                </c:pt>
                <c:pt idx="189">
                  <c:v>#N/A</c:v>
                </c:pt>
                <c:pt idx="190">
                  <c:v>52107.7</c:v>
                </c:pt>
                <c:pt idx="191">
                  <c:v>#N/A</c:v>
                </c:pt>
                <c:pt idx="192">
                  <c:v>#N/A</c:v>
                </c:pt>
                <c:pt idx="193">
                  <c:v>52109.88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xVal>
          <c:yVal>
            <c:numRef>
              <c:f>'[1]Для построения'!$V$3:$V$850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29102.58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29087.18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29082.84</c:v>
                </c:pt>
                <c:pt idx="32">
                  <c:v>#N/A</c:v>
                </c:pt>
                <c:pt idx="33">
                  <c:v>29110.49</c:v>
                </c:pt>
                <c:pt idx="34">
                  <c:v>#N/A</c:v>
                </c:pt>
                <c:pt idx="35">
                  <c:v>29107.52</c:v>
                </c:pt>
                <c:pt idx="36">
                  <c:v>#N/A</c:v>
                </c:pt>
                <c:pt idx="37">
                  <c:v>#N/A</c:v>
                </c:pt>
                <c:pt idx="38">
                  <c:v>29099.5</c:v>
                </c:pt>
                <c:pt idx="39">
                  <c:v>29097.439999999999</c:v>
                </c:pt>
                <c:pt idx="40">
                  <c:v>#N/A</c:v>
                </c:pt>
                <c:pt idx="41">
                  <c:v>#N/A</c:v>
                </c:pt>
                <c:pt idx="42">
                  <c:v>29089.02</c:v>
                </c:pt>
                <c:pt idx="43">
                  <c:v>29086.65</c:v>
                </c:pt>
                <c:pt idx="44">
                  <c:v>#N/A</c:v>
                </c:pt>
                <c:pt idx="45">
                  <c:v>#N/A</c:v>
                </c:pt>
                <c:pt idx="46">
                  <c:v>29111.119999999999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29101.06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29099.45</c:v>
                </c:pt>
                <c:pt idx="62">
                  <c:v>#N/A</c:v>
                </c:pt>
                <c:pt idx="63">
                  <c:v>#N/A</c:v>
                </c:pt>
                <c:pt idx="64">
                  <c:v>29116.45</c:v>
                </c:pt>
                <c:pt idx="65">
                  <c:v>29116.1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29107.27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29077.41</c:v>
                </c:pt>
                <c:pt idx="85">
                  <c:v>29075.09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29104.77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29018.42</c:v>
                </c:pt>
                <c:pt idx="118">
                  <c:v>#N/A</c:v>
                </c:pt>
                <c:pt idx="119">
                  <c:v>29006.61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29010.31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28999.85</c:v>
                </c:pt>
                <c:pt idx="131">
                  <c:v>#N/A</c:v>
                </c:pt>
                <c:pt idx="132">
                  <c:v>29021.99</c:v>
                </c:pt>
                <c:pt idx="133">
                  <c:v>#N/A</c:v>
                </c:pt>
                <c:pt idx="134">
                  <c:v>#N/A</c:v>
                </c:pt>
                <c:pt idx="135">
                  <c:v>29013.85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29030.83</c:v>
                </c:pt>
                <c:pt idx="142">
                  <c:v>29028.06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29015.37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29042.86</c:v>
                </c:pt>
                <c:pt idx="152">
                  <c:v>#N/A</c:v>
                </c:pt>
                <c:pt idx="153">
                  <c:v>29037.47</c:v>
                </c:pt>
                <c:pt idx="154">
                  <c:v>#N/A</c:v>
                </c:pt>
                <c:pt idx="155">
                  <c:v>#N/A</c:v>
                </c:pt>
                <c:pt idx="156">
                  <c:v>#N/A</c:v>
                </c:pt>
                <c:pt idx="157">
                  <c:v>#N/A</c:v>
                </c:pt>
                <c:pt idx="158">
                  <c:v>29024.48</c:v>
                </c:pt>
                <c:pt idx="159">
                  <c:v>29021.4</c:v>
                </c:pt>
                <c:pt idx="160">
                  <c:v>#N/A</c:v>
                </c:pt>
                <c:pt idx="161">
                  <c:v>29048.77</c:v>
                </c:pt>
                <c:pt idx="162">
                  <c:v>29040.74</c:v>
                </c:pt>
                <c:pt idx="163">
                  <c:v>#N/A</c:v>
                </c:pt>
                <c:pt idx="164">
                  <c:v>#N/A</c:v>
                </c:pt>
                <c:pt idx="165">
                  <c:v>#N/A</c:v>
                </c:pt>
                <c:pt idx="166">
                  <c:v>29027.54</c:v>
                </c:pt>
                <c:pt idx="167">
                  <c:v>#N/A</c:v>
                </c:pt>
                <c:pt idx="168">
                  <c:v>29056.25</c:v>
                </c:pt>
                <c:pt idx="169">
                  <c:v>29054.52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29042.09</c:v>
                </c:pt>
                <c:pt idx="179">
                  <c:v>#N/A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29064.04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29067.72</c:v>
                </c:pt>
                <c:pt idx="189">
                  <c:v>#N/A</c:v>
                </c:pt>
                <c:pt idx="190">
                  <c:v>29062.71</c:v>
                </c:pt>
                <c:pt idx="191">
                  <c:v>#N/A</c:v>
                </c:pt>
                <c:pt idx="192">
                  <c:v>#N/A</c:v>
                </c:pt>
                <c:pt idx="193">
                  <c:v>29068.38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354-F628-46A7-9E5E-739C6B450CAB}"/>
            </c:ext>
          </c:extLst>
        </c:ser>
        <c:ser>
          <c:idx val="5"/>
          <c:order val="5"/>
          <c:tx>
            <c:strRef>
              <c:f>'[1]Для построения'!$W$1:$X$1</c:f>
              <c:strCache>
                <c:ptCount val="1"/>
                <c:pt idx="0">
                  <c:v>0.4-0.5 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56000"/>
              </a:solidFill>
              <a:ln w="15875">
                <a:solidFill>
                  <a:srgbClr val="F56000"/>
                </a:solidFill>
              </a:ln>
              <a:effectLst/>
            </c:spPr>
          </c:marker>
          <c:xVal>
            <c:numRef>
              <c:f>'[1]Для построения'!$W$3:$W$850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52184.85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52194.85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52165.73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52213.81</c:v>
                </c:pt>
                <c:pt idx="24">
                  <c:v>#N/A</c:v>
                </c:pt>
                <c:pt idx="25">
                  <c:v>52201.89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52178.48</c:v>
                </c:pt>
                <c:pt idx="41">
                  <c:v>52172.87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52198.1</c:v>
                </c:pt>
                <c:pt idx="56">
                  <c:v>52191.67</c:v>
                </c:pt>
                <c:pt idx="57">
                  <c:v>#N/A</c:v>
                </c:pt>
                <c:pt idx="58">
                  <c:v>52180.04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52141.97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52136.75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52138.09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52144.58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52119.18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52096.26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52107.99</c:v>
                </c:pt>
                <c:pt idx="146">
                  <c:v>52102.01</c:v>
                </c:pt>
                <c:pt idx="147">
                  <c:v>#N/A</c:v>
                </c:pt>
                <c:pt idx="148">
                  <c:v>#N/A</c:v>
                </c:pt>
                <c:pt idx="149">
                  <c:v>52085.07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52120.51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52150.96</c:v>
                </c:pt>
                <c:pt idx="161">
                  <c:v>#N/A</c:v>
                </c:pt>
                <c:pt idx="162">
                  <c:v>#N/A</c:v>
                </c:pt>
                <c:pt idx="163">
                  <c:v>52115.7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52135.18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52136.02</c:v>
                </c:pt>
                <c:pt idx="181">
                  <c:v>52124.14</c:v>
                </c:pt>
                <c:pt idx="182">
                  <c:v>#N/A</c:v>
                </c:pt>
                <c:pt idx="183">
                  <c:v>52130.82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52113.18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52116.86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xVal>
          <c:yVal>
            <c:numRef>
              <c:f>'[1]Для построения'!$X$3:$X$850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29079.35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29089.91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29076.44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29103.62</c:v>
                </c:pt>
                <c:pt idx="24">
                  <c:v>#N/A</c:v>
                </c:pt>
                <c:pt idx="25">
                  <c:v>29098.93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29094.07</c:v>
                </c:pt>
                <c:pt idx="41">
                  <c:v>29091.47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29115</c:v>
                </c:pt>
                <c:pt idx="56">
                  <c:v>29112.25</c:v>
                </c:pt>
                <c:pt idx="57">
                  <c:v>#N/A</c:v>
                </c:pt>
                <c:pt idx="58">
                  <c:v>29106.91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29065.95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29069.48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29082.560000000001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29098.01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29018.98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29008.78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29020.240000000002</c:v>
                </c:pt>
                <c:pt idx="146">
                  <c:v>29017.72</c:v>
                </c:pt>
                <c:pt idx="147">
                  <c:v>#N/A</c:v>
                </c:pt>
                <c:pt idx="148">
                  <c:v>#N/A</c:v>
                </c:pt>
                <c:pt idx="149">
                  <c:v>29010.02</c:v>
                </c:pt>
                <c:pt idx="150">
                  <c:v>#N/A</c:v>
                </c:pt>
                <c:pt idx="151">
                  <c:v>#N/A</c:v>
                </c:pt>
                <c:pt idx="152">
                  <c:v>#N/A</c:v>
                </c:pt>
                <c:pt idx="153">
                  <c:v>#N/A</c:v>
                </c:pt>
                <c:pt idx="154">
                  <c:v>#N/A</c:v>
                </c:pt>
                <c:pt idx="155">
                  <c:v>29031.96</c:v>
                </c:pt>
                <c:pt idx="156">
                  <c:v>#N/A</c:v>
                </c:pt>
                <c:pt idx="157">
                  <c:v>#N/A</c:v>
                </c:pt>
                <c:pt idx="158">
                  <c:v>#N/A</c:v>
                </c:pt>
                <c:pt idx="159">
                  <c:v>#N/A</c:v>
                </c:pt>
                <c:pt idx="160">
                  <c:v>29051.59</c:v>
                </c:pt>
                <c:pt idx="161">
                  <c:v>#N/A</c:v>
                </c:pt>
                <c:pt idx="162">
                  <c:v>#N/A</c:v>
                </c:pt>
                <c:pt idx="163">
                  <c:v>29035.42</c:v>
                </c:pt>
                <c:pt idx="164">
                  <c:v>#N/A</c:v>
                </c:pt>
                <c:pt idx="165">
                  <c:v>#N/A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29057.06</c:v>
                </c:pt>
                <c:pt idx="175">
                  <c:v>#N/A</c:v>
                </c:pt>
                <c:pt idx="176">
                  <c:v>#N/A</c:v>
                </c:pt>
                <c:pt idx="177">
                  <c:v>#N/A</c:v>
                </c:pt>
                <c:pt idx="178">
                  <c:v>#N/A</c:v>
                </c:pt>
                <c:pt idx="179">
                  <c:v>#N/A</c:v>
                </c:pt>
                <c:pt idx="180">
                  <c:v>29063.06</c:v>
                </c:pt>
                <c:pt idx="181">
                  <c:v>29057.97</c:v>
                </c:pt>
                <c:pt idx="182">
                  <c:v>#N/A</c:v>
                </c:pt>
                <c:pt idx="183">
                  <c:v>29066.84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29065.83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#N/A</c:v>
                </c:pt>
                <c:pt idx="194">
                  <c:v>29078.44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355-F628-46A7-9E5E-739C6B450CAB}"/>
            </c:ext>
          </c:extLst>
        </c:ser>
        <c:ser>
          <c:idx val="6"/>
          <c:order val="6"/>
          <c:tx>
            <c:strRef>
              <c:f>'[1]Для построения'!$Y$1:$Z$1</c:f>
              <c:strCache>
                <c:ptCount val="1"/>
                <c:pt idx="0">
                  <c:v>&gt;0.5 м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15875">
                <a:solidFill>
                  <a:srgbClr val="C00000"/>
                </a:solidFill>
              </a:ln>
              <a:effectLst/>
            </c:spPr>
          </c:marker>
          <c:xVal>
            <c:numRef>
              <c:f>'[1]Для построения'!$Y$3:$Y$850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52161.48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52196.07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52143.38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52127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52138.35</c:v>
                </c:pt>
                <c:pt idx="153">
                  <c:v>#N/A</c:v>
                </c:pt>
                <c:pt idx="154">
                  <c:v>52126.53</c:v>
                </c:pt>
                <c:pt idx="155">
                  <c:v>#N/A</c:v>
                </c:pt>
                <c:pt idx="156">
                  <c:v>#N/A</c:v>
                </c:pt>
                <c:pt idx="157">
                  <c:v>52108.58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52104.56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52098.23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52117.81</c:v>
                </c:pt>
                <c:pt idx="178">
                  <c:v>#N/A</c:v>
                </c:pt>
                <c:pt idx="179">
                  <c:v>52099.79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52119.66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xVal>
          <c:yVal>
            <c:numRef>
              <c:f>'[1]Для построения'!$Z$3:$Z$850</c:f>
              <c:numCache>
                <c:formatCode>General</c:formatCode>
                <c:ptCount val="848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29069.279999999999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29096.46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29078.93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29083.82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  <c:pt idx="126">
                  <c:v>#N/A</c:v>
                </c:pt>
                <c:pt idx="127">
                  <c:v>#N/A</c:v>
                </c:pt>
                <c:pt idx="128">
                  <c:v>#N/A</c:v>
                </c:pt>
                <c:pt idx="129">
                  <c:v>#N/A</c:v>
                </c:pt>
                <c:pt idx="130">
                  <c:v>#N/A</c:v>
                </c:pt>
                <c:pt idx="131">
                  <c:v>#N/A</c:v>
                </c:pt>
                <c:pt idx="132">
                  <c:v>#N/A</c:v>
                </c:pt>
                <c:pt idx="133">
                  <c:v>#N/A</c:v>
                </c:pt>
                <c:pt idx="134">
                  <c:v>#N/A</c:v>
                </c:pt>
                <c:pt idx="135">
                  <c:v>#N/A</c:v>
                </c:pt>
                <c:pt idx="136">
                  <c:v>#N/A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#N/A</c:v>
                </c:pt>
                <c:pt idx="141">
                  <c:v>#N/A</c:v>
                </c:pt>
                <c:pt idx="142">
                  <c:v>#N/A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#N/A</c:v>
                </c:pt>
                <c:pt idx="147">
                  <c:v>#N/A</c:v>
                </c:pt>
                <c:pt idx="148">
                  <c:v>#N/A</c:v>
                </c:pt>
                <c:pt idx="149">
                  <c:v>#N/A</c:v>
                </c:pt>
                <c:pt idx="150">
                  <c:v>#N/A</c:v>
                </c:pt>
                <c:pt idx="151">
                  <c:v>#N/A</c:v>
                </c:pt>
                <c:pt idx="152">
                  <c:v>29040.34</c:v>
                </c:pt>
                <c:pt idx="153">
                  <c:v>#N/A</c:v>
                </c:pt>
                <c:pt idx="154">
                  <c:v>29035.09</c:v>
                </c:pt>
                <c:pt idx="155">
                  <c:v>#N/A</c:v>
                </c:pt>
                <c:pt idx="156">
                  <c:v>#N/A</c:v>
                </c:pt>
                <c:pt idx="157">
                  <c:v>29026.62</c:v>
                </c:pt>
                <c:pt idx="158">
                  <c:v>#N/A</c:v>
                </c:pt>
                <c:pt idx="159">
                  <c:v>#N/A</c:v>
                </c:pt>
                <c:pt idx="160">
                  <c:v>#N/A</c:v>
                </c:pt>
                <c:pt idx="161">
                  <c:v>#N/A</c:v>
                </c:pt>
                <c:pt idx="162">
                  <c:v>#N/A</c:v>
                </c:pt>
                <c:pt idx="163">
                  <c:v>#N/A</c:v>
                </c:pt>
                <c:pt idx="164">
                  <c:v>#N/A</c:v>
                </c:pt>
                <c:pt idx="165">
                  <c:v>29030.92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29033.98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#N/A</c:v>
                </c:pt>
                <c:pt idx="176">
                  <c:v>#N/A</c:v>
                </c:pt>
                <c:pt idx="177">
                  <c:v>29049.55</c:v>
                </c:pt>
                <c:pt idx="178">
                  <c:v>#N/A</c:v>
                </c:pt>
                <c:pt idx="179">
                  <c:v>29039.51</c:v>
                </c:pt>
                <c:pt idx="180">
                  <c:v>#N/A</c:v>
                </c:pt>
                <c:pt idx="181">
                  <c:v>#N/A</c:v>
                </c:pt>
                <c:pt idx="182">
                  <c:v>#N/A</c:v>
                </c:pt>
                <c:pt idx="183">
                  <c:v>#N/A</c:v>
                </c:pt>
                <c:pt idx="184">
                  <c:v>#N/A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#N/A</c:v>
                </c:pt>
                <c:pt idx="190">
                  <c:v>#N/A</c:v>
                </c:pt>
                <c:pt idx="191">
                  <c:v>29074.92</c:v>
                </c:pt>
                <c:pt idx="192">
                  <c:v>#N/A</c:v>
                </c:pt>
                <c:pt idx="193">
                  <c:v>#N/A</c:v>
                </c:pt>
                <c:pt idx="194">
                  <c:v>#N/A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#N/A</c:v>
                </c:pt>
                <c:pt idx="199">
                  <c:v>#N/A</c:v>
                </c:pt>
                <c:pt idx="200">
                  <c:v>#N/A</c:v>
                </c:pt>
                <c:pt idx="201">
                  <c:v>#N/A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#N/A</c:v>
                </c:pt>
                <c:pt idx="208">
                  <c:v>#N/A</c:v>
                </c:pt>
                <c:pt idx="209">
                  <c:v>#N/A</c:v>
                </c:pt>
                <c:pt idx="210">
                  <c:v>#N/A</c:v>
                </c:pt>
                <c:pt idx="211">
                  <c:v>#N/A</c:v>
                </c:pt>
                <c:pt idx="212">
                  <c:v>#N/A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#N/A</c:v>
                </c:pt>
                <c:pt idx="217">
                  <c:v>#N/A</c:v>
                </c:pt>
                <c:pt idx="218">
                  <c:v>#N/A</c:v>
                </c:pt>
                <c:pt idx="219">
                  <c:v>#N/A</c:v>
                </c:pt>
                <c:pt idx="220">
                  <c:v>#N/A</c:v>
                </c:pt>
                <c:pt idx="221">
                  <c:v>#N/A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#N/A</c:v>
                </c:pt>
                <c:pt idx="227">
                  <c:v>#N/A</c:v>
                </c:pt>
                <c:pt idx="228">
                  <c:v>#N/A</c:v>
                </c:pt>
                <c:pt idx="229">
                  <c:v>#N/A</c:v>
                </c:pt>
                <c:pt idx="230">
                  <c:v>#N/A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#N/A</c:v>
                </c:pt>
                <c:pt idx="235">
                  <c:v>#N/A</c:v>
                </c:pt>
                <c:pt idx="236">
                  <c:v>#N/A</c:v>
                </c:pt>
                <c:pt idx="237">
                  <c:v>#N/A</c:v>
                </c:pt>
                <c:pt idx="238">
                  <c:v>#N/A</c:v>
                </c:pt>
                <c:pt idx="239">
                  <c:v>#N/A</c:v>
                </c:pt>
                <c:pt idx="240">
                  <c:v>#N/A</c:v>
                </c:pt>
                <c:pt idx="241">
                  <c:v>#N/A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#N/A</c:v>
                </c:pt>
                <c:pt idx="247">
                  <c:v>#N/A</c:v>
                </c:pt>
                <c:pt idx="248">
                  <c:v>#N/A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#N/A</c:v>
                </c:pt>
                <c:pt idx="254">
                  <c:v>#N/A</c:v>
                </c:pt>
                <c:pt idx="255">
                  <c:v>#N/A</c:v>
                </c:pt>
                <c:pt idx="256">
                  <c:v>#N/A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#N/A</c:v>
                </c:pt>
                <c:pt idx="265">
                  <c:v>#N/A</c:v>
                </c:pt>
                <c:pt idx="266">
                  <c:v>#N/A</c:v>
                </c:pt>
                <c:pt idx="267">
                  <c:v>#N/A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#N/A</c:v>
                </c:pt>
                <c:pt idx="274">
                  <c:v>#N/A</c:v>
                </c:pt>
                <c:pt idx="275">
                  <c:v>#N/A</c:v>
                </c:pt>
                <c:pt idx="276">
                  <c:v>#N/A</c:v>
                </c:pt>
                <c:pt idx="277">
                  <c:v>#N/A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#N/A</c:v>
                </c:pt>
                <c:pt idx="282">
                  <c:v>#N/A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#N/A</c:v>
                </c:pt>
                <c:pt idx="287">
                  <c:v>#N/A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#N/A</c:v>
                </c:pt>
                <c:pt idx="293">
                  <c:v>#N/A</c:v>
                </c:pt>
                <c:pt idx="294">
                  <c:v>#N/A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#N/A</c:v>
                </c:pt>
                <c:pt idx="300">
                  <c:v>#N/A</c:v>
                </c:pt>
                <c:pt idx="301">
                  <c:v>#N/A</c:v>
                </c:pt>
                <c:pt idx="302">
                  <c:v>#N/A</c:v>
                </c:pt>
                <c:pt idx="303">
                  <c:v>#N/A</c:v>
                </c:pt>
                <c:pt idx="304">
                  <c:v>#N/A</c:v>
                </c:pt>
                <c:pt idx="305">
                  <c:v>#N/A</c:v>
                </c:pt>
                <c:pt idx="306">
                  <c:v>#N/A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#N/A</c:v>
                </c:pt>
                <c:pt idx="312">
                  <c:v>#N/A</c:v>
                </c:pt>
                <c:pt idx="313">
                  <c:v>#N/A</c:v>
                </c:pt>
                <c:pt idx="314">
                  <c:v>#N/A</c:v>
                </c:pt>
                <c:pt idx="315">
                  <c:v>#N/A</c:v>
                </c:pt>
                <c:pt idx="316">
                  <c:v>#N/A</c:v>
                </c:pt>
                <c:pt idx="317">
                  <c:v>#N/A</c:v>
                </c:pt>
                <c:pt idx="318">
                  <c:v>#N/A</c:v>
                </c:pt>
                <c:pt idx="319">
                  <c:v>#N/A</c:v>
                </c:pt>
                <c:pt idx="320">
                  <c:v>#N/A</c:v>
                </c:pt>
                <c:pt idx="321">
                  <c:v>#N/A</c:v>
                </c:pt>
                <c:pt idx="322">
                  <c:v>#N/A</c:v>
                </c:pt>
                <c:pt idx="323">
                  <c:v>#N/A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#N/A</c:v>
                </c:pt>
                <c:pt idx="328">
                  <c:v>#N/A</c:v>
                </c:pt>
                <c:pt idx="329">
                  <c:v>#N/A</c:v>
                </c:pt>
                <c:pt idx="330">
                  <c:v>#N/A</c:v>
                </c:pt>
                <c:pt idx="331">
                  <c:v>#N/A</c:v>
                </c:pt>
                <c:pt idx="332">
                  <c:v>#N/A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#N/A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#N/A</c:v>
                </c:pt>
                <c:pt idx="341">
                  <c:v>#N/A</c:v>
                </c:pt>
                <c:pt idx="342">
                  <c:v>#N/A</c:v>
                </c:pt>
                <c:pt idx="343">
                  <c:v>#N/A</c:v>
                </c:pt>
                <c:pt idx="344">
                  <c:v>#N/A</c:v>
                </c:pt>
                <c:pt idx="345">
                  <c:v>#N/A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#N/A</c:v>
                </c:pt>
                <c:pt idx="350">
                  <c:v>#N/A</c:v>
                </c:pt>
                <c:pt idx="351">
                  <c:v>#N/A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#N/A</c:v>
                </c:pt>
                <c:pt idx="358">
                  <c:v>#N/A</c:v>
                </c:pt>
                <c:pt idx="359">
                  <c:v>#N/A</c:v>
                </c:pt>
                <c:pt idx="360">
                  <c:v>#N/A</c:v>
                </c:pt>
                <c:pt idx="361">
                  <c:v>#N/A</c:v>
                </c:pt>
                <c:pt idx="362">
                  <c:v>#N/A</c:v>
                </c:pt>
                <c:pt idx="363">
                  <c:v>#N/A</c:v>
                </c:pt>
                <c:pt idx="364">
                  <c:v>#N/A</c:v>
                </c:pt>
                <c:pt idx="365">
                  <c:v>#N/A</c:v>
                </c:pt>
                <c:pt idx="366">
                  <c:v>#N/A</c:v>
                </c:pt>
                <c:pt idx="367">
                  <c:v>#N/A</c:v>
                </c:pt>
                <c:pt idx="368">
                  <c:v>#N/A</c:v>
                </c:pt>
                <c:pt idx="369">
                  <c:v>#N/A</c:v>
                </c:pt>
                <c:pt idx="370">
                  <c:v>#N/A</c:v>
                </c:pt>
                <c:pt idx="371">
                  <c:v>#N/A</c:v>
                </c:pt>
                <c:pt idx="372">
                  <c:v>#N/A</c:v>
                </c:pt>
                <c:pt idx="373">
                  <c:v>#N/A</c:v>
                </c:pt>
                <c:pt idx="374">
                  <c:v>#N/A</c:v>
                </c:pt>
                <c:pt idx="375">
                  <c:v>#N/A</c:v>
                </c:pt>
                <c:pt idx="376">
                  <c:v>#N/A</c:v>
                </c:pt>
                <c:pt idx="377">
                  <c:v>#N/A</c:v>
                </c:pt>
                <c:pt idx="378">
                  <c:v>#N/A</c:v>
                </c:pt>
                <c:pt idx="379">
                  <c:v>#N/A</c:v>
                </c:pt>
                <c:pt idx="380">
                  <c:v>#N/A</c:v>
                </c:pt>
                <c:pt idx="381">
                  <c:v>#N/A</c:v>
                </c:pt>
                <c:pt idx="382">
                  <c:v>#N/A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#N/A</c:v>
                </c:pt>
                <c:pt idx="387">
                  <c:v>#N/A</c:v>
                </c:pt>
                <c:pt idx="388">
                  <c:v>#N/A</c:v>
                </c:pt>
                <c:pt idx="389">
                  <c:v>#N/A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#N/A</c:v>
                </c:pt>
                <c:pt idx="394">
                  <c:v>#N/A</c:v>
                </c:pt>
                <c:pt idx="395">
                  <c:v>#N/A</c:v>
                </c:pt>
                <c:pt idx="396">
                  <c:v>#N/A</c:v>
                </c:pt>
                <c:pt idx="397">
                  <c:v>#N/A</c:v>
                </c:pt>
                <c:pt idx="398">
                  <c:v>#N/A</c:v>
                </c:pt>
                <c:pt idx="399">
                  <c:v>#N/A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#N/A</c:v>
                </c:pt>
                <c:pt idx="405">
                  <c:v>#N/A</c:v>
                </c:pt>
                <c:pt idx="406">
                  <c:v>#N/A</c:v>
                </c:pt>
                <c:pt idx="407">
                  <c:v>#N/A</c:v>
                </c:pt>
                <c:pt idx="408">
                  <c:v>#N/A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#N/A</c:v>
                </c:pt>
                <c:pt idx="413">
                  <c:v>#N/A</c:v>
                </c:pt>
                <c:pt idx="414">
                  <c:v>#N/A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#N/A</c:v>
                </c:pt>
                <c:pt idx="424">
                  <c:v>#N/A</c:v>
                </c:pt>
                <c:pt idx="425">
                  <c:v>#N/A</c:v>
                </c:pt>
                <c:pt idx="426">
                  <c:v>#N/A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#N/A</c:v>
                </c:pt>
                <c:pt idx="432">
                  <c:v>#N/A</c:v>
                </c:pt>
                <c:pt idx="433">
                  <c:v>#N/A</c:v>
                </c:pt>
                <c:pt idx="434">
                  <c:v>#N/A</c:v>
                </c:pt>
                <c:pt idx="435">
                  <c:v>#N/A</c:v>
                </c:pt>
                <c:pt idx="436">
                  <c:v>#N/A</c:v>
                </c:pt>
                <c:pt idx="437">
                  <c:v>#N/A</c:v>
                </c:pt>
                <c:pt idx="438">
                  <c:v>#N/A</c:v>
                </c:pt>
                <c:pt idx="439">
                  <c:v>#N/A</c:v>
                </c:pt>
                <c:pt idx="440">
                  <c:v>#N/A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#N/A</c:v>
                </c:pt>
                <c:pt idx="445">
                  <c:v>#N/A</c:v>
                </c:pt>
                <c:pt idx="446">
                  <c:v>#N/A</c:v>
                </c:pt>
                <c:pt idx="447">
                  <c:v>#N/A</c:v>
                </c:pt>
                <c:pt idx="448">
                  <c:v>#N/A</c:v>
                </c:pt>
                <c:pt idx="449">
                  <c:v>#N/A</c:v>
                </c:pt>
                <c:pt idx="450">
                  <c:v>#N/A</c:v>
                </c:pt>
                <c:pt idx="451">
                  <c:v>#N/A</c:v>
                </c:pt>
                <c:pt idx="452">
                  <c:v>#N/A</c:v>
                </c:pt>
                <c:pt idx="453">
                  <c:v>#N/A</c:v>
                </c:pt>
                <c:pt idx="454">
                  <c:v>#N/A</c:v>
                </c:pt>
                <c:pt idx="455">
                  <c:v>#N/A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#N/A</c:v>
                </c:pt>
                <c:pt idx="462">
                  <c:v>#N/A</c:v>
                </c:pt>
                <c:pt idx="463">
                  <c:v>#N/A</c:v>
                </c:pt>
                <c:pt idx="464">
                  <c:v>#N/A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#N/A</c:v>
                </c:pt>
                <c:pt idx="469">
                  <c:v>#N/A</c:v>
                </c:pt>
                <c:pt idx="470">
                  <c:v>#N/A</c:v>
                </c:pt>
                <c:pt idx="471">
                  <c:v>#N/A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#N/A</c:v>
                </c:pt>
                <c:pt idx="478">
                  <c:v>#N/A</c:v>
                </c:pt>
                <c:pt idx="479">
                  <c:v>#N/A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#N/A</c:v>
                </c:pt>
                <c:pt idx="485">
                  <c:v>#N/A</c:v>
                </c:pt>
                <c:pt idx="486">
                  <c:v>#N/A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#N/A</c:v>
                </c:pt>
                <c:pt idx="492">
                  <c:v>#N/A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#N/A</c:v>
                </c:pt>
                <c:pt idx="497">
                  <c:v>#N/A</c:v>
                </c:pt>
                <c:pt idx="498">
                  <c:v>#N/A</c:v>
                </c:pt>
                <c:pt idx="499">
                  <c:v>#N/A</c:v>
                </c:pt>
                <c:pt idx="500">
                  <c:v>#N/A</c:v>
                </c:pt>
                <c:pt idx="501">
                  <c:v>#N/A</c:v>
                </c:pt>
                <c:pt idx="502">
                  <c:v>#N/A</c:v>
                </c:pt>
                <c:pt idx="503">
                  <c:v>#N/A</c:v>
                </c:pt>
                <c:pt idx="504">
                  <c:v>#N/A</c:v>
                </c:pt>
                <c:pt idx="505">
                  <c:v>#N/A</c:v>
                </c:pt>
                <c:pt idx="506">
                  <c:v>#N/A</c:v>
                </c:pt>
                <c:pt idx="507">
                  <c:v>#N/A</c:v>
                </c:pt>
                <c:pt idx="508">
                  <c:v>#N/A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#N/A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#N/A</c:v>
                </c:pt>
                <c:pt idx="518">
                  <c:v>#N/A</c:v>
                </c:pt>
                <c:pt idx="519">
                  <c:v>#N/A</c:v>
                </c:pt>
                <c:pt idx="520">
                  <c:v>#N/A</c:v>
                </c:pt>
                <c:pt idx="521">
                  <c:v>#N/A</c:v>
                </c:pt>
                <c:pt idx="522">
                  <c:v>#N/A</c:v>
                </c:pt>
                <c:pt idx="523">
                  <c:v>#N/A</c:v>
                </c:pt>
                <c:pt idx="524">
                  <c:v>#N/A</c:v>
                </c:pt>
                <c:pt idx="525">
                  <c:v>#N/A</c:v>
                </c:pt>
                <c:pt idx="526">
                  <c:v>#N/A</c:v>
                </c:pt>
                <c:pt idx="527">
                  <c:v>#N/A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#N/A</c:v>
                </c:pt>
                <c:pt idx="537">
                  <c:v>#N/A</c:v>
                </c:pt>
                <c:pt idx="538">
                  <c:v>#N/A</c:v>
                </c:pt>
                <c:pt idx="539">
                  <c:v>#N/A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#N/A</c:v>
                </c:pt>
                <c:pt idx="545">
                  <c:v>#N/A</c:v>
                </c:pt>
                <c:pt idx="546">
                  <c:v>#N/A</c:v>
                </c:pt>
                <c:pt idx="547">
                  <c:v>#N/A</c:v>
                </c:pt>
                <c:pt idx="548">
                  <c:v>#N/A</c:v>
                </c:pt>
                <c:pt idx="549">
                  <c:v>#N/A</c:v>
                </c:pt>
                <c:pt idx="550">
                  <c:v>#N/A</c:v>
                </c:pt>
                <c:pt idx="551">
                  <c:v>#N/A</c:v>
                </c:pt>
                <c:pt idx="552">
                  <c:v>#N/A</c:v>
                </c:pt>
                <c:pt idx="553">
                  <c:v>#N/A</c:v>
                </c:pt>
                <c:pt idx="554">
                  <c:v>#N/A</c:v>
                </c:pt>
                <c:pt idx="555">
                  <c:v>#N/A</c:v>
                </c:pt>
                <c:pt idx="556">
                  <c:v>#N/A</c:v>
                </c:pt>
                <c:pt idx="557">
                  <c:v>#N/A</c:v>
                </c:pt>
                <c:pt idx="558">
                  <c:v>#N/A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#N/A</c:v>
                </c:pt>
                <c:pt idx="563">
                  <c:v>#N/A</c:v>
                </c:pt>
                <c:pt idx="564">
                  <c:v>#N/A</c:v>
                </c:pt>
                <c:pt idx="565">
                  <c:v>#N/A</c:v>
                </c:pt>
                <c:pt idx="566">
                  <c:v>#N/A</c:v>
                </c:pt>
                <c:pt idx="567">
                  <c:v>#N/A</c:v>
                </c:pt>
                <c:pt idx="568">
                  <c:v>#N/A</c:v>
                </c:pt>
                <c:pt idx="569">
                  <c:v>#N/A</c:v>
                </c:pt>
                <c:pt idx="570">
                  <c:v>#N/A</c:v>
                </c:pt>
                <c:pt idx="571">
                  <c:v>#N/A</c:v>
                </c:pt>
                <c:pt idx="572">
                  <c:v>#N/A</c:v>
                </c:pt>
                <c:pt idx="573">
                  <c:v>#N/A</c:v>
                </c:pt>
                <c:pt idx="574">
                  <c:v>#N/A</c:v>
                </c:pt>
                <c:pt idx="575">
                  <c:v>#N/A</c:v>
                </c:pt>
                <c:pt idx="576">
                  <c:v>#N/A</c:v>
                </c:pt>
                <c:pt idx="577">
                  <c:v>#N/A</c:v>
                </c:pt>
                <c:pt idx="578">
                  <c:v>#N/A</c:v>
                </c:pt>
                <c:pt idx="579">
                  <c:v>#N/A</c:v>
                </c:pt>
                <c:pt idx="580">
                  <c:v>#N/A</c:v>
                </c:pt>
                <c:pt idx="581">
                  <c:v>#N/A</c:v>
                </c:pt>
                <c:pt idx="582">
                  <c:v>#N/A</c:v>
                </c:pt>
                <c:pt idx="583">
                  <c:v>#N/A</c:v>
                </c:pt>
                <c:pt idx="584">
                  <c:v>#N/A</c:v>
                </c:pt>
                <c:pt idx="585">
                  <c:v>#N/A</c:v>
                </c:pt>
                <c:pt idx="586">
                  <c:v>#N/A</c:v>
                </c:pt>
                <c:pt idx="587">
                  <c:v>#N/A</c:v>
                </c:pt>
                <c:pt idx="588">
                  <c:v>#N/A</c:v>
                </c:pt>
                <c:pt idx="589">
                  <c:v>#N/A</c:v>
                </c:pt>
                <c:pt idx="590">
                  <c:v>#N/A</c:v>
                </c:pt>
                <c:pt idx="591">
                  <c:v>#N/A</c:v>
                </c:pt>
                <c:pt idx="592">
                  <c:v>#N/A</c:v>
                </c:pt>
                <c:pt idx="593">
                  <c:v>#N/A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#N/A</c:v>
                </c:pt>
                <c:pt idx="598">
                  <c:v>#N/A</c:v>
                </c:pt>
                <c:pt idx="599">
                  <c:v>#N/A</c:v>
                </c:pt>
                <c:pt idx="600">
                  <c:v>#N/A</c:v>
                </c:pt>
                <c:pt idx="601">
                  <c:v>#N/A</c:v>
                </c:pt>
                <c:pt idx="602">
                  <c:v>#N/A</c:v>
                </c:pt>
                <c:pt idx="603">
                  <c:v>#N/A</c:v>
                </c:pt>
                <c:pt idx="604">
                  <c:v>#N/A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#N/A</c:v>
                </c:pt>
                <c:pt idx="610">
                  <c:v>#N/A</c:v>
                </c:pt>
                <c:pt idx="611">
                  <c:v>#N/A</c:v>
                </c:pt>
                <c:pt idx="612">
                  <c:v>#N/A</c:v>
                </c:pt>
                <c:pt idx="613">
                  <c:v>#N/A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#N/A</c:v>
                </c:pt>
                <c:pt idx="618">
                  <c:v>#N/A</c:v>
                </c:pt>
                <c:pt idx="619">
                  <c:v>#N/A</c:v>
                </c:pt>
                <c:pt idx="620">
                  <c:v>#N/A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#N/A</c:v>
                </c:pt>
                <c:pt idx="628">
                  <c:v>#N/A</c:v>
                </c:pt>
                <c:pt idx="629">
                  <c:v>#N/A</c:v>
                </c:pt>
                <c:pt idx="630">
                  <c:v>#N/A</c:v>
                </c:pt>
                <c:pt idx="631">
                  <c:v>#N/A</c:v>
                </c:pt>
                <c:pt idx="632">
                  <c:v>#N/A</c:v>
                </c:pt>
                <c:pt idx="633">
                  <c:v>#N/A</c:v>
                </c:pt>
                <c:pt idx="634">
                  <c:v>#N/A</c:v>
                </c:pt>
                <c:pt idx="635">
                  <c:v>#N/A</c:v>
                </c:pt>
                <c:pt idx="636">
                  <c:v>#N/A</c:v>
                </c:pt>
                <c:pt idx="637">
                  <c:v>#N/A</c:v>
                </c:pt>
                <c:pt idx="638">
                  <c:v>#N/A</c:v>
                </c:pt>
                <c:pt idx="639">
                  <c:v>#N/A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#N/A</c:v>
                </c:pt>
                <c:pt idx="648">
                  <c:v>#N/A</c:v>
                </c:pt>
                <c:pt idx="649">
                  <c:v>#N/A</c:v>
                </c:pt>
                <c:pt idx="650">
                  <c:v>#N/A</c:v>
                </c:pt>
                <c:pt idx="651">
                  <c:v>#N/A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#N/A</c:v>
                </c:pt>
                <c:pt idx="656">
                  <c:v>#N/A</c:v>
                </c:pt>
                <c:pt idx="657">
                  <c:v>#N/A</c:v>
                </c:pt>
                <c:pt idx="658">
                  <c:v>#N/A</c:v>
                </c:pt>
                <c:pt idx="659">
                  <c:v>#N/A</c:v>
                </c:pt>
                <c:pt idx="660">
                  <c:v>#N/A</c:v>
                </c:pt>
                <c:pt idx="661">
                  <c:v>#N/A</c:v>
                </c:pt>
                <c:pt idx="662">
                  <c:v>#N/A</c:v>
                </c:pt>
                <c:pt idx="663">
                  <c:v>#N/A</c:v>
                </c:pt>
                <c:pt idx="664">
                  <c:v>#N/A</c:v>
                </c:pt>
                <c:pt idx="665">
                  <c:v>#N/A</c:v>
                </c:pt>
                <c:pt idx="666">
                  <c:v>#N/A</c:v>
                </c:pt>
                <c:pt idx="667">
                  <c:v>#N/A</c:v>
                </c:pt>
                <c:pt idx="668">
                  <c:v>#N/A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#N/A</c:v>
                </c:pt>
                <c:pt idx="673">
                  <c:v>#N/A</c:v>
                </c:pt>
                <c:pt idx="674">
                  <c:v>#N/A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#N/A</c:v>
                </c:pt>
                <c:pt idx="679">
                  <c:v>#N/A</c:v>
                </c:pt>
                <c:pt idx="680">
                  <c:v>#N/A</c:v>
                </c:pt>
                <c:pt idx="681">
                  <c:v>#N/A</c:v>
                </c:pt>
                <c:pt idx="682">
                  <c:v>#N/A</c:v>
                </c:pt>
                <c:pt idx="683">
                  <c:v>#N/A</c:v>
                </c:pt>
                <c:pt idx="684">
                  <c:v>#N/A</c:v>
                </c:pt>
                <c:pt idx="685">
                  <c:v>#N/A</c:v>
                </c:pt>
                <c:pt idx="686">
                  <c:v>#N/A</c:v>
                </c:pt>
                <c:pt idx="687">
                  <c:v>#N/A</c:v>
                </c:pt>
                <c:pt idx="688">
                  <c:v>#N/A</c:v>
                </c:pt>
                <c:pt idx="689">
                  <c:v>#N/A</c:v>
                </c:pt>
                <c:pt idx="690">
                  <c:v>#N/A</c:v>
                </c:pt>
                <c:pt idx="691">
                  <c:v>#N/A</c:v>
                </c:pt>
                <c:pt idx="692">
                  <c:v>#N/A</c:v>
                </c:pt>
                <c:pt idx="693">
                  <c:v>#N/A</c:v>
                </c:pt>
                <c:pt idx="694">
                  <c:v>#N/A</c:v>
                </c:pt>
                <c:pt idx="695">
                  <c:v>#N/A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#N/A</c:v>
                </c:pt>
                <c:pt idx="703">
                  <c:v>#N/A</c:v>
                </c:pt>
                <c:pt idx="704">
                  <c:v>#N/A</c:v>
                </c:pt>
                <c:pt idx="705">
                  <c:v>#N/A</c:v>
                </c:pt>
                <c:pt idx="706">
                  <c:v>#N/A</c:v>
                </c:pt>
                <c:pt idx="707">
                  <c:v>#N/A</c:v>
                </c:pt>
                <c:pt idx="708">
                  <c:v>#N/A</c:v>
                </c:pt>
                <c:pt idx="709">
                  <c:v>#N/A</c:v>
                </c:pt>
                <c:pt idx="710">
                  <c:v>#N/A</c:v>
                </c:pt>
                <c:pt idx="711">
                  <c:v>#N/A</c:v>
                </c:pt>
                <c:pt idx="712">
                  <c:v>#N/A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#N/A</c:v>
                </c:pt>
                <c:pt idx="718">
                  <c:v>#N/A</c:v>
                </c:pt>
                <c:pt idx="719">
                  <c:v>#N/A</c:v>
                </c:pt>
                <c:pt idx="720">
                  <c:v>#N/A</c:v>
                </c:pt>
                <c:pt idx="721">
                  <c:v>#N/A</c:v>
                </c:pt>
                <c:pt idx="722">
                  <c:v>#N/A</c:v>
                </c:pt>
                <c:pt idx="723">
                  <c:v>#N/A</c:v>
                </c:pt>
                <c:pt idx="724">
                  <c:v>#N/A</c:v>
                </c:pt>
                <c:pt idx="725">
                  <c:v>#N/A</c:v>
                </c:pt>
                <c:pt idx="726">
                  <c:v>#N/A</c:v>
                </c:pt>
                <c:pt idx="727">
                  <c:v>#N/A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#N/A</c:v>
                </c:pt>
                <c:pt idx="732">
                  <c:v>#N/A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#N/A</c:v>
                </c:pt>
                <c:pt idx="738">
                  <c:v>#N/A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#N/A</c:v>
                </c:pt>
                <c:pt idx="743">
                  <c:v>#N/A</c:v>
                </c:pt>
                <c:pt idx="744">
                  <c:v>#N/A</c:v>
                </c:pt>
                <c:pt idx="745">
                  <c:v>#N/A</c:v>
                </c:pt>
                <c:pt idx="746">
                  <c:v>#N/A</c:v>
                </c:pt>
                <c:pt idx="747">
                  <c:v>#N/A</c:v>
                </c:pt>
                <c:pt idx="748">
                  <c:v>#N/A</c:v>
                </c:pt>
                <c:pt idx="749">
                  <c:v>#N/A</c:v>
                </c:pt>
                <c:pt idx="750">
                  <c:v>#N/A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#N/A</c:v>
                </c:pt>
                <c:pt idx="761">
                  <c:v>#N/A</c:v>
                </c:pt>
                <c:pt idx="762">
                  <c:v>#N/A</c:v>
                </c:pt>
                <c:pt idx="763">
                  <c:v>#N/A</c:v>
                </c:pt>
                <c:pt idx="764">
                  <c:v>#N/A</c:v>
                </c:pt>
                <c:pt idx="765">
                  <c:v>#N/A</c:v>
                </c:pt>
                <c:pt idx="766">
                  <c:v>#N/A</c:v>
                </c:pt>
                <c:pt idx="767">
                  <c:v>#N/A</c:v>
                </c:pt>
                <c:pt idx="768">
                  <c:v>#N/A</c:v>
                </c:pt>
                <c:pt idx="769">
                  <c:v>#N/A</c:v>
                </c:pt>
                <c:pt idx="770">
                  <c:v>#N/A</c:v>
                </c:pt>
                <c:pt idx="771">
                  <c:v>#N/A</c:v>
                </c:pt>
                <c:pt idx="772">
                  <c:v>#N/A</c:v>
                </c:pt>
                <c:pt idx="773">
                  <c:v>#N/A</c:v>
                </c:pt>
                <c:pt idx="774">
                  <c:v>#N/A</c:v>
                </c:pt>
                <c:pt idx="775">
                  <c:v>#N/A</c:v>
                </c:pt>
                <c:pt idx="776">
                  <c:v>#N/A</c:v>
                </c:pt>
                <c:pt idx="777">
                  <c:v>#N/A</c:v>
                </c:pt>
                <c:pt idx="778">
                  <c:v>#N/A</c:v>
                </c:pt>
                <c:pt idx="779">
                  <c:v>#N/A</c:v>
                </c:pt>
                <c:pt idx="780">
                  <c:v>#N/A</c:v>
                </c:pt>
                <c:pt idx="781">
                  <c:v>#N/A</c:v>
                </c:pt>
                <c:pt idx="782">
                  <c:v>#N/A</c:v>
                </c:pt>
                <c:pt idx="783">
                  <c:v>#N/A</c:v>
                </c:pt>
                <c:pt idx="784">
                  <c:v>#N/A</c:v>
                </c:pt>
                <c:pt idx="785">
                  <c:v>#N/A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#N/A</c:v>
                </c:pt>
                <c:pt idx="790">
                  <c:v>#N/A</c:v>
                </c:pt>
                <c:pt idx="791">
                  <c:v>#N/A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#N/A</c:v>
                </c:pt>
                <c:pt idx="799">
                  <c:v>#N/A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#N/A</c:v>
                </c:pt>
                <c:pt idx="804">
                  <c:v>#N/A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#N/A</c:v>
                </c:pt>
                <c:pt idx="810">
                  <c:v>#N/A</c:v>
                </c:pt>
                <c:pt idx="811">
                  <c:v>#N/A</c:v>
                </c:pt>
                <c:pt idx="812">
                  <c:v>#N/A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#N/A</c:v>
                </c:pt>
                <c:pt idx="818">
                  <c:v>#N/A</c:v>
                </c:pt>
                <c:pt idx="819">
                  <c:v>#N/A</c:v>
                </c:pt>
                <c:pt idx="820">
                  <c:v>#N/A</c:v>
                </c:pt>
                <c:pt idx="821">
                  <c:v>#N/A</c:v>
                </c:pt>
                <c:pt idx="822">
                  <c:v>#N/A</c:v>
                </c:pt>
                <c:pt idx="823">
                  <c:v>#N/A</c:v>
                </c:pt>
                <c:pt idx="824">
                  <c:v>#N/A</c:v>
                </c:pt>
                <c:pt idx="825">
                  <c:v>#N/A</c:v>
                </c:pt>
                <c:pt idx="826">
                  <c:v>#N/A</c:v>
                </c:pt>
                <c:pt idx="827">
                  <c:v>#N/A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#N/A</c:v>
                </c:pt>
                <c:pt idx="832">
                  <c:v>#N/A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#N/A</c:v>
                </c:pt>
                <c:pt idx="839">
                  <c:v>#N/A</c:v>
                </c:pt>
                <c:pt idx="840">
                  <c:v>#N/A</c:v>
                </c:pt>
                <c:pt idx="841">
                  <c:v>#N/A</c:v>
                </c:pt>
                <c:pt idx="842">
                  <c:v>#N/A</c:v>
                </c:pt>
                <c:pt idx="843">
                  <c:v>#N/A</c:v>
                </c:pt>
                <c:pt idx="844">
                  <c:v>#N/A</c:v>
                </c:pt>
                <c:pt idx="845">
                  <c:v>#N/A</c:v>
                </c:pt>
                <c:pt idx="846">
                  <c:v>#N/A</c:v>
                </c:pt>
                <c:pt idx="847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356-F628-46A7-9E5E-739C6B450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9684896"/>
        <c:axId val="289683648"/>
      </c:scatterChart>
      <c:valAx>
        <c:axId val="28968489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89683648"/>
        <c:crosses val="autoZero"/>
        <c:crossBetween val="midCat"/>
      </c:valAx>
      <c:valAx>
        <c:axId val="2896836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89684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91896649093360261"/>
          <c:y val="4.5415713813182795E-2"/>
          <c:w val="4.3939309395442543E-2"/>
          <c:h val="0.13155134407779867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'[1]Точность глубин скважин '!$AF$4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explosion val="13"/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77D-4446-84BA-47DD97F88783}"/>
              </c:ext>
            </c:extLst>
          </c:dPt>
          <c:dPt>
            <c:idx val="1"/>
            <c:bubble3D val="0"/>
            <c:explosion val="4"/>
            <c:spPr>
              <a:solidFill>
                <a:srgbClr val="92D050"/>
              </a:solidFill>
              <a:ln>
                <a:solidFill>
                  <a:schemeClr val="accent1">
                    <a:alpha val="95000"/>
                  </a:schemeClr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77D-4446-84BA-47DD97F88783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77D-4446-84BA-47DD97F88783}"/>
              </c:ext>
            </c:extLst>
          </c:dPt>
          <c:dLbls>
            <c:dLbl>
              <c:idx val="0"/>
              <c:layout>
                <c:manualLayout>
                  <c:x val="-0.15372546487975461"/>
                  <c:y val="2.997857240228490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77D-4446-84BA-47DD97F88783}"/>
                </c:ext>
              </c:extLst>
            </c:dLbl>
            <c:dLbl>
              <c:idx val="1"/>
              <c:layout>
                <c:manualLayout>
                  <c:x val="0.19032676604160098"/>
                  <c:y val="0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77D-4446-84BA-47DD97F88783}"/>
                </c:ext>
              </c:extLst>
            </c:dLbl>
            <c:dLbl>
              <c:idx val="2"/>
              <c:layout>
                <c:manualLayout>
                  <c:x val="-0.15738559499593927"/>
                  <c:y val="-7.49464310057122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77D-4446-84BA-47DD97F88783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8000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'[1]Точность глубин скважин '!$AG$2:$AI$2</c:f>
              <c:strCache>
                <c:ptCount val="3"/>
                <c:pt idx="0">
                  <c:v>Недобуренные</c:v>
                </c:pt>
                <c:pt idx="1">
                  <c:v>Перебуренные</c:v>
                </c:pt>
                <c:pt idx="2">
                  <c:v>Проектные</c:v>
                </c:pt>
              </c:strCache>
            </c:strRef>
          </c:cat>
          <c:val>
            <c:numRef>
              <c:f>'[1]Точность глубин скважин '!$AG$4:$AI$4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7D-4446-84BA-47DD97F88783}"/>
            </c:ext>
          </c:extLst>
        </c:ser>
        <c:ser>
          <c:idx val="1"/>
          <c:order val="1"/>
          <c:tx>
            <c:strRef>
              <c:f>'[1]Точность глубин скважин '!$AF$5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F77D-4446-84BA-47DD97F8878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F77D-4446-84BA-47DD97F8878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F77D-4446-84BA-47DD97F8878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'[1]Точность глубин скважин '!$AG$2:$AI$2</c:f>
              <c:strCache>
                <c:ptCount val="3"/>
                <c:pt idx="0">
                  <c:v>Недобуренные</c:v>
                </c:pt>
                <c:pt idx="1">
                  <c:v>Перебуренные</c:v>
                </c:pt>
                <c:pt idx="2">
                  <c:v>Проектные</c:v>
                </c:pt>
              </c:strCache>
            </c:strRef>
          </c:cat>
          <c:val>
            <c:numRef>
              <c:f>'[1]Точность глубин скважин '!$AG$5:$AI$5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77D-4446-84BA-47DD97F8878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pct5">
      <a:fgClr>
        <a:schemeClr val="bg1"/>
      </a:fgClr>
      <a:bgClr>
        <a:schemeClr val="bg1"/>
      </a:bgClr>
    </a:patt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274437365976318E-2"/>
          <c:y val="5.073112591700072E-2"/>
          <c:w val="0.89577524048432056"/>
          <c:h val="0.829789056920654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'[1]Точность глубин скважин '!$AC$29:$AD$29</c:f>
              <c:strCache>
                <c:ptCount val="1"/>
                <c:pt idx="0">
                  <c:v>Below Tolerance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49E-408B-A1A7-68C42E7B525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49E-408B-A1A7-68C42E7B525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49E-408B-A1A7-68C42E7B5257}"/>
              </c:ext>
            </c:extLst>
          </c:dPt>
          <c:dLbls>
            <c:dLbl>
              <c:idx val="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9E-408B-A1A7-68C42E7B5257}"/>
                </c:ext>
              </c:extLst>
            </c:dLbl>
            <c:dLbl>
              <c:idx val="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49E-408B-A1A7-68C42E7B5257}"/>
                </c:ext>
              </c:extLst>
            </c:dLbl>
            <c:dLbl>
              <c:idx val="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49E-408B-A1A7-68C42E7B5257}"/>
                </c:ext>
              </c:extLst>
            </c:dLbl>
            <c:dLbl>
              <c:idx val="8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49E-408B-A1A7-68C42E7B5257}"/>
                </c:ext>
              </c:extLst>
            </c:dLbl>
            <c:dLbl>
              <c:idx val="1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49E-408B-A1A7-68C42E7B5257}"/>
                </c:ext>
              </c:extLst>
            </c:dLbl>
            <c:dLbl>
              <c:idx val="1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49E-408B-A1A7-68C42E7B5257}"/>
                </c:ext>
              </c:extLst>
            </c:dLbl>
            <c:dLbl>
              <c:idx val="14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49E-408B-A1A7-68C42E7B5257}"/>
                </c:ext>
              </c:extLst>
            </c:dLbl>
            <c:dLbl>
              <c:idx val="1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49E-408B-A1A7-68C42E7B5257}"/>
                </c:ext>
              </c:extLst>
            </c:dLbl>
            <c:numFmt formatCode="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'[1]Точность глубин скважин '!$AE$31:$AE$71</c:f>
              <c:numCache>
                <c:formatCode>0.0</c:formatCode>
                <c:ptCount val="4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1.1000000000000001</c:v>
                </c:pt>
                <c:pt idx="22">
                  <c:v>1.2</c:v>
                </c:pt>
                <c:pt idx="23">
                  <c:v>1.3</c:v>
                </c:pt>
                <c:pt idx="24">
                  <c:v>1.4</c:v>
                </c:pt>
                <c:pt idx="25">
                  <c:v>1.5</c:v>
                </c:pt>
                <c:pt idx="26">
                  <c:v>1.6</c:v>
                </c:pt>
                <c:pt idx="27">
                  <c:v>1.7</c:v>
                </c:pt>
                <c:pt idx="28">
                  <c:v>1.8</c:v>
                </c:pt>
                <c:pt idx="29">
                  <c:v>1.9</c:v>
                </c:pt>
                <c:pt idx="30">
                  <c:v>2</c:v>
                </c:pt>
                <c:pt idx="31">
                  <c:v>2.1</c:v>
                </c:pt>
                <c:pt idx="32">
                  <c:v>2.2000000000000002</c:v>
                </c:pt>
                <c:pt idx="33">
                  <c:v>2.2999999999999998</c:v>
                </c:pt>
                <c:pt idx="34">
                  <c:v>2.4</c:v>
                </c:pt>
                <c:pt idx="35">
                  <c:v>2.5</c:v>
                </c:pt>
                <c:pt idx="36">
                  <c:v>2.6</c:v>
                </c:pt>
                <c:pt idx="37">
                  <c:v>2.7</c:v>
                </c:pt>
                <c:pt idx="38">
                  <c:v>2.8</c:v>
                </c:pt>
                <c:pt idx="39">
                  <c:v>2.9</c:v>
                </c:pt>
                <c:pt idx="40">
                  <c:v>3</c:v>
                </c:pt>
              </c:numCache>
            </c:numRef>
          </c:cat>
          <c:val>
            <c:numRef>
              <c:f>'[1]Точность глубин скважин '!$AD$31:$AD$71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49E-408B-A1A7-68C42E7B5257}"/>
            </c:ext>
          </c:extLst>
        </c:ser>
        <c:ser>
          <c:idx val="1"/>
          <c:order val="1"/>
          <c:tx>
            <c:strRef>
              <c:f>'[1]Точность глубин скважин '!$AF$29:$AG$29</c:f>
              <c:strCache>
                <c:ptCount val="1"/>
                <c:pt idx="0">
                  <c:v>Above Tolerance</c:v>
                </c:pt>
              </c:strCache>
            </c:strRef>
          </c:tx>
          <c:spPr>
            <a:solidFill>
              <a:srgbClr val="159E0A"/>
            </a:solidFill>
            <a:ln>
              <a:noFill/>
            </a:ln>
            <a:effectLst/>
          </c:spPr>
          <c:invertIfNegative val="0"/>
          <c:dLbls>
            <c:dLbl>
              <c:idx val="3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49E-408B-A1A7-68C42E7B5257}"/>
                </c:ext>
              </c:extLst>
            </c:dLbl>
            <c:dLbl>
              <c:idx val="3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49E-408B-A1A7-68C42E7B5257}"/>
                </c:ext>
              </c:extLst>
            </c:dLbl>
            <c:dLbl>
              <c:idx val="3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49E-408B-A1A7-68C42E7B52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'[1]Точность глубин скважин '!$AE$31:$AE$71</c:f>
              <c:numCache>
                <c:formatCode>0.0</c:formatCode>
                <c:ptCount val="41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1.1000000000000001</c:v>
                </c:pt>
                <c:pt idx="22">
                  <c:v>1.2</c:v>
                </c:pt>
                <c:pt idx="23">
                  <c:v>1.3</c:v>
                </c:pt>
                <c:pt idx="24">
                  <c:v>1.4</c:v>
                </c:pt>
                <c:pt idx="25">
                  <c:v>1.5</c:v>
                </c:pt>
                <c:pt idx="26">
                  <c:v>1.6</c:v>
                </c:pt>
                <c:pt idx="27">
                  <c:v>1.7</c:v>
                </c:pt>
                <c:pt idx="28">
                  <c:v>1.8</c:v>
                </c:pt>
                <c:pt idx="29">
                  <c:v>1.9</c:v>
                </c:pt>
                <c:pt idx="30">
                  <c:v>2</c:v>
                </c:pt>
                <c:pt idx="31">
                  <c:v>2.1</c:v>
                </c:pt>
                <c:pt idx="32">
                  <c:v>2.2000000000000002</c:v>
                </c:pt>
                <c:pt idx="33">
                  <c:v>2.2999999999999998</c:v>
                </c:pt>
                <c:pt idx="34">
                  <c:v>2.4</c:v>
                </c:pt>
                <c:pt idx="35">
                  <c:v>2.5</c:v>
                </c:pt>
                <c:pt idx="36">
                  <c:v>2.6</c:v>
                </c:pt>
                <c:pt idx="37">
                  <c:v>2.7</c:v>
                </c:pt>
                <c:pt idx="38">
                  <c:v>2.8</c:v>
                </c:pt>
                <c:pt idx="39">
                  <c:v>2.9</c:v>
                </c:pt>
                <c:pt idx="40">
                  <c:v>3</c:v>
                </c:pt>
              </c:numCache>
            </c:numRef>
          </c:cat>
          <c:val>
            <c:numRef>
              <c:f>'[1]Точность глубин скважин '!$AG$31:$AG$71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49E-408B-A1A7-68C42E7B5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90"/>
        <c:axId val="509787928"/>
        <c:axId val="657834768"/>
      </c:barChart>
      <c:catAx>
        <c:axId val="509787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Отклонение от проектной глубины</a:t>
                </a:r>
                <a:r>
                  <a:rPr lang="ru-RU" sz="1200" baseline="0"/>
                  <a:t> (м)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31163739073083885"/>
              <c:y val="0.953653580704769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783476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5783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Количество скважин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cross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97879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'[1]Точность массы ВВ в скважинах'!$AF$4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</c:spPr>
          <c:explosion val="13"/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48F-45DA-B8F0-72B9AC659CEE}"/>
              </c:ext>
            </c:extLst>
          </c:dPt>
          <c:dPt>
            <c:idx val="1"/>
            <c:bubble3D val="0"/>
            <c:explosion val="4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8F-45DA-B8F0-72B9AC659CEE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8F-45DA-B8F0-72B9AC659CEE}"/>
              </c:ext>
            </c:extLst>
          </c:dPt>
          <c:dLbls>
            <c:dLbl>
              <c:idx val="1"/>
              <c:layout>
                <c:manualLayout>
                  <c:x val="0.17440105754314378"/>
                  <c:y val="-2.4117127965291143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8F-45DA-B8F0-72B9AC659CE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8000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'[1]Точность массы ВВ в скважинах'!$AG$2:$AI$2</c:f>
              <c:strCache>
                <c:ptCount val="3"/>
                <c:pt idx="0">
                  <c:v>Недозаряженные</c:v>
                </c:pt>
                <c:pt idx="1">
                  <c:v>Перезаряженные</c:v>
                </c:pt>
                <c:pt idx="2">
                  <c:v>Проектные</c:v>
                </c:pt>
              </c:strCache>
            </c:strRef>
          </c:cat>
          <c:val>
            <c:numRef>
              <c:f>'[1]Точность массы ВВ в скважинах'!$AG$4:$AI$4</c:f>
              <c:numCache>
                <c:formatCode>General</c:formatCode>
                <c:ptCount val="3"/>
                <c:pt idx="0">
                  <c:v>0</c:v>
                </c:pt>
                <c:pt idx="1">
                  <c:v>16</c:v>
                </c:pt>
                <c:pt idx="2">
                  <c:v>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8F-45DA-B8F0-72B9AC659CEE}"/>
            </c:ext>
          </c:extLst>
        </c:ser>
        <c:ser>
          <c:idx val="1"/>
          <c:order val="1"/>
          <c:tx>
            <c:strRef>
              <c:f>'[1]Точность массы ВВ в скважинах'!$AF$5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48F-45DA-B8F0-72B9AC659C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648F-45DA-B8F0-72B9AC659C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48F-45DA-B8F0-72B9AC659CE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'[1]Точность массы ВВ в скважинах'!$AG$2:$AI$2</c:f>
              <c:strCache>
                <c:ptCount val="3"/>
                <c:pt idx="0">
                  <c:v>Недозаряженные</c:v>
                </c:pt>
                <c:pt idx="1">
                  <c:v>Перезаряженные</c:v>
                </c:pt>
                <c:pt idx="2">
                  <c:v>Проектные</c:v>
                </c:pt>
              </c:strCache>
            </c:strRef>
          </c:cat>
          <c:val>
            <c:numRef>
              <c:f>'[1]Точность массы ВВ в скважинах'!$AG$5:$AI$5</c:f>
              <c:numCache>
                <c:formatCode>General</c:formatCode>
                <c:ptCount val="3"/>
                <c:pt idx="0">
                  <c:v>0</c:v>
                </c:pt>
                <c:pt idx="1">
                  <c:v>6.7510548523206745E-2</c:v>
                </c:pt>
                <c:pt idx="2">
                  <c:v>0.9324894514767933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48F-45DA-B8F0-72B9AC659CE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pct5">
      <a:fgClr>
        <a:schemeClr val="bg1"/>
      </a:fgClr>
      <a:bgClr>
        <a:schemeClr val="bg1"/>
      </a:bgClr>
    </a:patt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274437365976318E-2"/>
          <c:y val="5.073112591700072E-2"/>
          <c:w val="0.89577524048432056"/>
          <c:h val="0.828207063093584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'[1]Точность массы ВВ в скважинах'!$AC$29:$AD$29</c:f>
              <c:strCache>
                <c:ptCount val="1"/>
                <c:pt idx="0">
                  <c:v>Below Tolerance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D7-4FC6-8979-C3B37C3048D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4CD7-4FC6-8979-C3B37C3048D0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CD7-4FC6-8979-C3B37C3048D0}"/>
              </c:ext>
            </c:extLst>
          </c:dPt>
          <c:dLbls>
            <c:dLbl>
              <c:idx val="27"/>
              <c:tx>
                <c:rich>
                  <a:bodyPr/>
                  <a:lstStyle/>
                  <a:p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4CD7-4FC6-8979-C3B37C3048D0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D7-4FC6-8979-C3B37C3048D0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CD7-4FC6-8979-C3B37C3048D0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CD7-4FC6-8979-C3B37C3048D0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CD7-4FC6-8979-C3B37C3048D0}"/>
                </c:ext>
              </c:extLst>
            </c:dLbl>
            <c:numFmt formatCode="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'[1]Точность массы ВВ в скважинах'!$AE$31:$AE$71</c:f>
              <c:numCache>
                <c:formatCode>0.0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'[1]Точность массы ВВ в скважинах'!$AD$31:$AD$71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11</c:v>
                </c:pt>
                <c:pt idx="18">
                  <c:v>47</c:v>
                </c:pt>
                <c:pt idx="19">
                  <c:v>128</c:v>
                </c:pt>
                <c:pt idx="20">
                  <c:v>13</c:v>
                </c:pt>
                <c:pt idx="21">
                  <c:v>0</c:v>
                </c:pt>
                <c:pt idx="22">
                  <c:v>0</c:v>
                </c:pt>
                <c:pt idx="23">
                  <c:v>2</c:v>
                </c:pt>
                <c:pt idx="24">
                  <c:v>4</c:v>
                </c:pt>
                <c:pt idx="25">
                  <c:v>6</c:v>
                </c:pt>
                <c:pt idx="26">
                  <c:v>2</c:v>
                </c:pt>
                <c:pt idx="27">
                  <c:v>1</c:v>
                </c:pt>
                <c:pt idx="28">
                  <c:v>4</c:v>
                </c:pt>
                <c:pt idx="29">
                  <c:v>3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CD7-4FC6-8979-C3B37C3048D0}"/>
            </c:ext>
          </c:extLst>
        </c:ser>
        <c:ser>
          <c:idx val="1"/>
          <c:order val="1"/>
          <c:tx>
            <c:strRef>
              <c:f>'[1]Точность массы ВВ в скважинах'!$AF$29:$AG$29</c:f>
              <c:strCache>
                <c:ptCount val="1"/>
                <c:pt idx="0">
                  <c:v>Above Tolerance</c:v>
                </c:pt>
              </c:strCache>
            </c:strRef>
          </c:tx>
          <c:spPr>
            <a:solidFill>
              <a:srgbClr val="159E0A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'[1]Точность массы ВВ в скважинах'!$AE$31:$AE$71</c:f>
              <c:numCache>
                <c:formatCode>0.0</c:formatCode>
                <c:ptCount val="41"/>
                <c:pt idx="0">
                  <c:v>-100</c:v>
                </c:pt>
                <c:pt idx="1">
                  <c:v>-95</c:v>
                </c:pt>
                <c:pt idx="2">
                  <c:v>-90</c:v>
                </c:pt>
                <c:pt idx="3">
                  <c:v>-85</c:v>
                </c:pt>
                <c:pt idx="4">
                  <c:v>-80</c:v>
                </c:pt>
                <c:pt idx="5">
                  <c:v>-75</c:v>
                </c:pt>
                <c:pt idx="6">
                  <c:v>-70</c:v>
                </c:pt>
                <c:pt idx="7">
                  <c:v>-65</c:v>
                </c:pt>
                <c:pt idx="8">
                  <c:v>-60</c:v>
                </c:pt>
                <c:pt idx="9">
                  <c:v>-55</c:v>
                </c:pt>
                <c:pt idx="10">
                  <c:v>-50</c:v>
                </c:pt>
                <c:pt idx="11">
                  <c:v>-45</c:v>
                </c:pt>
                <c:pt idx="12">
                  <c:v>-40</c:v>
                </c:pt>
                <c:pt idx="13">
                  <c:v>-35</c:v>
                </c:pt>
                <c:pt idx="14">
                  <c:v>-30</c:v>
                </c:pt>
                <c:pt idx="15">
                  <c:v>-25</c:v>
                </c:pt>
                <c:pt idx="16">
                  <c:v>-20</c:v>
                </c:pt>
                <c:pt idx="17">
                  <c:v>-15</c:v>
                </c:pt>
                <c:pt idx="18">
                  <c:v>-10</c:v>
                </c:pt>
                <c:pt idx="19">
                  <c:v>-5</c:v>
                </c:pt>
                <c:pt idx="20">
                  <c:v>0</c:v>
                </c:pt>
                <c:pt idx="21">
                  <c:v>5</c:v>
                </c:pt>
                <c:pt idx="22">
                  <c:v>10</c:v>
                </c:pt>
                <c:pt idx="23">
                  <c:v>15</c:v>
                </c:pt>
                <c:pt idx="24">
                  <c:v>20</c:v>
                </c:pt>
                <c:pt idx="25">
                  <c:v>25</c:v>
                </c:pt>
                <c:pt idx="26">
                  <c:v>30</c:v>
                </c:pt>
                <c:pt idx="27">
                  <c:v>35</c:v>
                </c:pt>
                <c:pt idx="28">
                  <c:v>40</c:v>
                </c:pt>
                <c:pt idx="29">
                  <c:v>45</c:v>
                </c:pt>
                <c:pt idx="30">
                  <c:v>50</c:v>
                </c:pt>
                <c:pt idx="31">
                  <c:v>55</c:v>
                </c:pt>
                <c:pt idx="32">
                  <c:v>60</c:v>
                </c:pt>
                <c:pt idx="33">
                  <c:v>65</c:v>
                </c:pt>
                <c:pt idx="34">
                  <c:v>70</c:v>
                </c:pt>
                <c:pt idx="35">
                  <c:v>75</c:v>
                </c:pt>
                <c:pt idx="36">
                  <c:v>80</c:v>
                </c:pt>
                <c:pt idx="37">
                  <c:v>85</c:v>
                </c:pt>
                <c:pt idx="38">
                  <c:v>90</c:v>
                </c:pt>
                <c:pt idx="39">
                  <c:v>95</c:v>
                </c:pt>
                <c:pt idx="40">
                  <c:v>100</c:v>
                </c:pt>
              </c:numCache>
            </c:numRef>
          </c:cat>
          <c:val>
            <c:numRef>
              <c:f>'[1]Точность массы ВВ в скважинах'!$AG$31:$AG$71</c:f>
              <c:numCache>
                <c:formatCode>0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4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2</c:v>
                </c:pt>
                <c:pt idx="39">
                  <c:v>3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D7-4FC6-8979-C3B37C3048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509787928"/>
        <c:axId val="657834768"/>
      </c:barChart>
      <c:catAx>
        <c:axId val="509787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Отклонение от проектной массы ВВ</a:t>
                </a:r>
                <a:r>
                  <a:rPr lang="ru-RU" sz="1200" baseline="0"/>
                  <a:t> (кг)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31163739073083885"/>
              <c:y val="0.953653580704769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783476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5783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Количество скважин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cross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97879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'[1]Точность недозаряда в скважинах'!$AF$4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effectLst>
              <a:outerShdw blurRad="254000" sx="102000" sy="102000" algn="ctr" rotWithShape="0">
                <a:prstClr val="black">
                  <a:alpha val="20000"/>
                </a:prstClr>
              </a:outerShdw>
            </a:effectLst>
          </c:spPr>
          <c:explosion val="13"/>
          <c:dPt>
            <c:idx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756-421C-BC6B-DCFA23B17208}"/>
              </c:ext>
            </c:extLst>
          </c:dPt>
          <c:dPt>
            <c:idx val="1"/>
            <c:bubble3D val="0"/>
            <c:explosion val="4"/>
            <c:spPr>
              <a:solidFill>
                <a:srgbClr val="FF0000"/>
              </a:solidFill>
              <a:ln>
                <a:solidFill>
                  <a:schemeClr val="accent1">
                    <a:alpha val="95000"/>
                  </a:schemeClr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756-421C-BC6B-DCFA23B17208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756-421C-BC6B-DCFA23B17208}"/>
              </c:ext>
            </c:extLst>
          </c:dPt>
          <c:dLbls>
            <c:dLbl>
              <c:idx val="0"/>
              <c:layout>
                <c:manualLayout>
                  <c:x val="-0.19421752305413023"/>
                  <c:y val="7.494643100571225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56-421C-BC6B-DCFA23B17208}"/>
                </c:ext>
              </c:extLst>
            </c:dLbl>
            <c:dLbl>
              <c:idx val="1"/>
              <c:layout>
                <c:manualLayout>
                  <c:x val="0.22325939566035544"/>
                  <c:y val="1.249107183428537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56-421C-BC6B-DCFA23B1720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8000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'[1]Точность недозаряда в скважинах'!$AG$2:$AI$2</c:f>
              <c:strCache>
                <c:ptCount val="3"/>
                <c:pt idx="0">
                  <c:v>Длина недозаряда &lt; проектного</c:v>
                </c:pt>
                <c:pt idx="1">
                  <c:v>Длина недозаряда &gt; проектного</c:v>
                </c:pt>
                <c:pt idx="2">
                  <c:v>Проектная</c:v>
                </c:pt>
              </c:strCache>
            </c:strRef>
          </c:cat>
          <c:val>
            <c:numRef>
              <c:f>'[1]Точность недозаряда в скважинах'!$AG$4:$AI$4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756-421C-BC6B-DCFA23B17208}"/>
            </c:ext>
          </c:extLst>
        </c:ser>
        <c:ser>
          <c:idx val="1"/>
          <c:order val="1"/>
          <c:tx>
            <c:strRef>
              <c:f>'[1]Точность недозаряда в скважинах'!$AF$5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B756-421C-BC6B-DCFA23B1720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B756-421C-BC6B-DCFA23B1720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B756-421C-BC6B-DCFA23B1720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'[1]Точность недозаряда в скважинах'!$AG$2:$AI$2</c:f>
              <c:strCache>
                <c:ptCount val="3"/>
                <c:pt idx="0">
                  <c:v>Длина недозаряда &lt; проектного</c:v>
                </c:pt>
                <c:pt idx="1">
                  <c:v>Длина недозаряда &gt; проектного</c:v>
                </c:pt>
                <c:pt idx="2">
                  <c:v>Проектная</c:v>
                </c:pt>
              </c:strCache>
            </c:strRef>
          </c:cat>
          <c:val>
            <c:numRef>
              <c:f>'[1]Точность недозаряда в скважинах'!$AG$5:$AI$5</c:f>
              <c:numCache>
                <c:formatCode>General</c:formatCode>
                <c:ptCount val="3"/>
                <c:pt idx="0">
                  <c:v>8.4388185654008432E-3</c:v>
                </c:pt>
                <c:pt idx="1">
                  <c:v>8.4388185654008432E-3</c:v>
                </c:pt>
                <c:pt idx="2">
                  <c:v>0.9831223628691983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756-421C-BC6B-DCFA23B1720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pattFill prst="pct5">
      <a:fgClr>
        <a:schemeClr val="bg1"/>
      </a:fgClr>
      <a:bgClr>
        <a:schemeClr val="bg1"/>
      </a:bgClr>
    </a:patt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274437365976318E-2"/>
          <c:y val="5.073112591700072E-2"/>
          <c:w val="0.89577524048432056"/>
          <c:h val="0.8282070630935846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'[1]Точность недозаряда в скважинах'!$AC$29:$AD$29</c:f>
              <c:strCache>
                <c:ptCount val="1"/>
                <c:pt idx="0">
                  <c:v>Below Tolerance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771-4C74-9364-4B335F837548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5771-4C74-9364-4B335F837548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771-4C74-9364-4B335F837548}"/>
              </c:ext>
            </c:extLst>
          </c:dPt>
          <c:dLbls>
            <c:dLbl>
              <c:idx val="3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771-4C74-9364-4B335F837548}"/>
                </c:ext>
              </c:extLst>
            </c:dLbl>
            <c:dLbl>
              <c:idx val="3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771-4C74-9364-4B335F837548}"/>
                </c:ext>
              </c:extLst>
            </c:dLbl>
            <c:dLbl>
              <c:idx val="3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771-4C74-9364-4B335F837548}"/>
                </c:ext>
              </c:extLst>
            </c:dLbl>
            <c:dLbl>
              <c:idx val="3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771-4C74-9364-4B335F837548}"/>
                </c:ext>
              </c:extLst>
            </c:dLbl>
            <c:numFmt formatCode="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'[1]Точность недозаряда в скважинах'!$AE$31:$AE$85</c:f>
              <c:numCache>
                <c:formatCode>0.0</c:formatCode>
                <c:ptCount val="55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2.4</c:v>
                </c:pt>
              </c:numCache>
            </c:numRef>
          </c:cat>
          <c:val>
            <c:numRef>
              <c:f>'[1]Точность недозаряда в скважинах'!$AD$31:$AD$85</c:f>
              <c:numCache>
                <c:formatCode>0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</c:v>
                </c:pt>
                <c:pt idx="29">
                  <c:v>10</c:v>
                </c:pt>
                <c:pt idx="30">
                  <c:v>100</c:v>
                </c:pt>
                <c:pt idx="31">
                  <c:v>7</c:v>
                </c:pt>
                <c:pt idx="32">
                  <c:v>66</c:v>
                </c:pt>
                <c:pt idx="33">
                  <c:v>43</c:v>
                </c:pt>
                <c:pt idx="34">
                  <c:v>5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71-4C74-9364-4B335F837548}"/>
            </c:ext>
          </c:extLst>
        </c:ser>
        <c:ser>
          <c:idx val="1"/>
          <c:order val="1"/>
          <c:tx>
            <c:strRef>
              <c:f>'[1]Точность недозаряда в скважинах'!$AF$29:$AG$29</c:f>
              <c:strCache>
                <c:ptCount val="1"/>
                <c:pt idx="0">
                  <c:v>Above Tolerance</c:v>
                </c:pt>
              </c:strCache>
            </c:strRef>
          </c:tx>
          <c:spPr>
            <a:solidFill>
              <a:srgbClr val="159E0A"/>
            </a:solidFill>
            <a:ln>
              <a:noFill/>
            </a:ln>
            <a:effectLst/>
          </c:spPr>
          <c:invertIfNegative val="0"/>
          <c:dLbls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771-4C74-9364-4B335F837548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771-4C74-9364-4B335F837548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771-4C74-9364-4B335F837548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771-4C74-9364-4B335F83754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771-4C74-9364-4B335F83754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771-4C74-9364-4B335F837548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771-4C74-9364-4B335F837548}"/>
                </c:ext>
              </c:extLst>
            </c:dLbl>
            <c:dLbl>
              <c:idx val="3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771-4C74-9364-4B335F837548}"/>
                </c:ext>
              </c:extLst>
            </c:dLbl>
            <c:numFmt formatCode="#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shade val="95000"/>
                          <a:satMod val="10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'[1]Точность недозаряда в скважинах'!$AE$31:$AE$85</c:f>
              <c:numCache>
                <c:formatCode>0.0</c:formatCode>
                <c:ptCount val="55"/>
                <c:pt idx="0">
                  <c:v>-3</c:v>
                </c:pt>
                <c:pt idx="1">
                  <c:v>-2.9</c:v>
                </c:pt>
                <c:pt idx="2">
                  <c:v>-2.8</c:v>
                </c:pt>
                <c:pt idx="3">
                  <c:v>-2.7</c:v>
                </c:pt>
                <c:pt idx="4">
                  <c:v>-2.6</c:v>
                </c:pt>
                <c:pt idx="5">
                  <c:v>-2.5</c:v>
                </c:pt>
                <c:pt idx="6">
                  <c:v>-2.4</c:v>
                </c:pt>
                <c:pt idx="7">
                  <c:v>-2.2999999999999998</c:v>
                </c:pt>
                <c:pt idx="8">
                  <c:v>-2.2000000000000002</c:v>
                </c:pt>
                <c:pt idx="9">
                  <c:v>-2.1</c:v>
                </c:pt>
                <c:pt idx="10">
                  <c:v>-2</c:v>
                </c:pt>
                <c:pt idx="11">
                  <c:v>-1.9</c:v>
                </c:pt>
                <c:pt idx="12">
                  <c:v>-1.8</c:v>
                </c:pt>
                <c:pt idx="13">
                  <c:v>-1.7</c:v>
                </c:pt>
                <c:pt idx="14">
                  <c:v>-1.6</c:v>
                </c:pt>
                <c:pt idx="15">
                  <c:v>-1.5</c:v>
                </c:pt>
                <c:pt idx="16">
                  <c:v>-1.4</c:v>
                </c:pt>
                <c:pt idx="17">
                  <c:v>-1.3</c:v>
                </c:pt>
                <c:pt idx="18">
                  <c:v>-1.2</c:v>
                </c:pt>
                <c:pt idx="19">
                  <c:v>-1.1000000000000001</c:v>
                </c:pt>
                <c:pt idx="20">
                  <c:v>-1</c:v>
                </c:pt>
                <c:pt idx="21">
                  <c:v>-0.9</c:v>
                </c:pt>
                <c:pt idx="22">
                  <c:v>-0.8</c:v>
                </c:pt>
                <c:pt idx="23">
                  <c:v>-0.7</c:v>
                </c:pt>
                <c:pt idx="24">
                  <c:v>-0.6</c:v>
                </c:pt>
                <c:pt idx="25">
                  <c:v>-0.5</c:v>
                </c:pt>
                <c:pt idx="26">
                  <c:v>-0.4</c:v>
                </c:pt>
                <c:pt idx="27">
                  <c:v>-0.3</c:v>
                </c:pt>
                <c:pt idx="28">
                  <c:v>-0.2</c:v>
                </c:pt>
                <c:pt idx="29">
                  <c:v>-0.1</c:v>
                </c:pt>
                <c:pt idx="30">
                  <c:v>0</c:v>
                </c:pt>
                <c:pt idx="31">
                  <c:v>0.1</c:v>
                </c:pt>
                <c:pt idx="32">
                  <c:v>0.2</c:v>
                </c:pt>
                <c:pt idx="33">
                  <c:v>0.3</c:v>
                </c:pt>
                <c:pt idx="34">
                  <c:v>0.4</c:v>
                </c:pt>
                <c:pt idx="35">
                  <c:v>0.5</c:v>
                </c:pt>
                <c:pt idx="36">
                  <c:v>0.6</c:v>
                </c:pt>
                <c:pt idx="37">
                  <c:v>0.7</c:v>
                </c:pt>
                <c:pt idx="38">
                  <c:v>0.8</c:v>
                </c:pt>
                <c:pt idx="39">
                  <c:v>0.9</c:v>
                </c:pt>
                <c:pt idx="40">
                  <c:v>1</c:v>
                </c:pt>
                <c:pt idx="41">
                  <c:v>1.1000000000000001</c:v>
                </c:pt>
                <c:pt idx="42">
                  <c:v>1.2</c:v>
                </c:pt>
                <c:pt idx="43">
                  <c:v>1.3</c:v>
                </c:pt>
                <c:pt idx="44">
                  <c:v>1.4</c:v>
                </c:pt>
                <c:pt idx="45">
                  <c:v>1.5</c:v>
                </c:pt>
                <c:pt idx="46">
                  <c:v>1.6</c:v>
                </c:pt>
                <c:pt idx="47">
                  <c:v>1.7</c:v>
                </c:pt>
                <c:pt idx="48">
                  <c:v>1.8</c:v>
                </c:pt>
                <c:pt idx="49">
                  <c:v>1.9</c:v>
                </c:pt>
                <c:pt idx="50">
                  <c:v>2</c:v>
                </c:pt>
                <c:pt idx="51">
                  <c:v>2.1</c:v>
                </c:pt>
                <c:pt idx="52">
                  <c:v>2.2000000000000002</c:v>
                </c:pt>
                <c:pt idx="53">
                  <c:v>2.2999999999999998</c:v>
                </c:pt>
                <c:pt idx="54">
                  <c:v>2.4</c:v>
                </c:pt>
              </c:numCache>
            </c:numRef>
          </c:cat>
          <c:val>
            <c:numRef>
              <c:f>'[1]Точность недозаряда в скважинах'!$AG$31:$AG$85</c:f>
              <c:numCache>
                <c:formatCode>0</c:formatCode>
                <c:ptCount val="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771-4C74-9364-4B335F8375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509787928"/>
        <c:axId val="657834768"/>
      </c:barChart>
      <c:catAx>
        <c:axId val="509787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Отклонение от проектной величины</a:t>
                </a:r>
                <a:r>
                  <a:rPr lang="ru-RU" sz="1200" baseline="0"/>
                  <a:t> недозаряда (м)</a:t>
                </a:r>
                <a:endParaRPr lang="en-US" sz="1200"/>
              </a:p>
            </c:rich>
          </c:tx>
          <c:layout>
            <c:manualLayout>
              <c:xMode val="edge"/>
              <c:yMode val="edge"/>
              <c:x val="0.31163739073083885"/>
              <c:y val="0.953653580704769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57834768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657834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200"/>
                  <a:t>Количество скважин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cross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097879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294409</xdr:colOff>
      <xdr:row>6</xdr:row>
      <xdr:rowOff>17318</xdr:rowOff>
    </xdr:from>
    <xdr:to>
      <xdr:col>21</xdr:col>
      <xdr:colOff>190500</xdr:colOff>
      <xdr:row>35</xdr:row>
      <xdr:rowOff>86591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D27F7BE-0653-41F7-8DFE-9B27FCC48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204106</xdr:colOff>
      <xdr:row>37</xdr:row>
      <xdr:rowOff>163285</xdr:rowOff>
    </xdr:from>
    <xdr:to>
      <xdr:col>22</xdr:col>
      <xdr:colOff>457200</xdr:colOff>
      <xdr:row>71</xdr:row>
      <xdr:rowOff>13854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AAC9630-4A9C-46FC-A05A-54601B6AB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11906</xdr:colOff>
      <xdr:row>72</xdr:row>
      <xdr:rowOff>35718</xdr:rowOff>
    </xdr:from>
    <xdr:to>
      <xdr:col>23</xdr:col>
      <xdr:colOff>0</xdr:colOff>
      <xdr:row>101</xdr:row>
      <xdr:rowOff>178593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4C3E31F-FE48-4615-8017-A954DDFECA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179916</xdr:colOff>
      <xdr:row>6</xdr:row>
      <xdr:rowOff>173564</xdr:rowOff>
    </xdr:from>
    <xdr:to>
      <xdr:col>50</xdr:col>
      <xdr:colOff>381000</xdr:colOff>
      <xdr:row>58</xdr:row>
      <xdr:rowOff>42333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7E3322F-8B2A-4C5B-B149-88195971B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</xdr:row>
      <xdr:rowOff>27215</xdr:rowOff>
    </xdr:from>
    <xdr:to>
      <xdr:col>17</xdr:col>
      <xdr:colOff>27215</xdr:colOff>
      <xdr:row>33</xdr:row>
      <xdr:rowOff>190503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CA8ED2-FF2A-49CE-AEAF-0FC469E53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19</xdr:col>
      <xdr:colOff>429491</xdr:colOff>
      <xdr:row>71</xdr:row>
      <xdr:rowOff>27709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0B39E4-7358-4415-ADF7-CE6D8775F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8</xdr:row>
      <xdr:rowOff>0</xdr:rowOff>
    </xdr:from>
    <xdr:to>
      <xdr:col>16</xdr:col>
      <xdr:colOff>571502</xdr:colOff>
      <xdr:row>33</xdr:row>
      <xdr:rowOff>163288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4292DCD6-48C0-46E0-9329-5134E4B18F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19</xdr:col>
      <xdr:colOff>290946</xdr:colOff>
      <xdr:row>71</xdr:row>
      <xdr:rowOff>27708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BA6D7A-9120-4282-9DBE-A5CCB2F932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462642</xdr:colOff>
      <xdr:row>7</xdr:row>
      <xdr:rowOff>163285</xdr:rowOff>
    </xdr:from>
    <xdr:to>
      <xdr:col>17</xdr:col>
      <xdr:colOff>217715</xdr:colOff>
      <xdr:row>33</xdr:row>
      <xdr:rowOff>122466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2D42E6D-CB25-41EF-8908-7DB630FF4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367392</xdr:colOff>
      <xdr:row>36</xdr:row>
      <xdr:rowOff>122465</xdr:rowOff>
    </xdr:from>
    <xdr:to>
      <xdr:col>19</xdr:col>
      <xdr:colOff>478230</xdr:colOff>
      <xdr:row>71</xdr:row>
      <xdr:rowOff>150174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7D2B6F-7789-4410-8399-BE314A1A81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esktop/pypypypy/QualityControl/&#1050;&#1086;&#1085;&#1090;&#1088;&#1086;&#1083;&#1100;_&#1082;&#1072;&#1095;&#1077;&#1089;&#1090;&#1074;&#1072;_18-25_&#1076;&#1080;&#1072;&#1084;&#1077;&#1090;&#1088;_&#1073;&#1086;&#1083;&#1100;&#1096;&#1077;_200_&#1084;&#1084;%20&#8212;%20&#1082;&#1086;&#1087;&#1080;&#1103;.xlsx" TargetMode="External"/><Relationship Id="rId2" Type="http://schemas.openxmlformats.org/officeDocument/2006/relationships/externalLinkPath" Target="file:///C:\Users\Adil\Desktop\pypypypy\QualityControl\&#1050;&#1086;&#1085;&#1090;&#1088;&#1086;&#1083;&#1100;_&#1082;&#1072;&#1095;&#1077;&#1089;&#1090;&#1074;&#1072;_18-25_&#1076;&#1080;&#1072;&#1084;&#1077;&#1090;&#1088;_&#1073;&#1086;&#1083;&#1100;&#1096;&#1077;_200_&#1084;&#1084;%20&#8212;%20&#1082;&#1086;&#1087;&#1080;&#1103;.xlsx" TargetMode="External"/><Relationship Id="rId1" Type="http://schemas.openxmlformats.org/officeDocument/2006/relationships/externalLinkPath" Target="/Users/Adil/Desktop/pypypypy/QualityControl/&#1050;&#1086;&#1085;&#1090;&#1088;&#1086;&#1083;&#1100;_&#1082;&#1072;&#1095;&#1077;&#1089;&#1090;&#1074;&#1072;_18-25_&#1076;&#1080;&#1072;&#1084;&#1077;&#1090;&#1088;_&#1073;&#1086;&#1083;&#1100;&#1096;&#1077;_200_&#1084;&#1084;%20&#8212;%20&#1082;&#1086;&#1087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Точность устьев скважин"/>
      <sheetName val="Для построения"/>
      <sheetName val="Точность глубин скважин "/>
      <sheetName val="Точность массы ВВ в скважинах"/>
      <sheetName val="Точность недозаряда в скважинах"/>
    </sheetNames>
    <sheetDataSet>
      <sheetData sheetId="0">
        <row r="3">
          <cell r="X3" t="str">
            <v>In Spec</v>
          </cell>
          <cell r="Z3" t="str">
            <v>Out of Spec</v>
          </cell>
        </row>
        <row r="4">
          <cell r="AD4" t="str">
            <v>Tolerance</v>
          </cell>
        </row>
        <row r="5">
          <cell r="A5">
            <v>1</v>
          </cell>
          <cell r="B5">
            <v>52233.37</v>
          </cell>
          <cell r="C5">
            <v>29101.82</v>
          </cell>
          <cell r="D5">
            <v>64.180000000000007</v>
          </cell>
          <cell r="H5">
            <v>1</v>
          </cell>
          <cell r="I5">
            <v>52233.19</v>
          </cell>
          <cell r="J5">
            <v>29101.99</v>
          </cell>
          <cell r="K5">
            <v>64.290000000000006</v>
          </cell>
          <cell r="X5">
            <v>-0.18000000000029104</v>
          </cell>
          <cell r="Y5">
            <v>0.17000000000189175</v>
          </cell>
          <cell r="Z5">
            <v>100</v>
          </cell>
          <cell r="AA5">
            <v>100</v>
          </cell>
          <cell r="AD5">
            <v>0.5</v>
          </cell>
          <cell r="AH5">
            <v>0.5</v>
          </cell>
          <cell r="AI5">
            <v>0</v>
          </cell>
        </row>
        <row r="6">
          <cell r="A6">
            <v>7</v>
          </cell>
          <cell r="B6">
            <v>52205.25</v>
          </cell>
          <cell r="C6">
            <v>29087.98</v>
          </cell>
          <cell r="D6">
            <v>63.78</v>
          </cell>
          <cell r="H6">
            <v>7</v>
          </cell>
          <cell r="I6">
            <v>52205.08</v>
          </cell>
          <cell r="J6">
            <v>29088.16</v>
          </cell>
          <cell r="K6">
            <v>63.9</v>
          </cell>
          <cell r="X6">
            <v>-0.16999999999825377</v>
          </cell>
          <cell r="Y6">
            <v>0.18000000000029104</v>
          </cell>
          <cell r="Z6">
            <v>100</v>
          </cell>
          <cell r="AA6">
            <v>100</v>
          </cell>
          <cell r="AH6">
            <v>0.47552814463916837</v>
          </cell>
          <cell r="AI6">
            <v>0.15450884652999694</v>
          </cell>
        </row>
        <row r="7">
          <cell r="A7">
            <v>8</v>
          </cell>
          <cell r="B7">
            <v>52202.33</v>
          </cell>
          <cell r="C7">
            <v>29087.03</v>
          </cell>
          <cell r="D7">
            <v>63.79</v>
          </cell>
          <cell r="H7">
            <v>8</v>
          </cell>
          <cell r="I7">
            <v>52202.49</v>
          </cell>
          <cell r="J7">
            <v>29087.16</v>
          </cell>
          <cell r="K7">
            <v>63.93</v>
          </cell>
          <cell r="X7">
            <v>0.1599999999962165</v>
          </cell>
          <cell r="Y7">
            <v>0.13000000000101863</v>
          </cell>
          <cell r="Z7">
            <v>100</v>
          </cell>
          <cell r="AA7">
            <v>100</v>
          </cell>
          <cell r="AH7">
            <v>0.40450806537587941</v>
          </cell>
          <cell r="AI7">
            <v>0.29389322048298983</v>
          </cell>
        </row>
        <row r="8">
          <cell r="A8">
            <v>9</v>
          </cell>
          <cell r="B8">
            <v>52196.2</v>
          </cell>
          <cell r="C8">
            <v>29084.799999999999</v>
          </cell>
          <cell r="D8">
            <v>63.66</v>
          </cell>
          <cell r="H8">
            <v>9</v>
          </cell>
          <cell r="I8">
            <v>52195.98</v>
          </cell>
          <cell r="J8">
            <v>29084.68</v>
          </cell>
          <cell r="K8">
            <v>63.87</v>
          </cell>
          <cell r="X8">
            <v>-0.2199999999938882</v>
          </cell>
          <cell r="Y8">
            <v>-0.11999999999898137</v>
          </cell>
          <cell r="Z8">
            <v>100</v>
          </cell>
          <cell r="AA8">
            <v>100</v>
          </cell>
          <cell r="AH8">
            <v>0.29389173463991708</v>
          </cell>
          <cell r="AI8">
            <v>0.40450914490322781</v>
          </cell>
        </row>
        <row r="9">
          <cell r="A9">
            <v>11</v>
          </cell>
          <cell r="B9">
            <v>52187.95</v>
          </cell>
          <cell r="C9">
            <v>29080.17</v>
          </cell>
          <cell r="D9">
            <v>63.72</v>
          </cell>
          <cell r="H9">
            <v>11</v>
          </cell>
          <cell r="I9">
            <v>52187.78</v>
          </cell>
          <cell r="J9">
            <v>29080.32</v>
          </cell>
          <cell r="K9">
            <v>63.82</v>
          </cell>
          <cell r="X9">
            <v>-0.16999999999825377</v>
          </cell>
          <cell r="Y9">
            <v>0.15000000000145519</v>
          </cell>
          <cell r="Z9">
            <v>100</v>
          </cell>
          <cell r="AA9">
            <v>100</v>
          </cell>
          <cell r="AH9">
            <v>0.15450709981654692</v>
          </cell>
          <cell r="AI9">
            <v>0.47552871217864395</v>
          </cell>
        </row>
        <row r="10">
          <cell r="A10">
            <v>12</v>
          </cell>
          <cell r="B10">
            <v>52185.16</v>
          </cell>
          <cell r="C10">
            <v>29079.040000000001</v>
          </cell>
          <cell r="D10">
            <v>63.76</v>
          </cell>
          <cell r="H10">
            <v>12</v>
          </cell>
          <cell r="I10">
            <v>52184.85</v>
          </cell>
          <cell r="J10">
            <v>29079.35</v>
          </cell>
          <cell r="K10">
            <v>63.87</v>
          </cell>
          <cell r="X10">
            <v>-0.31000000000494765</v>
          </cell>
          <cell r="Y10">
            <v>0.30999999999767169</v>
          </cell>
          <cell r="Z10">
            <v>100</v>
          </cell>
          <cell r="AA10">
            <v>100</v>
          </cell>
          <cell r="AH10">
            <v>-1.8366025516732743E-6</v>
          </cell>
          <cell r="AI10">
            <v>0.49999999999662686</v>
          </cell>
        </row>
        <row r="11">
          <cell r="A11">
            <v>16</v>
          </cell>
          <cell r="B11">
            <v>52167.5</v>
          </cell>
          <cell r="C11">
            <v>29071.7</v>
          </cell>
          <cell r="D11">
            <v>63.98</v>
          </cell>
          <cell r="H11">
            <v>16</v>
          </cell>
          <cell r="I11">
            <v>52167.41</v>
          </cell>
          <cell r="J11">
            <v>29071.62</v>
          </cell>
          <cell r="K11">
            <v>64.14</v>
          </cell>
          <cell r="X11">
            <v>-8.999999999650754E-2</v>
          </cell>
          <cell r="Y11">
            <v>-8.000000000174623E-2</v>
          </cell>
          <cell r="Z11">
            <v>100</v>
          </cell>
          <cell r="AA11">
            <v>100</v>
          </cell>
          <cell r="AH11">
            <v>-0.15451059324136227</v>
          </cell>
          <cell r="AI11">
            <v>0.47552757709327681</v>
          </cell>
        </row>
        <row r="12">
          <cell r="A12">
            <v>17</v>
          </cell>
          <cell r="B12">
            <v>52161.760000000002</v>
          </cell>
          <cell r="C12">
            <v>29068.67</v>
          </cell>
          <cell r="D12">
            <v>64.08</v>
          </cell>
          <cell r="H12">
            <v>17</v>
          </cell>
          <cell r="I12">
            <v>52161.48</v>
          </cell>
          <cell r="J12">
            <v>29069.279999999999</v>
          </cell>
          <cell r="K12">
            <v>64.14</v>
          </cell>
          <cell r="X12">
            <v>100</v>
          </cell>
          <cell r="Y12">
            <v>100</v>
          </cell>
          <cell r="Z12">
            <v>-0.27999999999883585</v>
          </cell>
          <cell r="AA12">
            <v>0.61000000000058208</v>
          </cell>
          <cell r="AH12">
            <v>-0.29389470632209735</v>
          </cell>
          <cell r="AI12">
            <v>0.40450698584307315</v>
          </cell>
        </row>
        <row r="13">
          <cell r="A13">
            <v>18</v>
          </cell>
          <cell r="B13">
            <v>52159.27</v>
          </cell>
          <cell r="C13">
            <v>29067.53</v>
          </cell>
          <cell r="D13">
            <v>64.14</v>
          </cell>
          <cell r="H13">
            <v>18</v>
          </cell>
          <cell r="I13">
            <v>52159.25</v>
          </cell>
          <cell r="J13">
            <v>29067.73</v>
          </cell>
          <cell r="K13">
            <v>64.209999999999994</v>
          </cell>
          <cell r="X13">
            <v>-1.9999999996798579E-2</v>
          </cell>
          <cell r="Y13">
            <v>0.2000000000007276</v>
          </cell>
          <cell r="Z13">
            <v>100</v>
          </cell>
          <cell r="AA13">
            <v>100</v>
          </cell>
          <cell r="AH13">
            <v>-0.40451022442511841</v>
          </cell>
          <cell r="AI13">
            <v>0.29389024879287901</v>
          </cell>
        </row>
        <row r="14">
          <cell r="A14">
            <v>19</v>
          </cell>
          <cell r="B14">
            <v>52230.63</v>
          </cell>
          <cell r="C14">
            <v>29105.38</v>
          </cell>
          <cell r="D14">
            <v>64.209999999999994</v>
          </cell>
          <cell r="H14">
            <v>19</v>
          </cell>
          <cell r="I14">
            <v>52230.38</v>
          </cell>
          <cell r="J14">
            <v>29105.43</v>
          </cell>
          <cell r="K14">
            <v>64.23</v>
          </cell>
          <cell r="X14">
            <v>-0.25</v>
          </cell>
          <cell r="Y14">
            <v>4.9999999999272404E-2</v>
          </cell>
          <cell r="Z14">
            <v>100</v>
          </cell>
          <cell r="AA14">
            <v>100</v>
          </cell>
          <cell r="AH14">
            <v>-0.4755292797117035</v>
          </cell>
          <cell r="AI14">
            <v>0.1545053531010121</v>
          </cell>
        </row>
        <row r="15">
          <cell r="A15">
            <v>20</v>
          </cell>
          <cell r="B15">
            <v>52224.69</v>
          </cell>
          <cell r="C15">
            <v>29102.74</v>
          </cell>
          <cell r="D15">
            <v>64.069999999999993</v>
          </cell>
          <cell r="H15">
            <v>20</v>
          </cell>
          <cell r="I15">
            <v>52224.42</v>
          </cell>
          <cell r="J15">
            <v>29102.58</v>
          </cell>
          <cell r="K15">
            <v>64.010000000000005</v>
          </cell>
          <cell r="X15">
            <v>-0.27000000000407454</v>
          </cell>
          <cell r="Y15">
            <v>-0.15999999999985448</v>
          </cell>
          <cell r="Z15">
            <v>100</v>
          </cell>
          <cell r="AA15">
            <v>100</v>
          </cell>
          <cell r="AH15">
            <v>-0.49999999998650757</v>
          </cell>
          <cell r="AI15">
            <v>-3.6732051033217686E-6</v>
          </cell>
        </row>
        <row r="16">
          <cell r="A16">
            <v>21</v>
          </cell>
          <cell r="B16">
            <v>52218.75</v>
          </cell>
          <cell r="C16">
            <v>29100.09</v>
          </cell>
          <cell r="D16">
            <v>63.93</v>
          </cell>
          <cell r="H16">
            <v>21</v>
          </cell>
          <cell r="I16">
            <v>52218.7</v>
          </cell>
          <cell r="J16">
            <v>29099.88</v>
          </cell>
          <cell r="K16">
            <v>63.95</v>
          </cell>
          <cell r="X16">
            <v>-5.0000000002910383E-2</v>
          </cell>
          <cell r="Y16">
            <v>-0.20999999999912689</v>
          </cell>
          <cell r="Z16">
            <v>100</v>
          </cell>
          <cell r="AA16">
            <v>100</v>
          </cell>
          <cell r="AH16">
            <v>-0.4755270095409691</v>
          </cell>
          <cell r="AI16">
            <v>-0.15451233995064298</v>
          </cell>
        </row>
        <row r="17">
          <cell r="A17">
            <v>22</v>
          </cell>
          <cell r="B17">
            <v>52212.82</v>
          </cell>
          <cell r="C17">
            <v>29097.45</v>
          </cell>
          <cell r="D17">
            <v>63.77</v>
          </cell>
          <cell r="H17">
            <v>22</v>
          </cell>
          <cell r="I17">
            <v>52212.59</v>
          </cell>
          <cell r="J17">
            <v>29097.3</v>
          </cell>
          <cell r="K17">
            <v>63.92</v>
          </cell>
          <cell r="X17">
            <v>-0.23000000000320142</v>
          </cell>
          <cell r="Y17">
            <v>-0.15000000000145519</v>
          </cell>
          <cell r="Z17">
            <v>100</v>
          </cell>
          <cell r="AA17">
            <v>100</v>
          </cell>
          <cell r="AH17">
            <v>-0.4045059063048092</v>
          </cell>
          <cell r="AI17">
            <v>-0.29389619215723928</v>
          </cell>
        </row>
        <row r="18">
          <cell r="A18">
            <v>24</v>
          </cell>
          <cell r="B18">
            <v>52200.94</v>
          </cell>
          <cell r="C18">
            <v>29092.16</v>
          </cell>
          <cell r="D18">
            <v>63.71</v>
          </cell>
          <cell r="H18">
            <v>24</v>
          </cell>
          <cell r="I18">
            <v>52200.92</v>
          </cell>
          <cell r="J18">
            <v>29092.45</v>
          </cell>
          <cell r="K18">
            <v>63.66</v>
          </cell>
          <cell r="X18">
            <v>-2.0000000004074536E-2</v>
          </cell>
          <cell r="Y18">
            <v>0.29000000000087311</v>
          </cell>
          <cell r="Z18">
            <v>100</v>
          </cell>
          <cell r="AA18">
            <v>100</v>
          </cell>
          <cell r="AH18">
            <v>-0.29388876294187555</v>
          </cell>
          <cell r="AI18">
            <v>-0.40451130394155127</v>
          </cell>
        </row>
        <row r="19">
          <cell r="A19">
            <v>25</v>
          </cell>
          <cell r="B19">
            <v>52195</v>
          </cell>
          <cell r="C19">
            <v>29089.52</v>
          </cell>
          <cell r="D19">
            <v>63.73</v>
          </cell>
          <cell r="H19">
            <v>25</v>
          </cell>
          <cell r="I19">
            <v>52194.85</v>
          </cell>
          <cell r="J19">
            <v>29089.91</v>
          </cell>
          <cell r="K19">
            <v>63.75</v>
          </cell>
          <cell r="X19">
            <v>-0.15000000000145519</v>
          </cell>
          <cell r="Y19">
            <v>0.38999999999941792</v>
          </cell>
          <cell r="Z19">
            <v>100</v>
          </cell>
          <cell r="AA19">
            <v>100</v>
          </cell>
          <cell r="AH19">
            <v>-0.15450360638339264</v>
          </cell>
          <cell r="AI19">
            <v>-0.47552984723834701</v>
          </cell>
        </row>
        <row r="20">
          <cell r="A20">
            <v>26</v>
          </cell>
          <cell r="B20">
            <v>52189.06</v>
          </cell>
          <cell r="C20">
            <v>29086.880000000001</v>
          </cell>
          <cell r="D20">
            <v>63.76</v>
          </cell>
          <cell r="H20">
            <v>26</v>
          </cell>
          <cell r="I20">
            <v>52189.14</v>
          </cell>
          <cell r="J20">
            <v>29087.18</v>
          </cell>
          <cell r="K20">
            <v>63.81</v>
          </cell>
          <cell r="X20">
            <v>8.000000000174623E-2</v>
          </cell>
          <cell r="Y20">
            <v>0.2999999999992724</v>
          </cell>
          <cell r="Z20">
            <v>100</v>
          </cell>
          <cell r="AA20">
            <v>100</v>
          </cell>
          <cell r="AH20">
            <v>5.5098076548096798E-6</v>
          </cell>
          <cell r="AI20">
            <v>-0.49999999996964201</v>
          </cell>
        </row>
        <row r="21">
          <cell r="A21">
            <v>27</v>
          </cell>
          <cell r="B21">
            <v>52183.12</v>
          </cell>
          <cell r="C21">
            <v>29084.23</v>
          </cell>
          <cell r="D21">
            <v>63.78</v>
          </cell>
          <cell r="H21">
            <v>27</v>
          </cell>
          <cell r="I21">
            <v>52182.98</v>
          </cell>
          <cell r="J21">
            <v>29084.26</v>
          </cell>
          <cell r="K21">
            <v>63.8</v>
          </cell>
          <cell r="X21">
            <v>-0.13999999999941792</v>
          </cell>
          <cell r="Y21">
            <v>2.9999999998835847E-2</v>
          </cell>
          <cell r="Z21">
            <v>100</v>
          </cell>
          <cell r="AA21">
            <v>100</v>
          </cell>
          <cell r="AH21">
            <v>0.15451408665783872</v>
          </cell>
          <cell r="AI21">
            <v>-0.47552644198224553</v>
          </cell>
        </row>
        <row r="22">
          <cell r="A22">
            <v>28</v>
          </cell>
          <cell r="B22">
            <v>52177.19</v>
          </cell>
          <cell r="C22">
            <v>29081.59</v>
          </cell>
          <cell r="D22">
            <v>63.8</v>
          </cell>
          <cell r="H22">
            <v>28</v>
          </cell>
          <cell r="I22">
            <v>52176.99</v>
          </cell>
          <cell r="J22">
            <v>29081.81</v>
          </cell>
          <cell r="K22">
            <v>63.72</v>
          </cell>
          <cell r="X22">
            <v>-0.20000000000436557</v>
          </cell>
          <cell r="Y22">
            <v>0.22000000000116415</v>
          </cell>
          <cell r="Z22">
            <v>100</v>
          </cell>
          <cell r="AA22">
            <v>100</v>
          </cell>
          <cell r="AH22">
            <v>0.2938976779884161</v>
          </cell>
          <cell r="AI22">
            <v>-0.40450482676108734</v>
          </cell>
        </row>
        <row r="23">
          <cell r="A23">
            <v>29</v>
          </cell>
          <cell r="B23">
            <v>52171.25</v>
          </cell>
          <cell r="C23">
            <v>29078.94</v>
          </cell>
          <cell r="D23">
            <v>63.83</v>
          </cell>
          <cell r="H23">
            <v>29</v>
          </cell>
          <cell r="I23">
            <v>52171.199999999997</v>
          </cell>
          <cell r="J23">
            <v>29078.92</v>
          </cell>
          <cell r="K23">
            <v>63.91</v>
          </cell>
          <cell r="X23">
            <v>-5.0000000002910383E-2</v>
          </cell>
          <cell r="Y23">
            <v>-2.0000000000436557E-2</v>
          </cell>
          <cell r="Z23">
            <v>100</v>
          </cell>
          <cell r="AA23">
            <v>100</v>
          </cell>
          <cell r="AH23">
            <v>0.40451238345252627</v>
          </cell>
          <cell r="AI23">
            <v>-0.29388727708690682</v>
          </cell>
        </row>
        <row r="24">
          <cell r="A24">
            <v>30</v>
          </cell>
          <cell r="B24">
            <v>52165.31</v>
          </cell>
          <cell r="C24">
            <v>29076.3</v>
          </cell>
          <cell r="D24">
            <v>63.88</v>
          </cell>
          <cell r="H24">
            <v>30</v>
          </cell>
          <cell r="I24">
            <v>52165.73</v>
          </cell>
          <cell r="J24">
            <v>29076.44</v>
          </cell>
          <cell r="K24">
            <v>63.93</v>
          </cell>
          <cell r="X24">
            <v>0.42000000000552973</v>
          </cell>
          <cell r="Y24">
            <v>0.13999999999941792</v>
          </cell>
          <cell r="Z24">
            <v>100</v>
          </cell>
          <cell r="AA24">
            <v>100</v>
          </cell>
          <cell r="AH24">
            <v>0.47553041475857438</v>
          </cell>
          <cell r="AI24">
            <v>-0.15450185966368898</v>
          </cell>
        </row>
        <row r="25">
          <cell r="A25">
            <v>31</v>
          </cell>
          <cell r="B25">
            <v>52159.37</v>
          </cell>
          <cell r="C25">
            <v>29073.66</v>
          </cell>
          <cell r="D25">
            <v>63.97</v>
          </cell>
          <cell r="H25">
            <v>31</v>
          </cell>
          <cell r="I25">
            <v>52159.31</v>
          </cell>
          <cell r="J25">
            <v>29073.599999999999</v>
          </cell>
          <cell r="K25">
            <v>63.92</v>
          </cell>
          <cell r="X25">
            <v>-6.0000000004947651E-2</v>
          </cell>
          <cell r="Y25">
            <v>-6.0000000001309672E-2</v>
          </cell>
          <cell r="Z25">
            <v>100</v>
          </cell>
          <cell r="AA25">
            <v>100</v>
          </cell>
          <cell r="AH25">
            <v>0.49999999994603028</v>
          </cell>
          <cell r="AI25">
            <v>7.346410206445295E-6</v>
          </cell>
        </row>
        <row r="26">
          <cell r="A26">
            <v>32</v>
          </cell>
          <cell r="B26">
            <v>52225.38</v>
          </cell>
          <cell r="C26">
            <v>29109.18</v>
          </cell>
          <cell r="D26">
            <v>64.09</v>
          </cell>
          <cell r="H26">
            <v>32</v>
          </cell>
          <cell r="I26">
            <v>52225.67</v>
          </cell>
          <cell r="J26">
            <v>29109.18</v>
          </cell>
          <cell r="K26">
            <v>64.180000000000007</v>
          </cell>
          <cell r="X26">
            <v>0.29000000000087311</v>
          </cell>
          <cell r="Y26">
            <v>0</v>
          </cell>
          <cell r="Z26">
            <v>100</v>
          </cell>
          <cell r="AA26">
            <v>100</v>
          </cell>
        </row>
        <row r="27">
          <cell r="A27">
            <v>33</v>
          </cell>
          <cell r="B27">
            <v>52219.56</v>
          </cell>
          <cell r="C27">
            <v>29105.49</v>
          </cell>
          <cell r="D27">
            <v>63.88</v>
          </cell>
          <cell r="H27">
            <v>33</v>
          </cell>
          <cell r="I27">
            <v>52219.45</v>
          </cell>
          <cell r="J27">
            <v>29105.3</v>
          </cell>
          <cell r="K27">
            <v>63.92</v>
          </cell>
          <cell r="X27">
            <v>-0.11000000000058208</v>
          </cell>
          <cell r="Y27">
            <v>-0.19000000000232831</v>
          </cell>
          <cell r="Z27">
            <v>100</v>
          </cell>
          <cell r="AA27">
            <v>100</v>
          </cell>
        </row>
        <row r="28">
          <cell r="A28">
            <v>34</v>
          </cell>
          <cell r="B28">
            <v>52213.51</v>
          </cell>
          <cell r="C28">
            <v>29103.89</v>
          </cell>
          <cell r="D28">
            <v>63.79</v>
          </cell>
          <cell r="H28">
            <v>34</v>
          </cell>
          <cell r="I28">
            <v>52213.81</v>
          </cell>
          <cell r="J28">
            <v>29103.62</v>
          </cell>
          <cell r="K28">
            <v>63.83</v>
          </cell>
          <cell r="X28">
            <v>0.29999999999563443</v>
          </cell>
          <cell r="Y28">
            <v>-0.27000000000043656</v>
          </cell>
          <cell r="Z28">
            <v>100</v>
          </cell>
          <cell r="AA28">
            <v>100</v>
          </cell>
        </row>
        <row r="29">
          <cell r="A29">
            <v>35</v>
          </cell>
          <cell r="B29">
            <v>52207.57</v>
          </cell>
          <cell r="C29">
            <v>29101.24</v>
          </cell>
          <cell r="D29">
            <v>63.76</v>
          </cell>
          <cell r="H29">
            <v>35</v>
          </cell>
          <cell r="I29">
            <v>52207.69</v>
          </cell>
          <cell r="J29">
            <v>29101.27</v>
          </cell>
          <cell r="K29">
            <v>63.82</v>
          </cell>
          <cell r="X29">
            <v>0.12000000000261934</v>
          </cell>
          <cell r="Y29">
            <v>2.9999999998835847E-2</v>
          </cell>
          <cell r="Z29">
            <v>100</v>
          </cell>
          <cell r="AA29">
            <v>100</v>
          </cell>
          <cell r="AF29" t="str">
            <v>Below Tolerance</v>
          </cell>
          <cell r="AI29" t="str">
            <v>Above Tolerance</v>
          </cell>
        </row>
        <row r="30">
          <cell r="A30">
            <v>36</v>
          </cell>
          <cell r="B30">
            <v>52201.63</v>
          </cell>
          <cell r="C30">
            <v>29098.6</v>
          </cell>
          <cell r="D30">
            <v>63.77</v>
          </cell>
          <cell r="H30">
            <v>36</v>
          </cell>
          <cell r="I30">
            <v>52201.89</v>
          </cell>
          <cell r="J30">
            <v>29098.93</v>
          </cell>
          <cell r="K30">
            <v>63.79</v>
          </cell>
          <cell r="X30">
            <v>0.26000000000203727</v>
          </cell>
          <cell r="Y30">
            <v>0.33000000000174623</v>
          </cell>
          <cell r="Z30">
            <v>100</v>
          </cell>
          <cell r="AA30">
            <v>100</v>
          </cell>
        </row>
        <row r="31">
          <cell r="A31">
            <v>37</v>
          </cell>
          <cell r="B31">
            <v>52195.69</v>
          </cell>
          <cell r="C31">
            <v>29095.96</v>
          </cell>
          <cell r="D31">
            <v>63.76</v>
          </cell>
          <cell r="H31">
            <v>37</v>
          </cell>
          <cell r="I31">
            <v>52196.07</v>
          </cell>
          <cell r="J31">
            <v>29096.46</v>
          </cell>
          <cell r="K31">
            <v>63.83</v>
          </cell>
          <cell r="X31">
            <v>100</v>
          </cell>
          <cell r="Y31">
            <v>100</v>
          </cell>
          <cell r="Z31">
            <v>0.37999999999738066</v>
          </cell>
          <cell r="AA31">
            <v>0.5</v>
          </cell>
          <cell r="AG31">
            <v>0</v>
          </cell>
          <cell r="AH31">
            <v>-0.2</v>
          </cell>
          <cell r="AJ31" t="str">
            <v/>
          </cell>
        </row>
        <row r="32">
          <cell r="A32">
            <v>38</v>
          </cell>
          <cell r="B32">
            <v>52189.75</v>
          </cell>
          <cell r="C32">
            <v>29093.31</v>
          </cell>
          <cell r="D32">
            <v>63.76</v>
          </cell>
          <cell r="H32">
            <v>38</v>
          </cell>
          <cell r="I32">
            <v>52189.57</v>
          </cell>
          <cell r="J32">
            <v>29093.25</v>
          </cell>
          <cell r="K32">
            <v>63.78</v>
          </cell>
          <cell r="X32">
            <v>-0.18000000000029104</v>
          </cell>
          <cell r="Y32">
            <v>-6.0000000001309672E-2</v>
          </cell>
          <cell r="Z32">
            <v>100</v>
          </cell>
          <cell r="AA32">
            <v>100</v>
          </cell>
          <cell r="AG32">
            <v>0</v>
          </cell>
          <cell r="AH32">
            <v>-0.1</v>
          </cell>
          <cell r="AJ32" t="str">
            <v/>
          </cell>
        </row>
        <row r="33">
          <cell r="A33">
            <v>39</v>
          </cell>
          <cell r="B33">
            <v>52183.82</v>
          </cell>
          <cell r="C33">
            <v>29090.67</v>
          </cell>
          <cell r="D33">
            <v>63.78</v>
          </cell>
          <cell r="H33">
            <v>39</v>
          </cell>
          <cell r="I33">
            <v>52183.83</v>
          </cell>
          <cell r="J33">
            <v>29090.7</v>
          </cell>
          <cell r="K33">
            <v>63.8</v>
          </cell>
          <cell r="X33">
            <v>1.0000000002037268E-2</v>
          </cell>
          <cell r="Y33">
            <v>3.0000000002473826E-2</v>
          </cell>
          <cell r="Z33">
            <v>100</v>
          </cell>
          <cell r="AA33">
            <v>100</v>
          </cell>
          <cell r="AG33">
            <v>11</v>
          </cell>
          <cell r="AH33">
            <v>0</v>
          </cell>
          <cell r="AJ33" t="str">
            <v/>
          </cell>
        </row>
        <row r="34">
          <cell r="A34">
            <v>40</v>
          </cell>
          <cell r="B34">
            <v>52177.88</v>
          </cell>
          <cell r="C34">
            <v>29088.03</v>
          </cell>
          <cell r="D34">
            <v>63.77</v>
          </cell>
          <cell r="H34">
            <v>40</v>
          </cell>
          <cell r="I34">
            <v>52177.74</v>
          </cell>
          <cell r="J34">
            <v>29088.04</v>
          </cell>
          <cell r="K34">
            <v>63.79</v>
          </cell>
          <cell r="X34">
            <v>-0.13999999999941792</v>
          </cell>
          <cell r="Y34">
            <v>1.0000000002037268E-2</v>
          </cell>
          <cell r="Z34">
            <v>100</v>
          </cell>
          <cell r="AA34">
            <v>100</v>
          </cell>
          <cell r="AG34">
            <v>45</v>
          </cell>
          <cell r="AH34">
            <v>0.1</v>
          </cell>
          <cell r="AJ34" t="str">
            <v/>
          </cell>
        </row>
        <row r="35">
          <cell r="A35">
            <v>41</v>
          </cell>
          <cell r="B35">
            <v>52171.94</v>
          </cell>
          <cell r="C35">
            <v>29085.38</v>
          </cell>
          <cell r="D35">
            <v>63.76</v>
          </cell>
          <cell r="H35">
            <v>41</v>
          </cell>
          <cell r="I35">
            <v>52171.74</v>
          </cell>
          <cell r="J35">
            <v>29085.59</v>
          </cell>
          <cell r="K35">
            <v>63.77</v>
          </cell>
          <cell r="X35">
            <v>-0.20000000000436557</v>
          </cell>
          <cell r="Y35">
            <v>0.20999999999912689</v>
          </cell>
          <cell r="Z35">
            <v>100</v>
          </cell>
          <cell r="AA35">
            <v>100</v>
          </cell>
          <cell r="AG35">
            <v>58</v>
          </cell>
          <cell r="AH35">
            <v>0.2</v>
          </cell>
          <cell r="AJ35" t="str">
            <v/>
          </cell>
        </row>
        <row r="36">
          <cell r="A36">
            <v>42</v>
          </cell>
          <cell r="B36">
            <v>52166</v>
          </cell>
          <cell r="C36">
            <v>29082.74</v>
          </cell>
          <cell r="D36">
            <v>63.76</v>
          </cell>
          <cell r="H36">
            <v>42</v>
          </cell>
          <cell r="I36">
            <v>52165.65</v>
          </cell>
          <cell r="J36">
            <v>29082.84</v>
          </cell>
          <cell r="K36">
            <v>63.81</v>
          </cell>
          <cell r="X36">
            <v>-0.34999999999854481</v>
          </cell>
          <cell r="Y36">
            <v>9.9999999998544808E-2</v>
          </cell>
          <cell r="Z36">
            <v>100</v>
          </cell>
          <cell r="AA36">
            <v>100</v>
          </cell>
          <cell r="AG36">
            <v>41</v>
          </cell>
          <cell r="AH36">
            <v>0.3</v>
          </cell>
          <cell r="AJ36" t="str">
            <v/>
          </cell>
        </row>
        <row r="37">
          <cell r="A37">
            <v>43</v>
          </cell>
          <cell r="B37">
            <v>52160.06</v>
          </cell>
          <cell r="C37">
            <v>29080.09</v>
          </cell>
          <cell r="D37">
            <v>63.86</v>
          </cell>
          <cell r="H37">
            <v>43</v>
          </cell>
          <cell r="I37">
            <v>52159.92</v>
          </cell>
          <cell r="J37">
            <v>29080.12</v>
          </cell>
          <cell r="K37">
            <v>63.88</v>
          </cell>
          <cell r="X37">
            <v>-0.13999999999941792</v>
          </cell>
          <cell r="Y37">
            <v>2.9999999998835847E-2</v>
          </cell>
          <cell r="Z37">
            <v>100</v>
          </cell>
          <cell r="AA37">
            <v>100</v>
          </cell>
          <cell r="AG37">
            <v>28</v>
          </cell>
          <cell r="AH37">
            <v>0.4</v>
          </cell>
          <cell r="AJ37" t="str">
            <v/>
          </cell>
        </row>
        <row r="38">
          <cell r="A38">
            <v>44</v>
          </cell>
          <cell r="B38">
            <v>52219.39</v>
          </cell>
          <cell r="C38">
            <v>29110.42</v>
          </cell>
          <cell r="D38">
            <v>63.98</v>
          </cell>
          <cell r="H38">
            <v>44</v>
          </cell>
          <cell r="I38">
            <v>52219.05</v>
          </cell>
          <cell r="J38">
            <v>29110.49</v>
          </cell>
          <cell r="K38">
            <v>63.89</v>
          </cell>
          <cell r="X38">
            <v>-0.33999999999650754</v>
          </cell>
          <cell r="Y38">
            <v>7.0000000003346941E-2</v>
          </cell>
          <cell r="Z38">
            <v>100</v>
          </cell>
          <cell r="AA38">
            <v>100</v>
          </cell>
          <cell r="AG38">
            <v>9</v>
          </cell>
          <cell r="AH38">
            <v>0.5</v>
          </cell>
          <cell r="AJ38" t="str">
            <v/>
          </cell>
        </row>
        <row r="39">
          <cell r="A39">
            <v>45</v>
          </cell>
          <cell r="B39">
            <v>52214.2</v>
          </cell>
          <cell r="C39">
            <v>29110.33</v>
          </cell>
          <cell r="D39">
            <v>63.93</v>
          </cell>
          <cell r="H39">
            <v>45</v>
          </cell>
          <cell r="I39">
            <v>52214.38</v>
          </cell>
          <cell r="J39">
            <v>29110.48</v>
          </cell>
          <cell r="K39">
            <v>63.94</v>
          </cell>
          <cell r="X39">
            <v>0.18000000000029104</v>
          </cell>
          <cell r="Y39">
            <v>0.14999999999781721</v>
          </cell>
          <cell r="Z39">
            <v>100</v>
          </cell>
          <cell r="AA39">
            <v>100</v>
          </cell>
          <cell r="AG39" t="str">
            <v/>
          </cell>
          <cell r="AH39">
            <v>0.6</v>
          </cell>
          <cell r="AJ39">
            <v>2</v>
          </cell>
        </row>
        <row r="40">
          <cell r="A40">
            <v>46</v>
          </cell>
          <cell r="B40">
            <v>52208.26</v>
          </cell>
          <cell r="C40">
            <v>29107.68</v>
          </cell>
          <cell r="D40">
            <v>63.83</v>
          </cell>
          <cell r="H40">
            <v>46</v>
          </cell>
          <cell r="I40">
            <v>52208.53</v>
          </cell>
          <cell r="J40">
            <v>29107.52</v>
          </cell>
          <cell r="K40">
            <v>63.81</v>
          </cell>
          <cell r="X40">
            <v>0.26999999999679858</v>
          </cell>
          <cell r="Y40">
            <v>-0.15999999999985448</v>
          </cell>
          <cell r="Z40">
            <v>100</v>
          </cell>
          <cell r="AA40">
            <v>100</v>
          </cell>
          <cell r="AG40" t="str">
            <v/>
          </cell>
          <cell r="AH40">
            <v>0.7</v>
          </cell>
          <cell r="AJ40">
            <v>1</v>
          </cell>
        </row>
        <row r="41">
          <cell r="A41">
            <v>47</v>
          </cell>
          <cell r="B41">
            <v>52202.32</v>
          </cell>
          <cell r="C41">
            <v>29105.040000000001</v>
          </cell>
          <cell r="D41">
            <v>63.83</v>
          </cell>
          <cell r="H41">
            <v>47</v>
          </cell>
          <cell r="I41">
            <v>52202.32</v>
          </cell>
          <cell r="J41">
            <v>29104.74</v>
          </cell>
          <cell r="K41">
            <v>63.83</v>
          </cell>
          <cell r="X41">
            <v>0</v>
          </cell>
          <cell r="Y41">
            <v>-0.2999999999992724</v>
          </cell>
          <cell r="Z41">
            <v>100</v>
          </cell>
          <cell r="AA41">
            <v>100</v>
          </cell>
          <cell r="AG41" t="str">
            <v/>
          </cell>
          <cell r="AH41">
            <v>0.8</v>
          </cell>
          <cell r="AJ41">
            <v>0</v>
          </cell>
        </row>
        <row r="42">
          <cell r="A42">
            <v>48</v>
          </cell>
          <cell r="B42">
            <v>52196.38</v>
          </cell>
          <cell r="C42">
            <v>29102.400000000001</v>
          </cell>
          <cell r="D42">
            <v>63.85</v>
          </cell>
          <cell r="H42">
            <v>48</v>
          </cell>
          <cell r="I42">
            <v>52196.37</v>
          </cell>
          <cell r="J42">
            <v>29102.18</v>
          </cell>
          <cell r="K42">
            <v>63.89</v>
          </cell>
          <cell r="X42">
            <v>-9.9999999947613105E-3</v>
          </cell>
          <cell r="Y42">
            <v>-0.22000000000116415</v>
          </cell>
          <cell r="Z42">
            <v>100</v>
          </cell>
          <cell r="AA42">
            <v>100</v>
          </cell>
          <cell r="AG42" t="str">
            <v/>
          </cell>
          <cell r="AH42">
            <v>0.9</v>
          </cell>
          <cell r="AJ42">
            <v>0</v>
          </cell>
        </row>
        <row r="43">
          <cell r="A43">
            <v>49</v>
          </cell>
          <cell r="B43">
            <v>52190.45</v>
          </cell>
          <cell r="C43">
            <v>29099.75</v>
          </cell>
          <cell r="D43">
            <v>63.81</v>
          </cell>
          <cell r="H43">
            <v>49</v>
          </cell>
          <cell r="I43">
            <v>52190.67</v>
          </cell>
          <cell r="J43">
            <v>29099.5</v>
          </cell>
          <cell r="K43">
            <v>63.94</v>
          </cell>
          <cell r="X43">
            <v>0.22000000000116415</v>
          </cell>
          <cell r="Y43">
            <v>-0.25</v>
          </cell>
          <cell r="Z43">
            <v>100</v>
          </cell>
          <cell r="AA43">
            <v>100</v>
          </cell>
          <cell r="AG43" t="str">
            <v/>
          </cell>
          <cell r="AH43">
            <v>1</v>
          </cell>
          <cell r="AJ43">
            <v>0</v>
          </cell>
        </row>
        <row r="44">
          <cell r="A44">
            <v>50</v>
          </cell>
          <cell r="B44">
            <v>52184.51</v>
          </cell>
          <cell r="C44">
            <v>29097.11</v>
          </cell>
          <cell r="D44">
            <v>63.8</v>
          </cell>
          <cell r="H44">
            <v>50</v>
          </cell>
          <cell r="I44">
            <v>52184.71</v>
          </cell>
          <cell r="J44">
            <v>29097.439999999999</v>
          </cell>
          <cell r="K44">
            <v>63.9</v>
          </cell>
          <cell r="X44">
            <v>0.19999999999708962</v>
          </cell>
          <cell r="Y44">
            <v>0.32999999999810825</v>
          </cell>
          <cell r="Z44">
            <v>100</v>
          </cell>
          <cell r="AA44">
            <v>100</v>
          </cell>
          <cell r="AG44" t="str">
            <v/>
          </cell>
          <cell r="AH44">
            <v>1.1000000000000001</v>
          </cell>
          <cell r="AJ44">
            <v>0</v>
          </cell>
        </row>
        <row r="45">
          <cell r="A45">
            <v>51</v>
          </cell>
          <cell r="B45">
            <v>52178.57</v>
          </cell>
          <cell r="C45">
            <v>29094.46</v>
          </cell>
          <cell r="D45">
            <v>63.77</v>
          </cell>
          <cell r="H45">
            <v>51</v>
          </cell>
          <cell r="I45">
            <v>52178.48</v>
          </cell>
          <cell r="J45">
            <v>29094.07</v>
          </cell>
          <cell r="K45">
            <v>63.78</v>
          </cell>
          <cell r="X45">
            <v>-8.999999999650754E-2</v>
          </cell>
          <cell r="Y45">
            <v>-0.38999999999941792</v>
          </cell>
          <cell r="Z45">
            <v>100</v>
          </cell>
          <cell r="AA45">
            <v>100</v>
          </cell>
          <cell r="AG45" t="str">
            <v/>
          </cell>
          <cell r="AH45">
            <v>1.2</v>
          </cell>
          <cell r="AJ45">
            <v>0</v>
          </cell>
        </row>
        <row r="46">
          <cell r="A46">
            <v>52</v>
          </cell>
          <cell r="B46">
            <v>52172.63</v>
          </cell>
          <cell r="C46">
            <v>29091.82</v>
          </cell>
          <cell r="D46">
            <v>63.75</v>
          </cell>
          <cell r="H46">
            <v>52</v>
          </cell>
          <cell r="I46">
            <v>52172.87</v>
          </cell>
          <cell r="J46">
            <v>29091.47</v>
          </cell>
          <cell r="K46">
            <v>63.85</v>
          </cell>
          <cell r="X46">
            <v>0.24000000000523869</v>
          </cell>
          <cell r="Y46">
            <v>-0.34999999999854481</v>
          </cell>
          <cell r="Z46">
            <v>100</v>
          </cell>
          <cell r="AA46">
            <v>100</v>
          </cell>
          <cell r="AG46" t="str">
            <v/>
          </cell>
          <cell r="AH46">
            <v>1.3</v>
          </cell>
          <cell r="AJ46">
            <v>0</v>
          </cell>
        </row>
        <row r="47">
          <cell r="A47">
            <v>53</v>
          </cell>
          <cell r="B47">
            <v>52166.69</v>
          </cell>
          <cell r="C47">
            <v>29089.18</v>
          </cell>
          <cell r="D47">
            <v>63.75</v>
          </cell>
          <cell r="H47">
            <v>53</v>
          </cell>
          <cell r="I47">
            <v>52166.34</v>
          </cell>
          <cell r="J47">
            <v>29089.02</v>
          </cell>
          <cell r="K47">
            <v>63.75</v>
          </cell>
          <cell r="X47">
            <v>-0.35000000000582077</v>
          </cell>
          <cell r="Y47">
            <v>-0.15999999999985448</v>
          </cell>
          <cell r="Z47">
            <v>100</v>
          </cell>
          <cell r="AA47">
            <v>100</v>
          </cell>
          <cell r="AG47" t="str">
            <v/>
          </cell>
          <cell r="AH47">
            <v>1.4</v>
          </cell>
          <cell r="AJ47">
            <v>0</v>
          </cell>
        </row>
        <row r="48">
          <cell r="A48">
            <v>54</v>
          </cell>
          <cell r="B48">
            <v>52160.76</v>
          </cell>
          <cell r="C48">
            <v>29086.53</v>
          </cell>
          <cell r="D48">
            <v>63.83</v>
          </cell>
          <cell r="H48">
            <v>54</v>
          </cell>
          <cell r="I48">
            <v>52160.38</v>
          </cell>
          <cell r="J48">
            <v>29086.65</v>
          </cell>
          <cell r="K48">
            <v>63.99</v>
          </cell>
          <cell r="X48">
            <v>-0.38000000000465661</v>
          </cell>
          <cell r="Y48">
            <v>0.12000000000261934</v>
          </cell>
          <cell r="Z48">
            <v>100</v>
          </cell>
          <cell r="AA48">
            <v>100</v>
          </cell>
          <cell r="AG48" t="str">
            <v/>
          </cell>
          <cell r="AH48">
            <v>1.5</v>
          </cell>
          <cell r="AJ48">
            <v>0</v>
          </cell>
        </row>
        <row r="49">
          <cell r="A49">
            <v>55</v>
          </cell>
          <cell r="B49">
            <v>52154.82</v>
          </cell>
          <cell r="C49">
            <v>29083.89</v>
          </cell>
          <cell r="D49">
            <v>63.95</v>
          </cell>
          <cell r="H49">
            <v>55</v>
          </cell>
          <cell r="I49">
            <v>52154.95</v>
          </cell>
          <cell r="J49">
            <v>29083.77</v>
          </cell>
          <cell r="K49">
            <v>63.97</v>
          </cell>
          <cell r="X49">
            <v>0.12999999999738066</v>
          </cell>
          <cell r="Y49">
            <v>-0.11999999999898137</v>
          </cell>
          <cell r="Z49">
            <v>100</v>
          </cell>
          <cell r="AA49">
            <v>100</v>
          </cell>
          <cell r="AG49" t="str">
            <v/>
          </cell>
          <cell r="AH49">
            <v>1.6</v>
          </cell>
          <cell r="AJ49">
            <v>0</v>
          </cell>
        </row>
        <row r="50">
          <cell r="A50">
            <v>56</v>
          </cell>
          <cell r="B50">
            <v>52208.95</v>
          </cell>
          <cell r="C50">
            <v>29114.12</v>
          </cell>
          <cell r="D50">
            <v>63.85</v>
          </cell>
          <cell r="H50">
            <v>56</v>
          </cell>
          <cell r="I50">
            <v>52208.77</v>
          </cell>
          <cell r="J50">
            <v>29113.99</v>
          </cell>
          <cell r="K50">
            <v>63.97</v>
          </cell>
          <cell r="X50">
            <v>-0.18000000000029104</v>
          </cell>
          <cell r="Y50">
            <v>-0.12999999999738066</v>
          </cell>
          <cell r="Z50">
            <v>100</v>
          </cell>
          <cell r="AA50">
            <v>100</v>
          </cell>
          <cell r="AG50" t="str">
            <v/>
          </cell>
          <cell r="AH50">
            <v>1.7</v>
          </cell>
          <cell r="AJ50">
            <v>0</v>
          </cell>
        </row>
        <row r="51">
          <cell r="A51">
            <v>57</v>
          </cell>
          <cell r="B51">
            <v>52203.01</v>
          </cell>
          <cell r="C51">
            <v>29111.48</v>
          </cell>
          <cell r="D51">
            <v>63.87</v>
          </cell>
          <cell r="H51">
            <v>57</v>
          </cell>
          <cell r="I51">
            <v>52203.06</v>
          </cell>
          <cell r="J51">
            <v>29111.119999999999</v>
          </cell>
          <cell r="K51">
            <v>63.97</v>
          </cell>
          <cell r="X51">
            <v>4.9999999995634425E-2</v>
          </cell>
          <cell r="Y51">
            <v>-0.36000000000058208</v>
          </cell>
          <cell r="Z51">
            <v>100</v>
          </cell>
          <cell r="AA51">
            <v>100</v>
          </cell>
          <cell r="AG51" t="str">
            <v/>
          </cell>
          <cell r="AH51">
            <v>1.8</v>
          </cell>
          <cell r="AJ51">
            <v>0</v>
          </cell>
        </row>
        <row r="52">
          <cell r="A52">
            <v>58</v>
          </cell>
          <cell r="B52">
            <v>52197.07</v>
          </cell>
          <cell r="C52">
            <v>29108.83</v>
          </cell>
          <cell r="D52">
            <v>63.95</v>
          </cell>
          <cell r="H52">
            <v>58</v>
          </cell>
          <cell r="I52">
            <v>52196.84</v>
          </cell>
          <cell r="J52">
            <v>29108.69</v>
          </cell>
          <cell r="K52">
            <v>63.88</v>
          </cell>
          <cell r="X52">
            <v>-0.23000000000320142</v>
          </cell>
          <cell r="Y52">
            <v>-0.1400000000030559</v>
          </cell>
          <cell r="Z52">
            <v>100</v>
          </cell>
          <cell r="AA52">
            <v>100</v>
          </cell>
          <cell r="AG52" t="str">
            <v/>
          </cell>
          <cell r="AH52">
            <v>1.9</v>
          </cell>
          <cell r="AJ52">
            <v>0</v>
          </cell>
        </row>
        <row r="53">
          <cell r="A53">
            <v>59</v>
          </cell>
          <cell r="B53">
            <v>52191.14</v>
          </cell>
          <cell r="C53">
            <v>29106.19</v>
          </cell>
          <cell r="D53">
            <v>63.94</v>
          </cell>
          <cell r="H53">
            <v>59</v>
          </cell>
          <cell r="I53">
            <v>52191.040000000001</v>
          </cell>
          <cell r="J53">
            <v>29106.31</v>
          </cell>
          <cell r="K53">
            <v>63.95</v>
          </cell>
          <cell r="X53">
            <v>-9.9999999998544808E-2</v>
          </cell>
          <cell r="Y53">
            <v>0.12000000000261934</v>
          </cell>
          <cell r="Z53">
            <v>100</v>
          </cell>
          <cell r="AA53">
            <v>100</v>
          </cell>
          <cell r="AG53" t="str">
            <v/>
          </cell>
          <cell r="AH53">
            <v>2</v>
          </cell>
          <cell r="AJ53">
            <v>0</v>
          </cell>
        </row>
        <row r="54">
          <cell r="A54">
            <v>60</v>
          </cell>
          <cell r="B54">
            <v>52185.2</v>
          </cell>
          <cell r="C54">
            <v>29103.55</v>
          </cell>
          <cell r="D54">
            <v>63.9</v>
          </cell>
          <cell r="H54">
            <v>60</v>
          </cell>
          <cell r="I54">
            <v>52185.11</v>
          </cell>
          <cell r="J54">
            <v>29103.62</v>
          </cell>
          <cell r="K54">
            <v>63.9</v>
          </cell>
          <cell r="X54">
            <v>-8.999999999650754E-2</v>
          </cell>
          <cell r="Y54">
            <v>6.9999999999708962E-2</v>
          </cell>
          <cell r="Z54">
            <v>100</v>
          </cell>
          <cell r="AA54">
            <v>100</v>
          </cell>
          <cell r="AG54" t="str">
            <v/>
          </cell>
          <cell r="AH54">
            <v>2.1</v>
          </cell>
          <cell r="AJ54">
            <v>0</v>
          </cell>
        </row>
        <row r="55">
          <cell r="A55">
            <v>61</v>
          </cell>
          <cell r="B55">
            <v>52179.26</v>
          </cell>
          <cell r="C55">
            <v>29100.9</v>
          </cell>
          <cell r="D55">
            <v>63.88</v>
          </cell>
          <cell r="H55">
            <v>61</v>
          </cell>
          <cell r="I55">
            <v>52178.91</v>
          </cell>
          <cell r="J55">
            <v>29101.06</v>
          </cell>
          <cell r="K55">
            <v>63.83</v>
          </cell>
          <cell r="X55">
            <v>-0.34999999999854481</v>
          </cell>
          <cell r="Y55">
            <v>0.15999999999985448</v>
          </cell>
          <cell r="Z55">
            <v>100</v>
          </cell>
          <cell r="AA55">
            <v>100</v>
          </cell>
          <cell r="AG55" t="str">
            <v/>
          </cell>
          <cell r="AH55">
            <v>2.2000000000000002</v>
          </cell>
          <cell r="AJ55">
            <v>0</v>
          </cell>
        </row>
        <row r="56">
          <cell r="A56">
            <v>62</v>
          </cell>
          <cell r="B56">
            <v>52173.32</v>
          </cell>
          <cell r="C56">
            <v>29098.26</v>
          </cell>
          <cell r="D56">
            <v>63.85</v>
          </cell>
          <cell r="H56">
            <v>62</v>
          </cell>
          <cell r="I56">
            <v>52173.279999999999</v>
          </cell>
          <cell r="J56">
            <v>29098.32</v>
          </cell>
          <cell r="K56">
            <v>63.98</v>
          </cell>
          <cell r="X56">
            <v>-4.0000000000873115E-2</v>
          </cell>
          <cell r="Y56">
            <v>6.0000000001309672E-2</v>
          </cell>
          <cell r="Z56">
            <v>100</v>
          </cell>
          <cell r="AA56">
            <v>100</v>
          </cell>
          <cell r="AG56" t="str">
            <v/>
          </cell>
          <cell r="AH56">
            <v>2.2999999999999998</v>
          </cell>
          <cell r="AJ56">
            <v>0</v>
          </cell>
        </row>
        <row r="57">
          <cell r="A57">
            <v>63</v>
          </cell>
          <cell r="B57">
            <v>52167.38</v>
          </cell>
          <cell r="C57">
            <v>29095.61</v>
          </cell>
          <cell r="D57">
            <v>63.88</v>
          </cell>
          <cell r="H57">
            <v>63</v>
          </cell>
          <cell r="I57">
            <v>52167.38</v>
          </cell>
          <cell r="J57">
            <v>29095.56</v>
          </cell>
          <cell r="K57">
            <v>63.99</v>
          </cell>
          <cell r="X57">
            <v>0</v>
          </cell>
          <cell r="Y57">
            <v>-4.9999999999272404E-2</v>
          </cell>
          <cell r="Z57">
            <v>100</v>
          </cell>
          <cell r="AA57">
            <v>100</v>
          </cell>
          <cell r="AG57" t="str">
            <v/>
          </cell>
          <cell r="AH57">
            <v>2.4</v>
          </cell>
          <cell r="AJ57">
            <v>0</v>
          </cell>
        </row>
        <row r="58">
          <cell r="A58">
            <v>64</v>
          </cell>
          <cell r="B58">
            <v>52161.45</v>
          </cell>
          <cell r="C58">
            <v>29092.97</v>
          </cell>
          <cell r="D58">
            <v>63.94</v>
          </cell>
          <cell r="H58">
            <v>64</v>
          </cell>
          <cell r="I58">
            <v>52161.42</v>
          </cell>
          <cell r="J58">
            <v>29092.91</v>
          </cell>
          <cell r="K58">
            <v>63.92</v>
          </cell>
          <cell r="X58">
            <v>-2.9999999998835847E-2</v>
          </cell>
          <cell r="Y58">
            <v>-6.0000000001309672E-2</v>
          </cell>
          <cell r="Z58">
            <v>100</v>
          </cell>
          <cell r="AA58">
            <v>100</v>
          </cell>
          <cell r="AG58" t="str">
            <v/>
          </cell>
          <cell r="AH58">
            <v>2.5</v>
          </cell>
          <cell r="AJ58">
            <v>0</v>
          </cell>
        </row>
        <row r="59">
          <cell r="A59">
            <v>65</v>
          </cell>
          <cell r="B59">
            <v>52155.51</v>
          </cell>
          <cell r="C59">
            <v>29090.33</v>
          </cell>
          <cell r="D59">
            <v>64.03</v>
          </cell>
          <cell r="H59">
            <v>65</v>
          </cell>
          <cell r="I59">
            <v>52155.48</v>
          </cell>
          <cell r="J59">
            <v>29090.2</v>
          </cell>
          <cell r="K59">
            <v>63.99</v>
          </cell>
          <cell r="X59">
            <v>-2.9999999998835847E-2</v>
          </cell>
          <cell r="Y59">
            <v>-0.13000000000101863</v>
          </cell>
          <cell r="Z59">
            <v>100</v>
          </cell>
          <cell r="AA59">
            <v>100</v>
          </cell>
          <cell r="AG59" t="str">
            <v/>
          </cell>
          <cell r="AH59">
            <v>2.6</v>
          </cell>
          <cell r="AJ59">
            <v>0</v>
          </cell>
        </row>
        <row r="60">
          <cell r="A60">
            <v>66</v>
          </cell>
          <cell r="B60">
            <v>52197.77</v>
          </cell>
          <cell r="C60">
            <v>29115.27</v>
          </cell>
          <cell r="D60">
            <v>63.94</v>
          </cell>
          <cell r="H60">
            <v>66</v>
          </cell>
          <cell r="I60">
            <v>52198.1</v>
          </cell>
          <cell r="J60">
            <v>29115</v>
          </cell>
          <cell r="K60">
            <v>63.97</v>
          </cell>
          <cell r="X60">
            <v>0.33000000000174623</v>
          </cell>
          <cell r="Y60">
            <v>-0.27000000000043656</v>
          </cell>
          <cell r="Z60">
            <v>100</v>
          </cell>
          <cell r="AA60">
            <v>100</v>
          </cell>
          <cell r="AG60" t="str">
            <v/>
          </cell>
          <cell r="AH60">
            <v>2.7</v>
          </cell>
          <cell r="AJ60">
            <v>0</v>
          </cell>
        </row>
        <row r="61">
          <cell r="A61">
            <v>67</v>
          </cell>
          <cell r="B61">
            <v>52191.83</v>
          </cell>
          <cell r="C61">
            <v>29112.63</v>
          </cell>
          <cell r="D61">
            <v>64.05</v>
          </cell>
          <cell r="H61">
            <v>67</v>
          </cell>
          <cell r="I61">
            <v>52191.67</v>
          </cell>
          <cell r="J61">
            <v>29112.25</v>
          </cell>
          <cell r="K61">
            <v>64.11</v>
          </cell>
          <cell r="X61">
            <v>-0.16000000000349246</v>
          </cell>
          <cell r="Y61">
            <v>-0.38000000000101863</v>
          </cell>
          <cell r="Z61">
            <v>100</v>
          </cell>
          <cell r="AA61">
            <v>100</v>
          </cell>
          <cell r="AG61" t="str">
            <v/>
          </cell>
          <cell r="AH61">
            <v>2.8</v>
          </cell>
          <cell r="AJ61">
            <v>0</v>
          </cell>
        </row>
        <row r="62">
          <cell r="A62">
            <v>68</v>
          </cell>
          <cell r="B62">
            <v>52185.89</v>
          </cell>
          <cell r="C62">
            <v>29109.98</v>
          </cell>
          <cell r="D62">
            <v>64.040000000000006</v>
          </cell>
          <cell r="H62">
            <v>68</v>
          </cell>
          <cell r="I62">
            <v>52185.66</v>
          </cell>
          <cell r="J62">
            <v>29109.93</v>
          </cell>
          <cell r="K62">
            <v>64.06</v>
          </cell>
          <cell r="X62">
            <v>-0.22999999999592546</v>
          </cell>
          <cell r="Y62">
            <v>-4.9999999999272404E-2</v>
          </cell>
          <cell r="Z62">
            <v>100</v>
          </cell>
          <cell r="AA62">
            <v>100</v>
          </cell>
          <cell r="AG62" t="str">
            <v/>
          </cell>
          <cell r="AH62">
            <v>2.9</v>
          </cell>
          <cell r="AJ62">
            <v>0</v>
          </cell>
        </row>
        <row r="63">
          <cell r="A63">
            <v>69</v>
          </cell>
          <cell r="B63">
            <v>52179.95</v>
          </cell>
          <cell r="C63">
            <v>29107.34</v>
          </cell>
          <cell r="D63">
            <v>64.010000000000005</v>
          </cell>
          <cell r="H63">
            <v>69</v>
          </cell>
          <cell r="I63">
            <v>52180.04</v>
          </cell>
          <cell r="J63">
            <v>29106.91</v>
          </cell>
          <cell r="K63">
            <v>64.08</v>
          </cell>
          <cell r="X63">
            <v>9.0000000003783498E-2</v>
          </cell>
          <cell r="Y63">
            <v>-0.43000000000029104</v>
          </cell>
          <cell r="Z63">
            <v>100</v>
          </cell>
          <cell r="AA63">
            <v>100</v>
          </cell>
          <cell r="AG63" t="str">
            <v/>
          </cell>
          <cell r="AH63">
            <v>3</v>
          </cell>
          <cell r="AJ63">
            <v>0</v>
          </cell>
        </row>
        <row r="64">
          <cell r="A64">
            <v>70</v>
          </cell>
          <cell r="B64">
            <v>52174.01</v>
          </cell>
          <cell r="C64">
            <v>29104.7</v>
          </cell>
          <cell r="D64">
            <v>63.98</v>
          </cell>
          <cell r="H64">
            <v>70</v>
          </cell>
          <cell r="I64">
            <v>52173.85</v>
          </cell>
          <cell r="J64">
            <v>29104.66</v>
          </cell>
          <cell r="K64">
            <v>64.14</v>
          </cell>
          <cell r="X64">
            <v>-0.16000000000349246</v>
          </cell>
          <cell r="Y64">
            <v>-4.0000000000873115E-2</v>
          </cell>
          <cell r="Z64">
            <v>100</v>
          </cell>
          <cell r="AA64">
            <v>100</v>
          </cell>
        </row>
        <row r="65">
          <cell r="A65">
            <v>71</v>
          </cell>
          <cell r="B65">
            <v>52168.08</v>
          </cell>
          <cell r="C65">
            <v>29102.05</v>
          </cell>
          <cell r="D65">
            <v>63.96</v>
          </cell>
          <cell r="H65">
            <v>71</v>
          </cell>
          <cell r="I65">
            <v>52168.1</v>
          </cell>
          <cell r="J65">
            <v>29102.02</v>
          </cell>
          <cell r="K65">
            <v>64.069999999999993</v>
          </cell>
          <cell r="X65">
            <v>1.9999999996798579E-2</v>
          </cell>
          <cell r="Y65">
            <v>-2.9999999998835847E-2</v>
          </cell>
          <cell r="Z65">
            <v>100</v>
          </cell>
          <cell r="AA65">
            <v>100</v>
          </cell>
        </row>
        <row r="66">
          <cell r="A66">
            <v>72</v>
          </cell>
          <cell r="B66">
            <v>52162.14</v>
          </cell>
          <cell r="C66">
            <v>29099.41</v>
          </cell>
          <cell r="D66">
            <v>63.95</v>
          </cell>
          <cell r="H66">
            <v>72</v>
          </cell>
          <cell r="I66">
            <v>52161.8</v>
          </cell>
          <cell r="J66">
            <v>29099.45</v>
          </cell>
          <cell r="K66">
            <v>64.08</v>
          </cell>
          <cell r="X66">
            <v>-0.33999999999650754</v>
          </cell>
          <cell r="Y66">
            <v>4.0000000000873115E-2</v>
          </cell>
          <cell r="Z66">
            <v>100</v>
          </cell>
          <cell r="AA66">
            <v>100</v>
          </cell>
        </row>
        <row r="67">
          <cell r="A67">
            <v>73</v>
          </cell>
          <cell r="B67">
            <v>52156.2</v>
          </cell>
          <cell r="C67">
            <v>29096.76</v>
          </cell>
          <cell r="D67">
            <v>64.03</v>
          </cell>
          <cell r="H67">
            <v>73</v>
          </cell>
          <cell r="I67">
            <v>52156.25</v>
          </cell>
          <cell r="J67">
            <v>29096.78</v>
          </cell>
          <cell r="K67">
            <v>64</v>
          </cell>
          <cell r="X67">
            <v>5.0000000002910383E-2</v>
          </cell>
          <cell r="Y67">
            <v>2.0000000000436557E-2</v>
          </cell>
          <cell r="Z67">
            <v>100</v>
          </cell>
          <cell r="AA67">
            <v>100</v>
          </cell>
        </row>
        <row r="68">
          <cell r="A68">
            <v>74</v>
          </cell>
          <cell r="B68">
            <v>52150.26</v>
          </cell>
          <cell r="C68">
            <v>29094.12</v>
          </cell>
          <cell r="D68">
            <v>64.17</v>
          </cell>
          <cell r="H68">
            <v>74</v>
          </cell>
          <cell r="I68">
            <v>52150.14</v>
          </cell>
          <cell r="J68">
            <v>29094.07</v>
          </cell>
          <cell r="K68">
            <v>64.17</v>
          </cell>
          <cell r="X68">
            <v>-0.12000000000261934</v>
          </cell>
          <cell r="Y68">
            <v>-4.9999999999272404E-2</v>
          </cell>
          <cell r="Z68">
            <v>100</v>
          </cell>
          <cell r="AA68">
            <v>100</v>
          </cell>
        </row>
        <row r="69">
          <cell r="A69">
            <v>75</v>
          </cell>
          <cell r="B69">
            <v>52192.49</v>
          </cell>
          <cell r="C69">
            <v>29116.76</v>
          </cell>
          <cell r="D69">
            <v>64.05</v>
          </cell>
          <cell r="H69">
            <v>75</v>
          </cell>
          <cell r="I69">
            <v>52192.27</v>
          </cell>
          <cell r="J69">
            <v>29116.45</v>
          </cell>
          <cell r="K69">
            <v>64.14</v>
          </cell>
          <cell r="X69">
            <v>-0.22000000000116415</v>
          </cell>
          <cell r="Y69">
            <v>-0.30999999999767169</v>
          </cell>
          <cell r="Z69">
            <v>100</v>
          </cell>
          <cell r="AA69">
            <v>100</v>
          </cell>
        </row>
        <row r="70">
          <cell r="A70">
            <v>76</v>
          </cell>
          <cell r="B70">
            <v>52186.58</v>
          </cell>
          <cell r="C70">
            <v>29116.42</v>
          </cell>
          <cell r="D70">
            <v>64.2</v>
          </cell>
          <cell r="H70">
            <v>76</v>
          </cell>
          <cell r="I70">
            <v>52186.58</v>
          </cell>
          <cell r="J70">
            <v>29116.1</v>
          </cell>
          <cell r="K70">
            <v>64.239999999999995</v>
          </cell>
          <cell r="X70">
            <v>0</v>
          </cell>
          <cell r="Y70">
            <v>-0.31999999999970896</v>
          </cell>
          <cell r="Z70">
            <v>100</v>
          </cell>
          <cell r="AA70">
            <v>100</v>
          </cell>
        </row>
        <row r="71">
          <cell r="A71">
            <v>77</v>
          </cell>
          <cell r="B71">
            <v>52180.639999999999</v>
          </cell>
          <cell r="C71">
            <v>29113.78</v>
          </cell>
          <cell r="D71">
            <v>64.16</v>
          </cell>
          <cell r="H71">
            <v>77</v>
          </cell>
          <cell r="I71">
            <v>52180.51</v>
          </cell>
          <cell r="J71">
            <v>29113.88</v>
          </cell>
          <cell r="K71">
            <v>64.22</v>
          </cell>
          <cell r="X71">
            <v>-0.12999999999738066</v>
          </cell>
          <cell r="Y71">
            <v>0.10000000000218279</v>
          </cell>
          <cell r="Z71">
            <v>100</v>
          </cell>
          <cell r="AA71">
            <v>100</v>
          </cell>
        </row>
        <row r="72">
          <cell r="A72">
            <v>78</v>
          </cell>
          <cell r="B72">
            <v>52174.71</v>
          </cell>
          <cell r="C72">
            <v>29111.13</v>
          </cell>
          <cell r="D72">
            <v>64.099999999999994</v>
          </cell>
          <cell r="H72">
            <v>78</v>
          </cell>
          <cell r="I72">
            <v>52174.46</v>
          </cell>
          <cell r="J72">
            <v>29111.1</v>
          </cell>
          <cell r="K72">
            <v>64.09</v>
          </cell>
          <cell r="X72">
            <v>-0.25</v>
          </cell>
          <cell r="Y72">
            <v>-3.0000000002473826E-2</v>
          </cell>
          <cell r="Z72">
            <v>100</v>
          </cell>
          <cell r="AA72">
            <v>100</v>
          </cell>
        </row>
        <row r="73">
          <cell r="A73">
            <v>79</v>
          </cell>
          <cell r="B73">
            <v>52168.77</v>
          </cell>
          <cell r="C73">
            <v>29108.49</v>
          </cell>
          <cell r="D73">
            <v>64.069999999999993</v>
          </cell>
          <cell r="H73">
            <v>79</v>
          </cell>
          <cell r="I73">
            <v>52168.7</v>
          </cell>
          <cell r="J73">
            <v>29108.38</v>
          </cell>
          <cell r="K73">
            <v>64.03</v>
          </cell>
          <cell r="X73">
            <v>-6.9999999999708962E-2</v>
          </cell>
          <cell r="Y73">
            <v>-0.11000000000058208</v>
          </cell>
          <cell r="Z73">
            <v>100</v>
          </cell>
          <cell r="AA73">
            <v>100</v>
          </cell>
        </row>
        <row r="74">
          <cell r="A74">
            <v>80</v>
          </cell>
          <cell r="B74">
            <v>52162.83</v>
          </cell>
          <cell r="C74">
            <v>29105.85</v>
          </cell>
          <cell r="D74">
            <v>63.98</v>
          </cell>
          <cell r="H74">
            <v>80</v>
          </cell>
          <cell r="I74">
            <v>52162.6</v>
          </cell>
          <cell r="J74">
            <v>29105.71</v>
          </cell>
          <cell r="K74">
            <v>63.95</v>
          </cell>
          <cell r="X74">
            <v>-0.23000000000320142</v>
          </cell>
          <cell r="Y74">
            <v>-0.13999999999941792</v>
          </cell>
          <cell r="Z74">
            <v>100</v>
          </cell>
          <cell r="AA74">
            <v>100</v>
          </cell>
        </row>
        <row r="75">
          <cell r="A75">
            <v>81</v>
          </cell>
          <cell r="B75">
            <v>52156.89</v>
          </cell>
          <cell r="C75">
            <v>29103.200000000001</v>
          </cell>
          <cell r="D75">
            <v>63.94</v>
          </cell>
          <cell r="H75">
            <v>81</v>
          </cell>
          <cell r="I75">
            <v>52156.84</v>
          </cell>
          <cell r="J75">
            <v>29103.040000000001</v>
          </cell>
          <cell r="K75">
            <v>63.85</v>
          </cell>
          <cell r="X75">
            <v>-5.0000000002910383E-2</v>
          </cell>
          <cell r="Y75">
            <v>-0.15999999999985448</v>
          </cell>
          <cell r="Z75">
            <v>100</v>
          </cell>
          <cell r="AA75">
            <v>100</v>
          </cell>
        </row>
        <row r="76">
          <cell r="A76">
            <v>82</v>
          </cell>
          <cell r="B76">
            <v>52150.95</v>
          </cell>
          <cell r="C76">
            <v>29100.560000000001</v>
          </cell>
          <cell r="D76">
            <v>64.11</v>
          </cell>
          <cell r="H76">
            <v>82</v>
          </cell>
          <cell r="I76">
            <v>52150.66</v>
          </cell>
          <cell r="J76">
            <v>29100.52</v>
          </cell>
          <cell r="K76">
            <v>63.87</v>
          </cell>
          <cell r="X76">
            <v>-0.28999999999359716</v>
          </cell>
          <cell r="Y76">
            <v>-4.0000000000873115E-2</v>
          </cell>
          <cell r="Z76">
            <v>100</v>
          </cell>
          <cell r="AA76">
            <v>100</v>
          </cell>
        </row>
        <row r="77">
          <cell r="A77">
            <v>83</v>
          </cell>
          <cell r="B77">
            <v>52175.8</v>
          </cell>
          <cell r="C77">
            <v>29115.1</v>
          </cell>
          <cell r="D77">
            <v>64.19</v>
          </cell>
          <cell r="H77">
            <v>83</v>
          </cell>
          <cell r="I77">
            <v>52175.77</v>
          </cell>
          <cell r="J77">
            <v>29114.92</v>
          </cell>
          <cell r="K77">
            <v>64.23</v>
          </cell>
          <cell r="X77">
            <v>-3.0000000006111804E-2</v>
          </cell>
          <cell r="Y77">
            <v>-0.18000000000029104</v>
          </cell>
          <cell r="Z77">
            <v>100</v>
          </cell>
          <cell r="AA77">
            <v>100</v>
          </cell>
        </row>
        <row r="78">
          <cell r="A78">
            <v>84</v>
          </cell>
          <cell r="B78">
            <v>52169.46</v>
          </cell>
          <cell r="C78">
            <v>29114.93</v>
          </cell>
          <cell r="D78">
            <v>64.180000000000007</v>
          </cell>
          <cell r="H78">
            <v>84</v>
          </cell>
          <cell r="I78">
            <v>52169.599999999999</v>
          </cell>
          <cell r="J78">
            <v>29114.84</v>
          </cell>
          <cell r="K78">
            <v>64.16</v>
          </cell>
          <cell r="X78">
            <v>0.13999999999941792</v>
          </cell>
          <cell r="Y78">
            <v>-9.0000000000145519E-2</v>
          </cell>
          <cell r="Z78">
            <v>100</v>
          </cell>
          <cell r="AA78">
            <v>100</v>
          </cell>
        </row>
        <row r="79">
          <cell r="A79">
            <v>85</v>
          </cell>
          <cell r="B79">
            <v>52163.519999999997</v>
          </cell>
          <cell r="C79">
            <v>29112.28</v>
          </cell>
          <cell r="D79">
            <v>64.02</v>
          </cell>
          <cell r="H79">
            <v>85</v>
          </cell>
          <cell r="I79">
            <v>52163.41</v>
          </cell>
          <cell r="J79">
            <v>29112.32</v>
          </cell>
          <cell r="K79">
            <v>64</v>
          </cell>
          <cell r="X79">
            <v>-0.10999999999330612</v>
          </cell>
          <cell r="Y79">
            <v>4.0000000000873115E-2</v>
          </cell>
          <cell r="Z79">
            <v>100</v>
          </cell>
          <cell r="AA79">
            <v>100</v>
          </cell>
        </row>
        <row r="80">
          <cell r="A80">
            <v>86</v>
          </cell>
          <cell r="B80">
            <v>52157.58</v>
          </cell>
          <cell r="C80">
            <v>29109.64</v>
          </cell>
          <cell r="D80">
            <v>63.89</v>
          </cell>
          <cell r="H80">
            <v>86</v>
          </cell>
          <cell r="I80">
            <v>52157.38</v>
          </cell>
          <cell r="J80">
            <v>29109.81</v>
          </cell>
          <cell r="K80">
            <v>63.92</v>
          </cell>
          <cell r="X80">
            <v>-0.20000000000436557</v>
          </cell>
          <cell r="Y80">
            <v>0.17000000000189175</v>
          </cell>
          <cell r="Z80">
            <v>100</v>
          </cell>
          <cell r="AA80">
            <v>100</v>
          </cell>
        </row>
        <row r="81">
          <cell r="A81">
            <v>87</v>
          </cell>
          <cell r="B81">
            <v>52151.64</v>
          </cell>
          <cell r="C81">
            <v>29107</v>
          </cell>
          <cell r="D81">
            <v>63.98</v>
          </cell>
          <cell r="H81">
            <v>87</v>
          </cell>
          <cell r="I81">
            <v>52151.44</v>
          </cell>
          <cell r="J81">
            <v>29107.27</v>
          </cell>
          <cell r="K81">
            <v>63.86</v>
          </cell>
          <cell r="X81">
            <v>-0.19999999999708962</v>
          </cell>
          <cell r="Y81">
            <v>0.27000000000043656</v>
          </cell>
          <cell r="Z81">
            <v>100</v>
          </cell>
          <cell r="AA81">
            <v>100</v>
          </cell>
        </row>
        <row r="82">
          <cell r="A82">
            <v>88</v>
          </cell>
          <cell r="B82">
            <v>52145.71</v>
          </cell>
          <cell r="C82">
            <v>29104.35</v>
          </cell>
          <cell r="D82">
            <v>64.16</v>
          </cell>
          <cell r="H82">
            <v>88</v>
          </cell>
          <cell r="I82">
            <v>52145.82</v>
          </cell>
          <cell r="J82">
            <v>29104.45</v>
          </cell>
          <cell r="K82">
            <v>64.03</v>
          </cell>
          <cell r="X82">
            <v>0.11000000000058208</v>
          </cell>
          <cell r="Y82">
            <v>0.10000000000218279</v>
          </cell>
          <cell r="Z82">
            <v>100</v>
          </cell>
          <cell r="AA82">
            <v>100</v>
          </cell>
        </row>
        <row r="83">
          <cell r="A83">
            <v>89</v>
          </cell>
          <cell r="B83">
            <v>52159.01</v>
          </cell>
          <cell r="C83">
            <v>29113.49</v>
          </cell>
          <cell r="D83">
            <v>63.89</v>
          </cell>
          <cell r="H83">
            <v>89</v>
          </cell>
          <cell r="I83">
            <v>52158.8</v>
          </cell>
          <cell r="J83">
            <v>29113.439999999999</v>
          </cell>
          <cell r="K83">
            <v>63.85</v>
          </cell>
          <cell r="X83">
            <v>-0.20999999999912689</v>
          </cell>
          <cell r="Y83">
            <v>-5.0000000002910383E-2</v>
          </cell>
          <cell r="Z83">
            <v>100</v>
          </cell>
          <cell r="AA83">
            <v>100</v>
          </cell>
        </row>
        <row r="84">
          <cell r="A84">
            <v>90</v>
          </cell>
          <cell r="B84">
            <v>52152.6</v>
          </cell>
          <cell r="C84">
            <v>29112.46</v>
          </cell>
          <cell r="D84">
            <v>63.89</v>
          </cell>
          <cell r="H84">
            <v>90</v>
          </cell>
          <cell r="I84">
            <v>52152.51</v>
          </cell>
          <cell r="J84">
            <v>29112.39</v>
          </cell>
          <cell r="K84">
            <v>63.91</v>
          </cell>
          <cell r="X84">
            <v>-8.999999999650754E-2</v>
          </cell>
          <cell r="Y84">
            <v>-6.9999999999708962E-2</v>
          </cell>
          <cell r="Z84">
            <v>100</v>
          </cell>
          <cell r="AA84">
            <v>100</v>
          </cell>
        </row>
        <row r="85">
          <cell r="A85">
            <v>91</v>
          </cell>
          <cell r="B85">
            <v>52146.400000000001</v>
          </cell>
          <cell r="C85">
            <v>29110.79</v>
          </cell>
          <cell r="D85">
            <v>63.98</v>
          </cell>
          <cell r="H85">
            <v>91</v>
          </cell>
          <cell r="I85">
            <v>52146.26</v>
          </cell>
          <cell r="J85">
            <v>29110.78</v>
          </cell>
          <cell r="K85">
            <v>63.95</v>
          </cell>
          <cell r="X85">
            <v>-0.13999999999941792</v>
          </cell>
          <cell r="Y85">
            <v>-1.0000000002037268E-2</v>
          </cell>
          <cell r="Z85">
            <v>100</v>
          </cell>
          <cell r="AA85">
            <v>100</v>
          </cell>
        </row>
        <row r="86">
          <cell r="A86">
            <v>92</v>
          </cell>
          <cell r="B86">
            <v>52153.43</v>
          </cell>
          <cell r="C86">
            <v>29071.01</v>
          </cell>
          <cell r="D86">
            <v>64.150000000000006</v>
          </cell>
          <cell r="H86">
            <v>92</v>
          </cell>
          <cell r="I86">
            <v>52153.56</v>
          </cell>
          <cell r="J86">
            <v>29071.06</v>
          </cell>
          <cell r="K86">
            <v>64.05</v>
          </cell>
          <cell r="X86">
            <v>0.12999999999738066</v>
          </cell>
          <cell r="Y86">
            <v>5.0000000002910383E-2</v>
          </cell>
          <cell r="Z86">
            <v>100</v>
          </cell>
          <cell r="AA86">
            <v>100</v>
          </cell>
        </row>
        <row r="87">
          <cell r="A87">
            <v>93</v>
          </cell>
          <cell r="B87">
            <v>52147.5</v>
          </cell>
          <cell r="C87">
            <v>29068.37</v>
          </cell>
          <cell r="D87">
            <v>64.459999999999994</v>
          </cell>
          <cell r="H87">
            <v>93</v>
          </cell>
          <cell r="I87">
            <v>52147.66</v>
          </cell>
          <cell r="J87">
            <v>29068.5</v>
          </cell>
          <cell r="K87">
            <v>64.37</v>
          </cell>
          <cell r="X87">
            <v>0.16000000000349246</v>
          </cell>
          <cell r="Y87">
            <v>0.13000000000101863</v>
          </cell>
          <cell r="Z87">
            <v>100</v>
          </cell>
          <cell r="AA87">
            <v>100</v>
          </cell>
        </row>
        <row r="88">
          <cell r="A88">
            <v>94</v>
          </cell>
          <cell r="B88">
            <v>52141.56</v>
          </cell>
          <cell r="C88">
            <v>29065.73</v>
          </cell>
          <cell r="D88">
            <v>64.900000000000006</v>
          </cell>
          <cell r="H88">
            <v>94</v>
          </cell>
          <cell r="I88">
            <v>52141.97</v>
          </cell>
          <cell r="J88">
            <v>29065.95</v>
          </cell>
          <cell r="K88">
            <v>64.760000000000005</v>
          </cell>
          <cell r="X88">
            <v>0.41000000000349246</v>
          </cell>
          <cell r="Y88">
            <v>0.22000000000116415</v>
          </cell>
          <cell r="Z88">
            <v>100</v>
          </cell>
          <cell r="AA88">
            <v>100</v>
          </cell>
        </row>
        <row r="89">
          <cell r="A89">
            <v>95</v>
          </cell>
          <cell r="B89">
            <v>52154.13</v>
          </cell>
          <cell r="C89">
            <v>29077.45</v>
          </cell>
          <cell r="D89">
            <v>63.9</v>
          </cell>
          <cell r="H89">
            <v>95</v>
          </cell>
          <cell r="I89">
            <v>52153.760000000002</v>
          </cell>
          <cell r="J89">
            <v>29077.41</v>
          </cell>
          <cell r="K89">
            <v>63.84</v>
          </cell>
          <cell r="X89">
            <v>-0.36999999999534339</v>
          </cell>
          <cell r="Y89">
            <v>-4.0000000000873115E-2</v>
          </cell>
          <cell r="Z89">
            <v>100</v>
          </cell>
          <cell r="AA89">
            <v>100</v>
          </cell>
        </row>
        <row r="90">
          <cell r="A90">
            <v>96</v>
          </cell>
          <cell r="B90">
            <v>52148.19</v>
          </cell>
          <cell r="C90">
            <v>29074.81</v>
          </cell>
          <cell r="D90">
            <v>64.180000000000007</v>
          </cell>
          <cell r="H90">
            <v>96</v>
          </cell>
          <cell r="I90">
            <v>52147.99</v>
          </cell>
          <cell r="J90">
            <v>29075.09</v>
          </cell>
          <cell r="K90">
            <v>64.150000000000006</v>
          </cell>
          <cell r="X90">
            <v>-0.20000000000436557</v>
          </cell>
          <cell r="Y90">
            <v>0.27999999999883585</v>
          </cell>
          <cell r="Z90">
            <v>100</v>
          </cell>
          <cell r="AA90">
            <v>100</v>
          </cell>
        </row>
        <row r="91">
          <cell r="A91">
            <v>97</v>
          </cell>
          <cell r="B91">
            <v>52142.25</v>
          </cell>
          <cell r="C91">
            <v>29072.16</v>
          </cell>
          <cell r="D91">
            <v>64.67</v>
          </cell>
          <cell r="H91">
            <v>97</v>
          </cell>
          <cell r="I91">
            <v>52142.45</v>
          </cell>
          <cell r="J91">
            <v>29072.13</v>
          </cell>
          <cell r="K91">
            <v>64.56</v>
          </cell>
          <cell r="X91">
            <v>0.19999999999708962</v>
          </cell>
          <cell r="Y91">
            <v>-2.9999999998835847E-2</v>
          </cell>
          <cell r="Z91">
            <v>100</v>
          </cell>
          <cell r="AA91">
            <v>100</v>
          </cell>
        </row>
        <row r="92">
          <cell r="A92">
            <v>98</v>
          </cell>
          <cell r="B92">
            <v>52136.31</v>
          </cell>
          <cell r="C92">
            <v>29069.52</v>
          </cell>
          <cell r="D92">
            <v>65.19</v>
          </cell>
          <cell r="H92">
            <v>98</v>
          </cell>
          <cell r="I92">
            <v>52136.75</v>
          </cell>
          <cell r="J92">
            <v>29069.48</v>
          </cell>
          <cell r="K92">
            <v>65.08</v>
          </cell>
          <cell r="X92">
            <v>0.44000000000232831</v>
          </cell>
          <cell r="Y92">
            <v>-4.0000000000873115E-2</v>
          </cell>
          <cell r="Z92">
            <v>100</v>
          </cell>
          <cell r="AA92">
            <v>100</v>
          </cell>
        </row>
        <row r="93">
          <cell r="A93">
            <v>99</v>
          </cell>
          <cell r="B93">
            <v>52148.88</v>
          </cell>
          <cell r="C93">
            <v>29081.24</v>
          </cell>
          <cell r="D93">
            <v>64.11</v>
          </cell>
          <cell r="H93">
            <v>99</v>
          </cell>
          <cell r="I93">
            <v>52148.89</v>
          </cell>
          <cell r="J93">
            <v>29081.360000000001</v>
          </cell>
          <cell r="K93">
            <v>64.010000000000005</v>
          </cell>
          <cell r="X93">
            <v>1.0000000002037268E-2</v>
          </cell>
          <cell r="Y93">
            <v>0.11999999999898137</v>
          </cell>
          <cell r="Z93">
            <v>100</v>
          </cell>
          <cell r="AA93">
            <v>100</v>
          </cell>
        </row>
        <row r="94">
          <cell r="A94">
            <v>100</v>
          </cell>
          <cell r="B94">
            <v>52142.94</v>
          </cell>
          <cell r="C94">
            <v>29078.6</v>
          </cell>
          <cell r="D94">
            <v>64.48</v>
          </cell>
          <cell r="H94">
            <v>100</v>
          </cell>
          <cell r="I94">
            <v>52143.38</v>
          </cell>
          <cell r="J94">
            <v>29078.93</v>
          </cell>
          <cell r="K94">
            <v>64.39</v>
          </cell>
          <cell r="X94">
            <v>100</v>
          </cell>
          <cell r="Y94">
            <v>100</v>
          </cell>
          <cell r="Z94">
            <v>0.43999999999505235</v>
          </cell>
          <cell r="AA94">
            <v>0.33000000000174623</v>
          </cell>
        </row>
        <row r="95">
          <cell r="A95">
            <v>101</v>
          </cell>
          <cell r="B95">
            <v>52137</v>
          </cell>
          <cell r="C95">
            <v>29075.96</v>
          </cell>
          <cell r="D95">
            <v>64.97</v>
          </cell>
          <cell r="H95">
            <v>101</v>
          </cell>
          <cell r="I95">
            <v>52137.09</v>
          </cell>
          <cell r="J95">
            <v>29076.240000000002</v>
          </cell>
          <cell r="K95">
            <v>65</v>
          </cell>
          <cell r="X95">
            <v>8.999999999650754E-2</v>
          </cell>
          <cell r="Y95">
            <v>0.28000000000247383</v>
          </cell>
          <cell r="Z95">
            <v>100</v>
          </cell>
          <cell r="AA95">
            <v>100</v>
          </cell>
        </row>
        <row r="96">
          <cell r="A96">
            <v>102</v>
          </cell>
          <cell r="B96">
            <v>52131.07</v>
          </cell>
          <cell r="C96">
            <v>29073.31</v>
          </cell>
          <cell r="D96">
            <v>65.55</v>
          </cell>
          <cell r="H96">
            <v>102</v>
          </cell>
          <cell r="I96">
            <v>52130.99</v>
          </cell>
          <cell r="J96">
            <v>29073.439999999999</v>
          </cell>
          <cell r="K96">
            <v>65.349999999999994</v>
          </cell>
          <cell r="X96">
            <v>-8.000000000174623E-2</v>
          </cell>
          <cell r="Y96">
            <v>0.12999999999738066</v>
          </cell>
          <cell r="Z96">
            <v>100</v>
          </cell>
          <cell r="AA96">
            <v>100</v>
          </cell>
        </row>
        <row r="97">
          <cell r="A97">
            <v>103</v>
          </cell>
          <cell r="B97">
            <v>52149.57</v>
          </cell>
          <cell r="C97">
            <v>29087.68</v>
          </cell>
          <cell r="D97">
            <v>64.180000000000007</v>
          </cell>
          <cell r="H97">
            <v>103</v>
          </cell>
          <cell r="I97">
            <v>52149.4</v>
          </cell>
          <cell r="J97">
            <v>29087.47</v>
          </cell>
          <cell r="K97">
            <v>64.22</v>
          </cell>
          <cell r="X97">
            <v>-0.16999999999825377</v>
          </cell>
          <cell r="Y97">
            <v>-0.20999999999912689</v>
          </cell>
          <cell r="Z97">
            <v>100</v>
          </cell>
          <cell r="AA97">
            <v>100</v>
          </cell>
        </row>
        <row r="98">
          <cell r="A98">
            <v>104</v>
          </cell>
          <cell r="B98">
            <v>52143.63</v>
          </cell>
          <cell r="C98">
            <v>29085.040000000001</v>
          </cell>
          <cell r="D98">
            <v>64.5</v>
          </cell>
          <cell r="H98">
            <v>104</v>
          </cell>
          <cell r="I98">
            <v>52143.54</v>
          </cell>
          <cell r="J98">
            <v>29085.3</v>
          </cell>
          <cell r="K98">
            <v>64.5</v>
          </cell>
          <cell r="X98">
            <v>-8.999999999650754E-2</v>
          </cell>
          <cell r="Y98">
            <v>0.25999999999839929</v>
          </cell>
          <cell r="Z98">
            <v>100</v>
          </cell>
          <cell r="AA98">
            <v>100</v>
          </cell>
        </row>
        <row r="99">
          <cell r="A99">
            <v>105</v>
          </cell>
          <cell r="B99">
            <v>52137.69</v>
          </cell>
          <cell r="C99">
            <v>29082.400000000001</v>
          </cell>
          <cell r="D99">
            <v>64.930000000000007</v>
          </cell>
          <cell r="H99">
            <v>105</v>
          </cell>
          <cell r="I99">
            <v>52138.09</v>
          </cell>
          <cell r="J99">
            <v>29082.560000000001</v>
          </cell>
          <cell r="K99">
            <v>64.84</v>
          </cell>
          <cell r="X99">
            <v>0.39999999999417923</v>
          </cell>
          <cell r="Y99">
            <v>0.15999999999985448</v>
          </cell>
          <cell r="Z99">
            <v>100</v>
          </cell>
          <cell r="AA99">
            <v>100</v>
          </cell>
        </row>
        <row r="100">
          <cell r="A100">
            <v>106</v>
          </cell>
          <cell r="B100">
            <v>52131.76</v>
          </cell>
          <cell r="C100">
            <v>29079.75</v>
          </cell>
          <cell r="D100">
            <v>65.53</v>
          </cell>
          <cell r="H100">
            <v>106</v>
          </cell>
          <cell r="I100">
            <v>52131.78</v>
          </cell>
          <cell r="J100">
            <v>29079.87</v>
          </cell>
          <cell r="K100">
            <v>65.430000000000007</v>
          </cell>
          <cell r="X100">
            <v>1.9999999996798579E-2</v>
          </cell>
          <cell r="Y100">
            <v>0.11999999999898137</v>
          </cell>
          <cell r="Z100">
            <v>100</v>
          </cell>
          <cell r="AA100">
            <v>100</v>
          </cell>
        </row>
        <row r="101">
          <cell r="A101">
            <v>107</v>
          </cell>
          <cell r="B101">
            <v>52125.82</v>
          </cell>
          <cell r="C101">
            <v>29077.11</v>
          </cell>
          <cell r="D101">
            <v>66.03</v>
          </cell>
          <cell r="H101">
            <v>107</v>
          </cell>
          <cell r="I101">
            <v>52125.71</v>
          </cell>
          <cell r="J101">
            <v>29077.09</v>
          </cell>
          <cell r="K101">
            <v>65.92</v>
          </cell>
          <cell r="X101">
            <v>-0.11000000000058208</v>
          </cell>
          <cell r="Y101">
            <v>-2.0000000000436557E-2</v>
          </cell>
          <cell r="Z101">
            <v>100</v>
          </cell>
          <cell r="AA101">
            <v>100</v>
          </cell>
        </row>
        <row r="102">
          <cell r="A102">
            <v>108</v>
          </cell>
          <cell r="B102">
            <v>52144.32</v>
          </cell>
          <cell r="C102">
            <v>29091.48</v>
          </cell>
          <cell r="D102">
            <v>64.41</v>
          </cell>
          <cell r="H102">
            <v>108</v>
          </cell>
          <cell r="I102">
            <v>52144.38</v>
          </cell>
          <cell r="J102">
            <v>29091.45</v>
          </cell>
          <cell r="K102">
            <v>64.540000000000006</v>
          </cell>
          <cell r="X102">
            <v>5.9999999997671694E-2</v>
          </cell>
          <cell r="Y102">
            <v>-2.9999999998835847E-2</v>
          </cell>
          <cell r="Z102">
            <v>100</v>
          </cell>
          <cell r="AA102">
            <v>100</v>
          </cell>
        </row>
        <row r="103">
          <cell r="A103">
            <v>109</v>
          </cell>
          <cell r="B103">
            <v>52138.39</v>
          </cell>
          <cell r="C103">
            <v>29088.83</v>
          </cell>
          <cell r="D103">
            <v>65.010000000000005</v>
          </cell>
          <cell r="H103">
            <v>109</v>
          </cell>
          <cell r="I103">
            <v>52138.400000000001</v>
          </cell>
          <cell r="J103">
            <v>29088.62</v>
          </cell>
          <cell r="K103">
            <v>65.03</v>
          </cell>
          <cell r="X103">
            <v>1.0000000002037268E-2</v>
          </cell>
          <cell r="Y103">
            <v>-0.21000000000276486</v>
          </cell>
          <cell r="Z103">
            <v>100</v>
          </cell>
          <cell r="AA103">
            <v>100</v>
          </cell>
        </row>
        <row r="104">
          <cell r="A104">
            <v>110</v>
          </cell>
          <cell r="B104">
            <v>52132.45</v>
          </cell>
          <cell r="C104">
            <v>29086.19</v>
          </cell>
          <cell r="D104">
            <v>65.48</v>
          </cell>
          <cell r="H104">
            <v>110</v>
          </cell>
          <cell r="I104">
            <v>52132.66</v>
          </cell>
          <cell r="J104">
            <v>29086.2</v>
          </cell>
          <cell r="K104">
            <v>65.28</v>
          </cell>
          <cell r="X104">
            <v>0.21000000000640284</v>
          </cell>
          <cell r="Y104">
            <v>1.0000000002037268E-2</v>
          </cell>
          <cell r="Z104">
            <v>100</v>
          </cell>
          <cell r="AA104">
            <v>100</v>
          </cell>
        </row>
        <row r="105">
          <cell r="A105">
            <v>111</v>
          </cell>
          <cell r="B105">
            <v>52126.51</v>
          </cell>
          <cell r="C105">
            <v>29083.55</v>
          </cell>
          <cell r="D105">
            <v>66.11</v>
          </cell>
          <cell r="H105">
            <v>111</v>
          </cell>
          <cell r="I105">
            <v>52127</v>
          </cell>
          <cell r="J105">
            <v>29083.82</v>
          </cell>
          <cell r="K105">
            <v>66.069999999999993</v>
          </cell>
          <cell r="X105">
            <v>100</v>
          </cell>
          <cell r="Y105">
            <v>100</v>
          </cell>
          <cell r="Z105">
            <v>0.48999999999796273</v>
          </cell>
          <cell r="AA105">
            <v>0.27000000000043656</v>
          </cell>
        </row>
        <row r="106">
          <cell r="A106">
            <v>112</v>
          </cell>
          <cell r="B106">
            <v>52120.57</v>
          </cell>
          <cell r="C106">
            <v>29080.9</v>
          </cell>
          <cell r="D106">
            <v>66.42</v>
          </cell>
          <cell r="H106">
            <v>112</v>
          </cell>
          <cell r="I106">
            <v>52120.37</v>
          </cell>
          <cell r="J106">
            <v>29080.94</v>
          </cell>
          <cell r="K106">
            <v>66.540000000000006</v>
          </cell>
          <cell r="X106">
            <v>-0.19999999999708962</v>
          </cell>
          <cell r="Y106">
            <v>3.9999999997235136E-2</v>
          </cell>
          <cell r="Z106">
            <v>100</v>
          </cell>
          <cell r="AA106">
            <v>100</v>
          </cell>
        </row>
        <row r="107">
          <cell r="A107">
            <v>113</v>
          </cell>
          <cell r="B107">
            <v>52145.02</v>
          </cell>
          <cell r="C107">
            <v>29097.91</v>
          </cell>
          <cell r="D107">
            <v>64.27</v>
          </cell>
          <cell r="H107">
            <v>113</v>
          </cell>
          <cell r="I107">
            <v>52144.58</v>
          </cell>
          <cell r="J107">
            <v>29098.01</v>
          </cell>
          <cell r="K107">
            <v>64.44</v>
          </cell>
          <cell r="X107">
            <v>-0.43999999999505235</v>
          </cell>
          <cell r="Y107">
            <v>9.9999999998544808E-2</v>
          </cell>
          <cell r="Z107">
            <v>100</v>
          </cell>
          <cell r="AA107">
            <v>100</v>
          </cell>
        </row>
        <row r="108">
          <cell r="A108">
            <v>114</v>
          </cell>
          <cell r="B108">
            <v>52139.08</v>
          </cell>
          <cell r="C108">
            <v>29095.27</v>
          </cell>
          <cell r="D108">
            <v>64.73</v>
          </cell>
          <cell r="H108">
            <v>114</v>
          </cell>
          <cell r="I108">
            <v>52138.86</v>
          </cell>
          <cell r="J108">
            <v>29095.38</v>
          </cell>
          <cell r="K108">
            <v>64.739999999999995</v>
          </cell>
          <cell r="X108">
            <v>-0.22000000000116415</v>
          </cell>
          <cell r="Y108">
            <v>0.11000000000058208</v>
          </cell>
          <cell r="Z108">
            <v>100</v>
          </cell>
          <cell r="AA108">
            <v>100</v>
          </cell>
        </row>
        <row r="109">
          <cell r="A109">
            <v>115</v>
          </cell>
          <cell r="B109">
            <v>52133.14</v>
          </cell>
          <cell r="C109">
            <v>29092.63</v>
          </cell>
          <cell r="D109">
            <v>65.349999999999994</v>
          </cell>
          <cell r="H109">
            <v>115</v>
          </cell>
          <cell r="I109">
            <v>52133.18</v>
          </cell>
          <cell r="J109">
            <v>29092.84</v>
          </cell>
          <cell r="K109">
            <v>65.36</v>
          </cell>
          <cell r="X109">
            <v>4.0000000000873115E-2</v>
          </cell>
          <cell r="Y109">
            <v>0.20999999999912689</v>
          </cell>
          <cell r="Z109">
            <v>100</v>
          </cell>
          <cell r="AA109">
            <v>100</v>
          </cell>
        </row>
        <row r="110">
          <cell r="A110">
            <v>116</v>
          </cell>
          <cell r="B110">
            <v>52127.199999999997</v>
          </cell>
          <cell r="C110">
            <v>29089.98</v>
          </cell>
          <cell r="D110">
            <v>65.92</v>
          </cell>
          <cell r="H110">
            <v>116</v>
          </cell>
          <cell r="I110">
            <v>52127.41</v>
          </cell>
          <cell r="J110">
            <v>29089.95</v>
          </cell>
          <cell r="K110">
            <v>66.05</v>
          </cell>
          <cell r="X110">
            <v>0.21000000000640284</v>
          </cell>
          <cell r="Y110">
            <v>-2.9999999998835847E-2</v>
          </cell>
          <cell r="Z110">
            <v>100</v>
          </cell>
          <cell r="AA110">
            <v>100</v>
          </cell>
        </row>
        <row r="111">
          <cell r="A111">
            <v>117</v>
          </cell>
          <cell r="B111">
            <v>52121.26</v>
          </cell>
          <cell r="C111">
            <v>29087.34</v>
          </cell>
          <cell r="D111">
            <v>66.349999999999994</v>
          </cell>
          <cell r="H111">
            <v>117</v>
          </cell>
          <cell r="I111">
            <v>52121.46</v>
          </cell>
          <cell r="J111">
            <v>29087.25</v>
          </cell>
          <cell r="K111">
            <v>66.650000000000006</v>
          </cell>
          <cell r="X111">
            <v>0.19999999999708962</v>
          </cell>
          <cell r="Y111">
            <v>-9.0000000000145519E-2</v>
          </cell>
          <cell r="Z111">
            <v>100</v>
          </cell>
          <cell r="AA111">
            <v>100</v>
          </cell>
        </row>
        <row r="112">
          <cell r="A112">
            <v>118</v>
          </cell>
          <cell r="B112">
            <v>52139.77</v>
          </cell>
          <cell r="C112">
            <v>29101.71</v>
          </cell>
          <cell r="D112">
            <v>64.48</v>
          </cell>
          <cell r="H112">
            <v>118</v>
          </cell>
          <cell r="I112">
            <v>52139.82</v>
          </cell>
          <cell r="J112">
            <v>29101.98</v>
          </cell>
          <cell r="K112">
            <v>64.41</v>
          </cell>
          <cell r="X112">
            <v>5.0000000002910383E-2</v>
          </cell>
          <cell r="Y112">
            <v>0.27000000000043656</v>
          </cell>
          <cell r="Z112">
            <v>100</v>
          </cell>
          <cell r="AA112">
            <v>100</v>
          </cell>
        </row>
        <row r="113">
          <cell r="A113">
            <v>119</v>
          </cell>
          <cell r="B113">
            <v>52133.83</v>
          </cell>
          <cell r="C113">
            <v>29099.06</v>
          </cell>
          <cell r="D113">
            <v>65.02</v>
          </cell>
          <cell r="H113">
            <v>119</v>
          </cell>
          <cell r="I113">
            <v>52133.72</v>
          </cell>
          <cell r="J113">
            <v>29098.93</v>
          </cell>
          <cell r="K113">
            <v>64.98</v>
          </cell>
          <cell r="X113">
            <v>-0.11000000000058208</v>
          </cell>
          <cell r="Y113">
            <v>-0.13000000000101863</v>
          </cell>
          <cell r="Z113">
            <v>100</v>
          </cell>
          <cell r="AA113">
            <v>100</v>
          </cell>
        </row>
        <row r="114">
          <cell r="A114">
            <v>120</v>
          </cell>
          <cell r="B114">
            <v>52127.89</v>
          </cell>
          <cell r="C114">
            <v>29096.42</v>
          </cell>
          <cell r="D114">
            <v>65.569999999999993</v>
          </cell>
          <cell r="H114">
            <v>120</v>
          </cell>
          <cell r="I114">
            <v>52128.01</v>
          </cell>
          <cell r="J114">
            <v>29096.39</v>
          </cell>
          <cell r="K114">
            <v>65.599999999999994</v>
          </cell>
          <cell r="X114">
            <v>0.12000000000261934</v>
          </cell>
          <cell r="Y114">
            <v>-2.9999999998835847E-2</v>
          </cell>
          <cell r="Z114">
            <v>100</v>
          </cell>
          <cell r="AA114">
            <v>100</v>
          </cell>
        </row>
        <row r="115">
          <cell r="A115">
            <v>121</v>
          </cell>
          <cell r="B115">
            <v>52140.46</v>
          </cell>
          <cell r="C115">
            <v>29108.15</v>
          </cell>
          <cell r="D115">
            <v>64.180000000000007</v>
          </cell>
          <cell r="H115">
            <v>121</v>
          </cell>
          <cell r="I115">
            <v>52140.36</v>
          </cell>
          <cell r="J115">
            <v>29108.14</v>
          </cell>
          <cell r="K115">
            <v>64.19</v>
          </cell>
          <cell r="X115">
            <v>-9.9999999998544808E-2</v>
          </cell>
          <cell r="Y115">
            <v>-1.0000000002037268E-2</v>
          </cell>
          <cell r="Z115">
            <v>100</v>
          </cell>
          <cell r="AA115">
            <v>100</v>
          </cell>
        </row>
        <row r="116">
          <cell r="A116">
            <v>122</v>
          </cell>
          <cell r="B116">
            <v>52134.9</v>
          </cell>
          <cell r="C116">
            <v>29104.69</v>
          </cell>
          <cell r="D116">
            <v>64.73</v>
          </cell>
          <cell r="H116">
            <v>122</v>
          </cell>
          <cell r="I116">
            <v>52135.23</v>
          </cell>
          <cell r="J116">
            <v>29104.77</v>
          </cell>
          <cell r="K116">
            <v>64.569999999999993</v>
          </cell>
          <cell r="X116">
            <v>0.33000000000174623</v>
          </cell>
          <cell r="Y116">
            <v>8.000000000174623E-2</v>
          </cell>
          <cell r="Z116">
            <v>100</v>
          </cell>
          <cell r="AA116">
            <v>100</v>
          </cell>
        </row>
        <row r="117">
          <cell r="A117">
            <v>128</v>
          </cell>
          <cell r="B117">
            <v>52148.72</v>
          </cell>
          <cell r="C117">
            <v>29042.91</v>
          </cell>
          <cell r="D117">
            <v>63.88</v>
          </cell>
          <cell r="H117">
            <v>128</v>
          </cell>
          <cell r="I117">
            <v>52148.79</v>
          </cell>
          <cell r="J117">
            <v>29042.76</v>
          </cell>
          <cell r="K117">
            <v>64.11</v>
          </cell>
          <cell r="X117">
            <v>6.9999999999708962E-2</v>
          </cell>
          <cell r="Y117">
            <v>-0.15000000000145519</v>
          </cell>
          <cell r="Z117">
            <v>100</v>
          </cell>
          <cell r="AA117">
            <v>100</v>
          </cell>
        </row>
        <row r="118">
          <cell r="A118">
            <v>131</v>
          </cell>
          <cell r="B118">
            <v>52142.55</v>
          </cell>
          <cell r="C118">
            <v>29035.48</v>
          </cell>
          <cell r="D118">
            <v>63.72</v>
          </cell>
          <cell r="H118">
            <v>131</v>
          </cell>
          <cell r="I118">
            <v>52142.29</v>
          </cell>
          <cell r="J118">
            <v>29035.58</v>
          </cell>
          <cell r="K118">
            <v>63.88</v>
          </cell>
          <cell r="X118">
            <v>-0.26000000000203727</v>
          </cell>
          <cell r="Y118">
            <v>0.10000000000218279</v>
          </cell>
          <cell r="Z118">
            <v>100</v>
          </cell>
          <cell r="AA118">
            <v>100</v>
          </cell>
        </row>
        <row r="119">
          <cell r="A119">
            <v>132</v>
          </cell>
          <cell r="B119">
            <v>52140.23</v>
          </cell>
          <cell r="C119">
            <v>29033.79</v>
          </cell>
          <cell r="D119">
            <v>63.65</v>
          </cell>
          <cell r="H119">
            <v>132</v>
          </cell>
          <cell r="I119">
            <v>52140</v>
          </cell>
          <cell r="J119">
            <v>29033.89</v>
          </cell>
          <cell r="K119">
            <v>63.82</v>
          </cell>
          <cell r="X119">
            <v>-0.23000000000320142</v>
          </cell>
          <cell r="Y119">
            <v>9.9999999998544808E-2</v>
          </cell>
          <cell r="Z119">
            <v>100</v>
          </cell>
          <cell r="AA119">
            <v>100</v>
          </cell>
        </row>
        <row r="120">
          <cell r="A120">
            <v>134</v>
          </cell>
          <cell r="B120">
            <v>52134.76</v>
          </cell>
          <cell r="C120">
            <v>29026.07</v>
          </cell>
          <cell r="D120">
            <v>63.47</v>
          </cell>
          <cell r="H120">
            <v>134</v>
          </cell>
          <cell r="I120">
            <v>52134.85</v>
          </cell>
          <cell r="J120">
            <v>29026.3</v>
          </cell>
          <cell r="K120">
            <v>63.72</v>
          </cell>
          <cell r="X120">
            <v>8.999999999650754E-2</v>
          </cell>
          <cell r="Y120">
            <v>0.22999999999956344</v>
          </cell>
          <cell r="Z120">
            <v>100</v>
          </cell>
          <cell r="AA120">
            <v>100</v>
          </cell>
        </row>
        <row r="121">
          <cell r="A121">
            <v>135</v>
          </cell>
          <cell r="B121">
            <v>52133.49</v>
          </cell>
          <cell r="C121">
            <v>29019.94</v>
          </cell>
          <cell r="D121">
            <v>63.43</v>
          </cell>
          <cell r="H121">
            <v>135</v>
          </cell>
          <cell r="I121">
            <v>52133.37</v>
          </cell>
          <cell r="J121">
            <v>29020.04</v>
          </cell>
          <cell r="K121">
            <v>63.46</v>
          </cell>
          <cell r="X121">
            <v>-0.11999999999534339</v>
          </cell>
          <cell r="Y121">
            <v>0.10000000000218279</v>
          </cell>
          <cell r="Z121">
            <v>100</v>
          </cell>
          <cell r="AA121">
            <v>100</v>
          </cell>
        </row>
        <row r="122">
          <cell r="A122">
            <v>136</v>
          </cell>
          <cell r="B122">
            <v>52130.94</v>
          </cell>
          <cell r="C122">
            <v>29018.07</v>
          </cell>
          <cell r="D122">
            <v>63.38</v>
          </cell>
          <cell r="H122">
            <v>136</v>
          </cell>
          <cell r="I122">
            <v>52130.97</v>
          </cell>
          <cell r="J122">
            <v>29018.42</v>
          </cell>
          <cell r="K122">
            <v>63.44</v>
          </cell>
          <cell r="X122">
            <v>2.9999999998835847E-2</v>
          </cell>
          <cell r="Y122">
            <v>0.34999999999854481</v>
          </cell>
          <cell r="Z122">
            <v>100</v>
          </cell>
          <cell r="AA122">
            <v>100</v>
          </cell>
        </row>
        <row r="123">
          <cell r="A123">
            <v>139</v>
          </cell>
          <cell r="B123">
            <v>52119.45</v>
          </cell>
          <cell r="C123">
            <v>29007.81</v>
          </cell>
          <cell r="D123">
            <v>63.26</v>
          </cell>
          <cell r="H123">
            <v>139</v>
          </cell>
          <cell r="I123">
            <v>52119.58</v>
          </cell>
          <cell r="J123">
            <v>29008</v>
          </cell>
          <cell r="K123">
            <v>63.45</v>
          </cell>
          <cell r="X123">
            <v>0.13000000000465661</v>
          </cell>
          <cell r="Y123">
            <v>0.18999999999869033</v>
          </cell>
          <cell r="Z123">
            <v>100</v>
          </cell>
          <cell r="AA123">
            <v>100</v>
          </cell>
        </row>
        <row r="124">
          <cell r="A124">
            <v>140</v>
          </cell>
          <cell r="B124">
            <v>52117.01</v>
          </cell>
          <cell r="C124">
            <v>29006.26</v>
          </cell>
          <cell r="D124">
            <v>63.27</v>
          </cell>
          <cell r="H124">
            <v>140</v>
          </cell>
          <cell r="I124">
            <v>52116.94</v>
          </cell>
          <cell r="J124">
            <v>29006.61</v>
          </cell>
          <cell r="K124">
            <v>63.42</v>
          </cell>
          <cell r="X124">
            <v>-6.9999999999708962E-2</v>
          </cell>
          <cell r="Y124">
            <v>0.35000000000218279</v>
          </cell>
          <cell r="Z124">
            <v>100</v>
          </cell>
          <cell r="AA124">
            <v>100</v>
          </cell>
        </row>
        <row r="125">
          <cell r="A125">
            <v>142</v>
          </cell>
          <cell r="B125">
            <v>52107.77</v>
          </cell>
          <cell r="C125">
            <v>29000.97</v>
          </cell>
          <cell r="D125">
            <v>63.31</v>
          </cell>
          <cell r="H125">
            <v>142</v>
          </cell>
          <cell r="I125">
            <v>52107.92</v>
          </cell>
          <cell r="J125">
            <v>29000.77</v>
          </cell>
          <cell r="K125">
            <v>63.43</v>
          </cell>
          <cell r="X125">
            <v>0.15000000000145519</v>
          </cell>
          <cell r="Y125">
            <v>-0.2000000000007276</v>
          </cell>
          <cell r="Z125">
            <v>100</v>
          </cell>
          <cell r="AA125">
            <v>100</v>
          </cell>
        </row>
        <row r="126">
          <cell r="A126">
            <v>143</v>
          </cell>
          <cell r="B126">
            <v>52102.1</v>
          </cell>
          <cell r="C126">
            <v>28999.93</v>
          </cell>
          <cell r="D126">
            <v>63.55</v>
          </cell>
          <cell r="H126">
            <v>143</v>
          </cell>
          <cell r="I126">
            <v>52102.03</v>
          </cell>
          <cell r="J126">
            <v>29000.09</v>
          </cell>
          <cell r="K126">
            <v>63.74</v>
          </cell>
          <cell r="X126">
            <v>-6.9999999999708962E-2</v>
          </cell>
          <cell r="Y126">
            <v>0.15999999999985448</v>
          </cell>
          <cell r="Z126">
            <v>100</v>
          </cell>
          <cell r="AA126">
            <v>100</v>
          </cell>
        </row>
        <row r="127">
          <cell r="A127">
            <v>146</v>
          </cell>
          <cell r="B127">
            <v>52090.82</v>
          </cell>
          <cell r="C127">
            <v>28994.99</v>
          </cell>
          <cell r="D127">
            <v>63.86</v>
          </cell>
          <cell r="H127">
            <v>146</v>
          </cell>
          <cell r="I127">
            <v>52090.55</v>
          </cell>
          <cell r="J127">
            <v>28995.119999999999</v>
          </cell>
          <cell r="K127">
            <v>64.010000000000005</v>
          </cell>
          <cell r="X127">
            <v>-0.26999999999679858</v>
          </cell>
          <cell r="Y127">
            <v>0.12999999999738066</v>
          </cell>
          <cell r="Z127">
            <v>100</v>
          </cell>
          <cell r="AA127">
            <v>100</v>
          </cell>
        </row>
        <row r="128">
          <cell r="A128">
            <v>147</v>
          </cell>
          <cell r="B128">
            <v>52111.08</v>
          </cell>
          <cell r="C128">
            <v>29003.69</v>
          </cell>
          <cell r="D128">
            <v>63.26</v>
          </cell>
          <cell r="H128">
            <v>147</v>
          </cell>
          <cell r="I128">
            <v>52111.199999999997</v>
          </cell>
          <cell r="J128">
            <v>29003.64</v>
          </cell>
          <cell r="K128">
            <v>63.25</v>
          </cell>
          <cell r="X128">
            <v>0.11999999999534339</v>
          </cell>
          <cell r="Y128">
            <v>-4.9999999999272404E-2</v>
          </cell>
          <cell r="Z128">
            <v>100</v>
          </cell>
          <cell r="AA128">
            <v>100</v>
          </cell>
        </row>
        <row r="129">
          <cell r="A129">
            <v>149</v>
          </cell>
          <cell r="B129">
            <v>52147.5</v>
          </cell>
          <cell r="C129">
            <v>29042.12</v>
          </cell>
          <cell r="D129">
            <v>63.85</v>
          </cell>
          <cell r="H129">
            <v>149</v>
          </cell>
          <cell r="I129">
            <v>52147.6</v>
          </cell>
          <cell r="J129">
            <v>29041.98</v>
          </cell>
          <cell r="K129">
            <v>64</v>
          </cell>
          <cell r="X129">
            <v>9.9999999998544808E-2</v>
          </cell>
          <cell r="Y129">
            <v>-0.13999999999941792</v>
          </cell>
          <cell r="Z129">
            <v>100</v>
          </cell>
          <cell r="AA129">
            <v>100</v>
          </cell>
        </row>
        <row r="130">
          <cell r="A130">
            <v>149</v>
          </cell>
          <cell r="B130">
            <v>52118.91</v>
          </cell>
          <cell r="C130">
            <v>29012.73</v>
          </cell>
          <cell r="D130">
            <v>63.28</v>
          </cell>
          <cell r="H130">
            <v>149</v>
          </cell>
          <cell r="I130">
            <v>52118.77</v>
          </cell>
          <cell r="J130">
            <v>29012.59</v>
          </cell>
          <cell r="K130">
            <v>63.36</v>
          </cell>
          <cell r="X130">
            <v>-0.14000000000669388</v>
          </cell>
          <cell r="Y130">
            <v>-0.13999999999941792</v>
          </cell>
          <cell r="Z130">
            <v>100</v>
          </cell>
          <cell r="AA130">
            <v>100</v>
          </cell>
        </row>
        <row r="131">
          <cell r="A131">
            <v>150</v>
          </cell>
          <cell r="B131">
            <v>52112.97</v>
          </cell>
          <cell r="C131">
            <v>29010.09</v>
          </cell>
          <cell r="D131">
            <v>63.24</v>
          </cell>
          <cell r="H131">
            <v>150</v>
          </cell>
          <cell r="I131">
            <v>52112.76</v>
          </cell>
          <cell r="J131">
            <v>29010.31</v>
          </cell>
          <cell r="K131">
            <v>63.19</v>
          </cell>
          <cell r="X131">
            <v>-0.20999999999912689</v>
          </cell>
          <cell r="Y131">
            <v>0.22000000000116415</v>
          </cell>
          <cell r="Z131">
            <v>100</v>
          </cell>
          <cell r="AA131">
            <v>100</v>
          </cell>
        </row>
        <row r="132">
          <cell r="A132">
            <v>151</v>
          </cell>
          <cell r="B132">
            <v>52107.03</v>
          </cell>
          <cell r="C132">
            <v>29007.439999999999</v>
          </cell>
          <cell r="D132">
            <v>63.22</v>
          </cell>
          <cell r="H132">
            <v>151</v>
          </cell>
          <cell r="I132">
            <v>52106.83</v>
          </cell>
          <cell r="J132">
            <v>29007.43</v>
          </cell>
          <cell r="K132">
            <v>63.38</v>
          </cell>
          <cell r="X132">
            <v>-0.19999999999708962</v>
          </cell>
          <cell r="Y132">
            <v>-9.9999999983992893E-3</v>
          </cell>
          <cell r="Z132">
            <v>100</v>
          </cell>
          <cell r="AA132">
            <v>100</v>
          </cell>
        </row>
        <row r="133">
          <cell r="A133">
            <v>152</v>
          </cell>
          <cell r="B133">
            <v>52101.09</v>
          </cell>
          <cell r="C133">
            <v>29004.799999999999</v>
          </cell>
          <cell r="D133">
            <v>63.47</v>
          </cell>
          <cell r="H133">
            <v>152</v>
          </cell>
          <cell r="I133">
            <v>52100.84</v>
          </cell>
          <cell r="J133">
            <v>29004.799999999999</v>
          </cell>
          <cell r="K133">
            <v>63.52</v>
          </cell>
          <cell r="X133">
            <v>-0.25</v>
          </cell>
          <cell r="Y133">
            <v>0</v>
          </cell>
          <cell r="Z133">
            <v>100</v>
          </cell>
          <cell r="AA133">
            <v>100</v>
          </cell>
        </row>
        <row r="134">
          <cell r="A134">
            <v>153</v>
          </cell>
          <cell r="B134">
            <v>52095.15</v>
          </cell>
          <cell r="C134">
            <v>29002.15</v>
          </cell>
          <cell r="D134">
            <v>63.71</v>
          </cell>
          <cell r="H134">
            <v>153</v>
          </cell>
          <cell r="I134">
            <v>52095.15</v>
          </cell>
          <cell r="J134">
            <v>29001.94</v>
          </cell>
          <cell r="K134">
            <v>63.81</v>
          </cell>
          <cell r="X134">
            <v>0</v>
          </cell>
          <cell r="Y134">
            <v>-0.21000000000276486</v>
          </cell>
          <cell r="Z134">
            <v>100</v>
          </cell>
          <cell r="AA134">
            <v>100</v>
          </cell>
        </row>
        <row r="135">
          <cell r="A135">
            <v>154</v>
          </cell>
          <cell r="B135">
            <v>52089.22</v>
          </cell>
          <cell r="C135">
            <v>28999.51</v>
          </cell>
          <cell r="D135">
            <v>63.76</v>
          </cell>
          <cell r="H135">
            <v>154</v>
          </cell>
          <cell r="I135">
            <v>52089.26</v>
          </cell>
          <cell r="J135">
            <v>28999.85</v>
          </cell>
          <cell r="K135">
            <v>64.03</v>
          </cell>
          <cell r="X135">
            <v>4.0000000000873115E-2</v>
          </cell>
          <cell r="Y135">
            <v>0.34000000000014552</v>
          </cell>
          <cell r="Z135">
            <v>100</v>
          </cell>
          <cell r="AA135">
            <v>100</v>
          </cell>
        </row>
        <row r="136">
          <cell r="A136">
            <v>155</v>
          </cell>
          <cell r="B136">
            <v>52130.42</v>
          </cell>
          <cell r="C136">
            <v>29024.07</v>
          </cell>
          <cell r="D136">
            <v>63.41</v>
          </cell>
          <cell r="H136">
            <v>155</v>
          </cell>
          <cell r="I136">
            <v>52130.48</v>
          </cell>
          <cell r="J136">
            <v>29024.28</v>
          </cell>
          <cell r="K136">
            <v>63.51</v>
          </cell>
          <cell r="X136">
            <v>6.0000000004947651E-2</v>
          </cell>
          <cell r="Y136">
            <v>0.20999999999912689</v>
          </cell>
          <cell r="Z136">
            <v>100</v>
          </cell>
          <cell r="AA136">
            <v>100</v>
          </cell>
        </row>
        <row r="137">
          <cell r="A137">
            <v>156</v>
          </cell>
          <cell r="B137">
            <v>52125.53</v>
          </cell>
          <cell r="C137">
            <v>29021.81</v>
          </cell>
          <cell r="D137">
            <v>63.33</v>
          </cell>
          <cell r="H137">
            <v>156</v>
          </cell>
          <cell r="I137">
            <v>52125.24</v>
          </cell>
          <cell r="J137">
            <v>29021.99</v>
          </cell>
          <cell r="K137">
            <v>63.52</v>
          </cell>
          <cell r="X137">
            <v>-0.29000000000087311</v>
          </cell>
          <cell r="Y137">
            <v>0.18000000000029104</v>
          </cell>
          <cell r="Z137">
            <v>100</v>
          </cell>
          <cell r="AA137">
            <v>100</v>
          </cell>
        </row>
        <row r="138">
          <cell r="A138">
            <v>157</v>
          </cell>
          <cell r="B138">
            <v>52119.6</v>
          </cell>
          <cell r="C138">
            <v>29019.17</v>
          </cell>
          <cell r="D138">
            <v>63.3</v>
          </cell>
          <cell r="H138">
            <v>157</v>
          </cell>
          <cell r="I138">
            <v>52119.18</v>
          </cell>
          <cell r="J138">
            <v>29018.98</v>
          </cell>
          <cell r="K138">
            <v>63.41</v>
          </cell>
          <cell r="X138">
            <v>-0.41999999999825377</v>
          </cell>
          <cell r="Y138">
            <v>-0.18999999999869033</v>
          </cell>
          <cell r="Z138">
            <v>100</v>
          </cell>
          <cell r="AA138">
            <v>100</v>
          </cell>
        </row>
        <row r="139">
          <cell r="A139">
            <v>158</v>
          </cell>
          <cell r="B139">
            <v>52113.66</v>
          </cell>
          <cell r="C139">
            <v>29016.52</v>
          </cell>
          <cell r="D139">
            <v>63.24</v>
          </cell>
          <cell r="H139">
            <v>158</v>
          </cell>
          <cell r="I139">
            <v>52113.440000000002</v>
          </cell>
          <cell r="J139">
            <v>29016.5</v>
          </cell>
          <cell r="K139">
            <v>63.45</v>
          </cell>
          <cell r="X139">
            <v>-0.22000000000116415</v>
          </cell>
          <cell r="Y139">
            <v>-2.0000000000436557E-2</v>
          </cell>
          <cell r="Z139">
            <v>100</v>
          </cell>
          <cell r="AA139">
            <v>100</v>
          </cell>
        </row>
        <row r="140">
          <cell r="A140">
            <v>159</v>
          </cell>
          <cell r="B140">
            <v>52107.72</v>
          </cell>
          <cell r="C140">
            <v>29013.88</v>
          </cell>
          <cell r="D140">
            <v>63.2</v>
          </cell>
          <cell r="H140">
            <v>159</v>
          </cell>
          <cell r="I140">
            <v>52108.11</v>
          </cell>
          <cell r="J140">
            <v>29013.85</v>
          </cell>
          <cell r="K140">
            <v>63.26</v>
          </cell>
          <cell r="X140">
            <v>0.38999999999941792</v>
          </cell>
          <cell r="Y140">
            <v>-3.0000000002473826E-2</v>
          </cell>
          <cell r="Z140">
            <v>100</v>
          </cell>
          <cell r="AA140">
            <v>100</v>
          </cell>
        </row>
        <row r="141">
          <cell r="A141">
            <v>160</v>
          </cell>
          <cell r="B141">
            <v>52101.78</v>
          </cell>
          <cell r="C141">
            <v>29011.24</v>
          </cell>
          <cell r="D141">
            <v>63.3</v>
          </cell>
          <cell r="H141">
            <v>160</v>
          </cell>
          <cell r="I141">
            <v>52101.88</v>
          </cell>
          <cell r="J141">
            <v>29011.5</v>
          </cell>
          <cell r="K141">
            <v>63.59</v>
          </cell>
          <cell r="X141">
            <v>9.9999999998544808E-2</v>
          </cell>
          <cell r="Y141">
            <v>0.25999999999839929</v>
          </cell>
          <cell r="Z141">
            <v>100</v>
          </cell>
          <cell r="AA141">
            <v>100</v>
          </cell>
        </row>
        <row r="142">
          <cell r="A142">
            <v>161</v>
          </cell>
          <cell r="B142">
            <v>52095.839999999997</v>
          </cell>
          <cell r="C142">
            <v>29008.59</v>
          </cell>
          <cell r="D142">
            <v>63.52</v>
          </cell>
          <cell r="H142">
            <v>161</v>
          </cell>
          <cell r="I142">
            <v>52096.26</v>
          </cell>
          <cell r="J142">
            <v>29008.78</v>
          </cell>
          <cell r="K142">
            <v>63.59</v>
          </cell>
          <cell r="X142">
            <v>0.42000000000552973</v>
          </cell>
          <cell r="Y142">
            <v>0.18999999999869033</v>
          </cell>
          <cell r="Z142">
            <v>100</v>
          </cell>
          <cell r="AA142">
            <v>100</v>
          </cell>
        </row>
        <row r="143">
          <cell r="A143">
            <v>162</v>
          </cell>
          <cell r="B143">
            <v>52089.91</v>
          </cell>
          <cell r="C143">
            <v>29005.95</v>
          </cell>
          <cell r="D143">
            <v>63.59</v>
          </cell>
          <cell r="H143">
            <v>162</v>
          </cell>
          <cell r="I143">
            <v>52089.94</v>
          </cell>
          <cell r="J143">
            <v>29006.02</v>
          </cell>
          <cell r="K143">
            <v>63.77</v>
          </cell>
          <cell r="X143">
            <v>2.9999999998835847E-2</v>
          </cell>
          <cell r="Y143">
            <v>6.9999999999708962E-2</v>
          </cell>
          <cell r="Z143">
            <v>100</v>
          </cell>
          <cell r="AA143">
            <v>100</v>
          </cell>
        </row>
        <row r="144">
          <cell r="A144">
            <v>163</v>
          </cell>
          <cell r="B144">
            <v>52085.11</v>
          </cell>
          <cell r="C144">
            <v>29003.78</v>
          </cell>
          <cell r="D144">
            <v>63.65</v>
          </cell>
          <cell r="H144">
            <v>163</v>
          </cell>
          <cell r="I144">
            <v>52084.99</v>
          </cell>
          <cell r="J144">
            <v>29003.94</v>
          </cell>
          <cell r="K144">
            <v>63.85</v>
          </cell>
          <cell r="X144">
            <v>-0.12000000000261934</v>
          </cell>
          <cell r="Y144">
            <v>0.15999999999985448</v>
          </cell>
          <cell r="Z144">
            <v>100</v>
          </cell>
          <cell r="AA144">
            <v>100</v>
          </cell>
        </row>
        <row r="145">
          <cell r="A145">
            <v>165</v>
          </cell>
          <cell r="B145">
            <v>52137.3</v>
          </cell>
          <cell r="C145">
            <v>29033.200000000001</v>
          </cell>
          <cell r="D145">
            <v>63.53</v>
          </cell>
          <cell r="H145">
            <v>165</v>
          </cell>
          <cell r="I145">
            <v>52137.440000000002</v>
          </cell>
          <cell r="J145">
            <v>29033.07</v>
          </cell>
          <cell r="K145">
            <v>63.76</v>
          </cell>
          <cell r="X145">
            <v>0.13999999999941792</v>
          </cell>
          <cell r="Y145">
            <v>-0.13000000000101863</v>
          </cell>
          <cell r="Z145">
            <v>100</v>
          </cell>
          <cell r="AA145">
            <v>100</v>
          </cell>
        </row>
        <row r="146">
          <cell r="A146">
            <v>166</v>
          </cell>
          <cell r="B146">
            <v>52132.160000000003</v>
          </cell>
          <cell r="C146">
            <v>29030.89</v>
          </cell>
          <cell r="D146">
            <v>63.41</v>
          </cell>
          <cell r="H146">
            <v>166</v>
          </cell>
          <cell r="I146">
            <v>52131.86</v>
          </cell>
          <cell r="J146">
            <v>29030.83</v>
          </cell>
          <cell r="K146">
            <v>63.76</v>
          </cell>
          <cell r="X146">
            <v>-0.30000000000291038</v>
          </cell>
          <cell r="Y146">
            <v>-5.9999999997671694E-2</v>
          </cell>
          <cell r="Z146">
            <v>100</v>
          </cell>
          <cell r="AA146">
            <v>100</v>
          </cell>
        </row>
        <row r="147">
          <cell r="A147">
            <v>167</v>
          </cell>
          <cell r="B147">
            <v>52126.23</v>
          </cell>
          <cell r="C147">
            <v>29028.25</v>
          </cell>
          <cell r="D147">
            <v>63.35</v>
          </cell>
          <cell r="H147">
            <v>167</v>
          </cell>
          <cell r="I147">
            <v>52125.96</v>
          </cell>
          <cell r="J147">
            <v>29028.06</v>
          </cell>
          <cell r="K147">
            <v>63.52</v>
          </cell>
          <cell r="X147">
            <v>-0.27000000000407454</v>
          </cell>
          <cell r="Y147">
            <v>-0.18999999999869033</v>
          </cell>
          <cell r="Z147">
            <v>100</v>
          </cell>
          <cell r="AA147">
            <v>100</v>
          </cell>
        </row>
        <row r="148">
          <cell r="A148">
            <v>168</v>
          </cell>
          <cell r="B148">
            <v>52120.29</v>
          </cell>
          <cell r="C148">
            <v>29025.61</v>
          </cell>
          <cell r="D148">
            <v>63.34</v>
          </cell>
          <cell r="H148">
            <v>168</v>
          </cell>
          <cell r="I148">
            <v>52120.09</v>
          </cell>
          <cell r="J148">
            <v>29025.4</v>
          </cell>
          <cell r="K148">
            <v>63.55</v>
          </cell>
          <cell r="X148">
            <v>-0.20000000000436557</v>
          </cell>
          <cell r="Y148">
            <v>-0.20999999999912689</v>
          </cell>
          <cell r="Z148">
            <v>100</v>
          </cell>
          <cell r="AA148">
            <v>100</v>
          </cell>
        </row>
        <row r="149">
          <cell r="A149">
            <v>169</v>
          </cell>
          <cell r="B149">
            <v>52114.35</v>
          </cell>
          <cell r="C149">
            <v>29022.959999999999</v>
          </cell>
          <cell r="D149">
            <v>63.26</v>
          </cell>
          <cell r="H149">
            <v>169</v>
          </cell>
          <cell r="I149">
            <v>52114.17</v>
          </cell>
          <cell r="J149">
            <v>29022.74</v>
          </cell>
          <cell r="K149">
            <v>63.39</v>
          </cell>
          <cell r="X149">
            <v>-0.18000000000029104</v>
          </cell>
          <cell r="Y149">
            <v>-0.21999999999752617</v>
          </cell>
          <cell r="Z149">
            <v>100</v>
          </cell>
          <cell r="AA149">
            <v>100</v>
          </cell>
        </row>
        <row r="150">
          <cell r="A150">
            <v>170</v>
          </cell>
          <cell r="B150">
            <v>52108.41</v>
          </cell>
          <cell r="C150">
            <v>29020.32</v>
          </cell>
          <cell r="D150">
            <v>63.17</v>
          </cell>
          <cell r="H150">
            <v>170</v>
          </cell>
          <cell r="I150">
            <v>52107.99</v>
          </cell>
          <cell r="J150">
            <v>29020.240000000002</v>
          </cell>
          <cell r="K150">
            <v>63.39</v>
          </cell>
          <cell r="X150">
            <v>-0.42000000000552973</v>
          </cell>
          <cell r="Y150">
            <v>-7.9999999998108251E-2</v>
          </cell>
          <cell r="Z150">
            <v>100</v>
          </cell>
          <cell r="AA150">
            <v>100</v>
          </cell>
        </row>
        <row r="151">
          <cell r="A151">
            <v>171</v>
          </cell>
          <cell r="B151">
            <v>52102.47</v>
          </cell>
          <cell r="C151">
            <v>29017.67</v>
          </cell>
          <cell r="D151">
            <v>63.21</v>
          </cell>
          <cell r="H151">
            <v>171</v>
          </cell>
          <cell r="I151">
            <v>52102.01</v>
          </cell>
          <cell r="J151">
            <v>29017.72</v>
          </cell>
          <cell r="K151">
            <v>63.51</v>
          </cell>
          <cell r="X151">
            <v>-0.45999999999912689</v>
          </cell>
          <cell r="Y151">
            <v>5.0000000002910383E-2</v>
          </cell>
          <cell r="Z151">
            <v>100</v>
          </cell>
          <cell r="AA151">
            <v>100</v>
          </cell>
        </row>
        <row r="152">
          <cell r="A152">
            <v>172</v>
          </cell>
          <cell r="B152">
            <v>52096.54</v>
          </cell>
          <cell r="C152">
            <v>29015.03</v>
          </cell>
          <cell r="D152">
            <v>63.33</v>
          </cell>
          <cell r="H152">
            <v>172</v>
          </cell>
          <cell r="I152">
            <v>52096.62</v>
          </cell>
          <cell r="J152">
            <v>29015.37</v>
          </cell>
          <cell r="K152">
            <v>63.44</v>
          </cell>
        </row>
        <row r="153">
          <cell r="A153">
            <v>173</v>
          </cell>
          <cell r="B153">
            <v>52090.6</v>
          </cell>
          <cell r="C153">
            <v>29012.39</v>
          </cell>
          <cell r="D153">
            <v>63.4</v>
          </cell>
          <cell r="H153">
            <v>173</v>
          </cell>
          <cell r="I153">
            <v>52090.7</v>
          </cell>
          <cell r="J153">
            <v>29012.560000000001</v>
          </cell>
          <cell r="K153">
            <v>63.42</v>
          </cell>
        </row>
        <row r="154">
          <cell r="A154">
            <v>174</v>
          </cell>
          <cell r="B154">
            <v>52085.55</v>
          </cell>
          <cell r="C154">
            <v>29010.11</v>
          </cell>
          <cell r="D154">
            <v>63.46</v>
          </cell>
          <cell r="H154">
            <v>174</v>
          </cell>
          <cell r="I154">
            <v>52085.07</v>
          </cell>
          <cell r="J154">
            <v>29010.02</v>
          </cell>
          <cell r="K154">
            <v>63.72</v>
          </cell>
        </row>
        <row r="155">
          <cell r="A155">
            <v>175</v>
          </cell>
          <cell r="B155">
            <v>52081.42</v>
          </cell>
          <cell r="C155">
            <v>29008.36</v>
          </cell>
          <cell r="D155">
            <v>63.61</v>
          </cell>
          <cell r="H155">
            <v>175</v>
          </cell>
          <cell r="I155">
            <v>52081.46</v>
          </cell>
          <cell r="J155">
            <v>29008.560000000001</v>
          </cell>
          <cell r="K155">
            <v>63.94</v>
          </cell>
        </row>
        <row r="156">
          <cell r="A156">
            <v>177</v>
          </cell>
          <cell r="B156">
            <v>52144.73</v>
          </cell>
          <cell r="C156">
            <v>29042.62</v>
          </cell>
          <cell r="D156">
            <v>63.74</v>
          </cell>
          <cell r="H156">
            <v>177</v>
          </cell>
          <cell r="I156">
            <v>52144.51</v>
          </cell>
          <cell r="J156">
            <v>29042.86</v>
          </cell>
          <cell r="K156">
            <v>63.75</v>
          </cell>
        </row>
        <row r="157">
          <cell r="A157">
            <v>178</v>
          </cell>
          <cell r="B157">
            <v>52138.79</v>
          </cell>
          <cell r="C157">
            <v>29039.97</v>
          </cell>
          <cell r="D157">
            <v>63.51</v>
          </cell>
          <cell r="H157">
            <v>178</v>
          </cell>
          <cell r="I157">
            <v>52138.35</v>
          </cell>
          <cell r="J157">
            <v>29040.34</v>
          </cell>
          <cell r="K157">
            <v>63.59</v>
          </cell>
        </row>
        <row r="158">
          <cell r="A158">
            <v>179</v>
          </cell>
          <cell r="B158">
            <v>52132.86</v>
          </cell>
          <cell r="C158">
            <v>29037.33</v>
          </cell>
          <cell r="D158">
            <v>63.47</v>
          </cell>
          <cell r="H158">
            <v>179</v>
          </cell>
          <cell r="I158">
            <v>52132.51</v>
          </cell>
          <cell r="J158">
            <v>29037.47</v>
          </cell>
          <cell r="K158">
            <v>63.39</v>
          </cell>
        </row>
        <row r="159">
          <cell r="A159">
            <v>180</v>
          </cell>
          <cell r="B159">
            <v>52126.92</v>
          </cell>
          <cell r="C159">
            <v>29034.69</v>
          </cell>
          <cell r="D159">
            <v>63.45</v>
          </cell>
          <cell r="H159">
            <v>180</v>
          </cell>
          <cell r="I159">
            <v>52126.53</v>
          </cell>
          <cell r="J159">
            <v>29035.09</v>
          </cell>
          <cell r="K159">
            <v>63.55</v>
          </cell>
        </row>
        <row r="160">
          <cell r="A160">
            <v>181</v>
          </cell>
          <cell r="B160">
            <v>52120.98</v>
          </cell>
          <cell r="C160">
            <v>29032.04</v>
          </cell>
          <cell r="D160">
            <v>63.4</v>
          </cell>
          <cell r="H160">
            <v>181</v>
          </cell>
          <cell r="I160">
            <v>52120.51</v>
          </cell>
          <cell r="J160">
            <v>29031.96</v>
          </cell>
          <cell r="K160">
            <v>63.6</v>
          </cell>
        </row>
        <row r="161">
          <cell r="A161">
            <v>182</v>
          </cell>
          <cell r="B161">
            <v>52115.040000000001</v>
          </cell>
          <cell r="C161">
            <v>29029.4</v>
          </cell>
          <cell r="D161">
            <v>63.31</v>
          </cell>
          <cell r="H161">
            <v>182</v>
          </cell>
          <cell r="I161">
            <v>52115.040000000001</v>
          </cell>
          <cell r="J161">
            <v>29029.46</v>
          </cell>
          <cell r="K161">
            <v>63.43</v>
          </cell>
        </row>
        <row r="162">
          <cell r="A162">
            <v>183</v>
          </cell>
          <cell r="B162">
            <v>52109.1</v>
          </cell>
          <cell r="C162">
            <v>29026.76</v>
          </cell>
          <cell r="D162">
            <v>63.2</v>
          </cell>
          <cell r="H162">
            <v>183</v>
          </cell>
          <cell r="I162">
            <v>52108.58</v>
          </cell>
          <cell r="J162">
            <v>29026.62</v>
          </cell>
          <cell r="K162">
            <v>63.35</v>
          </cell>
        </row>
        <row r="163">
          <cell r="A163">
            <v>184</v>
          </cell>
          <cell r="B163">
            <v>52103.17</v>
          </cell>
          <cell r="C163">
            <v>29024.11</v>
          </cell>
          <cell r="D163">
            <v>63.2</v>
          </cell>
          <cell r="H163">
            <v>184</v>
          </cell>
          <cell r="I163">
            <v>52103.23</v>
          </cell>
          <cell r="J163">
            <v>29024.48</v>
          </cell>
          <cell r="K163">
            <v>63.38</v>
          </cell>
        </row>
        <row r="164">
          <cell r="A164">
            <v>185</v>
          </cell>
          <cell r="B164">
            <v>52097.23</v>
          </cell>
          <cell r="C164">
            <v>29021.47</v>
          </cell>
          <cell r="D164">
            <v>63.19</v>
          </cell>
          <cell r="H164">
            <v>185</v>
          </cell>
          <cell r="I164">
            <v>52096.85</v>
          </cell>
          <cell r="J164">
            <v>29021.4</v>
          </cell>
          <cell r="K164">
            <v>63.28</v>
          </cell>
        </row>
        <row r="165">
          <cell r="A165">
            <v>189</v>
          </cell>
          <cell r="B165">
            <v>52151.360000000001</v>
          </cell>
          <cell r="C165">
            <v>29051.7</v>
          </cell>
          <cell r="D165">
            <v>63.77</v>
          </cell>
          <cell r="H165">
            <v>189</v>
          </cell>
          <cell r="I165">
            <v>52150.96</v>
          </cell>
          <cell r="J165">
            <v>29051.59</v>
          </cell>
          <cell r="K165">
            <v>63.98</v>
          </cell>
        </row>
        <row r="166">
          <cell r="A166">
            <v>190</v>
          </cell>
          <cell r="B166">
            <v>52145.42</v>
          </cell>
          <cell r="C166">
            <v>29049.06</v>
          </cell>
          <cell r="D166">
            <v>64.02</v>
          </cell>
          <cell r="H166">
            <v>190</v>
          </cell>
          <cell r="I166">
            <v>52145.19</v>
          </cell>
          <cell r="J166">
            <v>29048.77</v>
          </cell>
          <cell r="K166">
            <v>63.99</v>
          </cell>
        </row>
        <row r="167">
          <cell r="A167">
            <v>193</v>
          </cell>
          <cell r="B167">
            <v>52127.61</v>
          </cell>
          <cell r="C167">
            <v>29041.119999999999</v>
          </cell>
          <cell r="D167">
            <v>63.53</v>
          </cell>
          <cell r="H167">
            <v>193</v>
          </cell>
          <cell r="I167">
            <v>52127.49</v>
          </cell>
          <cell r="J167">
            <v>29040.74</v>
          </cell>
          <cell r="K167">
            <v>63.6</v>
          </cell>
        </row>
        <row r="168">
          <cell r="A168">
            <v>195</v>
          </cell>
          <cell r="B168">
            <v>52115.73</v>
          </cell>
          <cell r="C168">
            <v>29035.84</v>
          </cell>
          <cell r="D168">
            <v>63.57</v>
          </cell>
          <cell r="H168">
            <v>195</v>
          </cell>
          <cell r="I168">
            <v>52115.7</v>
          </cell>
          <cell r="J168">
            <v>29035.42</v>
          </cell>
          <cell r="K168">
            <v>63.66</v>
          </cell>
        </row>
        <row r="169">
          <cell r="A169">
            <v>196</v>
          </cell>
          <cell r="B169">
            <v>52109.79</v>
          </cell>
          <cell r="C169">
            <v>29033.19</v>
          </cell>
          <cell r="D169">
            <v>63.35</v>
          </cell>
          <cell r="H169">
            <v>196</v>
          </cell>
          <cell r="I169">
            <v>52109.919999999998</v>
          </cell>
          <cell r="J169">
            <v>29032.94</v>
          </cell>
          <cell r="K169">
            <v>63.37</v>
          </cell>
        </row>
        <row r="170">
          <cell r="A170">
            <v>197</v>
          </cell>
          <cell r="B170">
            <v>52103.86</v>
          </cell>
          <cell r="C170">
            <v>29030.55</v>
          </cell>
          <cell r="D170">
            <v>63.21</v>
          </cell>
          <cell r="H170">
            <v>197</v>
          </cell>
          <cell r="I170">
            <v>52104.56</v>
          </cell>
          <cell r="J170">
            <v>29030.92</v>
          </cell>
          <cell r="K170">
            <v>63.4</v>
          </cell>
        </row>
        <row r="171">
          <cell r="A171">
            <v>198</v>
          </cell>
          <cell r="B171">
            <v>52097.919999999998</v>
          </cell>
          <cell r="C171">
            <v>29027.91</v>
          </cell>
          <cell r="D171">
            <v>63.21</v>
          </cell>
          <cell r="H171">
            <v>198</v>
          </cell>
          <cell r="I171">
            <v>52098.04</v>
          </cell>
          <cell r="J171">
            <v>29027.54</v>
          </cell>
          <cell r="K171">
            <v>63.33</v>
          </cell>
        </row>
        <row r="172">
          <cell r="A172">
            <v>203</v>
          </cell>
          <cell r="B172">
            <v>52152.05</v>
          </cell>
          <cell r="C172">
            <v>29058.14</v>
          </cell>
          <cell r="D172">
            <v>64.27</v>
          </cell>
          <cell r="H172">
            <v>203</v>
          </cell>
          <cell r="I172">
            <v>52152.2</v>
          </cell>
          <cell r="J172">
            <v>29058.17</v>
          </cell>
          <cell r="K172">
            <v>64.55</v>
          </cell>
        </row>
        <row r="173">
          <cell r="A173">
            <v>205</v>
          </cell>
          <cell r="B173">
            <v>52141.33</v>
          </cell>
          <cell r="C173">
            <v>29056.13</v>
          </cell>
          <cell r="D173">
            <v>65.010000000000005</v>
          </cell>
          <cell r="H173">
            <v>205</v>
          </cell>
          <cell r="I173">
            <v>52141.01</v>
          </cell>
          <cell r="J173">
            <v>29056.25</v>
          </cell>
          <cell r="K173">
            <v>65.42</v>
          </cell>
        </row>
        <row r="174">
          <cell r="A174">
            <v>206</v>
          </cell>
          <cell r="B174">
            <v>52138.97</v>
          </cell>
          <cell r="C174">
            <v>29054.25</v>
          </cell>
          <cell r="D174">
            <v>65.48</v>
          </cell>
          <cell r="H174">
            <v>206</v>
          </cell>
          <cell r="I174">
            <v>52138.69</v>
          </cell>
          <cell r="J174">
            <v>29054.52</v>
          </cell>
          <cell r="K174">
            <v>65.739999999999995</v>
          </cell>
        </row>
        <row r="175">
          <cell r="A175">
            <v>215</v>
          </cell>
          <cell r="B175">
            <v>52098.61</v>
          </cell>
          <cell r="C175">
            <v>29034.34</v>
          </cell>
          <cell r="D175">
            <v>63.22</v>
          </cell>
          <cell r="H175">
            <v>215</v>
          </cell>
          <cell r="I175">
            <v>52098.23</v>
          </cell>
          <cell r="J175">
            <v>29033.98</v>
          </cell>
          <cell r="K175">
            <v>63.34</v>
          </cell>
        </row>
        <row r="176">
          <cell r="A176">
            <v>221</v>
          </cell>
          <cell r="B176">
            <v>52153.38</v>
          </cell>
          <cell r="C176">
            <v>29064.9</v>
          </cell>
          <cell r="D176">
            <v>64.25</v>
          </cell>
          <cell r="H176">
            <v>221</v>
          </cell>
          <cell r="I176">
            <v>52153.27</v>
          </cell>
          <cell r="J176">
            <v>29064.71</v>
          </cell>
          <cell r="K176">
            <v>64.459999999999994</v>
          </cell>
        </row>
        <row r="177">
          <cell r="A177">
            <v>222</v>
          </cell>
          <cell r="B177">
            <v>52147.44</v>
          </cell>
          <cell r="C177">
            <v>29062.25</v>
          </cell>
          <cell r="D177">
            <v>64.739999999999995</v>
          </cell>
          <cell r="H177">
            <v>222</v>
          </cell>
          <cell r="I177">
            <v>52147.55</v>
          </cell>
          <cell r="J177">
            <v>29062.25</v>
          </cell>
          <cell r="K177">
            <v>64.739999999999995</v>
          </cell>
        </row>
        <row r="178">
          <cell r="A178">
            <v>223</v>
          </cell>
          <cell r="B178">
            <v>52141.51</v>
          </cell>
          <cell r="C178">
            <v>29059.61</v>
          </cell>
          <cell r="D178">
            <v>65.16</v>
          </cell>
          <cell r="H178">
            <v>223</v>
          </cell>
          <cell r="I178">
            <v>52141.33</v>
          </cell>
          <cell r="J178">
            <v>29059.599999999999</v>
          </cell>
          <cell r="K178">
            <v>65.14</v>
          </cell>
        </row>
        <row r="179">
          <cell r="A179">
            <v>224</v>
          </cell>
          <cell r="B179">
            <v>52135.57</v>
          </cell>
          <cell r="C179">
            <v>29056.959999999999</v>
          </cell>
          <cell r="D179">
            <v>65.59</v>
          </cell>
          <cell r="H179">
            <v>224</v>
          </cell>
          <cell r="I179">
            <v>52135.18</v>
          </cell>
          <cell r="J179">
            <v>29057.06</v>
          </cell>
          <cell r="K179">
            <v>65.8</v>
          </cell>
        </row>
        <row r="180">
          <cell r="A180">
            <v>225</v>
          </cell>
          <cell r="B180">
            <v>52129.46</v>
          </cell>
          <cell r="C180">
            <v>29054.87</v>
          </cell>
          <cell r="D180">
            <v>66.040000000000006</v>
          </cell>
          <cell r="H180">
            <v>225</v>
          </cell>
          <cell r="I180">
            <v>52129.38</v>
          </cell>
          <cell r="J180">
            <v>29054.65</v>
          </cell>
          <cell r="K180">
            <v>66.239999999999995</v>
          </cell>
        </row>
        <row r="181">
          <cell r="A181">
            <v>226</v>
          </cell>
          <cell r="B181">
            <v>52123.48</v>
          </cell>
          <cell r="C181">
            <v>29052.21</v>
          </cell>
          <cell r="D181">
            <v>66.69</v>
          </cell>
          <cell r="H181">
            <v>226</v>
          </cell>
          <cell r="I181">
            <v>52123.63</v>
          </cell>
          <cell r="J181">
            <v>29052.21</v>
          </cell>
          <cell r="K181">
            <v>66.63</v>
          </cell>
        </row>
        <row r="182">
          <cell r="A182">
            <v>227</v>
          </cell>
          <cell r="B182">
            <v>52117.75</v>
          </cell>
          <cell r="C182">
            <v>29049.03</v>
          </cell>
          <cell r="D182">
            <v>67.13</v>
          </cell>
          <cell r="H182">
            <v>227</v>
          </cell>
          <cell r="I182">
            <v>52117.81</v>
          </cell>
          <cell r="J182">
            <v>29049.55</v>
          </cell>
          <cell r="K182">
            <v>67.33</v>
          </cell>
        </row>
        <row r="183">
          <cell r="A183">
            <v>229</v>
          </cell>
          <cell r="B183">
            <v>52104.19</v>
          </cell>
          <cell r="C183">
            <v>29042.01</v>
          </cell>
          <cell r="D183">
            <v>63.39</v>
          </cell>
          <cell r="H183">
            <v>229</v>
          </cell>
          <cell r="I183">
            <v>52103.89</v>
          </cell>
          <cell r="J183">
            <v>29042.09</v>
          </cell>
          <cell r="K183">
            <v>63.46</v>
          </cell>
        </row>
        <row r="184">
          <cell r="A184">
            <v>230</v>
          </cell>
          <cell r="B184">
            <v>52099.51</v>
          </cell>
          <cell r="C184">
            <v>29040.04</v>
          </cell>
          <cell r="D184">
            <v>63.35</v>
          </cell>
          <cell r="H184">
            <v>230</v>
          </cell>
          <cell r="I184">
            <v>52099.79</v>
          </cell>
          <cell r="J184">
            <v>29039.51</v>
          </cell>
          <cell r="K184">
            <v>63.36</v>
          </cell>
        </row>
        <row r="185">
          <cell r="A185">
            <v>233</v>
          </cell>
          <cell r="B185">
            <v>52135.62</v>
          </cell>
          <cell r="C185">
            <v>29063.08</v>
          </cell>
          <cell r="D185">
            <v>65.37</v>
          </cell>
          <cell r="H185">
            <v>233</v>
          </cell>
          <cell r="I185">
            <v>52136.02</v>
          </cell>
          <cell r="J185">
            <v>29063.06</v>
          </cell>
          <cell r="K185">
            <v>65.36</v>
          </cell>
        </row>
        <row r="186">
          <cell r="A186">
            <v>235</v>
          </cell>
          <cell r="B186">
            <v>52123.74</v>
          </cell>
          <cell r="C186">
            <v>29057.79</v>
          </cell>
          <cell r="D186">
            <v>66.38</v>
          </cell>
          <cell r="H186">
            <v>235</v>
          </cell>
          <cell r="I186">
            <v>52124.14</v>
          </cell>
          <cell r="J186">
            <v>29057.97</v>
          </cell>
          <cell r="K186">
            <v>66.44</v>
          </cell>
        </row>
        <row r="187">
          <cell r="A187">
            <v>236</v>
          </cell>
          <cell r="B187">
            <v>52117.81</v>
          </cell>
          <cell r="C187">
            <v>29055.15</v>
          </cell>
          <cell r="D187">
            <v>67</v>
          </cell>
          <cell r="H187">
            <v>236</v>
          </cell>
          <cell r="I187">
            <v>52117.91</v>
          </cell>
          <cell r="J187">
            <v>29055.26</v>
          </cell>
          <cell r="K187">
            <v>66.989999999999995</v>
          </cell>
        </row>
        <row r="188">
          <cell r="A188">
            <v>243</v>
          </cell>
          <cell r="B188">
            <v>52130.37</v>
          </cell>
          <cell r="C188">
            <v>29066.880000000001</v>
          </cell>
          <cell r="D188">
            <v>65.66</v>
          </cell>
          <cell r="H188">
            <v>243</v>
          </cell>
          <cell r="I188">
            <v>52130.82</v>
          </cell>
          <cell r="J188">
            <v>29066.84</v>
          </cell>
          <cell r="K188">
            <v>65.55</v>
          </cell>
        </row>
        <row r="189">
          <cell r="A189">
            <v>244</v>
          </cell>
          <cell r="B189">
            <v>52124.44</v>
          </cell>
          <cell r="C189">
            <v>29064.23</v>
          </cell>
          <cell r="D189">
            <v>66.180000000000007</v>
          </cell>
          <cell r="H189">
            <v>244</v>
          </cell>
          <cell r="I189">
            <v>52124.71</v>
          </cell>
          <cell r="J189">
            <v>29064.04</v>
          </cell>
          <cell r="K189">
            <v>66.150000000000006</v>
          </cell>
        </row>
        <row r="190">
          <cell r="A190">
            <v>245</v>
          </cell>
          <cell r="B190">
            <v>52118.5</v>
          </cell>
          <cell r="C190">
            <v>29061.59</v>
          </cell>
          <cell r="D190">
            <v>66.709999999999994</v>
          </cell>
          <cell r="H190">
            <v>245</v>
          </cell>
          <cell r="I190">
            <v>52118.64</v>
          </cell>
          <cell r="J190">
            <v>29061.79</v>
          </cell>
          <cell r="K190">
            <v>66.69</v>
          </cell>
        </row>
        <row r="191">
          <cell r="A191">
            <v>246</v>
          </cell>
          <cell r="B191">
            <v>52112.56</v>
          </cell>
          <cell r="C191">
            <v>29058.94</v>
          </cell>
          <cell r="D191">
            <v>67.209999999999994</v>
          </cell>
          <cell r="H191">
            <v>246</v>
          </cell>
          <cell r="I191">
            <v>52112.38</v>
          </cell>
          <cell r="J191">
            <v>29058.880000000001</v>
          </cell>
          <cell r="K191">
            <v>67.16</v>
          </cell>
        </row>
        <row r="192">
          <cell r="A192">
            <v>250</v>
          </cell>
          <cell r="B192">
            <v>52125.13</v>
          </cell>
          <cell r="C192">
            <v>29070.67</v>
          </cell>
          <cell r="D192">
            <v>66.03</v>
          </cell>
          <cell r="H192">
            <v>250</v>
          </cell>
          <cell r="I192">
            <v>52125.23</v>
          </cell>
          <cell r="J192">
            <v>29070.7</v>
          </cell>
          <cell r="K192">
            <v>65.95</v>
          </cell>
        </row>
        <row r="193">
          <cell r="A193">
            <v>251</v>
          </cell>
          <cell r="B193">
            <v>52119.19</v>
          </cell>
          <cell r="C193">
            <v>29068.03</v>
          </cell>
          <cell r="D193">
            <v>66.53</v>
          </cell>
          <cell r="H193">
            <v>251</v>
          </cell>
          <cell r="I193">
            <v>52119.09</v>
          </cell>
          <cell r="J193">
            <v>29067.72</v>
          </cell>
          <cell r="K193">
            <v>66.400000000000006</v>
          </cell>
        </row>
        <row r="194">
          <cell r="A194">
            <v>252</v>
          </cell>
          <cell r="B194">
            <v>52113.25</v>
          </cell>
          <cell r="C194">
            <v>29065.38</v>
          </cell>
          <cell r="D194">
            <v>67.02</v>
          </cell>
          <cell r="H194">
            <v>252</v>
          </cell>
          <cell r="I194">
            <v>52113.18</v>
          </cell>
          <cell r="J194">
            <v>29065.83</v>
          </cell>
          <cell r="K194">
            <v>67.08</v>
          </cell>
        </row>
        <row r="195">
          <cell r="A195">
            <v>253</v>
          </cell>
          <cell r="B195">
            <v>52107.31</v>
          </cell>
          <cell r="C195">
            <v>29062.74</v>
          </cell>
          <cell r="D195">
            <v>67.44</v>
          </cell>
          <cell r="H195">
            <v>253</v>
          </cell>
          <cell r="I195">
            <v>52107.7</v>
          </cell>
          <cell r="J195">
            <v>29062.71</v>
          </cell>
          <cell r="K195">
            <v>67.37</v>
          </cell>
        </row>
        <row r="196">
          <cell r="A196">
            <v>255</v>
          </cell>
          <cell r="B196">
            <v>52119.88</v>
          </cell>
          <cell r="C196">
            <v>29074.46</v>
          </cell>
          <cell r="D196">
            <v>66.400000000000006</v>
          </cell>
          <cell r="H196">
            <v>255</v>
          </cell>
          <cell r="I196">
            <v>52119.66</v>
          </cell>
          <cell r="J196">
            <v>29074.92</v>
          </cell>
          <cell r="K196">
            <v>66.45</v>
          </cell>
        </row>
        <row r="197">
          <cell r="A197">
            <v>256</v>
          </cell>
          <cell r="B197">
            <v>52113.94</v>
          </cell>
          <cell r="C197">
            <v>29071.82</v>
          </cell>
          <cell r="D197">
            <v>66.739999999999995</v>
          </cell>
          <cell r="H197">
            <v>256</v>
          </cell>
          <cell r="I197">
            <v>52114.06</v>
          </cell>
          <cell r="J197">
            <v>29071.86</v>
          </cell>
          <cell r="K197">
            <v>66.849999999999994</v>
          </cell>
        </row>
        <row r="198">
          <cell r="A198">
            <v>257</v>
          </cell>
          <cell r="B198">
            <v>52109.59</v>
          </cell>
          <cell r="C198">
            <v>29068.15</v>
          </cell>
          <cell r="D198">
            <v>67.180000000000007</v>
          </cell>
          <cell r="H198">
            <v>257</v>
          </cell>
          <cell r="I198">
            <v>52109.88</v>
          </cell>
          <cell r="J198">
            <v>29068.38</v>
          </cell>
          <cell r="K198">
            <v>67.34</v>
          </cell>
        </row>
        <row r="199">
          <cell r="A199">
            <v>258</v>
          </cell>
          <cell r="B199">
            <v>52116.480000000003</v>
          </cell>
          <cell r="C199">
            <v>29078.240000000002</v>
          </cell>
          <cell r="D199">
            <v>66.599999999999994</v>
          </cell>
          <cell r="H199">
            <v>258</v>
          </cell>
          <cell r="I199">
            <v>52116.86</v>
          </cell>
          <cell r="J199">
            <v>29078.44</v>
          </cell>
          <cell r="K199">
            <v>66.69</v>
          </cell>
        </row>
      </sheetData>
      <sheetData sheetId="1">
        <row r="1">
          <cell r="O1" t="str">
            <v>0-0.1 м</v>
          </cell>
          <cell r="Q1" t="str">
            <v>0.1-0.2 м</v>
          </cell>
          <cell r="S1" t="str">
            <v>0.2-0.3 м</v>
          </cell>
          <cell r="U1" t="str">
            <v>0.3-0.4 м</v>
          </cell>
          <cell r="W1" t="str">
            <v>0.4-0.5 м</v>
          </cell>
          <cell r="Y1" t="str">
            <v>&gt;0.5 м</v>
          </cell>
        </row>
        <row r="3">
          <cell r="A3">
            <v>1</v>
          </cell>
          <cell r="B3">
            <v>52233.37</v>
          </cell>
          <cell r="C3">
            <v>29101.82</v>
          </cell>
          <cell r="O3" t="e">
            <v>#N/A</v>
          </cell>
          <cell r="P3" t="e">
            <v>#N/A</v>
          </cell>
          <cell r="Q3" t="e">
            <v>#N/A</v>
          </cell>
          <cell r="R3" t="e">
            <v>#N/A</v>
          </cell>
          <cell r="S3">
            <v>52233.19</v>
          </cell>
          <cell r="T3">
            <v>29101.99</v>
          </cell>
          <cell r="U3" t="e">
            <v>#N/A</v>
          </cell>
          <cell r="V3" t="e">
            <v>#N/A</v>
          </cell>
          <cell r="W3" t="e">
            <v>#N/A</v>
          </cell>
          <cell r="X3" t="e">
            <v>#N/A</v>
          </cell>
          <cell r="Y3" t="e">
            <v>#N/A</v>
          </cell>
          <cell r="Z3" t="e">
            <v>#N/A</v>
          </cell>
        </row>
        <row r="4">
          <cell r="A4">
            <v>7</v>
          </cell>
          <cell r="B4">
            <v>52205.25</v>
          </cell>
          <cell r="C4">
            <v>29087.98</v>
          </cell>
          <cell r="O4" t="e">
            <v>#N/A</v>
          </cell>
          <cell r="P4" t="e">
            <v>#N/A</v>
          </cell>
          <cell r="Q4" t="e">
            <v>#N/A</v>
          </cell>
          <cell r="R4" t="e">
            <v>#N/A</v>
          </cell>
          <cell r="S4">
            <v>52205.08</v>
          </cell>
          <cell r="T4">
            <v>29088.16</v>
          </cell>
          <cell r="U4" t="e">
            <v>#N/A</v>
          </cell>
          <cell r="V4" t="e">
            <v>#N/A</v>
          </cell>
          <cell r="W4" t="e">
            <v>#N/A</v>
          </cell>
          <cell r="X4" t="e">
            <v>#N/A</v>
          </cell>
          <cell r="Y4" t="e">
            <v>#N/A</v>
          </cell>
          <cell r="Z4" t="e">
            <v>#N/A</v>
          </cell>
        </row>
        <row r="5">
          <cell r="A5">
            <v>8</v>
          </cell>
          <cell r="B5">
            <v>52202.33</v>
          </cell>
          <cell r="C5">
            <v>29087.03</v>
          </cell>
          <cell r="O5" t="e">
            <v>#N/A</v>
          </cell>
          <cell r="P5" t="e">
            <v>#N/A</v>
          </cell>
          <cell r="Q5" t="e">
            <v>#N/A</v>
          </cell>
          <cell r="R5" t="e">
            <v>#N/A</v>
          </cell>
          <cell r="S5">
            <v>52202.49</v>
          </cell>
          <cell r="T5">
            <v>29087.16</v>
          </cell>
          <cell r="U5" t="e">
            <v>#N/A</v>
          </cell>
          <cell r="V5" t="e">
            <v>#N/A</v>
          </cell>
          <cell r="W5" t="e">
            <v>#N/A</v>
          </cell>
          <cell r="X5" t="e">
            <v>#N/A</v>
          </cell>
          <cell r="Y5" t="e">
            <v>#N/A</v>
          </cell>
          <cell r="Z5" t="e">
            <v>#N/A</v>
          </cell>
        </row>
        <row r="6">
          <cell r="A6">
            <v>9</v>
          </cell>
          <cell r="B6">
            <v>52196.2</v>
          </cell>
          <cell r="C6">
            <v>29084.799999999999</v>
          </cell>
          <cell r="O6" t="e">
            <v>#N/A</v>
          </cell>
          <cell r="P6" t="e">
            <v>#N/A</v>
          </cell>
          <cell r="Q6" t="e">
            <v>#N/A</v>
          </cell>
          <cell r="R6" t="e">
            <v>#N/A</v>
          </cell>
          <cell r="S6">
            <v>52195.98</v>
          </cell>
          <cell r="T6">
            <v>29084.68</v>
          </cell>
          <cell r="U6" t="e">
            <v>#N/A</v>
          </cell>
          <cell r="V6" t="e">
            <v>#N/A</v>
          </cell>
          <cell r="W6" t="e">
            <v>#N/A</v>
          </cell>
          <cell r="X6" t="e">
            <v>#N/A</v>
          </cell>
          <cell r="Y6" t="e">
            <v>#N/A</v>
          </cell>
          <cell r="Z6" t="e">
            <v>#N/A</v>
          </cell>
        </row>
        <row r="7">
          <cell r="A7">
            <v>11</v>
          </cell>
          <cell r="B7">
            <v>52187.95</v>
          </cell>
          <cell r="C7">
            <v>29080.17</v>
          </cell>
          <cell r="O7" t="e">
            <v>#N/A</v>
          </cell>
          <cell r="P7" t="e">
            <v>#N/A</v>
          </cell>
          <cell r="Q7" t="e">
            <v>#N/A</v>
          </cell>
          <cell r="R7" t="e">
            <v>#N/A</v>
          </cell>
          <cell r="S7">
            <v>52187.78</v>
          </cell>
          <cell r="T7">
            <v>29080.32</v>
          </cell>
          <cell r="U7" t="e">
            <v>#N/A</v>
          </cell>
          <cell r="V7" t="e">
            <v>#N/A</v>
          </cell>
          <cell r="W7" t="e">
            <v>#N/A</v>
          </cell>
          <cell r="X7" t="e">
            <v>#N/A</v>
          </cell>
          <cell r="Y7" t="e">
            <v>#N/A</v>
          </cell>
          <cell r="Z7" t="e">
            <v>#N/A</v>
          </cell>
        </row>
        <row r="8">
          <cell r="A8">
            <v>12</v>
          </cell>
          <cell r="B8">
            <v>52185.16</v>
          </cell>
          <cell r="C8">
            <v>29079.040000000001</v>
          </cell>
          <cell r="O8" t="e">
            <v>#N/A</v>
          </cell>
          <cell r="P8" t="e">
            <v>#N/A</v>
          </cell>
          <cell r="Q8" t="e">
            <v>#N/A</v>
          </cell>
          <cell r="R8" t="e">
            <v>#N/A</v>
          </cell>
          <cell r="S8" t="e">
            <v>#N/A</v>
          </cell>
          <cell r="T8" t="e">
            <v>#N/A</v>
          </cell>
          <cell r="U8" t="e">
            <v>#N/A</v>
          </cell>
          <cell r="V8" t="e">
            <v>#N/A</v>
          </cell>
          <cell r="W8">
            <v>52184.85</v>
          </cell>
          <cell r="X8">
            <v>29079.35</v>
          </cell>
          <cell r="Y8" t="e">
            <v>#N/A</v>
          </cell>
          <cell r="Z8" t="e">
            <v>#N/A</v>
          </cell>
        </row>
        <row r="9">
          <cell r="A9">
            <v>16</v>
          </cell>
          <cell r="B9">
            <v>52167.5</v>
          </cell>
          <cell r="C9">
            <v>29071.7</v>
          </cell>
          <cell r="O9" t="e">
            <v>#N/A</v>
          </cell>
          <cell r="P9" t="e">
            <v>#N/A</v>
          </cell>
          <cell r="Q9">
            <v>52167.41</v>
          </cell>
          <cell r="R9">
            <v>29071.62</v>
          </cell>
          <cell r="S9" t="e">
            <v>#N/A</v>
          </cell>
          <cell r="T9" t="e">
            <v>#N/A</v>
          </cell>
          <cell r="U9" t="e">
            <v>#N/A</v>
          </cell>
          <cell r="V9" t="e">
            <v>#N/A</v>
          </cell>
          <cell r="W9" t="e">
            <v>#N/A</v>
          </cell>
          <cell r="X9" t="e">
            <v>#N/A</v>
          </cell>
          <cell r="Y9" t="e">
            <v>#N/A</v>
          </cell>
          <cell r="Z9" t="e">
            <v>#N/A</v>
          </cell>
        </row>
        <row r="10">
          <cell r="A10">
            <v>17</v>
          </cell>
          <cell r="B10">
            <v>52161.760000000002</v>
          </cell>
          <cell r="C10">
            <v>29068.67</v>
          </cell>
          <cell r="O10" t="e">
            <v>#N/A</v>
          </cell>
          <cell r="P10" t="e">
            <v>#N/A</v>
          </cell>
          <cell r="Q10" t="e">
            <v>#N/A</v>
          </cell>
          <cell r="R10" t="e">
            <v>#N/A</v>
          </cell>
          <cell r="S10" t="e">
            <v>#N/A</v>
          </cell>
          <cell r="T10" t="e">
            <v>#N/A</v>
          </cell>
          <cell r="U10" t="e">
            <v>#N/A</v>
          </cell>
          <cell r="V10" t="e">
            <v>#N/A</v>
          </cell>
          <cell r="W10" t="e">
            <v>#N/A</v>
          </cell>
          <cell r="X10" t="e">
            <v>#N/A</v>
          </cell>
          <cell r="Y10">
            <v>52161.48</v>
          </cell>
          <cell r="Z10">
            <v>29069.279999999999</v>
          </cell>
        </row>
        <row r="11">
          <cell r="A11">
            <v>18</v>
          </cell>
          <cell r="B11">
            <v>52159.27</v>
          </cell>
          <cell r="C11">
            <v>29067.53</v>
          </cell>
          <cell r="O11" t="e">
            <v>#N/A</v>
          </cell>
          <cell r="P11" t="e">
            <v>#N/A</v>
          </cell>
          <cell r="Q11" t="e">
            <v>#N/A</v>
          </cell>
          <cell r="R11" t="e">
            <v>#N/A</v>
          </cell>
          <cell r="S11">
            <v>52159.25</v>
          </cell>
          <cell r="T11">
            <v>29067.73</v>
          </cell>
          <cell r="U11" t="e">
            <v>#N/A</v>
          </cell>
          <cell r="V11" t="e">
            <v>#N/A</v>
          </cell>
          <cell r="W11" t="e">
            <v>#N/A</v>
          </cell>
          <cell r="X11" t="e">
            <v>#N/A</v>
          </cell>
          <cell r="Y11" t="e">
            <v>#N/A</v>
          </cell>
          <cell r="Z11" t="e">
            <v>#N/A</v>
          </cell>
        </row>
        <row r="12">
          <cell r="A12">
            <v>19</v>
          </cell>
          <cell r="B12">
            <v>52230.63</v>
          </cell>
          <cell r="C12">
            <v>29105.38</v>
          </cell>
          <cell r="O12" t="e">
            <v>#N/A</v>
          </cell>
          <cell r="P12" t="e">
            <v>#N/A</v>
          </cell>
          <cell r="Q12" t="e">
            <v>#N/A</v>
          </cell>
          <cell r="R12" t="e">
            <v>#N/A</v>
          </cell>
          <cell r="S12">
            <v>52230.38</v>
          </cell>
          <cell r="T12">
            <v>29105.43</v>
          </cell>
          <cell r="U12" t="e">
            <v>#N/A</v>
          </cell>
          <cell r="V12" t="e">
            <v>#N/A</v>
          </cell>
          <cell r="W12" t="e">
            <v>#N/A</v>
          </cell>
          <cell r="X12" t="e">
            <v>#N/A</v>
          </cell>
          <cell r="Y12" t="e">
            <v>#N/A</v>
          </cell>
          <cell r="Z12" t="e">
            <v>#N/A</v>
          </cell>
        </row>
        <row r="13">
          <cell r="A13">
            <v>20</v>
          </cell>
          <cell r="B13">
            <v>52224.69</v>
          </cell>
          <cell r="C13">
            <v>29102.74</v>
          </cell>
          <cell r="O13" t="e">
            <v>#N/A</v>
          </cell>
          <cell r="P13" t="e">
            <v>#N/A</v>
          </cell>
          <cell r="Q13" t="e">
            <v>#N/A</v>
          </cell>
          <cell r="R13" t="e">
            <v>#N/A</v>
          </cell>
          <cell r="S13" t="e">
            <v>#N/A</v>
          </cell>
          <cell r="T13" t="e">
            <v>#N/A</v>
          </cell>
          <cell r="U13">
            <v>52224.42</v>
          </cell>
          <cell r="V13">
            <v>29102.58</v>
          </cell>
          <cell r="W13" t="e">
            <v>#N/A</v>
          </cell>
          <cell r="X13" t="e">
            <v>#N/A</v>
          </cell>
          <cell r="Y13" t="e">
            <v>#N/A</v>
          </cell>
          <cell r="Z13" t="e">
            <v>#N/A</v>
          </cell>
        </row>
        <row r="14">
          <cell r="A14">
            <v>21</v>
          </cell>
          <cell r="B14">
            <v>52218.75</v>
          </cell>
          <cell r="C14">
            <v>29100.09</v>
          </cell>
          <cell r="O14" t="e">
            <v>#N/A</v>
          </cell>
          <cell r="P14" t="e">
            <v>#N/A</v>
          </cell>
          <cell r="Q14" t="e">
            <v>#N/A</v>
          </cell>
          <cell r="R14" t="e">
            <v>#N/A</v>
          </cell>
          <cell r="S14">
            <v>52218.7</v>
          </cell>
          <cell r="T14">
            <v>29099.88</v>
          </cell>
          <cell r="U14" t="e">
            <v>#N/A</v>
          </cell>
          <cell r="V14" t="e">
            <v>#N/A</v>
          </cell>
          <cell r="W14" t="e">
            <v>#N/A</v>
          </cell>
          <cell r="X14" t="e">
            <v>#N/A</v>
          </cell>
          <cell r="Y14" t="e">
            <v>#N/A</v>
          </cell>
          <cell r="Z14" t="e">
            <v>#N/A</v>
          </cell>
        </row>
        <row r="15">
          <cell r="A15">
            <v>22</v>
          </cell>
          <cell r="B15">
            <v>52212.82</v>
          </cell>
          <cell r="C15">
            <v>29097.45</v>
          </cell>
          <cell r="O15" t="e">
            <v>#N/A</v>
          </cell>
          <cell r="P15" t="e">
            <v>#N/A</v>
          </cell>
          <cell r="Q15" t="e">
            <v>#N/A</v>
          </cell>
          <cell r="R15" t="e">
            <v>#N/A</v>
          </cell>
          <cell r="S15">
            <v>52212.59</v>
          </cell>
          <cell r="T15">
            <v>29097.3</v>
          </cell>
          <cell r="U15" t="e">
            <v>#N/A</v>
          </cell>
          <cell r="V15" t="e">
            <v>#N/A</v>
          </cell>
          <cell r="W15" t="e">
            <v>#N/A</v>
          </cell>
          <cell r="X15" t="e">
            <v>#N/A</v>
          </cell>
          <cell r="Y15" t="e">
            <v>#N/A</v>
          </cell>
          <cell r="Z15" t="e">
            <v>#N/A</v>
          </cell>
        </row>
        <row r="16">
          <cell r="A16">
            <v>24</v>
          </cell>
          <cell r="B16">
            <v>52200.94</v>
          </cell>
          <cell r="C16">
            <v>29092.16</v>
          </cell>
          <cell r="O16" t="e">
            <v>#N/A</v>
          </cell>
          <cell r="P16" t="e">
            <v>#N/A</v>
          </cell>
          <cell r="Q16" t="e">
            <v>#N/A</v>
          </cell>
          <cell r="R16" t="e">
            <v>#N/A</v>
          </cell>
          <cell r="S16">
            <v>52200.92</v>
          </cell>
          <cell r="T16">
            <v>29092.45</v>
          </cell>
          <cell r="U16" t="e">
            <v>#N/A</v>
          </cell>
          <cell r="V16" t="e">
            <v>#N/A</v>
          </cell>
          <cell r="W16" t="e">
            <v>#N/A</v>
          </cell>
          <cell r="X16" t="e">
            <v>#N/A</v>
          </cell>
          <cell r="Y16" t="e">
            <v>#N/A</v>
          </cell>
          <cell r="Z16" t="e">
            <v>#N/A</v>
          </cell>
        </row>
        <row r="17">
          <cell r="A17">
            <v>25</v>
          </cell>
          <cell r="B17">
            <v>52195</v>
          </cell>
          <cell r="C17">
            <v>29089.52</v>
          </cell>
          <cell r="O17" t="e">
            <v>#N/A</v>
          </cell>
          <cell r="P17" t="e">
            <v>#N/A</v>
          </cell>
          <cell r="Q17" t="e">
            <v>#N/A</v>
          </cell>
          <cell r="R17" t="e">
            <v>#N/A</v>
          </cell>
          <cell r="S17" t="e">
            <v>#N/A</v>
          </cell>
          <cell r="T17" t="e">
            <v>#N/A</v>
          </cell>
          <cell r="U17" t="e">
            <v>#N/A</v>
          </cell>
          <cell r="V17" t="e">
            <v>#N/A</v>
          </cell>
          <cell r="W17">
            <v>52194.85</v>
          </cell>
          <cell r="X17">
            <v>29089.91</v>
          </cell>
          <cell r="Y17" t="e">
            <v>#N/A</v>
          </cell>
          <cell r="Z17" t="e">
            <v>#N/A</v>
          </cell>
        </row>
        <row r="18">
          <cell r="A18">
            <v>26</v>
          </cell>
          <cell r="B18">
            <v>52189.06</v>
          </cell>
          <cell r="C18">
            <v>29086.880000000001</v>
          </cell>
          <cell r="O18" t="e">
            <v>#N/A</v>
          </cell>
          <cell r="P18" t="e">
            <v>#N/A</v>
          </cell>
          <cell r="Q18" t="e">
            <v>#N/A</v>
          </cell>
          <cell r="R18" t="e">
            <v>#N/A</v>
          </cell>
          <cell r="S18" t="e">
            <v>#N/A</v>
          </cell>
          <cell r="T18" t="e">
            <v>#N/A</v>
          </cell>
          <cell r="U18">
            <v>52189.14</v>
          </cell>
          <cell r="V18">
            <v>29087.18</v>
          </cell>
          <cell r="W18" t="e">
            <v>#N/A</v>
          </cell>
          <cell r="X18" t="e">
            <v>#N/A</v>
          </cell>
          <cell r="Y18" t="e">
            <v>#N/A</v>
          </cell>
          <cell r="Z18" t="e">
            <v>#N/A</v>
          </cell>
        </row>
        <row r="19">
          <cell r="A19">
            <v>27</v>
          </cell>
          <cell r="B19">
            <v>52183.12</v>
          </cell>
          <cell r="C19">
            <v>29084.23</v>
          </cell>
          <cell r="O19" t="e">
            <v>#N/A</v>
          </cell>
          <cell r="P19" t="e">
            <v>#N/A</v>
          </cell>
          <cell r="Q19">
            <v>52182.98</v>
          </cell>
          <cell r="R19">
            <v>29084.26</v>
          </cell>
          <cell r="S19" t="e">
            <v>#N/A</v>
          </cell>
          <cell r="T19" t="e">
            <v>#N/A</v>
          </cell>
          <cell r="U19" t="e">
            <v>#N/A</v>
          </cell>
          <cell r="V19" t="e">
            <v>#N/A</v>
          </cell>
          <cell r="W19" t="e">
            <v>#N/A</v>
          </cell>
          <cell r="X19" t="e">
            <v>#N/A</v>
          </cell>
          <cell r="Y19" t="e">
            <v>#N/A</v>
          </cell>
          <cell r="Z19" t="e">
            <v>#N/A</v>
          </cell>
        </row>
        <row r="20">
          <cell r="A20">
            <v>28</v>
          </cell>
          <cell r="B20">
            <v>52177.19</v>
          </cell>
          <cell r="C20">
            <v>29081.59</v>
          </cell>
          <cell r="O20" t="e">
            <v>#N/A</v>
          </cell>
          <cell r="P20" t="e">
            <v>#N/A</v>
          </cell>
          <cell r="Q20" t="e">
            <v>#N/A</v>
          </cell>
          <cell r="R20" t="e">
            <v>#N/A</v>
          </cell>
          <cell r="S20">
            <v>52176.99</v>
          </cell>
          <cell r="T20">
            <v>29081.81</v>
          </cell>
          <cell r="U20" t="e">
            <v>#N/A</v>
          </cell>
          <cell r="V20" t="e">
            <v>#N/A</v>
          </cell>
          <cell r="W20" t="e">
            <v>#N/A</v>
          </cell>
          <cell r="X20" t="e">
            <v>#N/A</v>
          </cell>
          <cell r="Y20" t="e">
            <v>#N/A</v>
          </cell>
          <cell r="Z20" t="e">
            <v>#N/A</v>
          </cell>
        </row>
        <row r="21">
          <cell r="A21">
            <v>29</v>
          </cell>
          <cell r="B21">
            <v>52171.25</v>
          </cell>
          <cell r="C21">
            <v>29078.94</v>
          </cell>
          <cell r="O21">
            <v>52171.199999999997</v>
          </cell>
          <cell r="P21">
            <v>29078.92</v>
          </cell>
          <cell r="Q21" t="e">
            <v>#N/A</v>
          </cell>
          <cell r="R21" t="e">
            <v>#N/A</v>
          </cell>
          <cell r="S21" t="e">
            <v>#N/A</v>
          </cell>
          <cell r="T21" t="e">
            <v>#N/A</v>
          </cell>
          <cell r="U21" t="e">
            <v>#N/A</v>
          </cell>
          <cell r="V21" t="e">
            <v>#N/A</v>
          </cell>
          <cell r="W21" t="e">
            <v>#N/A</v>
          </cell>
          <cell r="X21" t="e">
            <v>#N/A</v>
          </cell>
          <cell r="Y21" t="e">
            <v>#N/A</v>
          </cell>
          <cell r="Z21" t="e">
            <v>#N/A</v>
          </cell>
        </row>
        <row r="22">
          <cell r="A22">
            <v>30</v>
          </cell>
          <cell r="B22">
            <v>52165.31</v>
          </cell>
          <cell r="C22">
            <v>29076.3</v>
          </cell>
          <cell r="O22" t="e">
            <v>#N/A</v>
          </cell>
          <cell r="P22" t="e">
            <v>#N/A</v>
          </cell>
          <cell r="Q22" t="e">
            <v>#N/A</v>
          </cell>
          <cell r="R22" t="e">
            <v>#N/A</v>
          </cell>
          <cell r="S22" t="e">
            <v>#N/A</v>
          </cell>
          <cell r="T22" t="e">
            <v>#N/A</v>
          </cell>
          <cell r="U22" t="e">
            <v>#N/A</v>
          </cell>
          <cell r="V22" t="e">
            <v>#N/A</v>
          </cell>
          <cell r="W22">
            <v>52165.73</v>
          </cell>
          <cell r="X22">
            <v>29076.44</v>
          </cell>
          <cell r="Y22" t="e">
            <v>#N/A</v>
          </cell>
          <cell r="Z22" t="e">
            <v>#N/A</v>
          </cell>
        </row>
        <row r="23">
          <cell r="A23">
            <v>31</v>
          </cell>
          <cell r="B23">
            <v>52159.37</v>
          </cell>
          <cell r="C23">
            <v>29073.66</v>
          </cell>
          <cell r="O23">
            <v>52159.31</v>
          </cell>
          <cell r="P23">
            <v>29073.599999999999</v>
          </cell>
          <cell r="Q23" t="e">
            <v>#N/A</v>
          </cell>
          <cell r="R23" t="e">
            <v>#N/A</v>
          </cell>
          <cell r="S23" t="e">
            <v>#N/A</v>
          </cell>
          <cell r="T23" t="e">
            <v>#N/A</v>
          </cell>
          <cell r="U23" t="e">
            <v>#N/A</v>
          </cell>
          <cell r="V23" t="e">
            <v>#N/A</v>
          </cell>
          <cell r="W23" t="e">
            <v>#N/A</v>
          </cell>
          <cell r="X23" t="e">
            <v>#N/A</v>
          </cell>
          <cell r="Y23" t="e">
            <v>#N/A</v>
          </cell>
          <cell r="Z23" t="e">
            <v>#N/A</v>
          </cell>
        </row>
        <row r="24">
          <cell r="A24">
            <v>32</v>
          </cell>
          <cell r="B24">
            <v>52225.38</v>
          </cell>
          <cell r="C24">
            <v>29109.18</v>
          </cell>
          <cell r="O24" t="e">
            <v>#N/A</v>
          </cell>
          <cell r="P24" t="e">
            <v>#N/A</v>
          </cell>
          <cell r="Q24" t="e">
            <v>#N/A</v>
          </cell>
          <cell r="R24" t="e">
            <v>#N/A</v>
          </cell>
          <cell r="S24">
            <v>52225.67</v>
          </cell>
          <cell r="T24">
            <v>29109.18</v>
          </cell>
          <cell r="U24" t="e">
            <v>#N/A</v>
          </cell>
          <cell r="V24" t="e">
            <v>#N/A</v>
          </cell>
          <cell r="W24" t="e">
            <v>#N/A</v>
          </cell>
          <cell r="X24" t="e">
            <v>#N/A</v>
          </cell>
          <cell r="Y24" t="e">
            <v>#N/A</v>
          </cell>
          <cell r="Z24" t="e">
            <v>#N/A</v>
          </cell>
        </row>
        <row r="25">
          <cell r="A25">
            <v>33</v>
          </cell>
          <cell r="B25">
            <v>52219.56</v>
          </cell>
          <cell r="C25">
            <v>29105.49</v>
          </cell>
          <cell r="O25" t="e">
            <v>#N/A</v>
          </cell>
          <cell r="P25" t="e">
            <v>#N/A</v>
          </cell>
          <cell r="Q25" t="e">
            <v>#N/A</v>
          </cell>
          <cell r="R25" t="e">
            <v>#N/A</v>
          </cell>
          <cell r="S25">
            <v>52219.45</v>
          </cell>
          <cell r="T25">
            <v>29105.3</v>
          </cell>
          <cell r="U25" t="e">
            <v>#N/A</v>
          </cell>
          <cell r="V25" t="e">
            <v>#N/A</v>
          </cell>
          <cell r="W25" t="e">
            <v>#N/A</v>
          </cell>
          <cell r="X25" t="e">
            <v>#N/A</v>
          </cell>
          <cell r="Y25" t="e">
            <v>#N/A</v>
          </cell>
          <cell r="Z25" t="e">
            <v>#N/A</v>
          </cell>
        </row>
        <row r="26">
          <cell r="A26">
            <v>34</v>
          </cell>
          <cell r="B26">
            <v>52213.51</v>
          </cell>
          <cell r="C26">
            <v>29103.89</v>
          </cell>
          <cell r="O26" t="e">
            <v>#N/A</v>
          </cell>
          <cell r="P26" t="e">
            <v>#N/A</v>
          </cell>
          <cell r="Q26" t="e">
            <v>#N/A</v>
          </cell>
          <cell r="R26" t="e">
            <v>#N/A</v>
          </cell>
          <cell r="S26" t="e">
            <v>#N/A</v>
          </cell>
          <cell r="T26" t="e">
            <v>#N/A</v>
          </cell>
          <cell r="U26" t="e">
            <v>#N/A</v>
          </cell>
          <cell r="V26" t="e">
            <v>#N/A</v>
          </cell>
          <cell r="W26">
            <v>52213.81</v>
          </cell>
          <cell r="X26">
            <v>29103.62</v>
          </cell>
          <cell r="Y26" t="e">
            <v>#N/A</v>
          </cell>
          <cell r="Z26" t="e">
            <v>#N/A</v>
          </cell>
        </row>
        <row r="27">
          <cell r="A27">
            <v>35</v>
          </cell>
          <cell r="B27">
            <v>52207.57</v>
          </cell>
          <cell r="C27">
            <v>29101.24</v>
          </cell>
          <cell r="O27" t="e">
            <v>#N/A</v>
          </cell>
          <cell r="P27" t="e">
            <v>#N/A</v>
          </cell>
          <cell r="Q27">
            <v>52207.69</v>
          </cell>
          <cell r="R27">
            <v>29101.27</v>
          </cell>
          <cell r="S27" t="e">
            <v>#N/A</v>
          </cell>
          <cell r="T27" t="e">
            <v>#N/A</v>
          </cell>
          <cell r="U27" t="e">
            <v>#N/A</v>
          </cell>
          <cell r="V27" t="e">
            <v>#N/A</v>
          </cell>
          <cell r="W27" t="e">
            <v>#N/A</v>
          </cell>
          <cell r="X27" t="e">
            <v>#N/A</v>
          </cell>
          <cell r="Y27" t="e">
            <v>#N/A</v>
          </cell>
          <cell r="Z27" t="e">
            <v>#N/A</v>
          </cell>
        </row>
        <row r="28">
          <cell r="A28">
            <v>36</v>
          </cell>
          <cell r="B28">
            <v>52201.63</v>
          </cell>
          <cell r="C28">
            <v>29098.6</v>
          </cell>
          <cell r="O28" t="e">
            <v>#N/A</v>
          </cell>
          <cell r="P28" t="e">
            <v>#N/A</v>
          </cell>
          <cell r="Q28" t="e">
            <v>#N/A</v>
          </cell>
          <cell r="R28" t="e">
            <v>#N/A</v>
          </cell>
          <cell r="S28" t="e">
            <v>#N/A</v>
          </cell>
          <cell r="T28" t="e">
            <v>#N/A</v>
          </cell>
          <cell r="U28" t="e">
            <v>#N/A</v>
          </cell>
          <cell r="V28" t="e">
            <v>#N/A</v>
          </cell>
          <cell r="W28">
            <v>52201.89</v>
          </cell>
          <cell r="X28">
            <v>29098.93</v>
          </cell>
          <cell r="Y28" t="e">
            <v>#N/A</v>
          </cell>
          <cell r="Z28" t="e">
            <v>#N/A</v>
          </cell>
        </row>
        <row r="29">
          <cell r="A29">
            <v>37</v>
          </cell>
          <cell r="B29">
            <v>52195.69</v>
          </cell>
          <cell r="C29">
            <v>29095.96</v>
          </cell>
          <cell r="O29" t="e">
            <v>#N/A</v>
          </cell>
          <cell r="P29" t="e">
            <v>#N/A</v>
          </cell>
          <cell r="Q29" t="e">
            <v>#N/A</v>
          </cell>
          <cell r="R29" t="e">
            <v>#N/A</v>
          </cell>
          <cell r="S29" t="e">
            <v>#N/A</v>
          </cell>
          <cell r="T29" t="e">
            <v>#N/A</v>
          </cell>
          <cell r="U29" t="e">
            <v>#N/A</v>
          </cell>
          <cell r="V29" t="e">
            <v>#N/A</v>
          </cell>
          <cell r="W29" t="e">
            <v>#N/A</v>
          </cell>
          <cell r="X29" t="e">
            <v>#N/A</v>
          </cell>
          <cell r="Y29">
            <v>52196.07</v>
          </cell>
          <cell r="Z29">
            <v>29096.46</v>
          </cell>
        </row>
        <row r="30">
          <cell r="A30">
            <v>38</v>
          </cell>
          <cell r="B30">
            <v>52189.75</v>
          </cell>
          <cell r="C30">
            <v>29093.31</v>
          </cell>
          <cell r="O30" t="e">
            <v>#N/A</v>
          </cell>
          <cell r="P30" t="e">
            <v>#N/A</v>
          </cell>
          <cell r="Q30">
            <v>52189.57</v>
          </cell>
          <cell r="R30">
            <v>29093.25</v>
          </cell>
          <cell r="S30" t="e">
            <v>#N/A</v>
          </cell>
          <cell r="T30" t="e">
            <v>#N/A</v>
          </cell>
          <cell r="U30" t="e">
            <v>#N/A</v>
          </cell>
          <cell r="V30" t="e">
            <v>#N/A</v>
          </cell>
          <cell r="W30" t="e">
            <v>#N/A</v>
          </cell>
          <cell r="X30" t="e">
            <v>#N/A</v>
          </cell>
          <cell r="Y30" t="e">
            <v>#N/A</v>
          </cell>
          <cell r="Z30" t="e">
            <v>#N/A</v>
          </cell>
        </row>
        <row r="31">
          <cell r="A31">
            <v>39</v>
          </cell>
          <cell r="B31">
            <v>52183.82</v>
          </cell>
          <cell r="C31">
            <v>29090.67</v>
          </cell>
          <cell r="O31">
            <v>52183.83</v>
          </cell>
          <cell r="P31">
            <v>29090.7</v>
          </cell>
          <cell r="Q31" t="e">
            <v>#N/A</v>
          </cell>
          <cell r="R31" t="e">
            <v>#N/A</v>
          </cell>
          <cell r="S31" t="e">
            <v>#N/A</v>
          </cell>
          <cell r="T31" t="e">
            <v>#N/A</v>
          </cell>
          <cell r="U31" t="e">
            <v>#N/A</v>
          </cell>
          <cell r="V31" t="e">
            <v>#N/A</v>
          </cell>
          <cell r="W31" t="e">
            <v>#N/A</v>
          </cell>
          <cell r="X31" t="e">
            <v>#N/A</v>
          </cell>
          <cell r="Y31" t="e">
            <v>#N/A</v>
          </cell>
          <cell r="Z31" t="e">
            <v>#N/A</v>
          </cell>
        </row>
        <row r="32">
          <cell r="A32">
            <v>40</v>
          </cell>
          <cell r="B32">
            <v>52177.88</v>
          </cell>
          <cell r="C32">
            <v>29088.03</v>
          </cell>
          <cell r="O32" t="e">
            <v>#N/A</v>
          </cell>
          <cell r="P32" t="e">
            <v>#N/A</v>
          </cell>
          <cell r="Q32">
            <v>52177.74</v>
          </cell>
          <cell r="R32">
            <v>29088.04</v>
          </cell>
          <cell r="S32" t="e">
            <v>#N/A</v>
          </cell>
          <cell r="T32" t="e">
            <v>#N/A</v>
          </cell>
          <cell r="U32" t="e">
            <v>#N/A</v>
          </cell>
          <cell r="V32" t="e">
            <v>#N/A</v>
          </cell>
          <cell r="W32" t="e">
            <v>#N/A</v>
          </cell>
          <cell r="X32" t="e">
            <v>#N/A</v>
          </cell>
          <cell r="Y32" t="e">
            <v>#N/A</v>
          </cell>
          <cell r="Z32" t="e">
            <v>#N/A</v>
          </cell>
        </row>
        <row r="33">
          <cell r="A33">
            <v>41</v>
          </cell>
          <cell r="B33">
            <v>52171.94</v>
          </cell>
          <cell r="C33">
            <v>29085.38</v>
          </cell>
          <cell r="O33" t="e">
            <v>#N/A</v>
          </cell>
          <cell r="P33" t="e">
            <v>#N/A</v>
          </cell>
          <cell r="Q33" t="e">
            <v>#N/A</v>
          </cell>
          <cell r="R33" t="e">
            <v>#N/A</v>
          </cell>
          <cell r="S33">
            <v>52171.74</v>
          </cell>
          <cell r="T33">
            <v>29085.59</v>
          </cell>
          <cell r="U33" t="e">
            <v>#N/A</v>
          </cell>
          <cell r="V33" t="e">
            <v>#N/A</v>
          </cell>
          <cell r="W33" t="e">
            <v>#N/A</v>
          </cell>
          <cell r="X33" t="e">
            <v>#N/A</v>
          </cell>
          <cell r="Y33" t="e">
            <v>#N/A</v>
          </cell>
          <cell r="Z33" t="e">
            <v>#N/A</v>
          </cell>
        </row>
        <row r="34">
          <cell r="A34">
            <v>42</v>
          </cell>
          <cell r="B34">
            <v>52166</v>
          </cell>
          <cell r="C34">
            <v>29082.74</v>
          </cell>
          <cell r="O34" t="e">
            <v>#N/A</v>
          </cell>
          <cell r="P34" t="e">
            <v>#N/A</v>
          </cell>
          <cell r="Q34" t="e">
            <v>#N/A</v>
          </cell>
          <cell r="R34" t="e">
            <v>#N/A</v>
          </cell>
          <cell r="S34" t="e">
            <v>#N/A</v>
          </cell>
          <cell r="T34" t="e">
            <v>#N/A</v>
          </cell>
          <cell r="U34">
            <v>52165.65</v>
          </cell>
          <cell r="V34">
            <v>29082.84</v>
          </cell>
          <cell r="W34" t="e">
            <v>#N/A</v>
          </cell>
          <cell r="X34" t="e">
            <v>#N/A</v>
          </cell>
          <cell r="Y34" t="e">
            <v>#N/A</v>
          </cell>
          <cell r="Z34" t="e">
            <v>#N/A</v>
          </cell>
        </row>
        <row r="35">
          <cell r="A35">
            <v>43</v>
          </cell>
          <cell r="B35">
            <v>52160.06</v>
          </cell>
          <cell r="C35">
            <v>29080.09</v>
          </cell>
          <cell r="O35" t="e">
            <v>#N/A</v>
          </cell>
          <cell r="P35" t="e">
            <v>#N/A</v>
          </cell>
          <cell r="Q35">
            <v>52159.92</v>
          </cell>
          <cell r="R35">
            <v>29080.12</v>
          </cell>
          <cell r="S35" t="e">
            <v>#N/A</v>
          </cell>
          <cell r="T35" t="e">
            <v>#N/A</v>
          </cell>
          <cell r="U35" t="e">
            <v>#N/A</v>
          </cell>
          <cell r="V35" t="e">
            <v>#N/A</v>
          </cell>
          <cell r="W35" t="e">
            <v>#N/A</v>
          </cell>
          <cell r="X35" t="e">
            <v>#N/A</v>
          </cell>
          <cell r="Y35" t="e">
            <v>#N/A</v>
          </cell>
          <cell r="Z35" t="e">
            <v>#N/A</v>
          </cell>
        </row>
        <row r="36">
          <cell r="A36">
            <v>44</v>
          </cell>
          <cell r="B36">
            <v>52219.39</v>
          </cell>
          <cell r="C36">
            <v>29110.42</v>
          </cell>
          <cell r="O36" t="e">
            <v>#N/A</v>
          </cell>
          <cell r="P36" t="e">
            <v>#N/A</v>
          </cell>
          <cell r="Q36" t="e">
            <v>#N/A</v>
          </cell>
          <cell r="R36" t="e">
            <v>#N/A</v>
          </cell>
          <cell r="S36" t="e">
            <v>#N/A</v>
          </cell>
          <cell r="T36" t="e">
            <v>#N/A</v>
          </cell>
          <cell r="U36">
            <v>52219.05</v>
          </cell>
          <cell r="V36">
            <v>29110.49</v>
          </cell>
          <cell r="W36" t="e">
            <v>#N/A</v>
          </cell>
          <cell r="X36" t="e">
            <v>#N/A</v>
          </cell>
          <cell r="Y36" t="e">
            <v>#N/A</v>
          </cell>
          <cell r="Z36" t="e">
            <v>#N/A</v>
          </cell>
        </row>
        <row r="37">
          <cell r="A37">
            <v>45</v>
          </cell>
          <cell r="B37">
            <v>52214.2</v>
          </cell>
          <cell r="C37">
            <v>29110.33</v>
          </cell>
          <cell r="O37" t="e">
            <v>#N/A</v>
          </cell>
          <cell r="P37" t="e">
            <v>#N/A</v>
          </cell>
          <cell r="Q37" t="e">
            <v>#N/A</v>
          </cell>
          <cell r="R37" t="e">
            <v>#N/A</v>
          </cell>
          <cell r="S37">
            <v>52214.38</v>
          </cell>
          <cell r="T37">
            <v>29110.48</v>
          </cell>
          <cell r="U37" t="e">
            <v>#N/A</v>
          </cell>
          <cell r="V37" t="e">
            <v>#N/A</v>
          </cell>
          <cell r="W37" t="e">
            <v>#N/A</v>
          </cell>
          <cell r="X37" t="e">
            <v>#N/A</v>
          </cell>
          <cell r="Y37" t="e">
            <v>#N/A</v>
          </cell>
          <cell r="Z37" t="e">
            <v>#N/A</v>
          </cell>
        </row>
        <row r="38">
          <cell r="A38">
            <v>46</v>
          </cell>
          <cell r="B38">
            <v>52208.26</v>
          </cell>
          <cell r="C38">
            <v>29107.68</v>
          </cell>
          <cell r="O38" t="e">
            <v>#N/A</v>
          </cell>
          <cell r="P38" t="e">
            <v>#N/A</v>
          </cell>
          <cell r="Q38" t="e">
            <v>#N/A</v>
          </cell>
          <cell r="R38" t="e">
            <v>#N/A</v>
          </cell>
          <cell r="S38" t="e">
            <v>#N/A</v>
          </cell>
          <cell r="T38" t="e">
            <v>#N/A</v>
          </cell>
          <cell r="U38">
            <v>52208.53</v>
          </cell>
          <cell r="V38">
            <v>29107.52</v>
          </cell>
          <cell r="W38" t="e">
            <v>#N/A</v>
          </cell>
          <cell r="X38" t="e">
            <v>#N/A</v>
          </cell>
          <cell r="Y38" t="e">
            <v>#N/A</v>
          </cell>
          <cell r="Z38" t="e">
            <v>#N/A</v>
          </cell>
        </row>
        <row r="39">
          <cell r="A39">
            <v>47</v>
          </cell>
          <cell r="B39">
            <v>52202.32</v>
          </cell>
          <cell r="C39">
            <v>29105.040000000001</v>
          </cell>
          <cell r="O39" t="e">
            <v>#N/A</v>
          </cell>
          <cell r="P39" t="e">
            <v>#N/A</v>
          </cell>
          <cell r="Q39" t="e">
            <v>#N/A</v>
          </cell>
          <cell r="R39" t="e">
            <v>#N/A</v>
          </cell>
          <cell r="S39">
            <v>52202.32</v>
          </cell>
          <cell r="T39">
            <v>29104.74</v>
          </cell>
          <cell r="U39" t="e">
            <v>#N/A</v>
          </cell>
          <cell r="V39" t="e">
            <v>#N/A</v>
          </cell>
          <cell r="W39" t="e">
            <v>#N/A</v>
          </cell>
          <cell r="X39" t="e">
            <v>#N/A</v>
          </cell>
          <cell r="Y39" t="e">
            <v>#N/A</v>
          </cell>
          <cell r="Z39" t="e">
            <v>#N/A</v>
          </cell>
        </row>
        <row r="40">
          <cell r="A40">
            <v>48</v>
          </cell>
          <cell r="B40">
            <v>52196.38</v>
          </cell>
          <cell r="C40">
            <v>29102.400000000001</v>
          </cell>
          <cell r="O40" t="e">
            <v>#N/A</v>
          </cell>
          <cell r="P40" t="e">
            <v>#N/A</v>
          </cell>
          <cell r="Q40" t="e">
            <v>#N/A</v>
          </cell>
          <cell r="R40" t="e">
            <v>#N/A</v>
          </cell>
          <cell r="S40">
            <v>52196.37</v>
          </cell>
          <cell r="T40">
            <v>29102.18</v>
          </cell>
          <cell r="U40" t="e">
            <v>#N/A</v>
          </cell>
          <cell r="V40" t="e">
            <v>#N/A</v>
          </cell>
          <cell r="W40" t="e">
            <v>#N/A</v>
          </cell>
          <cell r="X40" t="e">
            <v>#N/A</v>
          </cell>
          <cell r="Y40" t="e">
            <v>#N/A</v>
          </cell>
          <cell r="Z40" t="e">
            <v>#N/A</v>
          </cell>
        </row>
        <row r="41">
          <cell r="A41">
            <v>49</v>
          </cell>
          <cell r="B41">
            <v>52190.45</v>
          </cell>
          <cell r="C41">
            <v>29099.75</v>
          </cell>
          <cell r="O41" t="e">
            <v>#N/A</v>
          </cell>
          <cell r="P41" t="e">
            <v>#N/A</v>
          </cell>
          <cell r="Q41" t="e">
            <v>#N/A</v>
          </cell>
          <cell r="R41" t="e">
            <v>#N/A</v>
          </cell>
          <cell r="S41" t="e">
            <v>#N/A</v>
          </cell>
          <cell r="T41" t="e">
            <v>#N/A</v>
          </cell>
          <cell r="U41">
            <v>52190.67</v>
          </cell>
          <cell r="V41">
            <v>29099.5</v>
          </cell>
          <cell r="W41" t="e">
            <v>#N/A</v>
          </cell>
          <cell r="X41" t="e">
            <v>#N/A</v>
          </cell>
          <cell r="Y41" t="e">
            <v>#N/A</v>
          </cell>
          <cell r="Z41" t="e">
            <v>#N/A</v>
          </cell>
        </row>
        <row r="42">
          <cell r="A42">
            <v>50</v>
          </cell>
          <cell r="B42">
            <v>52184.51</v>
          </cell>
          <cell r="C42">
            <v>29097.11</v>
          </cell>
          <cell r="O42" t="e">
            <v>#N/A</v>
          </cell>
          <cell r="P42" t="e">
            <v>#N/A</v>
          </cell>
          <cell r="Q42" t="e">
            <v>#N/A</v>
          </cell>
          <cell r="R42" t="e">
            <v>#N/A</v>
          </cell>
          <cell r="S42" t="e">
            <v>#N/A</v>
          </cell>
          <cell r="T42" t="e">
            <v>#N/A</v>
          </cell>
          <cell r="U42">
            <v>52184.71</v>
          </cell>
          <cell r="V42">
            <v>29097.439999999999</v>
          </cell>
          <cell r="W42" t="e">
            <v>#N/A</v>
          </cell>
          <cell r="X42" t="e">
            <v>#N/A</v>
          </cell>
          <cell r="Y42" t="e">
            <v>#N/A</v>
          </cell>
          <cell r="Z42" t="e">
            <v>#N/A</v>
          </cell>
        </row>
        <row r="43">
          <cell r="A43">
            <v>51</v>
          </cell>
          <cell r="B43">
            <v>52178.57</v>
          </cell>
          <cell r="C43">
            <v>29094.46</v>
          </cell>
          <cell r="O43" t="e">
            <v>#N/A</v>
          </cell>
          <cell r="P43" t="e">
            <v>#N/A</v>
          </cell>
          <cell r="Q43" t="e">
            <v>#N/A</v>
          </cell>
          <cell r="R43" t="e">
            <v>#N/A</v>
          </cell>
          <cell r="S43" t="e">
            <v>#N/A</v>
          </cell>
          <cell r="T43" t="e">
            <v>#N/A</v>
          </cell>
          <cell r="U43" t="e">
            <v>#N/A</v>
          </cell>
          <cell r="V43" t="e">
            <v>#N/A</v>
          </cell>
          <cell r="W43">
            <v>52178.48</v>
          </cell>
          <cell r="X43">
            <v>29094.07</v>
          </cell>
          <cell r="Y43" t="e">
            <v>#N/A</v>
          </cell>
          <cell r="Z43" t="e">
            <v>#N/A</v>
          </cell>
        </row>
        <row r="44">
          <cell r="A44">
            <v>52</v>
          </cell>
          <cell r="B44">
            <v>52172.63</v>
          </cell>
          <cell r="C44">
            <v>29091.82</v>
          </cell>
          <cell r="O44" t="e">
            <v>#N/A</v>
          </cell>
          <cell r="P44" t="e">
            <v>#N/A</v>
          </cell>
          <cell r="Q44" t="e">
            <v>#N/A</v>
          </cell>
          <cell r="R44" t="e">
            <v>#N/A</v>
          </cell>
          <cell r="S44" t="e">
            <v>#N/A</v>
          </cell>
          <cell r="T44" t="e">
            <v>#N/A</v>
          </cell>
          <cell r="U44" t="e">
            <v>#N/A</v>
          </cell>
          <cell r="V44" t="e">
            <v>#N/A</v>
          </cell>
          <cell r="W44">
            <v>52172.87</v>
          </cell>
          <cell r="X44">
            <v>29091.47</v>
          </cell>
          <cell r="Y44" t="e">
            <v>#N/A</v>
          </cell>
          <cell r="Z44" t="e">
            <v>#N/A</v>
          </cell>
        </row>
        <row r="45">
          <cell r="A45">
            <v>53</v>
          </cell>
          <cell r="B45">
            <v>52166.69</v>
          </cell>
          <cell r="C45">
            <v>29089.18</v>
          </cell>
          <cell r="O45" t="e">
            <v>#N/A</v>
          </cell>
          <cell r="P45" t="e">
            <v>#N/A</v>
          </cell>
          <cell r="Q45" t="e">
            <v>#N/A</v>
          </cell>
          <cell r="R45" t="e">
            <v>#N/A</v>
          </cell>
          <cell r="S45" t="e">
            <v>#N/A</v>
          </cell>
          <cell r="T45" t="e">
            <v>#N/A</v>
          </cell>
          <cell r="U45">
            <v>52166.34</v>
          </cell>
          <cell r="V45">
            <v>29089.02</v>
          </cell>
          <cell r="W45" t="e">
            <v>#N/A</v>
          </cell>
          <cell r="X45" t="e">
            <v>#N/A</v>
          </cell>
          <cell r="Y45" t="e">
            <v>#N/A</v>
          </cell>
          <cell r="Z45" t="e">
            <v>#N/A</v>
          </cell>
        </row>
        <row r="46">
          <cell r="A46">
            <v>54</v>
          </cell>
          <cell r="B46">
            <v>52160.76</v>
          </cell>
          <cell r="C46">
            <v>29086.53</v>
          </cell>
          <cell r="O46" t="e">
            <v>#N/A</v>
          </cell>
          <cell r="P46" t="e">
            <v>#N/A</v>
          </cell>
          <cell r="Q46" t="e">
            <v>#N/A</v>
          </cell>
          <cell r="R46" t="e">
            <v>#N/A</v>
          </cell>
          <cell r="S46" t="e">
            <v>#N/A</v>
          </cell>
          <cell r="T46" t="e">
            <v>#N/A</v>
          </cell>
          <cell r="U46">
            <v>52160.38</v>
          </cell>
          <cell r="V46">
            <v>29086.65</v>
          </cell>
          <cell r="W46" t="e">
            <v>#N/A</v>
          </cell>
          <cell r="X46" t="e">
            <v>#N/A</v>
          </cell>
          <cell r="Y46" t="e">
            <v>#N/A</v>
          </cell>
          <cell r="Z46" t="e">
            <v>#N/A</v>
          </cell>
        </row>
        <row r="47">
          <cell r="A47">
            <v>55</v>
          </cell>
          <cell r="B47">
            <v>52154.82</v>
          </cell>
          <cell r="C47">
            <v>29083.89</v>
          </cell>
          <cell r="O47" t="e">
            <v>#N/A</v>
          </cell>
          <cell r="P47" t="e">
            <v>#N/A</v>
          </cell>
          <cell r="Q47">
            <v>52154.95</v>
          </cell>
          <cell r="R47">
            <v>29083.77</v>
          </cell>
          <cell r="S47" t="e">
            <v>#N/A</v>
          </cell>
          <cell r="T47" t="e">
            <v>#N/A</v>
          </cell>
          <cell r="U47" t="e">
            <v>#N/A</v>
          </cell>
          <cell r="V47" t="e">
            <v>#N/A</v>
          </cell>
          <cell r="W47" t="e">
            <v>#N/A</v>
          </cell>
          <cell r="X47" t="e">
            <v>#N/A</v>
          </cell>
          <cell r="Y47" t="e">
            <v>#N/A</v>
          </cell>
          <cell r="Z47" t="e">
            <v>#N/A</v>
          </cell>
        </row>
        <row r="48">
          <cell r="A48">
            <v>56</v>
          </cell>
          <cell r="B48">
            <v>52208.95</v>
          </cell>
          <cell r="C48">
            <v>29114.12</v>
          </cell>
          <cell r="O48" t="e">
            <v>#N/A</v>
          </cell>
          <cell r="P48" t="e">
            <v>#N/A</v>
          </cell>
          <cell r="Q48" t="e">
            <v>#N/A</v>
          </cell>
          <cell r="R48" t="e">
            <v>#N/A</v>
          </cell>
          <cell r="S48">
            <v>52208.77</v>
          </cell>
          <cell r="T48">
            <v>29113.99</v>
          </cell>
          <cell r="U48" t="e">
            <v>#N/A</v>
          </cell>
          <cell r="V48" t="e">
            <v>#N/A</v>
          </cell>
          <cell r="W48" t="e">
            <v>#N/A</v>
          </cell>
          <cell r="X48" t="e">
            <v>#N/A</v>
          </cell>
          <cell r="Y48" t="e">
            <v>#N/A</v>
          </cell>
          <cell r="Z48" t="e">
            <v>#N/A</v>
          </cell>
        </row>
        <row r="49">
          <cell r="A49">
            <v>57</v>
          </cell>
          <cell r="B49">
            <v>52203.01</v>
          </cell>
          <cell r="C49">
            <v>29111.48</v>
          </cell>
          <cell r="O49" t="e">
            <v>#N/A</v>
          </cell>
          <cell r="P49" t="e">
            <v>#N/A</v>
          </cell>
          <cell r="Q49" t="e">
            <v>#N/A</v>
          </cell>
          <cell r="R49" t="e">
            <v>#N/A</v>
          </cell>
          <cell r="S49" t="e">
            <v>#N/A</v>
          </cell>
          <cell r="T49" t="e">
            <v>#N/A</v>
          </cell>
          <cell r="U49">
            <v>52203.06</v>
          </cell>
          <cell r="V49">
            <v>29111.119999999999</v>
          </cell>
          <cell r="W49" t="e">
            <v>#N/A</v>
          </cell>
          <cell r="X49" t="e">
            <v>#N/A</v>
          </cell>
          <cell r="Y49" t="e">
            <v>#N/A</v>
          </cell>
          <cell r="Z49" t="e">
            <v>#N/A</v>
          </cell>
        </row>
        <row r="50">
          <cell r="A50">
            <v>58</v>
          </cell>
          <cell r="B50">
            <v>52197.07</v>
          </cell>
          <cell r="C50">
            <v>29108.83</v>
          </cell>
          <cell r="O50" t="e">
            <v>#N/A</v>
          </cell>
          <cell r="P50" t="e">
            <v>#N/A</v>
          </cell>
          <cell r="Q50" t="e">
            <v>#N/A</v>
          </cell>
          <cell r="R50" t="e">
            <v>#N/A</v>
          </cell>
          <cell r="S50">
            <v>52196.84</v>
          </cell>
          <cell r="T50">
            <v>29108.69</v>
          </cell>
          <cell r="U50" t="e">
            <v>#N/A</v>
          </cell>
          <cell r="V50" t="e">
            <v>#N/A</v>
          </cell>
          <cell r="W50" t="e">
            <v>#N/A</v>
          </cell>
          <cell r="X50" t="e">
            <v>#N/A</v>
          </cell>
          <cell r="Y50" t="e">
            <v>#N/A</v>
          </cell>
          <cell r="Z50" t="e">
            <v>#N/A</v>
          </cell>
        </row>
        <row r="51">
          <cell r="A51">
            <v>59</v>
          </cell>
          <cell r="B51">
            <v>52191.14</v>
          </cell>
          <cell r="C51">
            <v>29106.19</v>
          </cell>
          <cell r="O51" t="e">
            <v>#N/A</v>
          </cell>
          <cell r="P51" t="e">
            <v>#N/A</v>
          </cell>
          <cell r="Q51">
            <v>52191.040000000001</v>
          </cell>
          <cell r="R51">
            <v>29106.31</v>
          </cell>
          <cell r="S51" t="e">
            <v>#N/A</v>
          </cell>
          <cell r="T51" t="e">
            <v>#N/A</v>
          </cell>
          <cell r="U51" t="e">
            <v>#N/A</v>
          </cell>
          <cell r="V51" t="e">
            <v>#N/A</v>
          </cell>
          <cell r="W51" t="e">
            <v>#N/A</v>
          </cell>
          <cell r="X51" t="e">
            <v>#N/A</v>
          </cell>
          <cell r="Y51" t="e">
            <v>#N/A</v>
          </cell>
          <cell r="Z51" t="e">
            <v>#N/A</v>
          </cell>
        </row>
        <row r="52">
          <cell r="A52">
            <v>60</v>
          </cell>
          <cell r="B52">
            <v>52185.2</v>
          </cell>
          <cell r="C52">
            <v>29103.55</v>
          </cell>
          <cell r="O52" t="e">
            <v>#N/A</v>
          </cell>
          <cell r="P52" t="e">
            <v>#N/A</v>
          </cell>
          <cell r="Q52">
            <v>52185.11</v>
          </cell>
          <cell r="R52">
            <v>29103.62</v>
          </cell>
          <cell r="S52" t="e">
            <v>#N/A</v>
          </cell>
          <cell r="T52" t="e">
            <v>#N/A</v>
          </cell>
          <cell r="U52" t="e">
            <v>#N/A</v>
          </cell>
          <cell r="V52" t="e">
            <v>#N/A</v>
          </cell>
          <cell r="W52" t="e">
            <v>#N/A</v>
          </cell>
          <cell r="X52" t="e">
            <v>#N/A</v>
          </cell>
          <cell r="Y52" t="e">
            <v>#N/A</v>
          </cell>
          <cell r="Z52" t="e">
            <v>#N/A</v>
          </cell>
        </row>
        <row r="53">
          <cell r="A53">
            <v>61</v>
          </cell>
          <cell r="B53">
            <v>52179.26</v>
          </cell>
          <cell r="C53">
            <v>29100.9</v>
          </cell>
          <cell r="O53" t="e">
            <v>#N/A</v>
          </cell>
          <cell r="P53" t="e">
            <v>#N/A</v>
          </cell>
          <cell r="Q53" t="e">
            <v>#N/A</v>
          </cell>
          <cell r="R53" t="e">
            <v>#N/A</v>
          </cell>
          <cell r="S53" t="e">
            <v>#N/A</v>
          </cell>
          <cell r="T53" t="e">
            <v>#N/A</v>
          </cell>
          <cell r="U53">
            <v>52178.91</v>
          </cell>
          <cell r="V53">
            <v>29101.06</v>
          </cell>
          <cell r="W53" t="e">
            <v>#N/A</v>
          </cell>
          <cell r="X53" t="e">
            <v>#N/A</v>
          </cell>
          <cell r="Y53" t="e">
            <v>#N/A</v>
          </cell>
          <cell r="Z53" t="e">
            <v>#N/A</v>
          </cell>
        </row>
        <row r="54">
          <cell r="A54">
            <v>62</v>
          </cell>
          <cell r="B54">
            <v>52173.32</v>
          </cell>
          <cell r="C54">
            <v>29098.26</v>
          </cell>
          <cell r="O54">
            <v>52173.279999999999</v>
          </cell>
          <cell r="P54">
            <v>29098.32</v>
          </cell>
          <cell r="Q54" t="e">
            <v>#N/A</v>
          </cell>
          <cell r="R54" t="e">
            <v>#N/A</v>
          </cell>
          <cell r="S54" t="e">
            <v>#N/A</v>
          </cell>
          <cell r="T54" t="e">
            <v>#N/A</v>
          </cell>
          <cell r="U54" t="e">
            <v>#N/A</v>
          </cell>
          <cell r="V54" t="e">
            <v>#N/A</v>
          </cell>
          <cell r="W54" t="e">
            <v>#N/A</v>
          </cell>
          <cell r="X54" t="e">
            <v>#N/A</v>
          </cell>
          <cell r="Y54" t="e">
            <v>#N/A</v>
          </cell>
          <cell r="Z54" t="e">
            <v>#N/A</v>
          </cell>
        </row>
        <row r="55">
          <cell r="A55">
            <v>63</v>
          </cell>
          <cell r="B55">
            <v>52167.38</v>
          </cell>
          <cell r="C55">
            <v>29095.61</v>
          </cell>
          <cell r="O55">
            <v>52167.38</v>
          </cell>
          <cell r="P55">
            <v>29095.56</v>
          </cell>
          <cell r="Q55" t="e">
            <v>#N/A</v>
          </cell>
          <cell r="R55" t="e">
            <v>#N/A</v>
          </cell>
          <cell r="S55" t="e">
            <v>#N/A</v>
          </cell>
          <cell r="T55" t="e">
            <v>#N/A</v>
          </cell>
          <cell r="U55" t="e">
            <v>#N/A</v>
          </cell>
          <cell r="V55" t="e">
            <v>#N/A</v>
          </cell>
          <cell r="W55" t="e">
            <v>#N/A</v>
          </cell>
          <cell r="X55" t="e">
            <v>#N/A</v>
          </cell>
          <cell r="Y55" t="e">
            <v>#N/A</v>
          </cell>
          <cell r="Z55" t="e">
            <v>#N/A</v>
          </cell>
        </row>
        <row r="56">
          <cell r="A56">
            <v>64</v>
          </cell>
          <cell r="B56">
            <v>52161.45</v>
          </cell>
          <cell r="C56">
            <v>29092.97</v>
          </cell>
          <cell r="O56">
            <v>52161.42</v>
          </cell>
          <cell r="P56">
            <v>29092.91</v>
          </cell>
          <cell r="Q56" t="e">
            <v>#N/A</v>
          </cell>
          <cell r="R56" t="e">
            <v>#N/A</v>
          </cell>
          <cell r="S56" t="e">
            <v>#N/A</v>
          </cell>
          <cell r="T56" t="e">
            <v>#N/A</v>
          </cell>
          <cell r="U56" t="e">
            <v>#N/A</v>
          </cell>
          <cell r="V56" t="e">
            <v>#N/A</v>
          </cell>
          <cell r="W56" t="e">
            <v>#N/A</v>
          </cell>
          <cell r="X56" t="e">
            <v>#N/A</v>
          </cell>
          <cell r="Y56" t="e">
            <v>#N/A</v>
          </cell>
          <cell r="Z56" t="e">
            <v>#N/A</v>
          </cell>
        </row>
        <row r="57">
          <cell r="A57">
            <v>65</v>
          </cell>
          <cell r="B57">
            <v>52155.51</v>
          </cell>
          <cell r="C57">
            <v>29090.33</v>
          </cell>
          <cell r="O57" t="e">
            <v>#N/A</v>
          </cell>
          <cell r="P57" t="e">
            <v>#N/A</v>
          </cell>
          <cell r="Q57">
            <v>52155.48</v>
          </cell>
          <cell r="R57">
            <v>29090.2</v>
          </cell>
          <cell r="S57" t="e">
            <v>#N/A</v>
          </cell>
          <cell r="T57" t="e">
            <v>#N/A</v>
          </cell>
          <cell r="U57" t="e">
            <v>#N/A</v>
          </cell>
          <cell r="V57" t="e">
            <v>#N/A</v>
          </cell>
          <cell r="W57" t="e">
            <v>#N/A</v>
          </cell>
          <cell r="X57" t="e">
            <v>#N/A</v>
          </cell>
          <cell r="Y57" t="e">
            <v>#N/A</v>
          </cell>
          <cell r="Z57" t="e">
            <v>#N/A</v>
          </cell>
        </row>
        <row r="58">
          <cell r="A58">
            <v>66</v>
          </cell>
          <cell r="B58">
            <v>52197.77</v>
          </cell>
          <cell r="C58">
            <v>29115.27</v>
          </cell>
          <cell r="O58" t="e">
            <v>#N/A</v>
          </cell>
          <cell r="P58" t="e">
            <v>#N/A</v>
          </cell>
          <cell r="Q58" t="e">
            <v>#N/A</v>
          </cell>
          <cell r="R58" t="e">
            <v>#N/A</v>
          </cell>
          <cell r="S58" t="e">
            <v>#N/A</v>
          </cell>
          <cell r="T58" t="e">
            <v>#N/A</v>
          </cell>
          <cell r="U58" t="e">
            <v>#N/A</v>
          </cell>
          <cell r="V58" t="e">
            <v>#N/A</v>
          </cell>
          <cell r="W58">
            <v>52198.1</v>
          </cell>
          <cell r="X58">
            <v>29115</v>
          </cell>
          <cell r="Y58" t="e">
            <v>#N/A</v>
          </cell>
          <cell r="Z58" t="e">
            <v>#N/A</v>
          </cell>
        </row>
        <row r="59">
          <cell r="A59">
            <v>67</v>
          </cell>
          <cell r="B59">
            <v>52191.83</v>
          </cell>
          <cell r="C59">
            <v>29112.63</v>
          </cell>
          <cell r="O59" t="e">
            <v>#N/A</v>
          </cell>
          <cell r="P59" t="e">
            <v>#N/A</v>
          </cell>
          <cell r="Q59" t="e">
            <v>#N/A</v>
          </cell>
          <cell r="R59" t="e">
            <v>#N/A</v>
          </cell>
          <cell r="S59" t="e">
            <v>#N/A</v>
          </cell>
          <cell r="T59" t="e">
            <v>#N/A</v>
          </cell>
          <cell r="U59" t="e">
            <v>#N/A</v>
          </cell>
          <cell r="V59" t="e">
            <v>#N/A</v>
          </cell>
          <cell r="W59">
            <v>52191.67</v>
          </cell>
          <cell r="X59">
            <v>29112.25</v>
          </cell>
          <cell r="Y59" t="e">
            <v>#N/A</v>
          </cell>
          <cell r="Z59" t="e">
            <v>#N/A</v>
          </cell>
        </row>
        <row r="60">
          <cell r="A60">
            <v>68</v>
          </cell>
          <cell r="B60">
            <v>52185.89</v>
          </cell>
          <cell r="C60">
            <v>29109.98</v>
          </cell>
          <cell r="O60" t="e">
            <v>#N/A</v>
          </cell>
          <cell r="P60" t="e">
            <v>#N/A</v>
          </cell>
          <cell r="Q60" t="e">
            <v>#N/A</v>
          </cell>
          <cell r="R60" t="e">
            <v>#N/A</v>
          </cell>
          <cell r="S60">
            <v>52185.66</v>
          </cell>
          <cell r="T60">
            <v>29109.93</v>
          </cell>
          <cell r="U60" t="e">
            <v>#N/A</v>
          </cell>
          <cell r="V60" t="e">
            <v>#N/A</v>
          </cell>
          <cell r="W60" t="e">
            <v>#N/A</v>
          </cell>
          <cell r="X60" t="e">
            <v>#N/A</v>
          </cell>
          <cell r="Y60" t="e">
            <v>#N/A</v>
          </cell>
          <cell r="Z60" t="e">
            <v>#N/A</v>
          </cell>
        </row>
        <row r="61">
          <cell r="A61">
            <v>69</v>
          </cell>
          <cell r="B61">
            <v>52179.95</v>
          </cell>
          <cell r="C61">
            <v>29107.34</v>
          </cell>
          <cell r="O61" t="e">
            <v>#N/A</v>
          </cell>
          <cell r="P61" t="e">
            <v>#N/A</v>
          </cell>
          <cell r="Q61" t="e">
            <v>#N/A</v>
          </cell>
          <cell r="R61" t="e">
            <v>#N/A</v>
          </cell>
          <cell r="S61" t="e">
            <v>#N/A</v>
          </cell>
          <cell r="T61" t="e">
            <v>#N/A</v>
          </cell>
          <cell r="U61" t="e">
            <v>#N/A</v>
          </cell>
          <cell r="V61" t="e">
            <v>#N/A</v>
          </cell>
          <cell r="W61">
            <v>52180.04</v>
          </cell>
          <cell r="X61">
            <v>29106.91</v>
          </cell>
          <cell r="Y61" t="e">
            <v>#N/A</v>
          </cell>
          <cell r="Z61" t="e">
            <v>#N/A</v>
          </cell>
        </row>
        <row r="62">
          <cell r="A62">
            <v>70</v>
          </cell>
          <cell r="B62">
            <v>52174.01</v>
          </cell>
          <cell r="C62">
            <v>29104.7</v>
          </cell>
          <cell r="O62" t="e">
            <v>#N/A</v>
          </cell>
          <cell r="P62" t="e">
            <v>#N/A</v>
          </cell>
          <cell r="Q62">
            <v>52173.85</v>
          </cell>
          <cell r="R62">
            <v>29104.66</v>
          </cell>
          <cell r="S62" t="e">
            <v>#N/A</v>
          </cell>
          <cell r="T62" t="e">
            <v>#N/A</v>
          </cell>
          <cell r="U62" t="e">
            <v>#N/A</v>
          </cell>
          <cell r="V62" t="e">
            <v>#N/A</v>
          </cell>
          <cell r="W62" t="e">
            <v>#N/A</v>
          </cell>
          <cell r="X62" t="e">
            <v>#N/A</v>
          </cell>
          <cell r="Y62" t="e">
            <v>#N/A</v>
          </cell>
          <cell r="Z62" t="e">
            <v>#N/A</v>
          </cell>
        </row>
        <row r="63">
          <cell r="A63">
            <v>71</v>
          </cell>
          <cell r="B63">
            <v>52168.08</v>
          </cell>
          <cell r="C63">
            <v>29102.05</v>
          </cell>
          <cell r="O63">
            <v>52168.1</v>
          </cell>
          <cell r="P63">
            <v>29102.02</v>
          </cell>
          <cell r="Q63" t="e">
            <v>#N/A</v>
          </cell>
          <cell r="R63" t="e">
            <v>#N/A</v>
          </cell>
          <cell r="S63" t="e">
            <v>#N/A</v>
          </cell>
          <cell r="T63" t="e">
            <v>#N/A</v>
          </cell>
          <cell r="U63" t="e">
            <v>#N/A</v>
          </cell>
          <cell r="V63" t="e">
            <v>#N/A</v>
          </cell>
          <cell r="W63" t="e">
            <v>#N/A</v>
          </cell>
          <cell r="X63" t="e">
            <v>#N/A</v>
          </cell>
          <cell r="Y63" t="e">
            <v>#N/A</v>
          </cell>
          <cell r="Z63" t="e">
            <v>#N/A</v>
          </cell>
        </row>
        <row r="64">
          <cell r="A64">
            <v>72</v>
          </cell>
          <cell r="B64">
            <v>52162.14</v>
          </cell>
          <cell r="C64">
            <v>29099.41</v>
          </cell>
          <cell r="O64" t="e">
            <v>#N/A</v>
          </cell>
          <cell r="P64" t="e">
            <v>#N/A</v>
          </cell>
          <cell r="Q64" t="e">
            <v>#N/A</v>
          </cell>
          <cell r="R64" t="e">
            <v>#N/A</v>
          </cell>
          <cell r="S64" t="e">
            <v>#N/A</v>
          </cell>
          <cell r="T64" t="e">
            <v>#N/A</v>
          </cell>
          <cell r="U64">
            <v>52161.8</v>
          </cell>
          <cell r="V64">
            <v>29099.45</v>
          </cell>
          <cell r="W64" t="e">
            <v>#N/A</v>
          </cell>
          <cell r="X64" t="e">
            <v>#N/A</v>
          </cell>
          <cell r="Y64" t="e">
            <v>#N/A</v>
          </cell>
          <cell r="Z64" t="e">
            <v>#N/A</v>
          </cell>
        </row>
        <row r="65">
          <cell r="A65">
            <v>73</v>
          </cell>
          <cell r="B65">
            <v>52156.2</v>
          </cell>
          <cell r="C65">
            <v>29096.76</v>
          </cell>
          <cell r="O65">
            <v>52156.25</v>
          </cell>
          <cell r="P65">
            <v>29096.78</v>
          </cell>
          <cell r="Q65" t="e">
            <v>#N/A</v>
          </cell>
          <cell r="R65" t="e">
            <v>#N/A</v>
          </cell>
          <cell r="S65" t="e">
            <v>#N/A</v>
          </cell>
          <cell r="T65" t="e">
            <v>#N/A</v>
          </cell>
          <cell r="U65" t="e">
            <v>#N/A</v>
          </cell>
          <cell r="V65" t="e">
            <v>#N/A</v>
          </cell>
          <cell r="W65" t="e">
            <v>#N/A</v>
          </cell>
          <cell r="X65" t="e">
            <v>#N/A</v>
          </cell>
          <cell r="Y65" t="e">
            <v>#N/A</v>
          </cell>
          <cell r="Z65" t="e">
            <v>#N/A</v>
          </cell>
        </row>
        <row r="66">
          <cell r="A66">
            <v>74</v>
          </cell>
          <cell r="B66">
            <v>52150.26</v>
          </cell>
          <cell r="C66">
            <v>29094.12</v>
          </cell>
          <cell r="O66" t="e">
            <v>#N/A</v>
          </cell>
          <cell r="P66" t="e">
            <v>#N/A</v>
          </cell>
          <cell r="Q66">
            <v>52150.14</v>
          </cell>
          <cell r="R66">
            <v>29094.07</v>
          </cell>
          <cell r="S66" t="e">
            <v>#N/A</v>
          </cell>
          <cell r="T66" t="e">
            <v>#N/A</v>
          </cell>
          <cell r="U66" t="e">
            <v>#N/A</v>
          </cell>
          <cell r="V66" t="e">
            <v>#N/A</v>
          </cell>
          <cell r="W66" t="e">
            <v>#N/A</v>
          </cell>
          <cell r="X66" t="e">
            <v>#N/A</v>
          </cell>
          <cell r="Y66" t="e">
            <v>#N/A</v>
          </cell>
          <cell r="Z66" t="e">
            <v>#N/A</v>
          </cell>
        </row>
        <row r="67">
          <cell r="A67">
            <v>75</v>
          </cell>
          <cell r="B67">
            <v>52192.49</v>
          </cell>
          <cell r="C67">
            <v>29116.76</v>
          </cell>
          <cell r="O67" t="e">
            <v>#N/A</v>
          </cell>
          <cell r="P67" t="e">
            <v>#N/A</v>
          </cell>
          <cell r="Q67" t="e">
            <v>#N/A</v>
          </cell>
          <cell r="R67" t="e">
            <v>#N/A</v>
          </cell>
          <cell r="S67" t="e">
            <v>#N/A</v>
          </cell>
          <cell r="T67" t="e">
            <v>#N/A</v>
          </cell>
          <cell r="U67">
            <v>52192.27</v>
          </cell>
          <cell r="V67">
            <v>29116.45</v>
          </cell>
          <cell r="W67" t="e">
            <v>#N/A</v>
          </cell>
          <cell r="X67" t="e">
            <v>#N/A</v>
          </cell>
          <cell r="Y67" t="e">
            <v>#N/A</v>
          </cell>
          <cell r="Z67" t="e">
            <v>#N/A</v>
          </cell>
        </row>
        <row r="68">
          <cell r="A68">
            <v>76</v>
          </cell>
          <cell r="B68">
            <v>52186.58</v>
          </cell>
          <cell r="C68">
            <v>29116.42</v>
          </cell>
          <cell r="O68" t="e">
            <v>#N/A</v>
          </cell>
          <cell r="P68" t="e">
            <v>#N/A</v>
          </cell>
          <cell r="Q68" t="e">
            <v>#N/A</v>
          </cell>
          <cell r="R68" t="e">
            <v>#N/A</v>
          </cell>
          <cell r="S68" t="e">
            <v>#N/A</v>
          </cell>
          <cell r="T68" t="e">
            <v>#N/A</v>
          </cell>
          <cell r="U68">
            <v>52186.58</v>
          </cell>
          <cell r="V68">
            <v>29116.1</v>
          </cell>
          <cell r="W68" t="e">
            <v>#N/A</v>
          </cell>
          <cell r="X68" t="e">
            <v>#N/A</v>
          </cell>
          <cell r="Y68" t="e">
            <v>#N/A</v>
          </cell>
          <cell r="Z68" t="e">
            <v>#N/A</v>
          </cell>
        </row>
        <row r="69">
          <cell r="A69">
            <v>77</v>
          </cell>
          <cell r="B69">
            <v>52180.639999999999</v>
          </cell>
          <cell r="C69">
            <v>29113.78</v>
          </cell>
          <cell r="O69" t="e">
            <v>#N/A</v>
          </cell>
          <cell r="P69" t="e">
            <v>#N/A</v>
          </cell>
          <cell r="Q69">
            <v>52180.51</v>
          </cell>
          <cell r="R69">
            <v>29113.88</v>
          </cell>
          <cell r="S69" t="e">
            <v>#N/A</v>
          </cell>
          <cell r="T69" t="e">
            <v>#N/A</v>
          </cell>
          <cell r="U69" t="e">
            <v>#N/A</v>
          </cell>
          <cell r="V69" t="e">
            <v>#N/A</v>
          </cell>
          <cell r="W69" t="e">
            <v>#N/A</v>
          </cell>
          <cell r="X69" t="e">
            <v>#N/A</v>
          </cell>
          <cell r="Y69" t="e">
            <v>#N/A</v>
          </cell>
          <cell r="Z69" t="e">
            <v>#N/A</v>
          </cell>
        </row>
        <row r="70">
          <cell r="A70">
            <v>78</v>
          </cell>
          <cell r="B70">
            <v>52174.71</v>
          </cell>
          <cell r="C70">
            <v>29111.13</v>
          </cell>
          <cell r="O70" t="e">
            <v>#N/A</v>
          </cell>
          <cell r="P70" t="e">
            <v>#N/A</v>
          </cell>
          <cell r="Q70" t="e">
            <v>#N/A</v>
          </cell>
          <cell r="R70" t="e">
            <v>#N/A</v>
          </cell>
          <cell r="S70">
            <v>52174.46</v>
          </cell>
          <cell r="T70">
            <v>29111.1</v>
          </cell>
          <cell r="U70" t="e">
            <v>#N/A</v>
          </cell>
          <cell r="V70" t="e">
            <v>#N/A</v>
          </cell>
          <cell r="W70" t="e">
            <v>#N/A</v>
          </cell>
          <cell r="X70" t="e">
            <v>#N/A</v>
          </cell>
          <cell r="Y70" t="e">
            <v>#N/A</v>
          </cell>
          <cell r="Z70" t="e">
            <v>#N/A</v>
          </cell>
        </row>
        <row r="71">
          <cell r="A71">
            <v>79</v>
          </cell>
          <cell r="B71">
            <v>52168.77</v>
          </cell>
          <cell r="C71">
            <v>29108.49</v>
          </cell>
          <cell r="O71" t="e">
            <v>#N/A</v>
          </cell>
          <cell r="P71" t="e">
            <v>#N/A</v>
          </cell>
          <cell r="Q71">
            <v>52168.7</v>
          </cell>
          <cell r="R71">
            <v>29108.38</v>
          </cell>
          <cell r="S71" t="e">
            <v>#N/A</v>
          </cell>
          <cell r="T71" t="e">
            <v>#N/A</v>
          </cell>
          <cell r="U71" t="e">
            <v>#N/A</v>
          </cell>
          <cell r="V71" t="e">
            <v>#N/A</v>
          </cell>
          <cell r="W71" t="e">
            <v>#N/A</v>
          </cell>
          <cell r="X71" t="e">
            <v>#N/A</v>
          </cell>
          <cell r="Y71" t="e">
            <v>#N/A</v>
          </cell>
          <cell r="Z71" t="e">
            <v>#N/A</v>
          </cell>
        </row>
        <row r="72">
          <cell r="A72">
            <v>80</v>
          </cell>
          <cell r="B72">
            <v>52162.83</v>
          </cell>
          <cell r="C72">
            <v>29105.85</v>
          </cell>
          <cell r="O72" t="e">
            <v>#N/A</v>
          </cell>
          <cell r="P72" t="e">
            <v>#N/A</v>
          </cell>
          <cell r="Q72" t="e">
            <v>#N/A</v>
          </cell>
          <cell r="R72" t="e">
            <v>#N/A</v>
          </cell>
          <cell r="S72">
            <v>52162.6</v>
          </cell>
          <cell r="T72">
            <v>29105.71</v>
          </cell>
          <cell r="U72" t="e">
            <v>#N/A</v>
          </cell>
          <cell r="V72" t="e">
            <v>#N/A</v>
          </cell>
          <cell r="W72" t="e">
            <v>#N/A</v>
          </cell>
          <cell r="X72" t="e">
            <v>#N/A</v>
          </cell>
          <cell r="Y72" t="e">
            <v>#N/A</v>
          </cell>
          <cell r="Z72" t="e">
            <v>#N/A</v>
          </cell>
        </row>
        <row r="73">
          <cell r="A73">
            <v>81</v>
          </cell>
          <cell r="B73">
            <v>52156.89</v>
          </cell>
          <cell r="C73">
            <v>29103.200000000001</v>
          </cell>
          <cell r="O73" t="e">
            <v>#N/A</v>
          </cell>
          <cell r="P73" t="e">
            <v>#N/A</v>
          </cell>
          <cell r="Q73">
            <v>52156.84</v>
          </cell>
          <cell r="R73">
            <v>29103.040000000001</v>
          </cell>
          <cell r="S73" t="e">
            <v>#N/A</v>
          </cell>
          <cell r="T73" t="e">
            <v>#N/A</v>
          </cell>
          <cell r="U73" t="e">
            <v>#N/A</v>
          </cell>
          <cell r="V73" t="e">
            <v>#N/A</v>
          </cell>
          <cell r="W73" t="e">
            <v>#N/A</v>
          </cell>
          <cell r="X73" t="e">
            <v>#N/A</v>
          </cell>
          <cell r="Y73" t="e">
            <v>#N/A</v>
          </cell>
          <cell r="Z73" t="e">
            <v>#N/A</v>
          </cell>
        </row>
        <row r="74">
          <cell r="A74">
            <v>82</v>
          </cell>
          <cell r="B74">
            <v>52150.95</v>
          </cell>
          <cell r="C74">
            <v>29100.560000000001</v>
          </cell>
          <cell r="O74" t="e">
            <v>#N/A</v>
          </cell>
          <cell r="P74" t="e">
            <v>#N/A</v>
          </cell>
          <cell r="Q74" t="e">
            <v>#N/A</v>
          </cell>
          <cell r="R74" t="e">
            <v>#N/A</v>
          </cell>
          <cell r="S74">
            <v>52150.66</v>
          </cell>
          <cell r="T74">
            <v>29100.52</v>
          </cell>
          <cell r="U74" t="e">
            <v>#N/A</v>
          </cell>
          <cell r="V74" t="e">
            <v>#N/A</v>
          </cell>
          <cell r="W74" t="e">
            <v>#N/A</v>
          </cell>
          <cell r="X74" t="e">
            <v>#N/A</v>
          </cell>
          <cell r="Y74" t="e">
            <v>#N/A</v>
          </cell>
          <cell r="Z74" t="e">
            <v>#N/A</v>
          </cell>
        </row>
        <row r="75">
          <cell r="A75">
            <v>83</v>
          </cell>
          <cell r="B75">
            <v>52175.8</v>
          </cell>
          <cell r="C75">
            <v>29115.1</v>
          </cell>
          <cell r="O75" t="e">
            <v>#N/A</v>
          </cell>
          <cell r="P75" t="e">
            <v>#N/A</v>
          </cell>
          <cell r="Q75">
            <v>52175.77</v>
          </cell>
          <cell r="R75">
            <v>29114.92</v>
          </cell>
          <cell r="S75" t="e">
            <v>#N/A</v>
          </cell>
          <cell r="T75" t="e">
            <v>#N/A</v>
          </cell>
          <cell r="U75" t="e">
            <v>#N/A</v>
          </cell>
          <cell r="V75" t="e">
            <v>#N/A</v>
          </cell>
          <cell r="W75" t="e">
            <v>#N/A</v>
          </cell>
          <cell r="X75" t="e">
            <v>#N/A</v>
          </cell>
          <cell r="Y75" t="e">
            <v>#N/A</v>
          </cell>
          <cell r="Z75" t="e">
            <v>#N/A</v>
          </cell>
        </row>
        <row r="76">
          <cell r="A76">
            <v>84</v>
          </cell>
          <cell r="B76">
            <v>52169.46</v>
          </cell>
          <cell r="C76">
            <v>29114.93</v>
          </cell>
          <cell r="O76" t="e">
            <v>#N/A</v>
          </cell>
          <cell r="P76" t="e">
            <v>#N/A</v>
          </cell>
          <cell r="Q76">
            <v>52169.599999999999</v>
          </cell>
          <cell r="R76">
            <v>29114.84</v>
          </cell>
          <cell r="S76" t="e">
            <v>#N/A</v>
          </cell>
          <cell r="T76" t="e">
            <v>#N/A</v>
          </cell>
          <cell r="U76" t="e">
            <v>#N/A</v>
          </cell>
          <cell r="V76" t="e">
            <v>#N/A</v>
          </cell>
          <cell r="W76" t="e">
            <v>#N/A</v>
          </cell>
          <cell r="X76" t="e">
            <v>#N/A</v>
          </cell>
          <cell r="Y76" t="e">
            <v>#N/A</v>
          </cell>
          <cell r="Z76" t="e">
            <v>#N/A</v>
          </cell>
        </row>
        <row r="77">
          <cell r="A77">
            <v>85</v>
          </cell>
          <cell r="B77">
            <v>52163.519999999997</v>
          </cell>
          <cell r="C77">
            <v>29112.28</v>
          </cell>
          <cell r="O77" t="e">
            <v>#N/A</v>
          </cell>
          <cell r="P77" t="e">
            <v>#N/A</v>
          </cell>
          <cell r="Q77">
            <v>52163.41</v>
          </cell>
          <cell r="R77">
            <v>29112.32</v>
          </cell>
          <cell r="S77" t="e">
            <v>#N/A</v>
          </cell>
          <cell r="T77" t="e">
            <v>#N/A</v>
          </cell>
          <cell r="U77" t="e">
            <v>#N/A</v>
          </cell>
          <cell r="V77" t="e">
            <v>#N/A</v>
          </cell>
          <cell r="W77" t="e">
            <v>#N/A</v>
          </cell>
          <cell r="X77" t="e">
            <v>#N/A</v>
          </cell>
          <cell r="Y77" t="e">
            <v>#N/A</v>
          </cell>
          <cell r="Z77" t="e">
            <v>#N/A</v>
          </cell>
        </row>
        <row r="78">
          <cell r="A78">
            <v>86</v>
          </cell>
          <cell r="B78">
            <v>52157.58</v>
          </cell>
          <cell r="C78">
            <v>29109.64</v>
          </cell>
          <cell r="O78" t="e">
            <v>#N/A</v>
          </cell>
          <cell r="P78" t="e">
            <v>#N/A</v>
          </cell>
          <cell r="Q78" t="e">
            <v>#N/A</v>
          </cell>
          <cell r="R78" t="e">
            <v>#N/A</v>
          </cell>
          <cell r="S78">
            <v>52157.38</v>
          </cell>
          <cell r="T78">
            <v>29109.81</v>
          </cell>
          <cell r="U78" t="e">
            <v>#N/A</v>
          </cell>
          <cell r="V78" t="e">
            <v>#N/A</v>
          </cell>
          <cell r="W78" t="e">
            <v>#N/A</v>
          </cell>
          <cell r="X78" t="e">
            <v>#N/A</v>
          </cell>
          <cell r="Y78" t="e">
            <v>#N/A</v>
          </cell>
          <cell r="Z78" t="e">
            <v>#N/A</v>
          </cell>
        </row>
        <row r="79">
          <cell r="A79">
            <v>87</v>
          </cell>
          <cell r="B79">
            <v>52151.64</v>
          </cell>
          <cell r="C79">
            <v>29107</v>
          </cell>
          <cell r="O79" t="e">
            <v>#N/A</v>
          </cell>
          <cell r="P79" t="e">
            <v>#N/A</v>
          </cell>
          <cell r="Q79" t="e">
            <v>#N/A</v>
          </cell>
          <cell r="R79" t="e">
            <v>#N/A</v>
          </cell>
          <cell r="S79" t="e">
            <v>#N/A</v>
          </cell>
          <cell r="T79" t="e">
            <v>#N/A</v>
          </cell>
          <cell r="U79">
            <v>52151.44</v>
          </cell>
          <cell r="V79">
            <v>29107.27</v>
          </cell>
          <cell r="W79" t="e">
            <v>#N/A</v>
          </cell>
          <cell r="X79" t="e">
            <v>#N/A</v>
          </cell>
          <cell r="Y79" t="e">
            <v>#N/A</v>
          </cell>
          <cell r="Z79" t="e">
            <v>#N/A</v>
          </cell>
        </row>
        <row r="80">
          <cell r="A80">
            <v>88</v>
          </cell>
          <cell r="B80">
            <v>52145.71</v>
          </cell>
          <cell r="C80">
            <v>29104.35</v>
          </cell>
          <cell r="O80" t="e">
            <v>#N/A</v>
          </cell>
          <cell r="P80" t="e">
            <v>#N/A</v>
          </cell>
          <cell r="Q80">
            <v>52145.82</v>
          </cell>
          <cell r="R80">
            <v>29104.45</v>
          </cell>
          <cell r="S80" t="e">
            <v>#N/A</v>
          </cell>
          <cell r="T80" t="e">
            <v>#N/A</v>
          </cell>
          <cell r="U80" t="e">
            <v>#N/A</v>
          </cell>
          <cell r="V80" t="e">
            <v>#N/A</v>
          </cell>
          <cell r="W80" t="e">
            <v>#N/A</v>
          </cell>
          <cell r="X80" t="e">
            <v>#N/A</v>
          </cell>
          <cell r="Y80" t="e">
            <v>#N/A</v>
          </cell>
          <cell r="Z80" t="e">
            <v>#N/A</v>
          </cell>
        </row>
        <row r="81">
          <cell r="A81">
            <v>89</v>
          </cell>
          <cell r="B81">
            <v>52159.01</v>
          </cell>
          <cell r="C81">
            <v>29113.49</v>
          </cell>
          <cell r="O81" t="e">
            <v>#N/A</v>
          </cell>
          <cell r="P81" t="e">
            <v>#N/A</v>
          </cell>
          <cell r="Q81" t="e">
            <v>#N/A</v>
          </cell>
          <cell r="R81" t="e">
            <v>#N/A</v>
          </cell>
          <cell r="S81">
            <v>52158.8</v>
          </cell>
          <cell r="T81">
            <v>29113.439999999999</v>
          </cell>
          <cell r="U81" t="e">
            <v>#N/A</v>
          </cell>
          <cell r="V81" t="e">
            <v>#N/A</v>
          </cell>
          <cell r="W81" t="e">
            <v>#N/A</v>
          </cell>
          <cell r="X81" t="e">
            <v>#N/A</v>
          </cell>
          <cell r="Y81" t="e">
            <v>#N/A</v>
          </cell>
          <cell r="Z81" t="e">
            <v>#N/A</v>
          </cell>
        </row>
        <row r="82">
          <cell r="A82">
            <v>90</v>
          </cell>
          <cell r="B82">
            <v>52152.6</v>
          </cell>
          <cell r="C82">
            <v>29112.46</v>
          </cell>
          <cell r="O82" t="e">
            <v>#N/A</v>
          </cell>
          <cell r="P82" t="e">
            <v>#N/A</v>
          </cell>
          <cell r="Q82">
            <v>52152.51</v>
          </cell>
          <cell r="R82">
            <v>29112.39</v>
          </cell>
          <cell r="S82" t="e">
            <v>#N/A</v>
          </cell>
          <cell r="T82" t="e">
            <v>#N/A</v>
          </cell>
          <cell r="U82" t="e">
            <v>#N/A</v>
          </cell>
          <cell r="V82" t="e">
            <v>#N/A</v>
          </cell>
          <cell r="W82" t="e">
            <v>#N/A</v>
          </cell>
          <cell r="X82" t="e">
            <v>#N/A</v>
          </cell>
          <cell r="Y82" t="e">
            <v>#N/A</v>
          </cell>
          <cell r="Z82" t="e">
            <v>#N/A</v>
          </cell>
        </row>
        <row r="83">
          <cell r="A83">
            <v>91</v>
          </cell>
          <cell r="B83">
            <v>52146.400000000001</v>
          </cell>
          <cell r="C83">
            <v>29110.79</v>
          </cell>
          <cell r="O83" t="e">
            <v>#N/A</v>
          </cell>
          <cell r="P83" t="e">
            <v>#N/A</v>
          </cell>
          <cell r="Q83">
            <v>52146.26</v>
          </cell>
          <cell r="R83">
            <v>29110.78</v>
          </cell>
          <cell r="S83" t="e">
            <v>#N/A</v>
          </cell>
          <cell r="T83" t="e">
            <v>#N/A</v>
          </cell>
          <cell r="U83" t="e">
            <v>#N/A</v>
          </cell>
          <cell r="V83" t="e">
            <v>#N/A</v>
          </cell>
          <cell r="W83" t="e">
            <v>#N/A</v>
          </cell>
          <cell r="X83" t="e">
            <v>#N/A</v>
          </cell>
          <cell r="Y83" t="e">
            <v>#N/A</v>
          </cell>
          <cell r="Z83" t="e">
            <v>#N/A</v>
          </cell>
        </row>
        <row r="84">
          <cell r="A84">
            <v>92</v>
          </cell>
          <cell r="B84">
            <v>52153.43</v>
          </cell>
          <cell r="C84">
            <v>29071.01</v>
          </cell>
          <cell r="O84" t="e">
            <v>#N/A</v>
          </cell>
          <cell r="P84" t="e">
            <v>#N/A</v>
          </cell>
          <cell r="Q84">
            <v>52153.56</v>
          </cell>
          <cell r="R84">
            <v>29071.06</v>
          </cell>
          <cell r="S84" t="e">
            <v>#N/A</v>
          </cell>
          <cell r="T84" t="e">
            <v>#N/A</v>
          </cell>
          <cell r="U84" t="e">
            <v>#N/A</v>
          </cell>
          <cell r="V84" t="e">
            <v>#N/A</v>
          </cell>
          <cell r="W84" t="e">
            <v>#N/A</v>
          </cell>
          <cell r="X84" t="e">
            <v>#N/A</v>
          </cell>
          <cell r="Y84" t="e">
            <v>#N/A</v>
          </cell>
          <cell r="Z84" t="e">
            <v>#N/A</v>
          </cell>
        </row>
        <row r="85">
          <cell r="A85">
            <v>93</v>
          </cell>
          <cell r="B85">
            <v>52147.5</v>
          </cell>
          <cell r="C85">
            <v>29068.37</v>
          </cell>
          <cell r="O85" t="e">
            <v>#N/A</v>
          </cell>
          <cell r="P85" t="e">
            <v>#N/A</v>
          </cell>
          <cell r="Q85" t="e">
            <v>#N/A</v>
          </cell>
          <cell r="R85" t="e">
            <v>#N/A</v>
          </cell>
          <cell r="S85">
            <v>52147.66</v>
          </cell>
          <cell r="T85">
            <v>29068.5</v>
          </cell>
          <cell r="U85" t="e">
            <v>#N/A</v>
          </cell>
          <cell r="V85" t="e">
            <v>#N/A</v>
          </cell>
          <cell r="W85" t="e">
            <v>#N/A</v>
          </cell>
          <cell r="X85" t="e">
            <v>#N/A</v>
          </cell>
          <cell r="Y85" t="e">
            <v>#N/A</v>
          </cell>
          <cell r="Z85" t="e">
            <v>#N/A</v>
          </cell>
        </row>
        <row r="86">
          <cell r="A86">
            <v>94</v>
          </cell>
          <cell r="B86">
            <v>52141.56</v>
          </cell>
          <cell r="C86">
            <v>29065.73</v>
          </cell>
          <cell r="O86" t="e">
            <v>#N/A</v>
          </cell>
          <cell r="P86" t="e">
            <v>#N/A</v>
          </cell>
          <cell r="Q86" t="e">
            <v>#N/A</v>
          </cell>
          <cell r="R86" t="e">
            <v>#N/A</v>
          </cell>
          <cell r="S86" t="e">
            <v>#N/A</v>
          </cell>
          <cell r="T86" t="e">
            <v>#N/A</v>
          </cell>
          <cell r="U86" t="e">
            <v>#N/A</v>
          </cell>
          <cell r="V86" t="e">
            <v>#N/A</v>
          </cell>
          <cell r="W86">
            <v>52141.97</v>
          </cell>
          <cell r="X86">
            <v>29065.95</v>
          </cell>
          <cell r="Y86" t="e">
            <v>#N/A</v>
          </cell>
          <cell r="Z86" t="e">
            <v>#N/A</v>
          </cell>
        </row>
        <row r="87">
          <cell r="A87">
            <v>95</v>
          </cell>
          <cell r="B87">
            <v>52154.13</v>
          </cell>
          <cell r="C87">
            <v>29077.45</v>
          </cell>
          <cell r="O87" t="e">
            <v>#N/A</v>
          </cell>
          <cell r="P87" t="e">
            <v>#N/A</v>
          </cell>
          <cell r="Q87" t="e">
            <v>#N/A</v>
          </cell>
          <cell r="R87" t="e">
            <v>#N/A</v>
          </cell>
          <cell r="S87" t="e">
            <v>#N/A</v>
          </cell>
          <cell r="T87" t="e">
            <v>#N/A</v>
          </cell>
          <cell r="U87">
            <v>52153.760000000002</v>
          </cell>
          <cell r="V87">
            <v>29077.41</v>
          </cell>
          <cell r="W87" t="e">
            <v>#N/A</v>
          </cell>
          <cell r="X87" t="e">
            <v>#N/A</v>
          </cell>
          <cell r="Y87" t="e">
            <v>#N/A</v>
          </cell>
          <cell r="Z87" t="e">
            <v>#N/A</v>
          </cell>
        </row>
        <row r="88">
          <cell r="A88">
            <v>96</v>
          </cell>
          <cell r="B88">
            <v>52148.19</v>
          </cell>
          <cell r="C88">
            <v>29074.81</v>
          </cell>
          <cell r="O88" t="e">
            <v>#N/A</v>
          </cell>
          <cell r="P88" t="e">
            <v>#N/A</v>
          </cell>
          <cell r="Q88" t="e">
            <v>#N/A</v>
          </cell>
          <cell r="R88" t="e">
            <v>#N/A</v>
          </cell>
          <cell r="S88" t="e">
            <v>#N/A</v>
          </cell>
          <cell r="T88" t="e">
            <v>#N/A</v>
          </cell>
          <cell r="U88">
            <v>52147.99</v>
          </cell>
          <cell r="V88">
            <v>29075.09</v>
          </cell>
          <cell r="W88" t="e">
            <v>#N/A</v>
          </cell>
          <cell r="X88" t="e">
            <v>#N/A</v>
          </cell>
          <cell r="Y88" t="e">
            <v>#N/A</v>
          </cell>
          <cell r="Z88" t="e">
            <v>#N/A</v>
          </cell>
        </row>
        <row r="89">
          <cell r="A89">
            <v>97</v>
          </cell>
          <cell r="B89">
            <v>52142.25</v>
          </cell>
          <cell r="C89">
            <v>29072.16</v>
          </cell>
          <cell r="O89" t="e">
            <v>#N/A</v>
          </cell>
          <cell r="P89" t="e">
            <v>#N/A</v>
          </cell>
          <cell r="Q89" t="e">
            <v>#N/A</v>
          </cell>
          <cell r="R89" t="e">
            <v>#N/A</v>
          </cell>
          <cell r="S89">
            <v>52142.45</v>
          </cell>
          <cell r="T89">
            <v>29072.13</v>
          </cell>
          <cell r="U89" t="e">
            <v>#N/A</v>
          </cell>
          <cell r="V89" t="e">
            <v>#N/A</v>
          </cell>
          <cell r="W89" t="e">
            <v>#N/A</v>
          </cell>
          <cell r="X89" t="e">
            <v>#N/A</v>
          </cell>
          <cell r="Y89" t="e">
            <v>#N/A</v>
          </cell>
          <cell r="Z89" t="e">
            <v>#N/A</v>
          </cell>
        </row>
        <row r="90">
          <cell r="A90">
            <v>98</v>
          </cell>
          <cell r="B90">
            <v>52136.31</v>
          </cell>
          <cell r="C90">
            <v>29069.52</v>
          </cell>
          <cell r="O90" t="e">
            <v>#N/A</v>
          </cell>
          <cell r="P90" t="e">
            <v>#N/A</v>
          </cell>
          <cell r="Q90" t="e">
            <v>#N/A</v>
          </cell>
          <cell r="R90" t="e">
            <v>#N/A</v>
          </cell>
          <cell r="S90" t="e">
            <v>#N/A</v>
          </cell>
          <cell r="T90" t="e">
            <v>#N/A</v>
          </cell>
          <cell r="U90" t="e">
            <v>#N/A</v>
          </cell>
          <cell r="V90" t="e">
            <v>#N/A</v>
          </cell>
          <cell r="W90">
            <v>52136.75</v>
          </cell>
          <cell r="X90">
            <v>29069.48</v>
          </cell>
          <cell r="Y90" t="e">
            <v>#N/A</v>
          </cell>
          <cell r="Z90" t="e">
            <v>#N/A</v>
          </cell>
        </row>
        <row r="91">
          <cell r="A91">
            <v>99</v>
          </cell>
          <cell r="B91">
            <v>52148.88</v>
          </cell>
          <cell r="C91">
            <v>29081.24</v>
          </cell>
          <cell r="O91" t="e">
            <v>#N/A</v>
          </cell>
          <cell r="P91" t="e">
            <v>#N/A</v>
          </cell>
          <cell r="Q91">
            <v>52148.89</v>
          </cell>
          <cell r="R91">
            <v>29081.360000000001</v>
          </cell>
          <cell r="S91" t="e">
            <v>#N/A</v>
          </cell>
          <cell r="T91" t="e">
            <v>#N/A</v>
          </cell>
          <cell r="U91" t="e">
            <v>#N/A</v>
          </cell>
          <cell r="V91" t="e">
            <v>#N/A</v>
          </cell>
          <cell r="W91" t="e">
            <v>#N/A</v>
          </cell>
          <cell r="X91" t="e">
            <v>#N/A</v>
          </cell>
          <cell r="Y91" t="e">
            <v>#N/A</v>
          </cell>
          <cell r="Z91" t="e">
            <v>#N/A</v>
          </cell>
        </row>
        <row r="92">
          <cell r="A92">
            <v>100</v>
          </cell>
          <cell r="B92">
            <v>52142.94</v>
          </cell>
          <cell r="C92">
            <v>29078.6</v>
          </cell>
          <cell r="O92" t="e">
            <v>#N/A</v>
          </cell>
          <cell r="P92" t="e">
            <v>#N/A</v>
          </cell>
          <cell r="Q92" t="e">
            <v>#N/A</v>
          </cell>
          <cell r="R92" t="e">
            <v>#N/A</v>
          </cell>
          <cell r="S92" t="e">
            <v>#N/A</v>
          </cell>
          <cell r="T92" t="e">
            <v>#N/A</v>
          </cell>
          <cell r="U92" t="e">
            <v>#N/A</v>
          </cell>
          <cell r="V92" t="e">
            <v>#N/A</v>
          </cell>
          <cell r="W92" t="e">
            <v>#N/A</v>
          </cell>
          <cell r="X92" t="e">
            <v>#N/A</v>
          </cell>
          <cell r="Y92">
            <v>52143.38</v>
          </cell>
          <cell r="Z92">
            <v>29078.93</v>
          </cell>
        </row>
        <row r="93">
          <cell r="A93">
            <v>101</v>
          </cell>
          <cell r="B93">
            <v>52137</v>
          </cell>
          <cell r="C93">
            <v>29075.96</v>
          </cell>
          <cell r="O93" t="e">
            <v>#N/A</v>
          </cell>
          <cell r="P93" t="e">
            <v>#N/A</v>
          </cell>
          <cell r="Q93" t="e">
            <v>#N/A</v>
          </cell>
          <cell r="R93" t="e">
            <v>#N/A</v>
          </cell>
          <cell r="S93">
            <v>52137.09</v>
          </cell>
          <cell r="T93">
            <v>29076.240000000002</v>
          </cell>
          <cell r="U93" t="e">
            <v>#N/A</v>
          </cell>
          <cell r="V93" t="e">
            <v>#N/A</v>
          </cell>
          <cell r="W93" t="e">
            <v>#N/A</v>
          </cell>
          <cell r="X93" t="e">
            <v>#N/A</v>
          </cell>
          <cell r="Y93" t="e">
            <v>#N/A</v>
          </cell>
          <cell r="Z93" t="e">
            <v>#N/A</v>
          </cell>
        </row>
        <row r="94">
          <cell r="A94">
            <v>102</v>
          </cell>
          <cell r="B94">
            <v>52131.07</v>
          </cell>
          <cell r="C94">
            <v>29073.31</v>
          </cell>
          <cell r="O94" t="e">
            <v>#N/A</v>
          </cell>
          <cell r="P94" t="e">
            <v>#N/A</v>
          </cell>
          <cell r="Q94">
            <v>52130.99</v>
          </cell>
          <cell r="R94">
            <v>29073.439999999999</v>
          </cell>
          <cell r="S94" t="e">
            <v>#N/A</v>
          </cell>
          <cell r="T94" t="e">
            <v>#N/A</v>
          </cell>
          <cell r="U94" t="e">
            <v>#N/A</v>
          </cell>
          <cell r="V94" t="e">
            <v>#N/A</v>
          </cell>
          <cell r="W94" t="e">
            <v>#N/A</v>
          </cell>
          <cell r="X94" t="e">
            <v>#N/A</v>
          </cell>
          <cell r="Y94" t="e">
            <v>#N/A</v>
          </cell>
          <cell r="Z94" t="e">
            <v>#N/A</v>
          </cell>
        </row>
        <row r="95">
          <cell r="A95">
            <v>103</v>
          </cell>
          <cell r="B95">
            <v>52149.57</v>
          </cell>
          <cell r="C95">
            <v>29087.68</v>
          </cell>
          <cell r="O95" t="e">
            <v>#N/A</v>
          </cell>
          <cell r="P95" t="e">
            <v>#N/A</v>
          </cell>
          <cell r="Q95" t="e">
            <v>#N/A</v>
          </cell>
          <cell r="R95" t="e">
            <v>#N/A</v>
          </cell>
          <cell r="S95">
            <v>52149.4</v>
          </cell>
          <cell r="T95">
            <v>29087.47</v>
          </cell>
          <cell r="U95" t="e">
            <v>#N/A</v>
          </cell>
          <cell r="V95" t="e">
            <v>#N/A</v>
          </cell>
          <cell r="W95" t="e">
            <v>#N/A</v>
          </cell>
          <cell r="X95" t="e">
            <v>#N/A</v>
          </cell>
          <cell r="Y95" t="e">
            <v>#N/A</v>
          </cell>
          <cell r="Z95" t="e">
            <v>#N/A</v>
          </cell>
        </row>
        <row r="96">
          <cell r="A96">
            <v>104</v>
          </cell>
          <cell r="B96">
            <v>52143.63</v>
          </cell>
          <cell r="C96">
            <v>29085.040000000001</v>
          </cell>
          <cell r="O96" t="e">
            <v>#N/A</v>
          </cell>
          <cell r="P96" t="e">
            <v>#N/A</v>
          </cell>
          <cell r="Q96" t="e">
            <v>#N/A</v>
          </cell>
          <cell r="R96" t="e">
            <v>#N/A</v>
          </cell>
          <cell r="S96">
            <v>52143.54</v>
          </cell>
          <cell r="T96">
            <v>29085.3</v>
          </cell>
          <cell r="U96" t="e">
            <v>#N/A</v>
          </cell>
          <cell r="V96" t="e">
            <v>#N/A</v>
          </cell>
          <cell r="W96" t="e">
            <v>#N/A</v>
          </cell>
          <cell r="X96" t="e">
            <v>#N/A</v>
          </cell>
          <cell r="Y96" t="e">
            <v>#N/A</v>
          </cell>
          <cell r="Z96" t="e">
            <v>#N/A</v>
          </cell>
        </row>
        <row r="97">
          <cell r="A97">
            <v>105</v>
          </cell>
          <cell r="B97">
            <v>52137.69</v>
          </cell>
          <cell r="C97">
            <v>29082.400000000001</v>
          </cell>
          <cell r="O97" t="e">
            <v>#N/A</v>
          </cell>
          <cell r="P97" t="e">
            <v>#N/A</v>
          </cell>
          <cell r="Q97" t="e">
            <v>#N/A</v>
          </cell>
          <cell r="R97" t="e">
            <v>#N/A</v>
          </cell>
          <cell r="S97" t="e">
            <v>#N/A</v>
          </cell>
          <cell r="T97" t="e">
            <v>#N/A</v>
          </cell>
          <cell r="U97" t="e">
            <v>#N/A</v>
          </cell>
          <cell r="V97" t="e">
            <v>#N/A</v>
          </cell>
          <cell r="W97">
            <v>52138.09</v>
          </cell>
          <cell r="X97">
            <v>29082.560000000001</v>
          </cell>
          <cell r="Y97" t="e">
            <v>#N/A</v>
          </cell>
          <cell r="Z97" t="e">
            <v>#N/A</v>
          </cell>
        </row>
        <row r="98">
          <cell r="A98">
            <v>106</v>
          </cell>
          <cell r="B98">
            <v>52131.76</v>
          </cell>
          <cell r="C98">
            <v>29079.75</v>
          </cell>
          <cell r="O98" t="e">
            <v>#N/A</v>
          </cell>
          <cell r="P98" t="e">
            <v>#N/A</v>
          </cell>
          <cell r="Q98">
            <v>52131.78</v>
          </cell>
          <cell r="R98">
            <v>29079.87</v>
          </cell>
          <cell r="S98" t="e">
            <v>#N/A</v>
          </cell>
          <cell r="T98" t="e">
            <v>#N/A</v>
          </cell>
          <cell r="U98" t="e">
            <v>#N/A</v>
          </cell>
          <cell r="V98" t="e">
            <v>#N/A</v>
          </cell>
          <cell r="W98" t="e">
            <v>#N/A</v>
          </cell>
          <cell r="X98" t="e">
            <v>#N/A</v>
          </cell>
          <cell r="Y98" t="e">
            <v>#N/A</v>
          </cell>
          <cell r="Z98" t="e">
            <v>#N/A</v>
          </cell>
        </row>
        <row r="99">
          <cell r="A99">
            <v>107</v>
          </cell>
          <cell r="B99">
            <v>52125.82</v>
          </cell>
          <cell r="C99">
            <v>29077.11</v>
          </cell>
          <cell r="O99" t="e">
            <v>#N/A</v>
          </cell>
          <cell r="P99" t="e">
            <v>#N/A</v>
          </cell>
          <cell r="Q99">
            <v>52125.71</v>
          </cell>
          <cell r="R99">
            <v>29077.09</v>
          </cell>
          <cell r="S99" t="e">
            <v>#N/A</v>
          </cell>
          <cell r="T99" t="e">
            <v>#N/A</v>
          </cell>
          <cell r="U99" t="e">
            <v>#N/A</v>
          </cell>
          <cell r="V99" t="e">
            <v>#N/A</v>
          </cell>
          <cell r="W99" t="e">
            <v>#N/A</v>
          </cell>
          <cell r="X99" t="e">
            <v>#N/A</v>
          </cell>
          <cell r="Y99" t="e">
            <v>#N/A</v>
          </cell>
          <cell r="Z99" t="e">
            <v>#N/A</v>
          </cell>
        </row>
        <row r="100">
          <cell r="A100">
            <v>108</v>
          </cell>
          <cell r="B100">
            <v>52144.32</v>
          </cell>
          <cell r="C100">
            <v>29091.48</v>
          </cell>
          <cell r="O100">
            <v>52144.38</v>
          </cell>
          <cell r="P100">
            <v>29091.45</v>
          </cell>
          <cell r="Q100" t="e">
            <v>#N/A</v>
          </cell>
          <cell r="R100" t="e">
            <v>#N/A</v>
          </cell>
          <cell r="S100" t="e">
            <v>#N/A</v>
          </cell>
          <cell r="T100" t="e">
            <v>#N/A</v>
          </cell>
          <cell r="U100" t="e">
            <v>#N/A</v>
          </cell>
          <cell r="V100" t="e">
            <v>#N/A</v>
          </cell>
          <cell r="W100" t="e">
            <v>#N/A</v>
          </cell>
          <cell r="X100" t="e">
            <v>#N/A</v>
          </cell>
          <cell r="Y100" t="e">
            <v>#N/A</v>
          </cell>
          <cell r="Z100" t="e">
            <v>#N/A</v>
          </cell>
        </row>
        <row r="101">
          <cell r="A101">
            <v>109</v>
          </cell>
          <cell r="B101">
            <v>52138.39</v>
          </cell>
          <cell r="C101">
            <v>29088.83</v>
          </cell>
          <cell r="O101" t="e">
            <v>#N/A</v>
          </cell>
          <cell r="P101" t="e">
            <v>#N/A</v>
          </cell>
          <cell r="Q101" t="e">
            <v>#N/A</v>
          </cell>
          <cell r="R101" t="e">
            <v>#N/A</v>
          </cell>
          <cell r="S101">
            <v>52138.400000000001</v>
          </cell>
          <cell r="T101">
            <v>29088.62</v>
          </cell>
          <cell r="U101" t="e">
            <v>#N/A</v>
          </cell>
          <cell r="V101" t="e">
            <v>#N/A</v>
          </cell>
          <cell r="W101" t="e">
            <v>#N/A</v>
          </cell>
          <cell r="X101" t="e">
            <v>#N/A</v>
          </cell>
          <cell r="Y101" t="e">
            <v>#N/A</v>
          </cell>
          <cell r="Z101" t="e">
            <v>#N/A</v>
          </cell>
        </row>
        <row r="102">
          <cell r="A102">
            <v>110</v>
          </cell>
          <cell r="B102">
            <v>52132.45</v>
          </cell>
          <cell r="C102">
            <v>29086.19</v>
          </cell>
          <cell r="O102" t="e">
            <v>#N/A</v>
          </cell>
          <cell r="P102" t="e">
            <v>#N/A</v>
          </cell>
          <cell r="Q102" t="e">
            <v>#N/A</v>
          </cell>
          <cell r="R102" t="e">
            <v>#N/A</v>
          </cell>
          <cell r="S102">
            <v>52132.66</v>
          </cell>
          <cell r="T102">
            <v>29086.2</v>
          </cell>
          <cell r="U102" t="e">
            <v>#N/A</v>
          </cell>
          <cell r="V102" t="e">
            <v>#N/A</v>
          </cell>
          <cell r="W102" t="e">
            <v>#N/A</v>
          </cell>
          <cell r="X102" t="e">
            <v>#N/A</v>
          </cell>
          <cell r="Y102" t="e">
            <v>#N/A</v>
          </cell>
          <cell r="Z102" t="e">
            <v>#N/A</v>
          </cell>
        </row>
        <row r="103">
          <cell r="A103">
            <v>111</v>
          </cell>
          <cell r="B103">
            <v>52126.51</v>
          </cell>
          <cell r="C103">
            <v>29083.55</v>
          </cell>
          <cell r="O103" t="e">
            <v>#N/A</v>
          </cell>
          <cell r="P103" t="e">
            <v>#N/A</v>
          </cell>
          <cell r="Q103" t="e">
            <v>#N/A</v>
          </cell>
          <cell r="R103" t="e">
            <v>#N/A</v>
          </cell>
          <cell r="S103" t="e">
            <v>#N/A</v>
          </cell>
          <cell r="T103" t="e">
            <v>#N/A</v>
          </cell>
          <cell r="U103" t="e">
            <v>#N/A</v>
          </cell>
          <cell r="V103" t="e">
            <v>#N/A</v>
          </cell>
          <cell r="W103" t="e">
            <v>#N/A</v>
          </cell>
          <cell r="X103" t="e">
            <v>#N/A</v>
          </cell>
          <cell r="Y103">
            <v>52127</v>
          </cell>
          <cell r="Z103">
            <v>29083.82</v>
          </cell>
        </row>
        <row r="104">
          <cell r="A104">
            <v>112</v>
          </cell>
          <cell r="B104">
            <v>52120.57</v>
          </cell>
          <cell r="C104">
            <v>29080.9</v>
          </cell>
          <cell r="O104" t="e">
            <v>#N/A</v>
          </cell>
          <cell r="P104" t="e">
            <v>#N/A</v>
          </cell>
          <cell r="Q104" t="e">
            <v>#N/A</v>
          </cell>
          <cell r="R104" t="e">
            <v>#N/A</v>
          </cell>
          <cell r="S104">
            <v>52120.37</v>
          </cell>
          <cell r="T104">
            <v>29080.94</v>
          </cell>
          <cell r="U104" t="e">
            <v>#N/A</v>
          </cell>
          <cell r="V104" t="e">
            <v>#N/A</v>
          </cell>
          <cell r="W104" t="e">
            <v>#N/A</v>
          </cell>
          <cell r="X104" t="e">
            <v>#N/A</v>
          </cell>
          <cell r="Y104" t="e">
            <v>#N/A</v>
          </cell>
          <cell r="Z104" t="e">
            <v>#N/A</v>
          </cell>
        </row>
        <row r="105">
          <cell r="A105">
            <v>113</v>
          </cell>
          <cell r="B105">
            <v>52145.02</v>
          </cell>
          <cell r="C105">
            <v>29097.91</v>
          </cell>
          <cell r="O105" t="e">
            <v>#N/A</v>
          </cell>
          <cell r="P105" t="e">
            <v>#N/A</v>
          </cell>
          <cell r="Q105" t="e">
            <v>#N/A</v>
          </cell>
          <cell r="R105" t="e">
            <v>#N/A</v>
          </cell>
          <cell r="S105" t="e">
            <v>#N/A</v>
          </cell>
          <cell r="T105" t="e">
            <v>#N/A</v>
          </cell>
          <cell r="U105" t="e">
            <v>#N/A</v>
          </cell>
          <cell r="V105" t="e">
            <v>#N/A</v>
          </cell>
          <cell r="W105">
            <v>52144.58</v>
          </cell>
          <cell r="X105">
            <v>29098.01</v>
          </cell>
          <cell r="Y105" t="e">
            <v>#N/A</v>
          </cell>
          <cell r="Z105" t="e">
            <v>#N/A</v>
          </cell>
        </row>
        <row r="106">
          <cell r="A106">
            <v>114</v>
          </cell>
          <cell r="B106">
            <v>52139.08</v>
          </cell>
          <cell r="C106">
            <v>29095.27</v>
          </cell>
          <cell r="O106" t="e">
            <v>#N/A</v>
          </cell>
          <cell r="P106" t="e">
            <v>#N/A</v>
          </cell>
          <cell r="Q106" t="e">
            <v>#N/A</v>
          </cell>
          <cell r="R106" t="e">
            <v>#N/A</v>
          </cell>
          <cell r="S106">
            <v>52138.86</v>
          </cell>
          <cell r="T106">
            <v>29095.38</v>
          </cell>
          <cell r="U106" t="e">
            <v>#N/A</v>
          </cell>
          <cell r="V106" t="e">
            <v>#N/A</v>
          </cell>
          <cell r="W106" t="e">
            <v>#N/A</v>
          </cell>
          <cell r="X106" t="e">
            <v>#N/A</v>
          </cell>
          <cell r="Y106" t="e">
            <v>#N/A</v>
          </cell>
          <cell r="Z106" t="e">
            <v>#N/A</v>
          </cell>
        </row>
        <row r="107">
          <cell r="A107">
            <v>115</v>
          </cell>
          <cell r="B107">
            <v>52133.14</v>
          </cell>
          <cell r="C107">
            <v>29092.63</v>
          </cell>
          <cell r="O107" t="e">
            <v>#N/A</v>
          </cell>
          <cell r="P107" t="e">
            <v>#N/A</v>
          </cell>
          <cell r="Q107" t="e">
            <v>#N/A</v>
          </cell>
          <cell r="R107" t="e">
            <v>#N/A</v>
          </cell>
          <cell r="S107">
            <v>52133.18</v>
          </cell>
          <cell r="T107">
            <v>29092.84</v>
          </cell>
          <cell r="U107" t="e">
            <v>#N/A</v>
          </cell>
          <cell r="V107" t="e">
            <v>#N/A</v>
          </cell>
          <cell r="W107" t="e">
            <v>#N/A</v>
          </cell>
          <cell r="X107" t="e">
            <v>#N/A</v>
          </cell>
          <cell r="Y107" t="e">
            <v>#N/A</v>
          </cell>
          <cell r="Z107" t="e">
            <v>#N/A</v>
          </cell>
        </row>
        <row r="108">
          <cell r="A108">
            <v>116</v>
          </cell>
          <cell r="B108">
            <v>52127.199999999997</v>
          </cell>
          <cell r="C108">
            <v>29089.98</v>
          </cell>
          <cell r="O108" t="e">
            <v>#N/A</v>
          </cell>
          <cell r="P108" t="e">
            <v>#N/A</v>
          </cell>
          <cell r="Q108" t="e">
            <v>#N/A</v>
          </cell>
          <cell r="R108" t="e">
            <v>#N/A</v>
          </cell>
          <cell r="S108">
            <v>52127.41</v>
          </cell>
          <cell r="T108">
            <v>29089.95</v>
          </cell>
          <cell r="U108" t="e">
            <v>#N/A</v>
          </cell>
          <cell r="V108" t="e">
            <v>#N/A</v>
          </cell>
          <cell r="W108" t="e">
            <v>#N/A</v>
          </cell>
          <cell r="X108" t="e">
            <v>#N/A</v>
          </cell>
          <cell r="Y108" t="e">
            <v>#N/A</v>
          </cell>
          <cell r="Z108" t="e">
            <v>#N/A</v>
          </cell>
        </row>
        <row r="109">
          <cell r="A109">
            <v>117</v>
          </cell>
          <cell r="B109">
            <v>52121.26</v>
          </cell>
          <cell r="C109">
            <v>29087.34</v>
          </cell>
          <cell r="O109" t="e">
            <v>#N/A</v>
          </cell>
          <cell r="P109" t="e">
            <v>#N/A</v>
          </cell>
          <cell r="Q109" t="e">
            <v>#N/A</v>
          </cell>
          <cell r="R109" t="e">
            <v>#N/A</v>
          </cell>
          <cell r="S109">
            <v>52121.46</v>
          </cell>
          <cell r="T109">
            <v>29087.25</v>
          </cell>
          <cell r="U109" t="e">
            <v>#N/A</v>
          </cell>
          <cell r="V109" t="e">
            <v>#N/A</v>
          </cell>
          <cell r="W109" t="e">
            <v>#N/A</v>
          </cell>
          <cell r="X109" t="e">
            <v>#N/A</v>
          </cell>
          <cell r="Y109" t="e">
            <v>#N/A</v>
          </cell>
          <cell r="Z109" t="e">
            <v>#N/A</v>
          </cell>
        </row>
        <row r="110">
          <cell r="A110">
            <v>118</v>
          </cell>
          <cell r="B110">
            <v>52139.77</v>
          </cell>
          <cell r="C110">
            <v>29101.71</v>
          </cell>
          <cell r="O110" t="e">
            <v>#N/A</v>
          </cell>
          <cell r="P110" t="e">
            <v>#N/A</v>
          </cell>
          <cell r="Q110" t="e">
            <v>#N/A</v>
          </cell>
          <cell r="R110" t="e">
            <v>#N/A</v>
          </cell>
          <cell r="S110">
            <v>52139.82</v>
          </cell>
          <cell r="T110">
            <v>29101.98</v>
          </cell>
          <cell r="U110" t="e">
            <v>#N/A</v>
          </cell>
          <cell r="V110" t="e">
            <v>#N/A</v>
          </cell>
          <cell r="W110" t="e">
            <v>#N/A</v>
          </cell>
          <cell r="X110" t="e">
            <v>#N/A</v>
          </cell>
          <cell r="Y110" t="e">
            <v>#N/A</v>
          </cell>
          <cell r="Z110" t="e">
            <v>#N/A</v>
          </cell>
        </row>
        <row r="111">
          <cell r="A111">
            <v>119</v>
          </cell>
          <cell r="B111">
            <v>52133.83</v>
          </cell>
          <cell r="C111">
            <v>29099.06</v>
          </cell>
          <cell r="O111" t="e">
            <v>#N/A</v>
          </cell>
          <cell r="P111" t="e">
            <v>#N/A</v>
          </cell>
          <cell r="Q111">
            <v>52133.72</v>
          </cell>
          <cell r="R111">
            <v>29098.93</v>
          </cell>
          <cell r="S111" t="e">
            <v>#N/A</v>
          </cell>
          <cell r="T111" t="e">
            <v>#N/A</v>
          </cell>
          <cell r="U111" t="e">
            <v>#N/A</v>
          </cell>
          <cell r="V111" t="e">
            <v>#N/A</v>
          </cell>
          <cell r="W111" t="e">
            <v>#N/A</v>
          </cell>
          <cell r="X111" t="e">
            <v>#N/A</v>
          </cell>
          <cell r="Y111" t="e">
            <v>#N/A</v>
          </cell>
          <cell r="Z111" t="e">
            <v>#N/A</v>
          </cell>
        </row>
        <row r="112">
          <cell r="A112">
            <v>120</v>
          </cell>
          <cell r="B112">
            <v>52127.89</v>
          </cell>
          <cell r="C112">
            <v>29096.42</v>
          </cell>
          <cell r="O112" t="e">
            <v>#N/A</v>
          </cell>
          <cell r="P112" t="e">
            <v>#N/A</v>
          </cell>
          <cell r="Q112">
            <v>52128.01</v>
          </cell>
          <cell r="R112">
            <v>29096.39</v>
          </cell>
          <cell r="S112" t="e">
            <v>#N/A</v>
          </cell>
          <cell r="T112" t="e">
            <v>#N/A</v>
          </cell>
          <cell r="U112" t="e">
            <v>#N/A</v>
          </cell>
          <cell r="V112" t="e">
            <v>#N/A</v>
          </cell>
          <cell r="W112" t="e">
            <v>#N/A</v>
          </cell>
          <cell r="X112" t="e">
            <v>#N/A</v>
          </cell>
          <cell r="Y112" t="e">
            <v>#N/A</v>
          </cell>
          <cell r="Z112" t="e">
            <v>#N/A</v>
          </cell>
        </row>
        <row r="113">
          <cell r="A113">
            <v>121</v>
          </cell>
          <cell r="B113">
            <v>52140.46</v>
          </cell>
          <cell r="C113">
            <v>29108.15</v>
          </cell>
          <cell r="O113" t="e">
            <v>#N/A</v>
          </cell>
          <cell r="P113" t="e">
            <v>#N/A</v>
          </cell>
          <cell r="Q113">
            <v>52140.36</v>
          </cell>
          <cell r="R113">
            <v>29108.14</v>
          </cell>
          <cell r="S113" t="e">
            <v>#N/A</v>
          </cell>
          <cell r="T113" t="e">
            <v>#N/A</v>
          </cell>
          <cell r="U113" t="e">
            <v>#N/A</v>
          </cell>
          <cell r="V113" t="e">
            <v>#N/A</v>
          </cell>
          <cell r="W113" t="e">
            <v>#N/A</v>
          </cell>
          <cell r="X113" t="e">
            <v>#N/A</v>
          </cell>
          <cell r="Y113" t="e">
            <v>#N/A</v>
          </cell>
          <cell r="Z113" t="e">
            <v>#N/A</v>
          </cell>
        </row>
        <row r="114">
          <cell r="A114">
            <v>122</v>
          </cell>
          <cell r="B114">
            <v>52134.9</v>
          </cell>
          <cell r="C114">
            <v>29104.69</v>
          </cell>
          <cell r="O114" t="e">
            <v>#N/A</v>
          </cell>
          <cell r="P114" t="e">
            <v>#N/A</v>
          </cell>
          <cell r="Q114" t="e">
            <v>#N/A</v>
          </cell>
          <cell r="R114" t="e">
            <v>#N/A</v>
          </cell>
          <cell r="S114" t="e">
            <v>#N/A</v>
          </cell>
          <cell r="T114" t="e">
            <v>#N/A</v>
          </cell>
          <cell r="U114">
            <v>52135.23</v>
          </cell>
          <cell r="V114">
            <v>29104.77</v>
          </cell>
          <cell r="W114" t="e">
            <v>#N/A</v>
          </cell>
          <cell r="X114" t="e">
            <v>#N/A</v>
          </cell>
          <cell r="Y114" t="e">
            <v>#N/A</v>
          </cell>
          <cell r="Z114" t="e">
            <v>#N/A</v>
          </cell>
        </row>
        <row r="115">
          <cell r="A115">
            <v>128</v>
          </cell>
          <cell r="B115">
            <v>52148.72</v>
          </cell>
          <cell r="C115">
            <v>29042.91</v>
          </cell>
          <cell r="O115" t="e">
            <v>#N/A</v>
          </cell>
          <cell r="P115" t="e">
            <v>#N/A</v>
          </cell>
          <cell r="Q115">
            <v>52148.79</v>
          </cell>
          <cell r="R115">
            <v>29042.76</v>
          </cell>
          <cell r="S115" t="e">
            <v>#N/A</v>
          </cell>
          <cell r="T115" t="e">
            <v>#N/A</v>
          </cell>
          <cell r="U115" t="e">
            <v>#N/A</v>
          </cell>
          <cell r="V115" t="e">
            <v>#N/A</v>
          </cell>
          <cell r="W115" t="e">
            <v>#N/A</v>
          </cell>
          <cell r="X115" t="e">
            <v>#N/A</v>
          </cell>
          <cell r="Y115" t="e">
            <v>#N/A</v>
          </cell>
          <cell r="Z115" t="e">
            <v>#N/A</v>
          </cell>
        </row>
        <row r="116">
          <cell r="A116">
            <v>131</v>
          </cell>
          <cell r="B116">
            <v>52142.55</v>
          </cell>
          <cell r="C116">
            <v>29035.48</v>
          </cell>
          <cell r="O116" t="e">
            <v>#N/A</v>
          </cell>
          <cell r="P116" t="e">
            <v>#N/A</v>
          </cell>
          <cell r="Q116" t="e">
            <v>#N/A</v>
          </cell>
          <cell r="R116" t="e">
            <v>#N/A</v>
          </cell>
          <cell r="S116">
            <v>52142.29</v>
          </cell>
          <cell r="T116">
            <v>29035.58</v>
          </cell>
          <cell r="U116" t="e">
            <v>#N/A</v>
          </cell>
          <cell r="V116" t="e">
            <v>#N/A</v>
          </cell>
          <cell r="W116" t="e">
            <v>#N/A</v>
          </cell>
          <cell r="X116" t="e">
            <v>#N/A</v>
          </cell>
          <cell r="Y116" t="e">
            <v>#N/A</v>
          </cell>
          <cell r="Z116" t="e">
            <v>#N/A</v>
          </cell>
        </row>
        <row r="117">
          <cell r="A117">
            <v>132</v>
          </cell>
          <cell r="B117">
            <v>52140.23</v>
          </cell>
          <cell r="C117">
            <v>29033.79</v>
          </cell>
          <cell r="O117" t="e">
            <v>#N/A</v>
          </cell>
          <cell r="P117" t="e">
            <v>#N/A</v>
          </cell>
          <cell r="Q117" t="e">
            <v>#N/A</v>
          </cell>
          <cell r="R117" t="e">
            <v>#N/A</v>
          </cell>
          <cell r="S117">
            <v>52140</v>
          </cell>
          <cell r="T117">
            <v>29033.89</v>
          </cell>
          <cell r="U117" t="e">
            <v>#N/A</v>
          </cell>
          <cell r="V117" t="e">
            <v>#N/A</v>
          </cell>
          <cell r="W117" t="e">
            <v>#N/A</v>
          </cell>
          <cell r="X117" t="e">
            <v>#N/A</v>
          </cell>
          <cell r="Y117" t="e">
            <v>#N/A</v>
          </cell>
          <cell r="Z117" t="e">
            <v>#N/A</v>
          </cell>
        </row>
        <row r="118">
          <cell r="A118">
            <v>134</v>
          </cell>
          <cell r="B118">
            <v>52134.76</v>
          </cell>
          <cell r="C118">
            <v>29026.07</v>
          </cell>
          <cell r="O118" t="e">
            <v>#N/A</v>
          </cell>
          <cell r="P118" t="e">
            <v>#N/A</v>
          </cell>
          <cell r="Q118" t="e">
            <v>#N/A</v>
          </cell>
          <cell r="R118" t="e">
            <v>#N/A</v>
          </cell>
          <cell r="S118">
            <v>52134.85</v>
          </cell>
          <cell r="T118">
            <v>29026.3</v>
          </cell>
          <cell r="U118" t="e">
            <v>#N/A</v>
          </cell>
          <cell r="V118" t="e">
            <v>#N/A</v>
          </cell>
          <cell r="W118" t="e">
            <v>#N/A</v>
          </cell>
          <cell r="X118" t="e">
            <v>#N/A</v>
          </cell>
          <cell r="Y118" t="e">
            <v>#N/A</v>
          </cell>
          <cell r="Z118" t="e">
            <v>#N/A</v>
          </cell>
        </row>
        <row r="119">
          <cell r="A119">
            <v>135</v>
          </cell>
          <cell r="B119">
            <v>52133.49</v>
          </cell>
          <cell r="C119">
            <v>29019.94</v>
          </cell>
          <cell r="O119" t="e">
            <v>#N/A</v>
          </cell>
          <cell r="P119" t="e">
            <v>#N/A</v>
          </cell>
          <cell r="Q119">
            <v>52133.37</v>
          </cell>
          <cell r="R119">
            <v>29020.04</v>
          </cell>
          <cell r="S119" t="e">
            <v>#N/A</v>
          </cell>
          <cell r="T119" t="e">
            <v>#N/A</v>
          </cell>
          <cell r="U119" t="e">
            <v>#N/A</v>
          </cell>
          <cell r="V119" t="e">
            <v>#N/A</v>
          </cell>
          <cell r="W119" t="e">
            <v>#N/A</v>
          </cell>
          <cell r="X119" t="e">
            <v>#N/A</v>
          </cell>
          <cell r="Y119" t="e">
            <v>#N/A</v>
          </cell>
          <cell r="Z119" t="e">
            <v>#N/A</v>
          </cell>
        </row>
        <row r="120">
          <cell r="A120">
            <v>136</v>
          </cell>
          <cell r="B120">
            <v>52130.94</v>
          </cell>
          <cell r="C120">
            <v>29018.07</v>
          </cell>
          <cell r="O120" t="e">
            <v>#N/A</v>
          </cell>
          <cell r="P120" t="e">
            <v>#N/A</v>
          </cell>
          <cell r="Q120" t="e">
            <v>#N/A</v>
          </cell>
          <cell r="R120" t="e">
            <v>#N/A</v>
          </cell>
          <cell r="S120" t="e">
            <v>#N/A</v>
          </cell>
          <cell r="T120" t="e">
            <v>#N/A</v>
          </cell>
          <cell r="U120">
            <v>52130.97</v>
          </cell>
          <cell r="V120">
            <v>29018.42</v>
          </cell>
          <cell r="W120" t="e">
            <v>#N/A</v>
          </cell>
          <cell r="X120" t="e">
            <v>#N/A</v>
          </cell>
          <cell r="Y120" t="e">
            <v>#N/A</v>
          </cell>
          <cell r="Z120" t="e">
            <v>#N/A</v>
          </cell>
        </row>
        <row r="121">
          <cell r="A121">
            <v>139</v>
          </cell>
          <cell r="B121">
            <v>52119.45</v>
          </cell>
          <cell r="C121">
            <v>29007.81</v>
          </cell>
          <cell r="O121" t="e">
            <v>#N/A</v>
          </cell>
          <cell r="P121" t="e">
            <v>#N/A</v>
          </cell>
          <cell r="Q121" t="e">
            <v>#N/A</v>
          </cell>
          <cell r="R121" t="e">
            <v>#N/A</v>
          </cell>
          <cell r="S121">
            <v>52119.58</v>
          </cell>
          <cell r="T121">
            <v>29008</v>
          </cell>
          <cell r="U121" t="e">
            <v>#N/A</v>
          </cell>
          <cell r="V121" t="e">
            <v>#N/A</v>
          </cell>
          <cell r="W121" t="e">
            <v>#N/A</v>
          </cell>
          <cell r="X121" t="e">
            <v>#N/A</v>
          </cell>
          <cell r="Y121" t="e">
            <v>#N/A</v>
          </cell>
          <cell r="Z121" t="e">
            <v>#N/A</v>
          </cell>
        </row>
        <row r="122">
          <cell r="A122">
            <v>140</v>
          </cell>
          <cell r="B122">
            <v>52117.01</v>
          </cell>
          <cell r="C122">
            <v>29006.26</v>
          </cell>
          <cell r="O122" t="e">
            <v>#N/A</v>
          </cell>
          <cell r="P122" t="e">
            <v>#N/A</v>
          </cell>
          <cell r="Q122" t="e">
            <v>#N/A</v>
          </cell>
          <cell r="R122" t="e">
            <v>#N/A</v>
          </cell>
          <cell r="S122" t="e">
            <v>#N/A</v>
          </cell>
          <cell r="T122" t="e">
            <v>#N/A</v>
          </cell>
          <cell r="U122">
            <v>52116.94</v>
          </cell>
          <cell r="V122">
            <v>29006.61</v>
          </cell>
          <cell r="W122" t="e">
            <v>#N/A</v>
          </cell>
          <cell r="X122" t="e">
            <v>#N/A</v>
          </cell>
          <cell r="Y122" t="e">
            <v>#N/A</v>
          </cell>
          <cell r="Z122" t="e">
            <v>#N/A</v>
          </cell>
        </row>
        <row r="123">
          <cell r="A123">
            <v>142</v>
          </cell>
          <cell r="B123">
            <v>52107.77</v>
          </cell>
          <cell r="C123">
            <v>29000.97</v>
          </cell>
          <cell r="O123" t="e">
            <v>#N/A</v>
          </cell>
          <cell r="P123" t="e">
            <v>#N/A</v>
          </cell>
          <cell r="Q123" t="e">
            <v>#N/A</v>
          </cell>
          <cell r="R123" t="e">
            <v>#N/A</v>
          </cell>
          <cell r="S123">
            <v>52107.92</v>
          </cell>
          <cell r="T123">
            <v>29000.77</v>
          </cell>
          <cell r="U123" t="e">
            <v>#N/A</v>
          </cell>
          <cell r="V123" t="e">
            <v>#N/A</v>
          </cell>
          <cell r="W123" t="e">
            <v>#N/A</v>
          </cell>
          <cell r="X123" t="e">
            <v>#N/A</v>
          </cell>
          <cell r="Y123" t="e">
            <v>#N/A</v>
          </cell>
          <cell r="Z123" t="e">
            <v>#N/A</v>
          </cell>
        </row>
        <row r="124">
          <cell r="A124">
            <v>143</v>
          </cell>
          <cell r="B124">
            <v>52102.1</v>
          </cell>
          <cell r="C124">
            <v>28999.93</v>
          </cell>
          <cell r="O124" t="e">
            <v>#N/A</v>
          </cell>
          <cell r="P124" t="e">
            <v>#N/A</v>
          </cell>
          <cell r="Q124">
            <v>52102.03</v>
          </cell>
          <cell r="R124">
            <v>29000.09</v>
          </cell>
          <cell r="S124" t="e">
            <v>#N/A</v>
          </cell>
          <cell r="T124" t="e">
            <v>#N/A</v>
          </cell>
          <cell r="U124" t="e">
            <v>#N/A</v>
          </cell>
          <cell r="V124" t="e">
            <v>#N/A</v>
          </cell>
          <cell r="W124" t="e">
            <v>#N/A</v>
          </cell>
          <cell r="X124" t="e">
            <v>#N/A</v>
          </cell>
          <cell r="Y124" t="e">
            <v>#N/A</v>
          </cell>
          <cell r="Z124" t="e">
            <v>#N/A</v>
          </cell>
        </row>
        <row r="125">
          <cell r="A125">
            <v>146</v>
          </cell>
          <cell r="B125">
            <v>52090.82</v>
          </cell>
          <cell r="C125">
            <v>28994.99</v>
          </cell>
          <cell r="O125" t="e">
            <v>#N/A</v>
          </cell>
          <cell r="P125" t="e">
            <v>#N/A</v>
          </cell>
          <cell r="Q125" t="e">
            <v>#N/A</v>
          </cell>
          <cell r="R125" t="e">
            <v>#N/A</v>
          </cell>
          <cell r="S125">
            <v>52090.55</v>
          </cell>
          <cell r="T125">
            <v>28995.119999999999</v>
          </cell>
          <cell r="U125" t="e">
            <v>#N/A</v>
          </cell>
          <cell r="V125" t="e">
            <v>#N/A</v>
          </cell>
          <cell r="W125" t="e">
            <v>#N/A</v>
          </cell>
          <cell r="X125" t="e">
            <v>#N/A</v>
          </cell>
          <cell r="Y125" t="e">
            <v>#N/A</v>
          </cell>
          <cell r="Z125" t="e">
            <v>#N/A</v>
          </cell>
        </row>
        <row r="126">
          <cell r="A126">
            <v>147</v>
          </cell>
          <cell r="B126">
            <v>52111.08</v>
          </cell>
          <cell r="C126">
            <v>29003.69</v>
          </cell>
          <cell r="O126" t="e">
            <v>#N/A</v>
          </cell>
          <cell r="P126" t="e">
            <v>#N/A</v>
          </cell>
          <cell r="Q126">
            <v>52111.199999999997</v>
          </cell>
          <cell r="R126">
            <v>29003.64</v>
          </cell>
          <cell r="S126" t="e">
            <v>#N/A</v>
          </cell>
          <cell r="T126" t="e">
            <v>#N/A</v>
          </cell>
          <cell r="U126" t="e">
            <v>#N/A</v>
          </cell>
          <cell r="V126" t="e">
            <v>#N/A</v>
          </cell>
          <cell r="W126" t="e">
            <v>#N/A</v>
          </cell>
          <cell r="X126" t="e">
            <v>#N/A</v>
          </cell>
          <cell r="Y126" t="e">
            <v>#N/A</v>
          </cell>
          <cell r="Z126" t="e">
            <v>#N/A</v>
          </cell>
        </row>
        <row r="127">
          <cell r="A127">
            <v>149</v>
          </cell>
          <cell r="B127">
            <v>52147.5</v>
          </cell>
          <cell r="C127">
            <v>29042.12</v>
          </cell>
          <cell r="O127" t="e">
            <v>#N/A</v>
          </cell>
          <cell r="P127" t="e">
            <v>#N/A</v>
          </cell>
          <cell r="Q127">
            <v>52147.6</v>
          </cell>
          <cell r="R127">
            <v>29041.98</v>
          </cell>
          <cell r="S127" t="e">
            <v>#N/A</v>
          </cell>
          <cell r="T127" t="e">
            <v>#N/A</v>
          </cell>
          <cell r="U127" t="e">
            <v>#N/A</v>
          </cell>
          <cell r="V127" t="e">
            <v>#N/A</v>
          </cell>
          <cell r="W127" t="e">
            <v>#N/A</v>
          </cell>
          <cell r="X127" t="e">
            <v>#N/A</v>
          </cell>
          <cell r="Y127" t="e">
            <v>#N/A</v>
          </cell>
          <cell r="Z127" t="e">
            <v>#N/A</v>
          </cell>
        </row>
        <row r="128">
          <cell r="A128">
            <v>149</v>
          </cell>
          <cell r="B128">
            <v>52118.91</v>
          </cell>
          <cell r="C128">
            <v>29012.73</v>
          </cell>
          <cell r="O128" t="e">
            <v>#N/A</v>
          </cell>
          <cell r="P128" t="e">
            <v>#N/A</v>
          </cell>
          <cell r="Q128">
            <v>52118.77</v>
          </cell>
          <cell r="R128">
            <v>29012.59</v>
          </cell>
          <cell r="S128" t="e">
            <v>#N/A</v>
          </cell>
          <cell r="T128" t="e">
            <v>#N/A</v>
          </cell>
          <cell r="U128" t="e">
            <v>#N/A</v>
          </cell>
          <cell r="V128" t="e">
            <v>#N/A</v>
          </cell>
          <cell r="W128" t="e">
            <v>#N/A</v>
          </cell>
          <cell r="X128" t="e">
            <v>#N/A</v>
          </cell>
          <cell r="Y128" t="e">
            <v>#N/A</v>
          </cell>
          <cell r="Z128" t="e">
            <v>#N/A</v>
          </cell>
        </row>
        <row r="129">
          <cell r="A129">
            <v>150</v>
          </cell>
          <cell r="B129">
            <v>52112.97</v>
          </cell>
          <cell r="C129">
            <v>29010.09</v>
          </cell>
          <cell r="O129" t="e">
            <v>#N/A</v>
          </cell>
          <cell r="P129" t="e">
            <v>#N/A</v>
          </cell>
          <cell r="Q129" t="e">
            <v>#N/A</v>
          </cell>
          <cell r="R129" t="e">
            <v>#N/A</v>
          </cell>
          <cell r="S129" t="e">
            <v>#N/A</v>
          </cell>
          <cell r="T129" t="e">
            <v>#N/A</v>
          </cell>
          <cell r="U129">
            <v>52112.76</v>
          </cell>
          <cell r="V129">
            <v>29010.31</v>
          </cell>
          <cell r="W129" t="e">
            <v>#N/A</v>
          </cell>
          <cell r="X129" t="e">
            <v>#N/A</v>
          </cell>
          <cell r="Y129" t="e">
            <v>#N/A</v>
          </cell>
          <cell r="Z129" t="e">
            <v>#N/A</v>
          </cell>
        </row>
        <row r="130">
          <cell r="A130">
            <v>151</v>
          </cell>
          <cell r="B130">
            <v>52107.03</v>
          </cell>
          <cell r="C130">
            <v>29007.439999999999</v>
          </cell>
          <cell r="O130" t="e">
            <v>#N/A</v>
          </cell>
          <cell r="P130" t="e">
            <v>#N/A</v>
          </cell>
          <cell r="Q130" t="e">
            <v>#N/A</v>
          </cell>
          <cell r="R130" t="e">
            <v>#N/A</v>
          </cell>
          <cell r="S130">
            <v>52106.83</v>
          </cell>
          <cell r="T130">
            <v>29007.43</v>
          </cell>
          <cell r="U130" t="e">
            <v>#N/A</v>
          </cell>
          <cell r="V130" t="e">
            <v>#N/A</v>
          </cell>
          <cell r="W130" t="e">
            <v>#N/A</v>
          </cell>
          <cell r="X130" t="e">
            <v>#N/A</v>
          </cell>
          <cell r="Y130" t="e">
            <v>#N/A</v>
          </cell>
          <cell r="Z130" t="e">
            <v>#N/A</v>
          </cell>
        </row>
        <row r="131">
          <cell r="A131">
            <v>152</v>
          </cell>
          <cell r="B131">
            <v>52101.09</v>
          </cell>
          <cell r="C131">
            <v>29004.799999999999</v>
          </cell>
          <cell r="O131" t="e">
            <v>#N/A</v>
          </cell>
          <cell r="P131" t="e">
            <v>#N/A</v>
          </cell>
          <cell r="Q131" t="e">
            <v>#N/A</v>
          </cell>
          <cell r="R131" t="e">
            <v>#N/A</v>
          </cell>
          <cell r="S131">
            <v>52100.84</v>
          </cell>
          <cell r="T131">
            <v>29004.799999999999</v>
          </cell>
          <cell r="U131" t="e">
            <v>#N/A</v>
          </cell>
          <cell r="V131" t="e">
            <v>#N/A</v>
          </cell>
          <cell r="W131" t="e">
            <v>#N/A</v>
          </cell>
          <cell r="X131" t="e">
            <v>#N/A</v>
          </cell>
          <cell r="Y131" t="e">
            <v>#N/A</v>
          </cell>
          <cell r="Z131" t="e">
            <v>#N/A</v>
          </cell>
        </row>
        <row r="132">
          <cell r="A132">
            <v>153</v>
          </cell>
          <cell r="B132">
            <v>52095.15</v>
          </cell>
          <cell r="C132">
            <v>29002.15</v>
          </cell>
          <cell r="O132" t="e">
            <v>#N/A</v>
          </cell>
          <cell r="P132" t="e">
            <v>#N/A</v>
          </cell>
          <cell r="Q132" t="e">
            <v>#N/A</v>
          </cell>
          <cell r="R132" t="e">
            <v>#N/A</v>
          </cell>
          <cell r="S132">
            <v>52095.15</v>
          </cell>
          <cell r="T132">
            <v>29001.94</v>
          </cell>
          <cell r="U132" t="e">
            <v>#N/A</v>
          </cell>
          <cell r="V132" t="e">
            <v>#N/A</v>
          </cell>
          <cell r="W132" t="e">
            <v>#N/A</v>
          </cell>
          <cell r="X132" t="e">
            <v>#N/A</v>
          </cell>
          <cell r="Y132" t="e">
            <v>#N/A</v>
          </cell>
          <cell r="Z132" t="e">
            <v>#N/A</v>
          </cell>
        </row>
        <row r="133">
          <cell r="A133">
            <v>154</v>
          </cell>
          <cell r="B133">
            <v>52089.22</v>
          </cell>
          <cell r="C133">
            <v>28999.51</v>
          </cell>
          <cell r="O133" t="e">
            <v>#N/A</v>
          </cell>
          <cell r="P133" t="e">
            <v>#N/A</v>
          </cell>
          <cell r="Q133" t="e">
            <v>#N/A</v>
          </cell>
          <cell r="R133" t="e">
            <v>#N/A</v>
          </cell>
          <cell r="S133" t="e">
            <v>#N/A</v>
          </cell>
          <cell r="T133" t="e">
            <v>#N/A</v>
          </cell>
          <cell r="U133">
            <v>52089.26</v>
          </cell>
          <cell r="V133">
            <v>28999.85</v>
          </cell>
          <cell r="W133" t="e">
            <v>#N/A</v>
          </cell>
          <cell r="X133" t="e">
            <v>#N/A</v>
          </cell>
          <cell r="Y133" t="e">
            <v>#N/A</v>
          </cell>
          <cell r="Z133" t="e">
            <v>#N/A</v>
          </cell>
        </row>
        <row r="134">
          <cell r="A134">
            <v>155</v>
          </cell>
          <cell r="B134">
            <v>52130.42</v>
          </cell>
          <cell r="C134">
            <v>29024.07</v>
          </cell>
          <cell r="O134" t="e">
            <v>#N/A</v>
          </cell>
          <cell r="P134" t="e">
            <v>#N/A</v>
          </cell>
          <cell r="Q134" t="e">
            <v>#N/A</v>
          </cell>
          <cell r="R134" t="e">
            <v>#N/A</v>
          </cell>
          <cell r="S134">
            <v>52130.48</v>
          </cell>
          <cell r="T134">
            <v>29024.28</v>
          </cell>
          <cell r="U134" t="e">
            <v>#N/A</v>
          </cell>
          <cell r="V134" t="e">
            <v>#N/A</v>
          </cell>
          <cell r="W134" t="e">
            <v>#N/A</v>
          </cell>
          <cell r="X134" t="e">
            <v>#N/A</v>
          </cell>
          <cell r="Y134" t="e">
            <v>#N/A</v>
          </cell>
          <cell r="Z134" t="e">
            <v>#N/A</v>
          </cell>
        </row>
        <row r="135">
          <cell r="A135">
            <v>156</v>
          </cell>
          <cell r="B135">
            <v>52125.53</v>
          </cell>
          <cell r="C135">
            <v>29021.81</v>
          </cell>
          <cell r="O135" t="e">
            <v>#N/A</v>
          </cell>
          <cell r="P135" t="e">
            <v>#N/A</v>
          </cell>
          <cell r="Q135" t="e">
            <v>#N/A</v>
          </cell>
          <cell r="R135" t="e">
            <v>#N/A</v>
          </cell>
          <cell r="S135" t="e">
            <v>#N/A</v>
          </cell>
          <cell r="T135" t="e">
            <v>#N/A</v>
          </cell>
          <cell r="U135">
            <v>52125.24</v>
          </cell>
          <cell r="V135">
            <v>29021.99</v>
          </cell>
          <cell r="W135" t="e">
            <v>#N/A</v>
          </cell>
          <cell r="X135" t="e">
            <v>#N/A</v>
          </cell>
          <cell r="Y135" t="e">
            <v>#N/A</v>
          </cell>
          <cell r="Z135" t="e">
            <v>#N/A</v>
          </cell>
        </row>
        <row r="136">
          <cell r="A136">
            <v>157</v>
          </cell>
          <cell r="B136">
            <v>52119.6</v>
          </cell>
          <cell r="C136">
            <v>29019.17</v>
          </cell>
          <cell r="O136" t="e">
            <v>#N/A</v>
          </cell>
          <cell r="P136" t="e">
            <v>#N/A</v>
          </cell>
          <cell r="Q136" t="e">
            <v>#N/A</v>
          </cell>
          <cell r="R136" t="e">
            <v>#N/A</v>
          </cell>
          <cell r="S136" t="e">
            <v>#N/A</v>
          </cell>
          <cell r="T136" t="e">
            <v>#N/A</v>
          </cell>
          <cell r="U136" t="e">
            <v>#N/A</v>
          </cell>
          <cell r="V136" t="e">
            <v>#N/A</v>
          </cell>
          <cell r="W136">
            <v>52119.18</v>
          </cell>
          <cell r="X136">
            <v>29018.98</v>
          </cell>
          <cell r="Y136" t="e">
            <v>#N/A</v>
          </cell>
          <cell r="Z136" t="e">
            <v>#N/A</v>
          </cell>
        </row>
        <row r="137">
          <cell r="A137">
            <v>158</v>
          </cell>
          <cell r="B137">
            <v>52113.66</v>
          </cell>
          <cell r="C137">
            <v>29016.52</v>
          </cell>
          <cell r="O137" t="e">
            <v>#N/A</v>
          </cell>
          <cell r="P137" t="e">
            <v>#N/A</v>
          </cell>
          <cell r="Q137" t="e">
            <v>#N/A</v>
          </cell>
          <cell r="R137" t="e">
            <v>#N/A</v>
          </cell>
          <cell r="S137">
            <v>52113.440000000002</v>
          </cell>
          <cell r="T137">
            <v>29016.5</v>
          </cell>
          <cell r="U137" t="e">
            <v>#N/A</v>
          </cell>
          <cell r="V137" t="e">
            <v>#N/A</v>
          </cell>
          <cell r="W137" t="e">
            <v>#N/A</v>
          </cell>
          <cell r="X137" t="e">
            <v>#N/A</v>
          </cell>
          <cell r="Y137" t="e">
            <v>#N/A</v>
          </cell>
          <cell r="Z137" t="e">
            <v>#N/A</v>
          </cell>
        </row>
        <row r="138">
          <cell r="A138">
            <v>159</v>
          </cell>
          <cell r="B138">
            <v>52107.72</v>
          </cell>
          <cell r="C138">
            <v>29013.88</v>
          </cell>
          <cell r="O138" t="e">
            <v>#N/A</v>
          </cell>
          <cell r="P138" t="e">
            <v>#N/A</v>
          </cell>
          <cell r="Q138" t="e">
            <v>#N/A</v>
          </cell>
          <cell r="R138" t="e">
            <v>#N/A</v>
          </cell>
          <cell r="S138" t="e">
            <v>#N/A</v>
          </cell>
          <cell r="T138" t="e">
            <v>#N/A</v>
          </cell>
          <cell r="U138">
            <v>52108.11</v>
          </cell>
          <cell r="V138">
            <v>29013.85</v>
          </cell>
          <cell r="W138" t="e">
            <v>#N/A</v>
          </cell>
          <cell r="X138" t="e">
            <v>#N/A</v>
          </cell>
          <cell r="Y138" t="e">
            <v>#N/A</v>
          </cell>
          <cell r="Z138" t="e">
            <v>#N/A</v>
          </cell>
        </row>
        <row r="139">
          <cell r="A139">
            <v>160</v>
          </cell>
          <cell r="B139">
            <v>52101.78</v>
          </cell>
          <cell r="C139">
            <v>29011.24</v>
          </cell>
          <cell r="O139" t="e">
            <v>#N/A</v>
          </cell>
          <cell r="P139" t="e">
            <v>#N/A</v>
          </cell>
          <cell r="Q139" t="e">
            <v>#N/A</v>
          </cell>
          <cell r="R139" t="e">
            <v>#N/A</v>
          </cell>
          <cell r="S139">
            <v>52101.88</v>
          </cell>
          <cell r="T139">
            <v>29011.5</v>
          </cell>
          <cell r="U139" t="e">
            <v>#N/A</v>
          </cell>
          <cell r="V139" t="e">
            <v>#N/A</v>
          </cell>
          <cell r="W139" t="e">
            <v>#N/A</v>
          </cell>
          <cell r="X139" t="e">
            <v>#N/A</v>
          </cell>
          <cell r="Y139" t="e">
            <v>#N/A</v>
          </cell>
          <cell r="Z139" t="e">
            <v>#N/A</v>
          </cell>
        </row>
        <row r="140">
          <cell r="A140">
            <v>161</v>
          </cell>
          <cell r="B140">
            <v>52095.839999999997</v>
          </cell>
          <cell r="C140">
            <v>29008.59</v>
          </cell>
          <cell r="O140" t="e">
            <v>#N/A</v>
          </cell>
          <cell r="P140" t="e">
            <v>#N/A</v>
          </cell>
          <cell r="Q140" t="e">
            <v>#N/A</v>
          </cell>
          <cell r="R140" t="e">
            <v>#N/A</v>
          </cell>
          <cell r="S140" t="e">
            <v>#N/A</v>
          </cell>
          <cell r="T140" t="e">
            <v>#N/A</v>
          </cell>
          <cell r="U140" t="e">
            <v>#N/A</v>
          </cell>
          <cell r="V140" t="e">
            <v>#N/A</v>
          </cell>
          <cell r="W140">
            <v>52096.26</v>
          </cell>
          <cell r="X140">
            <v>29008.78</v>
          </cell>
          <cell r="Y140" t="e">
            <v>#N/A</v>
          </cell>
          <cell r="Z140" t="e">
            <v>#N/A</v>
          </cell>
        </row>
        <row r="141">
          <cell r="A141">
            <v>162</v>
          </cell>
          <cell r="B141">
            <v>52089.91</v>
          </cell>
          <cell r="C141">
            <v>29005.95</v>
          </cell>
          <cell r="O141">
            <v>52089.94</v>
          </cell>
          <cell r="P141">
            <v>29006.02</v>
          </cell>
          <cell r="Q141" t="e">
            <v>#N/A</v>
          </cell>
          <cell r="R141" t="e">
            <v>#N/A</v>
          </cell>
          <cell r="S141" t="e">
            <v>#N/A</v>
          </cell>
          <cell r="T141" t="e">
            <v>#N/A</v>
          </cell>
          <cell r="U141" t="e">
            <v>#N/A</v>
          </cell>
          <cell r="V141" t="e">
            <v>#N/A</v>
          </cell>
          <cell r="W141" t="e">
            <v>#N/A</v>
          </cell>
          <cell r="X141" t="e">
            <v>#N/A</v>
          </cell>
          <cell r="Y141" t="e">
            <v>#N/A</v>
          </cell>
          <cell r="Z141" t="e">
            <v>#N/A</v>
          </cell>
        </row>
        <row r="142">
          <cell r="A142">
            <v>163</v>
          </cell>
          <cell r="B142">
            <v>52085.11</v>
          </cell>
          <cell r="C142">
            <v>29003.78</v>
          </cell>
          <cell r="O142" t="e">
            <v>#N/A</v>
          </cell>
          <cell r="P142" t="e">
            <v>#N/A</v>
          </cell>
          <cell r="Q142" t="e">
            <v>#N/A</v>
          </cell>
          <cell r="R142" t="e">
            <v>#N/A</v>
          </cell>
          <cell r="S142">
            <v>52084.99</v>
          </cell>
          <cell r="T142">
            <v>29003.94</v>
          </cell>
          <cell r="U142" t="e">
            <v>#N/A</v>
          </cell>
          <cell r="V142" t="e">
            <v>#N/A</v>
          </cell>
          <cell r="W142" t="e">
            <v>#N/A</v>
          </cell>
          <cell r="X142" t="e">
            <v>#N/A</v>
          </cell>
          <cell r="Y142" t="e">
            <v>#N/A</v>
          </cell>
          <cell r="Z142" t="e">
            <v>#N/A</v>
          </cell>
        </row>
        <row r="143">
          <cell r="A143">
            <v>165</v>
          </cell>
          <cell r="B143">
            <v>52137.3</v>
          </cell>
          <cell r="C143">
            <v>29033.200000000001</v>
          </cell>
          <cell r="O143" t="e">
            <v>#N/A</v>
          </cell>
          <cell r="P143" t="e">
            <v>#N/A</v>
          </cell>
          <cell r="Q143">
            <v>52137.440000000002</v>
          </cell>
          <cell r="R143">
            <v>29033.07</v>
          </cell>
          <cell r="S143" t="e">
            <v>#N/A</v>
          </cell>
          <cell r="T143" t="e">
            <v>#N/A</v>
          </cell>
          <cell r="U143" t="e">
            <v>#N/A</v>
          </cell>
          <cell r="V143" t="e">
            <v>#N/A</v>
          </cell>
          <cell r="W143" t="e">
            <v>#N/A</v>
          </cell>
          <cell r="X143" t="e">
            <v>#N/A</v>
          </cell>
          <cell r="Y143" t="e">
            <v>#N/A</v>
          </cell>
          <cell r="Z143" t="e">
            <v>#N/A</v>
          </cell>
        </row>
        <row r="144">
          <cell r="A144">
            <v>166</v>
          </cell>
          <cell r="B144">
            <v>52132.160000000003</v>
          </cell>
          <cell r="C144">
            <v>29030.89</v>
          </cell>
          <cell r="O144" t="e">
            <v>#N/A</v>
          </cell>
          <cell r="P144" t="e">
            <v>#N/A</v>
          </cell>
          <cell r="Q144" t="e">
            <v>#N/A</v>
          </cell>
          <cell r="R144" t="e">
            <v>#N/A</v>
          </cell>
          <cell r="S144" t="e">
            <v>#N/A</v>
          </cell>
          <cell r="T144" t="e">
            <v>#N/A</v>
          </cell>
          <cell r="U144">
            <v>52131.86</v>
          </cell>
          <cell r="V144">
            <v>29030.83</v>
          </cell>
          <cell r="W144" t="e">
            <v>#N/A</v>
          </cell>
          <cell r="X144" t="e">
            <v>#N/A</v>
          </cell>
          <cell r="Y144" t="e">
            <v>#N/A</v>
          </cell>
          <cell r="Z144" t="e">
            <v>#N/A</v>
          </cell>
        </row>
        <row r="145">
          <cell r="A145">
            <v>167</v>
          </cell>
          <cell r="B145">
            <v>52126.23</v>
          </cell>
          <cell r="C145">
            <v>29028.25</v>
          </cell>
          <cell r="O145" t="e">
            <v>#N/A</v>
          </cell>
          <cell r="P145" t="e">
            <v>#N/A</v>
          </cell>
          <cell r="Q145" t="e">
            <v>#N/A</v>
          </cell>
          <cell r="R145" t="e">
            <v>#N/A</v>
          </cell>
          <cell r="S145" t="e">
            <v>#N/A</v>
          </cell>
          <cell r="T145" t="e">
            <v>#N/A</v>
          </cell>
          <cell r="U145">
            <v>52125.96</v>
          </cell>
          <cell r="V145">
            <v>29028.06</v>
          </cell>
          <cell r="W145" t="e">
            <v>#N/A</v>
          </cell>
          <cell r="X145" t="e">
            <v>#N/A</v>
          </cell>
          <cell r="Y145" t="e">
            <v>#N/A</v>
          </cell>
          <cell r="Z145" t="e">
            <v>#N/A</v>
          </cell>
        </row>
        <row r="146">
          <cell r="A146">
            <v>168</v>
          </cell>
          <cell r="B146">
            <v>52120.29</v>
          </cell>
          <cell r="C146">
            <v>29025.61</v>
          </cell>
          <cell r="O146" t="e">
            <v>#N/A</v>
          </cell>
          <cell r="P146" t="e">
            <v>#N/A</v>
          </cell>
          <cell r="Q146" t="e">
            <v>#N/A</v>
          </cell>
          <cell r="R146" t="e">
            <v>#N/A</v>
          </cell>
          <cell r="S146">
            <v>52120.09</v>
          </cell>
          <cell r="T146">
            <v>29025.4</v>
          </cell>
          <cell r="U146" t="e">
            <v>#N/A</v>
          </cell>
          <cell r="V146" t="e">
            <v>#N/A</v>
          </cell>
          <cell r="W146" t="e">
            <v>#N/A</v>
          </cell>
          <cell r="X146" t="e">
            <v>#N/A</v>
          </cell>
          <cell r="Y146" t="e">
            <v>#N/A</v>
          </cell>
          <cell r="Z146" t="e">
            <v>#N/A</v>
          </cell>
        </row>
        <row r="147">
          <cell r="A147">
            <v>169</v>
          </cell>
          <cell r="B147">
            <v>52114.35</v>
          </cell>
          <cell r="C147">
            <v>29022.959999999999</v>
          </cell>
          <cell r="O147" t="e">
            <v>#N/A</v>
          </cell>
          <cell r="P147" t="e">
            <v>#N/A</v>
          </cell>
          <cell r="Q147" t="e">
            <v>#N/A</v>
          </cell>
          <cell r="R147" t="e">
            <v>#N/A</v>
          </cell>
          <cell r="S147">
            <v>52114.17</v>
          </cell>
          <cell r="T147">
            <v>29022.74</v>
          </cell>
          <cell r="U147" t="e">
            <v>#N/A</v>
          </cell>
          <cell r="V147" t="e">
            <v>#N/A</v>
          </cell>
          <cell r="W147" t="e">
            <v>#N/A</v>
          </cell>
          <cell r="X147" t="e">
            <v>#N/A</v>
          </cell>
          <cell r="Y147" t="e">
            <v>#N/A</v>
          </cell>
          <cell r="Z147" t="e">
            <v>#N/A</v>
          </cell>
        </row>
        <row r="148">
          <cell r="A148">
            <v>170</v>
          </cell>
          <cell r="B148">
            <v>52108.41</v>
          </cell>
          <cell r="C148">
            <v>29020.32</v>
          </cell>
          <cell r="O148" t="e">
            <v>#N/A</v>
          </cell>
          <cell r="P148" t="e">
            <v>#N/A</v>
          </cell>
          <cell r="Q148" t="e">
            <v>#N/A</v>
          </cell>
          <cell r="R148" t="e">
            <v>#N/A</v>
          </cell>
          <cell r="S148" t="e">
            <v>#N/A</v>
          </cell>
          <cell r="T148" t="e">
            <v>#N/A</v>
          </cell>
          <cell r="U148" t="e">
            <v>#N/A</v>
          </cell>
          <cell r="V148" t="e">
            <v>#N/A</v>
          </cell>
          <cell r="W148">
            <v>52107.99</v>
          </cell>
          <cell r="X148">
            <v>29020.240000000002</v>
          </cell>
          <cell r="Y148" t="e">
            <v>#N/A</v>
          </cell>
          <cell r="Z148" t="e">
            <v>#N/A</v>
          </cell>
        </row>
        <row r="149">
          <cell r="A149">
            <v>171</v>
          </cell>
          <cell r="B149">
            <v>52102.47</v>
          </cell>
          <cell r="C149">
            <v>29017.67</v>
          </cell>
          <cell r="O149" t="e">
            <v>#N/A</v>
          </cell>
          <cell r="P149" t="e">
            <v>#N/A</v>
          </cell>
          <cell r="Q149" t="e">
            <v>#N/A</v>
          </cell>
          <cell r="R149" t="e">
            <v>#N/A</v>
          </cell>
          <cell r="S149" t="e">
            <v>#N/A</v>
          </cell>
          <cell r="T149" t="e">
            <v>#N/A</v>
          </cell>
          <cell r="U149" t="e">
            <v>#N/A</v>
          </cell>
          <cell r="V149" t="e">
            <v>#N/A</v>
          </cell>
          <cell r="W149">
            <v>52102.01</v>
          </cell>
          <cell r="X149">
            <v>29017.72</v>
          </cell>
          <cell r="Y149" t="e">
            <v>#N/A</v>
          </cell>
          <cell r="Z149" t="e">
            <v>#N/A</v>
          </cell>
        </row>
        <row r="150">
          <cell r="A150">
            <v>172</v>
          </cell>
          <cell r="B150">
            <v>52096.54</v>
          </cell>
          <cell r="C150">
            <v>29015.03</v>
          </cell>
          <cell r="O150" t="e">
            <v>#N/A</v>
          </cell>
          <cell r="P150" t="e">
            <v>#N/A</v>
          </cell>
          <cell r="Q150" t="e">
            <v>#N/A</v>
          </cell>
          <cell r="R150" t="e">
            <v>#N/A</v>
          </cell>
          <cell r="S150" t="e">
            <v>#N/A</v>
          </cell>
          <cell r="T150" t="e">
            <v>#N/A</v>
          </cell>
          <cell r="U150">
            <v>52096.62</v>
          </cell>
          <cell r="V150">
            <v>29015.37</v>
          </cell>
          <cell r="W150" t="e">
            <v>#N/A</v>
          </cell>
          <cell r="X150" t="e">
            <v>#N/A</v>
          </cell>
          <cell r="Y150" t="e">
            <v>#N/A</v>
          </cell>
          <cell r="Z150" t="e">
            <v>#N/A</v>
          </cell>
        </row>
        <row r="151">
          <cell r="A151">
            <v>173</v>
          </cell>
          <cell r="B151">
            <v>52090.6</v>
          </cell>
          <cell r="C151">
            <v>29012.39</v>
          </cell>
          <cell r="O151" t="e">
            <v>#N/A</v>
          </cell>
          <cell r="P151" t="e">
            <v>#N/A</v>
          </cell>
          <cell r="Q151">
            <v>52090.7</v>
          </cell>
          <cell r="R151">
            <v>29012.560000000001</v>
          </cell>
          <cell r="S151" t="e">
            <v>#N/A</v>
          </cell>
          <cell r="T151" t="e">
            <v>#N/A</v>
          </cell>
          <cell r="U151" t="e">
            <v>#N/A</v>
          </cell>
          <cell r="V151" t="e">
            <v>#N/A</v>
          </cell>
          <cell r="W151" t="e">
            <v>#N/A</v>
          </cell>
          <cell r="X151" t="e">
            <v>#N/A</v>
          </cell>
          <cell r="Y151" t="e">
            <v>#N/A</v>
          </cell>
          <cell r="Z151" t="e">
            <v>#N/A</v>
          </cell>
        </row>
        <row r="152">
          <cell r="A152">
            <v>174</v>
          </cell>
          <cell r="B152">
            <v>52085.55</v>
          </cell>
          <cell r="C152">
            <v>29010.11</v>
          </cell>
          <cell r="O152" t="e">
            <v>#N/A</v>
          </cell>
          <cell r="P152" t="e">
            <v>#N/A</v>
          </cell>
          <cell r="Q152" t="e">
            <v>#N/A</v>
          </cell>
          <cell r="R152" t="e">
            <v>#N/A</v>
          </cell>
          <cell r="S152" t="e">
            <v>#N/A</v>
          </cell>
          <cell r="T152" t="e">
            <v>#N/A</v>
          </cell>
          <cell r="U152" t="e">
            <v>#N/A</v>
          </cell>
          <cell r="V152" t="e">
            <v>#N/A</v>
          </cell>
          <cell r="W152">
            <v>52085.07</v>
          </cell>
          <cell r="X152">
            <v>29010.02</v>
          </cell>
          <cell r="Y152" t="e">
            <v>#N/A</v>
          </cell>
          <cell r="Z152" t="e">
            <v>#N/A</v>
          </cell>
        </row>
        <row r="153">
          <cell r="A153">
            <v>175</v>
          </cell>
          <cell r="B153">
            <v>52081.42</v>
          </cell>
          <cell r="C153">
            <v>29008.36</v>
          </cell>
          <cell r="O153" t="e">
            <v>#N/A</v>
          </cell>
          <cell r="P153" t="e">
            <v>#N/A</v>
          </cell>
          <cell r="Q153" t="e">
            <v>#N/A</v>
          </cell>
          <cell r="R153" t="e">
            <v>#N/A</v>
          </cell>
          <cell r="S153">
            <v>52081.46</v>
          </cell>
          <cell r="T153">
            <v>29008.560000000001</v>
          </cell>
          <cell r="U153" t="e">
            <v>#N/A</v>
          </cell>
          <cell r="V153" t="e">
            <v>#N/A</v>
          </cell>
          <cell r="W153" t="e">
            <v>#N/A</v>
          </cell>
          <cell r="X153" t="e">
            <v>#N/A</v>
          </cell>
          <cell r="Y153" t="e">
            <v>#N/A</v>
          </cell>
          <cell r="Z153" t="e">
            <v>#N/A</v>
          </cell>
        </row>
        <row r="154">
          <cell r="A154">
            <v>177</v>
          </cell>
          <cell r="B154">
            <v>52144.73</v>
          </cell>
          <cell r="C154">
            <v>29042.62</v>
          </cell>
          <cell r="O154" t="e">
            <v>#N/A</v>
          </cell>
          <cell r="P154" t="e">
            <v>#N/A</v>
          </cell>
          <cell r="Q154" t="e">
            <v>#N/A</v>
          </cell>
          <cell r="R154" t="e">
            <v>#N/A</v>
          </cell>
          <cell r="S154" t="e">
            <v>#N/A</v>
          </cell>
          <cell r="T154" t="e">
            <v>#N/A</v>
          </cell>
          <cell r="U154">
            <v>52144.51</v>
          </cell>
          <cell r="V154">
            <v>29042.86</v>
          </cell>
          <cell r="W154" t="e">
            <v>#N/A</v>
          </cell>
          <cell r="X154" t="e">
            <v>#N/A</v>
          </cell>
          <cell r="Y154" t="e">
            <v>#N/A</v>
          </cell>
          <cell r="Z154" t="e">
            <v>#N/A</v>
          </cell>
        </row>
        <row r="155">
          <cell r="A155">
            <v>178</v>
          </cell>
          <cell r="B155">
            <v>52138.79</v>
          </cell>
          <cell r="C155">
            <v>29039.97</v>
          </cell>
          <cell r="O155" t="e">
            <v>#N/A</v>
          </cell>
          <cell r="P155" t="e">
            <v>#N/A</v>
          </cell>
          <cell r="Q155" t="e">
            <v>#N/A</v>
          </cell>
          <cell r="R155" t="e">
            <v>#N/A</v>
          </cell>
          <cell r="S155" t="e">
            <v>#N/A</v>
          </cell>
          <cell r="T155" t="e">
            <v>#N/A</v>
          </cell>
          <cell r="U155" t="e">
            <v>#N/A</v>
          </cell>
          <cell r="V155" t="e">
            <v>#N/A</v>
          </cell>
          <cell r="W155" t="e">
            <v>#N/A</v>
          </cell>
          <cell r="X155" t="e">
            <v>#N/A</v>
          </cell>
          <cell r="Y155">
            <v>52138.35</v>
          </cell>
          <cell r="Z155">
            <v>29040.34</v>
          </cell>
        </row>
        <row r="156">
          <cell r="A156">
            <v>179</v>
          </cell>
          <cell r="B156">
            <v>52132.86</v>
          </cell>
          <cell r="C156">
            <v>29037.33</v>
          </cell>
          <cell r="O156" t="e">
            <v>#N/A</v>
          </cell>
          <cell r="P156" t="e">
            <v>#N/A</v>
          </cell>
          <cell r="Q156" t="e">
            <v>#N/A</v>
          </cell>
          <cell r="R156" t="e">
            <v>#N/A</v>
          </cell>
          <cell r="S156" t="e">
            <v>#N/A</v>
          </cell>
          <cell r="T156" t="e">
            <v>#N/A</v>
          </cell>
          <cell r="U156">
            <v>52132.51</v>
          </cell>
          <cell r="V156">
            <v>29037.47</v>
          </cell>
          <cell r="W156" t="e">
            <v>#N/A</v>
          </cell>
          <cell r="X156" t="e">
            <v>#N/A</v>
          </cell>
          <cell r="Y156" t="e">
            <v>#N/A</v>
          </cell>
          <cell r="Z156" t="e">
            <v>#N/A</v>
          </cell>
        </row>
        <row r="157">
          <cell r="A157">
            <v>180</v>
          </cell>
          <cell r="B157">
            <v>52126.92</v>
          </cell>
          <cell r="C157">
            <v>29034.69</v>
          </cell>
          <cell r="O157" t="e">
            <v>#N/A</v>
          </cell>
          <cell r="P157" t="e">
            <v>#N/A</v>
          </cell>
          <cell r="Q157" t="e">
            <v>#N/A</v>
          </cell>
          <cell r="R157" t="e">
            <v>#N/A</v>
          </cell>
          <cell r="S157" t="e">
            <v>#N/A</v>
          </cell>
          <cell r="T157" t="e">
            <v>#N/A</v>
          </cell>
          <cell r="U157" t="e">
            <v>#N/A</v>
          </cell>
          <cell r="V157" t="e">
            <v>#N/A</v>
          </cell>
          <cell r="W157" t="e">
            <v>#N/A</v>
          </cell>
          <cell r="X157" t="e">
            <v>#N/A</v>
          </cell>
          <cell r="Y157">
            <v>52126.53</v>
          </cell>
          <cell r="Z157">
            <v>29035.09</v>
          </cell>
        </row>
        <row r="158">
          <cell r="A158">
            <v>181</v>
          </cell>
          <cell r="B158">
            <v>52120.98</v>
          </cell>
          <cell r="C158">
            <v>29032.04</v>
          </cell>
          <cell r="O158" t="e">
            <v>#N/A</v>
          </cell>
          <cell r="P158" t="e">
            <v>#N/A</v>
          </cell>
          <cell r="Q158" t="e">
            <v>#N/A</v>
          </cell>
          <cell r="R158" t="e">
            <v>#N/A</v>
          </cell>
          <cell r="S158" t="e">
            <v>#N/A</v>
          </cell>
          <cell r="T158" t="e">
            <v>#N/A</v>
          </cell>
          <cell r="U158" t="e">
            <v>#N/A</v>
          </cell>
          <cell r="V158" t="e">
            <v>#N/A</v>
          </cell>
          <cell r="W158">
            <v>52120.51</v>
          </cell>
          <cell r="X158">
            <v>29031.96</v>
          </cell>
          <cell r="Y158" t="e">
            <v>#N/A</v>
          </cell>
          <cell r="Z158" t="e">
            <v>#N/A</v>
          </cell>
        </row>
        <row r="159">
          <cell r="A159">
            <v>182</v>
          </cell>
          <cell r="B159">
            <v>52115.040000000001</v>
          </cell>
          <cell r="C159">
            <v>29029.4</v>
          </cell>
          <cell r="O159">
            <v>52115.040000000001</v>
          </cell>
          <cell r="P159">
            <v>29029.46</v>
          </cell>
          <cell r="Q159" t="e">
            <v>#N/A</v>
          </cell>
          <cell r="R159" t="e">
            <v>#N/A</v>
          </cell>
          <cell r="S159" t="e">
            <v>#N/A</v>
          </cell>
          <cell r="T159" t="e">
            <v>#N/A</v>
          </cell>
          <cell r="U159" t="e">
            <v>#N/A</v>
          </cell>
          <cell r="V159" t="e">
            <v>#N/A</v>
          </cell>
          <cell r="W159" t="e">
            <v>#N/A</v>
          </cell>
          <cell r="X159" t="e">
            <v>#N/A</v>
          </cell>
          <cell r="Y159" t="e">
            <v>#N/A</v>
          </cell>
          <cell r="Z159" t="e">
            <v>#N/A</v>
          </cell>
        </row>
        <row r="160">
          <cell r="A160">
            <v>183</v>
          </cell>
          <cell r="B160">
            <v>52109.1</v>
          </cell>
          <cell r="C160">
            <v>29026.76</v>
          </cell>
          <cell r="O160" t="e">
            <v>#N/A</v>
          </cell>
          <cell r="P160" t="e">
            <v>#N/A</v>
          </cell>
          <cell r="Q160" t="e">
            <v>#N/A</v>
          </cell>
          <cell r="R160" t="e">
            <v>#N/A</v>
          </cell>
          <cell r="S160" t="e">
            <v>#N/A</v>
          </cell>
          <cell r="T160" t="e">
            <v>#N/A</v>
          </cell>
          <cell r="U160" t="e">
            <v>#N/A</v>
          </cell>
          <cell r="V160" t="e">
            <v>#N/A</v>
          </cell>
          <cell r="W160" t="e">
            <v>#N/A</v>
          </cell>
          <cell r="X160" t="e">
            <v>#N/A</v>
          </cell>
          <cell r="Y160">
            <v>52108.58</v>
          </cell>
          <cell r="Z160">
            <v>29026.62</v>
          </cell>
        </row>
        <row r="161">
          <cell r="A161">
            <v>184</v>
          </cell>
          <cell r="B161">
            <v>52103.17</v>
          </cell>
          <cell r="C161">
            <v>29024.11</v>
          </cell>
          <cell r="O161" t="e">
            <v>#N/A</v>
          </cell>
          <cell r="P161" t="e">
            <v>#N/A</v>
          </cell>
          <cell r="Q161" t="e">
            <v>#N/A</v>
          </cell>
          <cell r="R161" t="e">
            <v>#N/A</v>
          </cell>
          <cell r="S161" t="e">
            <v>#N/A</v>
          </cell>
          <cell r="T161" t="e">
            <v>#N/A</v>
          </cell>
          <cell r="U161">
            <v>52103.23</v>
          </cell>
          <cell r="V161">
            <v>29024.48</v>
          </cell>
          <cell r="W161" t="e">
            <v>#N/A</v>
          </cell>
          <cell r="X161" t="e">
            <v>#N/A</v>
          </cell>
          <cell r="Y161" t="e">
            <v>#N/A</v>
          </cell>
          <cell r="Z161" t="e">
            <v>#N/A</v>
          </cell>
        </row>
        <row r="162">
          <cell r="A162">
            <v>185</v>
          </cell>
          <cell r="B162">
            <v>52097.23</v>
          </cell>
          <cell r="C162">
            <v>29021.47</v>
          </cell>
          <cell r="O162" t="e">
            <v>#N/A</v>
          </cell>
          <cell r="P162" t="e">
            <v>#N/A</v>
          </cell>
          <cell r="Q162" t="e">
            <v>#N/A</v>
          </cell>
          <cell r="R162" t="e">
            <v>#N/A</v>
          </cell>
          <cell r="S162" t="e">
            <v>#N/A</v>
          </cell>
          <cell r="T162" t="e">
            <v>#N/A</v>
          </cell>
          <cell r="U162">
            <v>52096.85</v>
          </cell>
          <cell r="V162">
            <v>29021.4</v>
          </cell>
          <cell r="W162" t="e">
            <v>#N/A</v>
          </cell>
          <cell r="X162" t="e">
            <v>#N/A</v>
          </cell>
          <cell r="Y162" t="e">
            <v>#N/A</v>
          </cell>
          <cell r="Z162" t="e">
            <v>#N/A</v>
          </cell>
        </row>
        <row r="163">
          <cell r="A163">
            <v>189</v>
          </cell>
          <cell r="B163">
            <v>52151.360000000001</v>
          </cell>
          <cell r="C163">
            <v>29051.7</v>
          </cell>
          <cell r="O163" t="e">
            <v>#N/A</v>
          </cell>
          <cell r="P163" t="e">
            <v>#N/A</v>
          </cell>
          <cell r="Q163" t="e">
            <v>#N/A</v>
          </cell>
          <cell r="R163" t="e">
            <v>#N/A</v>
          </cell>
          <cell r="S163" t="e">
            <v>#N/A</v>
          </cell>
          <cell r="T163" t="e">
            <v>#N/A</v>
          </cell>
          <cell r="U163" t="e">
            <v>#N/A</v>
          </cell>
          <cell r="V163" t="e">
            <v>#N/A</v>
          </cell>
          <cell r="W163">
            <v>52150.96</v>
          </cell>
          <cell r="X163">
            <v>29051.59</v>
          </cell>
          <cell r="Y163" t="e">
            <v>#N/A</v>
          </cell>
          <cell r="Z163" t="e">
            <v>#N/A</v>
          </cell>
        </row>
        <row r="164">
          <cell r="A164">
            <v>190</v>
          </cell>
          <cell r="B164">
            <v>52145.42</v>
          </cell>
          <cell r="C164">
            <v>29049.06</v>
          </cell>
          <cell r="O164" t="e">
            <v>#N/A</v>
          </cell>
          <cell r="P164" t="e">
            <v>#N/A</v>
          </cell>
          <cell r="Q164" t="e">
            <v>#N/A</v>
          </cell>
          <cell r="R164" t="e">
            <v>#N/A</v>
          </cell>
          <cell r="S164" t="e">
            <v>#N/A</v>
          </cell>
          <cell r="T164" t="e">
            <v>#N/A</v>
          </cell>
          <cell r="U164">
            <v>52145.19</v>
          </cell>
          <cell r="V164">
            <v>29048.77</v>
          </cell>
          <cell r="W164" t="e">
            <v>#N/A</v>
          </cell>
          <cell r="X164" t="e">
            <v>#N/A</v>
          </cell>
          <cell r="Y164" t="e">
            <v>#N/A</v>
          </cell>
          <cell r="Z164" t="e">
            <v>#N/A</v>
          </cell>
        </row>
        <row r="165">
          <cell r="A165">
            <v>193</v>
          </cell>
          <cell r="B165">
            <v>52127.61</v>
          </cell>
          <cell r="C165">
            <v>29041.119999999999</v>
          </cell>
          <cell r="O165" t="e">
            <v>#N/A</v>
          </cell>
          <cell r="P165" t="e">
            <v>#N/A</v>
          </cell>
          <cell r="Q165" t="e">
            <v>#N/A</v>
          </cell>
          <cell r="R165" t="e">
            <v>#N/A</v>
          </cell>
          <cell r="S165" t="e">
            <v>#N/A</v>
          </cell>
          <cell r="T165" t="e">
            <v>#N/A</v>
          </cell>
          <cell r="U165">
            <v>52127.49</v>
          </cell>
          <cell r="V165">
            <v>29040.74</v>
          </cell>
          <cell r="W165" t="e">
            <v>#N/A</v>
          </cell>
          <cell r="X165" t="e">
            <v>#N/A</v>
          </cell>
          <cell r="Y165" t="e">
            <v>#N/A</v>
          </cell>
          <cell r="Z165" t="e">
            <v>#N/A</v>
          </cell>
        </row>
        <row r="166">
          <cell r="A166">
            <v>195</v>
          </cell>
          <cell r="B166">
            <v>52115.73</v>
          </cell>
          <cell r="C166">
            <v>29035.84</v>
          </cell>
          <cell r="O166" t="e">
            <v>#N/A</v>
          </cell>
          <cell r="P166" t="e">
            <v>#N/A</v>
          </cell>
          <cell r="Q166" t="e">
            <v>#N/A</v>
          </cell>
          <cell r="R166" t="e">
            <v>#N/A</v>
          </cell>
          <cell r="S166" t="e">
            <v>#N/A</v>
          </cell>
          <cell r="T166" t="e">
            <v>#N/A</v>
          </cell>
          <cell r="U166" t="e">
            <v>#N/A</v>
          </cell>
          <cell r="V166" t="e">
            <v>#N/A</v>
          </cell>
          <cell r="W166">
            <v>52115.7</v>
          </cell>
          <cell r="X166">
            <v>29035.42</v>
          </cell>
          <cell r="Y166" t="e">
            <v>#N/A</v>
          </cell>
          <cell r="Z166" t="e">
            <v>#N/A</v>
          </cell>
        </row>
        <row r="167">
          <cell r="A167">
            <v>196</v>
          </cell>
          <cell r="B167">
            <v>52109.79</v>
          </cell>
          <cell r="C167">
            <v>29033.19</v>
          </cell>
          <cell r="O167" t="e">
            <v>#N/A</v>
          </cell>
          <cell r="P167" t="e">
            <v>#N/A</v>
          </cell>
          <cell r="Q167" t="e">
            <v>#N/A</v>
          </cell>
          <cell r="R167" t="e">
            <v>#N/A</v>
          </cell>
          <cell r="S167">
            <v>52109.919999999998</v>
          </cell>
          <cell r="T167">
            <v>29032.94</v>
          </cell>
          <cell r="U167" t="e">
            <v>#N/A</v>
          </cell>
          <cell r="V167" t="e">
            <v>#N/A</v>
          </cell>
          <cell r="W167" t="e">
            <v>#N/A</v>
          </cell>
          <cell r="X167" t="e">
            <v>#N/A</v>
          </cell>
          <cell r="Y167" t="e">
            <v>#N/A</v>
          </cell>
          <cell r="Z167" t="e">
            <v>#N/A</v>
          </cell>
        </row>
        <row r="168">
          <cell r="A168">
            <v>197</v>
          </cell>
          <cell r="B168">
            <v>52103.86</v>
          </cell>
          <cell r="C168">
            <v>29030.55</v>
          </cell>
          <cell r="O168" t="e">
            <v>#N/A</v>
          </cell>
          <cell r="P168" t="e">
            <v>#N/A</v>
          </cell>
          <cell r="Q168" t="e">
            <v>#N/A</v>
          </cell>
          <cell r="R168" t="e">
            <v>#N/A</v>
          </cell>
          <cell r="S168" t="e">
            <v>#N/A</v>
          </cell>
          <cell r="T168" t="e">
            <v>#N/A</v>
          </cell>
          <cell r="U168" t="e">
            <v>#N/A</v>
          </cell>
          <cell r="V168" t="e">
            <v>#N/A</v>
          </cell>
          <cell r="W168" t="e">
            <v>#N/A</v>
          </cell>
          <cell r="X168" t="e">
            <v>#N/A</v>
          </cell>
          <cell r="Y168">
            <v>52104.56</v>
          </cell>
          <cell r="Z168">
            <v>29030.92</v>
          </cell>
        </row>
        <row r="169">
          <cell r="A169">
            <v>198</v>
          </cell>
          <cell r="B169">
            <v>52097.919999999998</v>
          </cell>
          <cell r="C169">
            <v>29027.91</v>
          </cell>
          <cell r="O169" t="e">
            <v>#N/A</v>
          </cell>
          <cell r="P169" t="e">
            <v>#N/A</v>
          </cell>
          <cell r="Q169" t="e">
            <v>#N/A</v>
          </cell>
          <cell r="R169" t="e">
            <v>#N/A</v>
          </cell>
          <cell r="S169" t="e">
            <v>#N/A</v>
          </cell>
          <cell r="T169" t="e">
            <v>#N/A</v>
          </cell>
          <cell r="U169">
            <v>52098.04</v>
          </cell>
          <cell r="V169">
            <v>29027.54</v>
          </cell>
          <cell r="W169" t="e">
            <v>#N/A</v>
          </cell>
          <cell r="X169" t="e">
            <v>#N/A</v>
          </cell>
          <cell r="Y169" t="e">
            <v>#N/A</v>
          </cell>
          <cell r="Z169" t="e">
            <v>#N/A</v>
          </cell>
        </row>
        <row r="170">
          <cell r="A170">
            <v>203</v>
          </cell>
          <cell r="B170">
            <v>52152.05</v>
          </cell>
          <cell r="C170">
            <v>29058.14</v>
          </cell>
          <cell r="O170" t="e">
            <v>#N/A</v>
          </cell>
          <cell r="P170" t="e">
            <v>#N/A</v>
          </cell>
          <cell r="Q170">
            <v>52152.2</v>
          </cell>
          <cell r="R170">
            <v>29058.17</v>
          </cell>
          <cell r="S170" t="e">
            <v>#N/A</v>
          </cell>
          <cell r="T170" t="e">
            <v>#N/A</v>
          </cell>
          <cell r="U170" t="e">
            <v>#N/A</v>
          </cell>
          <cell r="V170" t="e">
            <v>#N/A</v>
          </cell>
          <cell r="W170" t="e">
            <v>#N/A</v>
          </cell>
          <cell r="X170" t="e">
            <v>#N/A</v>
          </cell>
          <cell r="Y170" t="e">
            <v>#N/A</v>
          </cell>
          <cell r="Z170" t="e">
            <v>#N/A</v>
          </cell>
        </row>
        <row r="171">
          <cell r="A171">
            <v>205</v>
          </cell>
          <cell r="B171">
            <v>52141.33</v>
          </cell>
          <cell r="C171">
            <v>29056.13</v>
          </cell>
          <cell r="O171" t="e">
            <v>#N/A</v>
          </cell>
          <cell r="P171" t="e">
            <v>#N/A</v>
          </cell>
          <cell r="Q171" t="e">
            <v>#N/A</v>
          </cell>
          <cell r="R171" t="e">
            <v>#N/A</v>
          </cell>
          <cell r="S171" t="e">
            <v>#N/A</v>
          </cell>
          <cell r="T171" t="e">
            <v>#N/A</v>
          </cell>
          <cell r="U171">
            <v>52141.01</v>
          </cell>
          <cell r="V171">
            <v>29056.25</v>
          </cell>
          <cell r="W171" t="e">
            <v>#N/A</v>
          </cell>
          <cell r="X171" t="e">
            <v>#N/A</v>
          </cell>
          <cell r="Y171" t="e">
            <v>#N/A</v>
          </cell>
          <cell r="Z171" t="e">
            <v>#N/A</v>
          </cell>
        </row>
        <row r="172">
          <cell r="A172">
            <v>206</v>
          </cell>
          <cell r="B172">
            <v>52138.97</v>
          </cell>
          <cell r="C172">
            <v>29054.25</v>
          </cell>
          <cell r="O172" t="e">
            <v>#N/A</v>
          </cell>
          <cell r="P172" t="e">
            <v>#N/A</v>
          </cell>
          <cell r="Q172" t="e">
            <v>#N/A</v>
          </cell>
          <cell r="R172" t="e">
            <v>#N/A</v>
          </cell>
          <cell r="S172" t="e">
            <v>#N/A</v>
          </cell>
          <cell r="T172" t="e">
            <v>#N/A</v>
          </cell>
          <cell r="U172">
            <v>52138.69</v>
          </cell>
          <cell r="V172">
            <v>29054.52</v>
          </cell>
          <cell r="W172" t="e">
            <v>#N/A</v>
          </cell>
          <cell r="X172" t="e">
            <v>#N/A</v>
          </cell>
          <cell r="Y172" t="e">
            <v>#N/A</v>
          </cell>
          <cell r="Z172" t="e">
            <v>#N/A</v>
          </cell>
        </row>
        <row r="173">
          <cell r="A173">
            <v>215</v>
          </cell>
          <cell r="B173">
            <v>52098.61</v>
          </cell>
          <cell r="C173">
            <v>29034.34</v>
          </cell>
          <cell r="O173" t="e">
            <v>#N/A</v>
          </cell>
          <cell r="P173" t="e">
            <v>#N/A</v>
          </cell>
          <cell r="Q173" t="e">
            <v>#N/A</v>
          </cell>
          <cell r="R173" t="e">
            <v>#N/A</v>
          </cell>
          <cell r="S173" t="e">
            <v>#N/A</v>
          </cell>
          <cell r="T173" t="e">
            <v>#N/A</v>
          </cell>
          <cell r="U173" t="e">
            <v>#N/A</v>
          </cell>
          <cell r="V173" t="e">
            <v>#N/A</v>
          </cell>
          <cell r="W173" t="e">
            <v>#N/A</v>
          </cell>
          <cell r="X173" t="e">
            <v>#N/A</v>
          </cell>
          <cell r="Y173">
            <v>52098.23</v>
          </cell>
          <cell r="Z173">
            <v>29033.98</v>
          </cell>
        </row>
        <row r="174">
          <cell r="A174">
            <v>221</v>
          </cell>
          <cell r="B174">
            <v>52153.38</v>
          </cell>
          <cell r="C174">
            <v>29064.9</v>
          </cell>
          <cell r="O174" t="e">
            <v>#N/A</v>
          </cell>
          <cell r="P174" t="e">
            <v>#N/A</v>
          </cell>
          <cell r="Q174" t="e">
            <v>#N/A</v>
          </cell>
          <cell r="R174" t="e">
            <v>#N/A</v>
          </cell>
          <cell r="S174">
            <v>52153.27</v>
          </cell>
          <cell r="T174">
            <v>29064.71</v>
          </cell>
          <cell r="U174" t="e">
            <v>#N/A</v>
          </cell>
          <cell r="V174" t="e">
            <v>#N/A</v>
          </cell>
          <cell r="W174" t="e">
            <v>#N/A</v>
          </cell>
          <cell r="X174" t="e">
            <v>#N/A</v>
          </cell>
          <cell r="Y174" t="e">
            <v>#N/A</v>
          </cell>
          <cell r="Z174" t="e">
            <v>#N/A</v>
          </cell>
        </row>
        <row r="175">
          <cell r="A175">
            <v>222</v>
          </cell>
          <cell r="B175">
            <v>52147.44</v>
          </cell>
          <cell r="C175">
            <v>29062.25</v>
          </cell>
          <cell r="O175" t="e">
            <v>#N/A</v>
          </cell>
          <cell r="P175" t="e">
            <v>#N/A</v>
          </cell>
          <cell r="Q175">
            <v>52147.55</v>
          </cell>
          <cell r="R175">
            <v>29062.25</v>
          </cell>
          <cell r="S175" t="e">
            <v>#N/A</v>
          </cell>
          <cell r="T175" t="e">
            <v>#N/A</v>
          </cell>
          <cell r="U175" t="e">
            <v>#N/A</v>
          </cell>
          <cell r="V175" t="e">
            <v>#N/A</v>
          </cell>
          <cell r="W175" t="e">
            <v>#N/A</v>
          </cell>
          <cell r="X175" t="e">
            <v>#N/A</v>
          </cell>
          <cell r="Y175" t="e">
            <v>#N/A</v>
          </cell>
          <cell r="Z175" t="e">
            <v>#N/A</v>
          </cell>
        </row>
        <row r="176">
          <cell r="A176">
            <v>223</v>
          </cell>
          <cell r="B176">
            <v>52141.51</v>
          </cell>
          <cell r="C176">
            <v>29059.61</v>
          </cell>
          <cell r="O176" t="e">
            <v>#N/A</v>
          </cell>
          <cell r="P176" t="e">
            <v>#N/A</v>
          </cell>
          <cell r="Q176">
            <v>52141.33</v>
          </cell>
          <cell r="R176">
            <v>29059.599999999999</v>
          </cell>
          <cell r="S176" t="e">
            <v>#N/A</v>
          </cell>
          <cell r="T176" t="e">
            <v>#N/A</v>
          </cell>
          <cell r="U176" t="e">
            <v>#N/A</v>
          </cell>
          <cell r="V176" t="e">
            <v>#N/A</v>
          </cell>
          <cell r="W176" t="e">
            <v>#N/A</v>
          </cell>
          <cell r="X176" t="e">
            <v>#N/A</v>
          </cell>
          <cell r="Y176" t="e">
            <v>#N/A</v>
          </cell>
          <cell r="Z176" t="e">
            <v>#N/A</v>
          </cell>
        </row>
        <row r="177">
          <cell r="A177">
            <v>224</v>
          </cell>
          <cell r="B177">
            <v>52135.57</v>
          </cell>
          <cell r="C177">
            <v>29056.959999999999</v>
          </cell>
          <cell r="O177" t="e">
            <v>#N/A</v>
          </cell>
          <cell r="P177" t="e">
            <v>#N/A</v>
          </cell>
          <cell r="Q177" t="e">
            <v>#N/A</v>
          </cell>
          <cell r="R177" t="e">
            <v>#N/A</v>
          </cell>
          <cell r="S177" t="e">
            <v>#N/A</v>
          </cell>
          <cell r="T177" t="e">
            <v>#N/A</v>
          </cell>
          <cell r="U177" t="e">
            <v>#N/A</v>
          </cell>
          <cell r="V177" t="e">
            <v>#N/A</v>
          </cell>
          <cell r="W177">
            <v>52135.18</v>
          </cell>
          <cell r="X177">
            <v>29057.06</v>
          </cell>
          <cell r="Y177" t="e">
            <v>#N/A</v>
          </cell>
          <cell r="Z177" t="e">
            <v>#N/A</v>
          </cell>
        </row>
        <row r="178">
          <cell r="A178">
            <v>225</v>
          </cell>
          <cell r="B178">
            <v>52129.46</v>
          </cell>
          <cell r="C178">
            <v>29054.87</v>
          </cell>
          <cell r="O178" t="e">
            <v>#N/A</v>
          </cell>
          <cell r="P178" t="e">
            <v>#N/A</v>
          </cell>
          <cell r="Q178" t="e">
            <v>#N/A</v>
          </cell>
          <cell r="R178" t="e">
            <v>#N/A</v>
          </cell>
          <cell r="S178">
            <v>52129.38</v>
          </cell>
          <cell r="T178">
            <v>29054.65</v>
          </cell>
          <cell r="U178" t="e">
            <v>#N/A</v>
          </cell>
          <cell r="V178" t="e">
            <v>#N/A</v>
          </cell>
          <cell r="W178" t="e">
            <v>#N/A</v>
          </cell>
          <cell r="X178" t="e">
            <v>#N/A</v>
          </cell>
          <cell r="Y178" t="e">
            <v>#N/A</v>
          </cell>
          <cell r="Z178" t="e">
            <v>#N/A</v>
          </cell>
        </row>
        <row r="179">
          <cell r="A179">
            <v>226</v>
          </cell>
          <cell r="B179">
            <v>52123.48</v>
          </cell>
          <cell r="C179">
            <v>29052.21</v>
          </cell>
          <cell r="O179" t="e">
            <v>#N/A</v>
          </cell>
          <cell r="P179" t="e">
            <v>#N/A</v>
          </cell>
          <cell r="Q179">
            <v>52123.63</v>
          </cell>
          <cell r="R179">
            <v>29052.21</v>
          </cell>
          <cell r="S179" t="e">
            <v>#N/A</v>
          </cell>
          <cell r="T179" t="e">
            <v>#N/A</v>
          </cell>
          <cell r="U179" t="e">
            <v>#N/A</v>
          </cell>
          <cell r="V179" t="e">
            <v>#N/A</v>
          </cell>
          <cell r="W179" t="e">
            <v>#N/A</v>
          </cell>
          <cell r="X179" t="e">
            <v>#N/A</v>
          </cell>
          <cell r="Y179" t="e">
            <v>#N/A</v>
          </cell>
          <cell r="Z179" t="e">
            <v>#N/A</v>
          </cell>
        </row>
        <row r="180">
          <cell r="A180">
            <v>227</v>
          </cell>
          <cell r="B180">
            <v>52117.75</v>
          </cell>
          <cell r="C180">
            <v>29049.03</v>
          </cell>
          <cell r="O180" t="e">
            <v>#N/A</v>
          </cell>
          <cell r="P180" t="e">
            <v>#N/A</v>
          </cell>
          <cell r="Q180" t="e">
            <v>#N/A</v>
          </cell>
          <cell r="R180" t="e">
            <v>#N/A</v>
          </cell>
          <cell r="S180" t="e">
            <v>#N/A</v>
          </cell>
          <cell r="T180" t="e">
            <v>#N/A</v>
          </cell>
          <cell r="U180" t="e">
            <v>#N/A</v>
          </cell>
          <cell r="V180" t="e">
            <v>#N/A</v>
          </cell>
          <cell r="W180" t="e">
            <v>#N/A</v>
          </cell>
          <cell r="X180" t="e">
            <v>#N/A</v>
          </cell>
          <cell r="Y180">
            <v>52117.81</v>
          </cell>
          <cell r="Z180">
            <v>29049.55</v>
          </cell>
        </row>
        <row r="181">
          <cell r="A181">
            <v>229</v>
          </cell>
          <cell r="B181">
            <v>52104.19</v>
          </cell>
          <cell r="C181">
            <v>29042.01</v>
          </cell>
          <cell r="O181" t="e">
            <v>#N/A</v>
          </cell>
          <cell r="P181" t="e">
            <v>#N/A</v>
          </cell>
          <cell r="Q181" t="e">
            <v>#N/A</v>
          </cell>
          <cell r="R181" t="e">
            <v>#N/A</v>
          </cell>
          <cell r="S181" t="e">
            <v>#N/A</v>
          </cell>
          <cell r="T181" t="e">
            <v>#N/A</v>
          </cell>
          <cell r="U181">
            <v>52103.89</v>
          </cell>
          <cell r="V181">
            <v>29042.09</v>
          </cell>
          <cell r="W181" t="e">
            <v>#N/A</v>
          </cell>
          <cell r="X181" t="e">
            <v>#N/A</v>
          </cell>
          <cell r="Y181" t="e">
            <v>#N/A</v>
          </cell>
          <cell r="Z181" t="e">
            <v>#N/A</v>
          </cell>
        </row>
        <row r="182">
          <cell r="A182">
            <v>230</v>
          </cell>
          <cell r="B182">
            <v>52099.51</v>
          </cell>
          <cell r="C182">
            <v>29040.04</v>
          </cell>
          <cell r="O182" t="e">
            <v>#N/A</v>
          </cell>
          <cell r="P182" t="e">
            <v>#N/A</v>
          </cell>
          <cell r="Q182" t="e">
            <v>#N/A</v>
          </cell>
          <cell r="R182" t="e">
            <v>#N/A</v>
          </cell>
          <cell r="S182" t="e">
            <v>#N/A</v>
          </cell>
          <cell r="T182" t="e">
            <v>#N/A</v>
          </cell>
          <cell r="U182" t="e">
            <v>#N/A</v>
          </cell>
          <cell r="V182" t="e">
            <v>#N/A</v>
          </cell>
          <cell r="W182" t="e">
            <v>#N/A</v>
          </cell>
          <cell r="X182" t="e">
            <v>#N/A</v>
          </cell>
          <cell r="Y182">
            <v>52099.79</v>
          </cell>
          <cell r="Z182">
            <v>29039.51</v>
          </cell>
        </row>
        <row r="183">
          <cell r="A183">
            <v>233</v>
          </cell>
          <cell r="B183">
            <v>52135.62</v>
          </cell>
          <cell r="C183">
            <v>29063.08</v>
          </cell>
          <cell r="O183" t="e">
            <v>#N/A</v>
          </cell>
          <cell r="P183" t="e">
            <v>#N/A</v>
          </cell>
          <cell r="Q183" t="e">
            <v>#N/A</v>
          </cell>
          <cell r="R183" t="e">
            <v>#N/A</v>
          </cell>
          <cell r="S183" t="e">
            <v>#N/A</v>
          </cell>
          <cell r="T183" t="e">
            <v>#N/A</v>
          </cell>
          <cell r="U183" t="e">
            <v>#N/A</v>
          </cell>
          <cell r="V183" t="e">
            <v>#N/A</v>
          </cell>
          <cell r="W183">
            <v>52136.02</v>
          </cell>
          <cell r="X183">
            <v>29063.06</v>
          </cell>
          <cell r="Y183" t="e">
            <v>#N/A</v>
          </cell>
          <cell r="Z183" t="e">
            <v>#N/A</v>
          </cell>
        </row>
        <row r="184">
          <cell r="A184">
            <v>235</v>
          </cell>
          <cell r="B184">
            <v>52123.74</v>
          </cell>
          <cell r="C184">
            <v>29057.79</v>
          </cell>
          <cell r="O184" t="e">
            <v>#N/A</v>
          </cell>
          <cell r="P184" t="e">
            <v>#N/A</v>
          </cell>
          <cell r="Q184" t="e">
            <v>#N/A</v>
          </cell>
          <cell r="R184" t="e">
            <v>#N/A</v>
          </cell>
          <cell r="S184" t="e">
            <v>#N/A</v>
          </cell>
          <cell r="T184" t="e">
            <v>#N/A</v>
          </cell>
          <cell r="U184" t="e">
            <v>#N/A</v>
          </cell>
          <cell r="V184" t="e">
            <v>#N/A</v>
          </cell>
          <cell r="W184">
            <v>52124.14</v>
          </cell>
          <cell r="X184">
            <v>29057.97</v>
          </cell>
          <cell r="Y184" t="e">
            <v>#N/A</v>
          </cell>
          <cell r="Z184" t="e">
            <v>#N/A</v>
          </cell>
        </row>
        <row r="185">
          <cell r="A185">
            <v>236</v>
          </cell>
          <cell r="B185">
            <v>52117.81</v>
          </cell>
          <cell r="C185">
            <v>29055.15</v>
          </cell>
          <cell r="O185" t="e">
            <v>#N/A</v>
          </cell>
          <cell r="P185" t="e">
            <v>#N/A</v>
          </cell>
          <cell r="Q185">
            <v>52117.91</v>
          </cell>
          <cell r="R185">
            <v>29055.26</v>
          </cell>
          <cell r="S185" t="e">
            <v>#N/A</v>
          </cell>
          <cell r="T185" t="e">
            <v>#N/A</v>
          </cell>
          <cell r="U185" t="e">
            <v>#N/A</v>
          </cell>
          <cell r="V185" t="e">
            <v>#N/A</v>
          </cell>
          <cell r="W185" t="e">
            <v>#N/A</v>
          </cell>
          <cell r="X185" t="e">
            <v>#N/A</v>
          </cell>
          <cell r="Y185" t="e">
            <v>#N/A</v>
          </cell>
          <cell r="Z185" t="e">
            <v>#N/A</v>
          </cell>
        </row>
        <row r="186">
          <cell r="A186">
            <v>243</v>
          </cell>
          <cell r="B186">
            <v>52130.37</v>
          </cell>
          <cell r="C186">
            <v>29066.880000000001</v>
          </cell>
          <cell r="O186" t="e">
            <v>#N/A</v>
          </cell>
          <cell r="P186" t="e">
            <v>#N/A</v>
          </cell>
          <cell r="Q186" t="e">
            <v>#N/A</v>
          </cell>
          <cell r="R186" t="e">
            <v>#N/A</v>
          </cell>
          <cell r="S186" t="e">
            <v>#N/A</v>
          </cell>
          <cell r="T186" t="e">
            <v>#N/A</v>
          </cell>
          <cell r="U186" t="e">
            <v>#N/A</v>
          </cell>
          <cell r="V186" t="e">
            <v>#N/A</v>
          </cell>
          <cell r="W186">
            <v>52130.82</v>
          </cell>
          <cell r="X186">
            <v>29066.84</v>
          </cell>
          <cell r="Y186" t="e">
            <v>#N/A</v>
          </cell>
          <cell r="Z186" t="e">
            <v>#N/A</v>
          </cell>
        </row>
        <row r="187">
          <cell r="A187">
            <v>244</v>
          </cell>
          <cell r="B187">
            <v>52124.44</v>
          </cell>
          <cell r="C187">
            <v>29064.23</v>
          </cell>
          <cell r="O187" t="e">
            <v>#N/A</v>
          </cell>
          <cell r="P187" t="e">
            <v>#N/A</v>
          </cell>
          <cell r="Q187" t="e">
            <v>#N/A</v>
          </cell>
          <cell r="R187" t="e">
            <v>#N/A</v>
          </cell>
          <cell r="S187" t="e">
            <v>#N/A</v>
          </cell>
          <cell r="T187" t="e">
            <v>#N/A</v>
          </cell>
          <cell r="U187">
            <v>52124.71</v>
          </cell>
          <cell r="V187">
            <v>29064.04</v>
          </cell>
          <cell r="W187" t="e">
            <v>#N/A</v>
          </cell>
          <cell r="X187" t="e">
            <v>#N/A</v>
          </cell>
          <cell r="Y187" t="e">
            <v>#N/A</v>
          </cell>
          <cell r="Z187" t="e">
            <v>#N/A</v>
          </cell>
        </row>
        <row r="188">
          <cell r="A188">
            <v>245</v>
          </cell>
          <cell r="B188">
            <v>52118.5</v>
          </cell>
          <cell r="C188">
            <v>29061.59</v>
          </cell>
          <cell r="O188" t="e">
            <v>#N/A</v>
          </cell>
          <cell r="P188" t="e">
            <v>#N/A</v>
          </cell>
          <cell r="Q188" t="e">
            <v>#N/A</v>
          </cell>
          <cell r="R188" t="e">
            <v>#N/A</v>
          </cell>
          <cell r="S188">
            <v>52118.64</v>
          </cell>
          <cell r="T188">
            <v>29061.79</v>
          </cell>
          <cell r="U188" t="e">
            <v>#N/A</v>
          </cell>
          <cell r="V188" t="e">
            <v>#N/A</v>
          </cell>
          <cell r="W188" t="e">
            <v>#N/A</v>
          </cell>
          <cell r="X188" t="e">
            <v>#N/A</v>
          </cell>
          <cell r="Y188" t="e">
            <v>#N/A</v>
          </cell>
          <cell r="Z188" t="e">
            <v>#N/A</v>
          </cell>
        </row>
        <row r="189">
          <cell r="A189">
            <v>246</v>
          </cell>
          <cell r="B189">
            <v>52112.56</v>
          </cell>
          <cell r="C189">
            <v>29058.94</v>
          </cell>
          <cell r="O189" t="e">
            <v>#N/A</v>
          </cell>
          <cell r="P189" t="e">
            <v>#N/A</v>
          </cell>
          <cell r="Q189">
            <v>52112.38</v>
          </cell>
          <cell r="R189">
            <v>29058.880000000001</v>
          </cell>
          <cell r="S189" t="e">
            <v>#N/A</v>
          </cell>
          <cell r="T189" t="e">
            <v>#N/A</v>
          </cell>
          <cell r="U189" t="e">
            <v>#N/A</v>
          </cell>
          <cell r="V189" t="e">
            <v>#N/A</v>
          </cell>
          <cell r="W189" t="e">
            <v>#N/A</v>
          </cell>
          <cell r="X189" t="e">
            <v>#N/A</v>
          </cell>
          <cell r="Y189" t="e">
            <v>#N/A</v>
          </cell>
          <cell r="Z189" t="e">
            <v>#N/A</v>
          </cell>
        </row>
        <row r="190">
          <cell r="A190">
            <v>250</v>
          </cell>
          <cell r="B190">
            <v>52125.13</v>
          </cell>
          <cell r="C190">
            <v>29070.67</v>
          </cell>
          <cell r="O190" t="e">
            <v>#N/A</v>
          </cell>
          <cell r="P190" t="e">
            <v>#N/A</v>
          </cell>
          <cell r="Q190">
            <v>52125.23</v>
          </cell>
          <cell r="R190">
            <v>29070.7</v>
          </cell>
          <cell r="S190" t="e">
            <v>#N/A</v>
          </cell>
          <cell r="T190" t="e">
            <v>#N/A</v>
          </cell>
          <cell r="U190" t="e">
            <v>#N/A</v>
          </cell>
          <cell r="V190" t="e">
            <v>#N/A</v>
          </cell>
          <cell r="W190" t="e">
            <v>#N/A</v>
          </cell>
          <cell r="X190" t="e">
            <v>#N/A</v>
          </cell>
          <cell r="Y190" t="e">
            <v>#N/A</v>
          </cell>
          <cell r="Z190" t="e">
            <v>#N/A</v>
          </cell>
        </row>
        <row r="191">
          <cell r="A191">
            <v>251</v>
          </cell>
          <cell r="B191">
            <v>52119.19</v>
          </cell>
          <cell r="C191">
            <v>29068.03</v>
          </cell>
          <cell r="O191" t="e">
            <v>#N/A</v>
          </cell>
          <cell r="P191" t="e">
            <v>#N/A</v>
          </cell>
          <cell r="Q191" t="e">
            <v>#N/A</v>
          </cell>
          <cell r="R191" t="e">
            <v>#N/A</v>
          </cell>
          <cell r="S191" t="e">
            <v>#N/A</v>
          </cell>
          <cell r="T191" t="e">
            <v>#N/A</v>
          </cell>
          <cell r="U191">
            <v>52119.09</v>
          </cell>
          <cell r="V191">
            <v>29067.72</v>
          </cell>
          <cell r="W191" t="e">
            <v>#N/A</v>
          </cell>
          <cell r="X191" t="e">
            <v>#N/A</v>
          </cell>
          <cell r="Y191" t="e">
            <v>#N/A</v>
          </cell>
          <cell r="Z191" t="e">
            <v>#N/A</v>
          </cell>
        </row>
        <row r="192">
          <cell r="A192">
            <v>252</v>
          </cell>
          <cell r="B192">
            <v>52113.25</v>
          </cell>
          <cell r="C192">
            <v>29065.38</v>
          </cell>
          <cell r="O192" t="e">
            <v>#N/A</v>
          </cell>
          <cell r="P192" t="e">
            <v>#N/A</v>
          </cell>
          <cell r="Q192" t="e">
            <v>#N/A</v>
          </cell>
          <cell r="R192" t="e">
            <v>#N/A</v>
          </cell>
          <cell r="S192" t="e">
            <v>#N/A</v>
          </cell>
          <cell r="T192" t="e">
            <v>#N/A</v>
          </cell>
          <cell r="U192" t="e">
            <v>#N/A</v>
          </cell>
          <cell r="V192" t="e">
            <v>#N/A</v>
          </cell>
          <cell r="W192">
            <v>52113.18</v>
          </cell>
          <cell r="X192">
            <v>29065.83</v>
          </cell>
          <cell r="Y192" t="e">
            <v>#N/A</v>
          </cell>
          <cell r="Z192" t="e">
            <v>#N/A</v>
          </cell>
        </row>
        <row r="193">
          <cell r="A193">
            <v>253</v>
          </cell>
          <cell r="B193">
            <v>52107.31</v>
          </cell>
          <cell r="C193">
            <v>29062.74</v>
          </cell>
          <cell r="O193" t="e">
            <v>#N/A</v>
          </cell>
          <cell r="P193" t="e">
            <v>#N/A</v>
          </cell>
          <cell r="Q193" t="e">
            <v>#N/A</v>
          </cell>
          <cell r="R193" t="e">
            <v>#N/A</v>
          </cell>
          <cell r="S193" t="e">
            <v>#N/A</v>
          </cell>
          <cell r="T193" t="e">
            <v>#N/A</v>
          </cell>
          <cell r="U193">
            <v>52107.7</v>
          </cell>
          <cell r="V193">
            <v>29062.71</v>
          </cell>
          <cell r="W193" t="e">
            <v>#N/A</v>
          </cell>
          <cell r="X193" t="e">
            <v>#N/A</v>
          </cell>
          <cell r="Y193" t="e">
            <v>#N/A</v>
          </cell>
          <cell r="Z193" t="e">
            <v>#N/A</v>
          </cell>
        </row>
        <row r="194">
          <cell r="A194">
            <v>255</v>
          </cell>
          <cell r="B194">
            <v>52119.88</v>
          </cell>
          <cell r="C194">
            <v>29074.46</v>
          </cell>
          <cell r="O194" t="e">
            <v>#N/A</v>
          </cell>
          <cell r="P194" t="e">
            <v>#N/A</v>
          </cell>
          <cell r="Q194" t="e">
            <v>#N/A</v>
          </cell>
          <cell r="R194" t="e">
            <v>#N/A</v>
          </cell>
          <cell r="S194" t="e">
            <v>#N/A</v>
          </cell>
          <cell r="T194" t="e">
            <v>#N/A</v>
          </cell>
          <cell r="U194" t="e">
            <v>#N/A</v>
          </cell>
          <cell r="V194" t="e">
            <v>#N/A</v>
          </cell>
          <cell r="W194" t="e">
            <v>#N/A</v>
          </cell>
          <cell r="X194" t="e">
            <v>#N/A</v>
          </cell>
          <cell r="Y194">
            <v>52119.66</v>
          </cell>
          <cell r="Z194">
            <v>29074.92</v>
          </cell>
        </row>
        <row r="195">
          <cell r="A195">
            <v>256</v>
          </cell>
          <cell r="B195">
            <v>52113.94</v>
          </cell>
          <cell r="C195">
            <v>29071.82</v>
          </cell>
          <cell r="O195" t="e">
            <v>#N/A</v>
          </cell>
          <cell r="P195" t="e">
            <v>#N/A</v>
          </cell>
          <cell r="Q195">
            <v>52114.06</v>
          </cell>
          <cell r="R195">
            <v>29071.86</v>
          </cell>
          <cell r="S195" t="e">
            <v>#N/A</v>
          </cell>
          <cell r="T195" t="e">
            <v>#N/A</v>
          </cell>
          <cell r="U195" t="e">
            <v>#N/A</v>
          </cell>
          <cell r="V195" t="e">
            <v>#N/A</v>
          </cell>
          <cell r="W195" t="e">
            <v>#N/A</v>
          </cell>
          <cell r="X195" t="e">
            <v>#N/A</v>
          </cell>
          <cell r="Y195" t="e">
            <v>#N/A</v>
          </cell>
          <cell r="Z195" t="e">
            <v>#N/A</v>
          </cell>
        </row>
        <row r="196">
          <cell r="A196">
            <v>257</v>
          </cell>
          <cell r="B196">
            <v>52109.59</v>
          </cell>
          <cell r="C196">
            <v>29068.15</v>
          </cell>
          <cell r="O196" t="e">
            <v>#N/A</v>
          </cell>
          <cell r="P196" t="e">
            <v>#N/A</v>
          </cell>
          <cell r="Q196" t="e">
            <v>#N/A</v>
          </cell>
          <cell r="R196" t="e">
            <v>#N/A</v>
          </cell>
          <cell r="S196" t="e">
            <v>#N/A</v>
          </cell>
          <cell r="T196" t="e">
            <v>#N/A</v>
          </cell>
          <cell r="U196">
            <v>52109.88</v>
          </cell>
          <cell r="V196">
            <v>29068.38</v>
          </cell>
          <cell r="W196" t="e">
            <v>#N/A</v>
          </cell>
          <cell r="X196" t="e">
            <v>#N/A</v>
          </cell>
          <cell r="Y196" t="e">
            <v>#N/A</v>
          </cell>
          <cell r="Z196" t="e">
            <v>#N/A</v>
          </cell>
        </row>
        <row r="197">
          <cell r="A197">
            <v>258</v>
          </cell>
          <cell r="B197">
            <v>52116.480000000003</v>
          </cell>
          <cell r="C197">
            <v>29078.240000000002</v>
          </cell>
          <cell r="O197" t="e">
            <v>#N/A</v>
          </cell>
          <cell r="P197" t="e">
            <v>#N/A</v>
          </cell>
          <cell r="Q197" t="e">
            <v>#N/A</v>
          </cell>
          <cell r="R197" t="e">
            <v>#N/A</v>
          </cell>
          <cell r="S197" t="e">
            <v>#N/A</v>
          </cell>
          <cell r="T197" t="e">
            <v>#N/A</v>
          </cell>
          <cell r="U197" t="e">
            <v>#N/A</v>
          </cell>
          <cell r="V197" t="e">
            <v>#N/A</v>
          </cell>
          <cell r="W197">
            <v>52116.86</v>
          </cell>
          <cell r="X197">
            <v>29078.44</v>
          </cell>
          <cell r="Y197" t="e">
            <v>#N/A</v>
          </cell>
          <cell r="Z197" t="e">
            <v>#N/A</v>
          </cell>
        </row>
        <row r="198">
          <cell r="A198" t="e">
            <v>#N/A</v>
          </cell>
          <cell r="B198" t="e">
            <v>#N/A</v>
          </cell>
          <cell r="C198" t="e">
            <v>#N/A</v>
          </cell>
          <cell r="O198" t="e">
            <v>#N/A</v>
          </cell>
          <cell r="P198" t="e">
            <v>#N/A</v>
          </cell>
          <cell r="Q198" t="e">
            <v>#N/A</v>
          </cell>
          <cell r="R198" t="e">
            <v>#N/A</v>
          </cell>
          <cell r="S198" t="e">
            <v>#N/A</v>
          </cell>
          <cell r="T198" t="e">
            <v>#N/A</v>
          </cell>
          <cell r="U198" t="e">
            <v>#N/A</v>
          </cell>
          <cell r="V198" t="e">
            <v>#N/A</v>
          </cell>
          <cell r="W198" t="e">
            <v>#N/A</v>
          </cell>
          <cell r="X198" t="e">
            <v>#N/A</v>
          </cell>
          <cell r="Y198" t="e">
            <v>#N/A</v>
          </cell>
          <cell r="Z198" t="e">
            <v>#N/A</v>
          </cell>
        </row>
        <row r="199">
          <cell r="A199" t="e">
            <v>#N/A</v>
          </cell>
          <cell r="B199" t="e">
            <v>#N/A</v>
          </cell>
          <cell r="C199" t="e">
            <v>#N/A</v>
          </cell>
          <cell r="O199" t="e">
            <v>#N/A</v>
          </cell>
          <cell r="P199" t="e">
            <v>#N/A</v>
          </cell>
          <cell r="Q199" t="e">
            <v>#N/A</v>
          </cell>
          <cell r="R199" t="e">
            <v>#N/A</v>
          </cell>
          <cell r="S199" t="e">
            <v>#N/A</v>
          </cell>
          <cell r="T199" t="e">
            <v>#N/A</v>
          </cell>
          <cell r="U199" t="e">
            <v>#N/A</v>
          </cell>
          <cell r="V199" t="e">
            <v>#N/A</v>
          </cell>
          <cell r="W199" t="e">
            <v>#N/A</v>
          </cell>
          <cell r="X199" t="e">
            <v>#N/A</v>
          </cell>
          <cell r="Y199" t="e">
            <v>#N/A</v>
          </cell>
          <cell r="Z199" t="e">
            <v>#N/A</v>
          </cell>
        </row>
        <row r="200">
          <cell r="A200" t="e">
            <v>#N/A</v>
          </cell>
          <cell r="B200" t="e">
            <v>#N/A</v>
          </cell>
          <cell r="C200" t="e">
            <v>#N/A</v>
          </cell>
          <cell r="O200" t="e">
            <v>#N/A</v>
          </cell>
          <cell r="P200" t="e">
            <v>#N/A</v>
          </cell>
          <cell r="Q200" t="e">
            <v>#N/A</v>
          </cell>
          <cell r="R200" t="e">
            <v>#N/A</v>
          </cell>
          <cell r="S200" t="e">
            <v>#N/A</v>
          </cell>
          <cell r="T200" t="e">
            <v>#N/A</v>
          </cell>
          <cell r="U200" t="e">
            <v>#N/A</v>
          </cell>
          <cell r="V200" t="e">
            <v>#N/A</v>
          </cell>
          <cell r="W200" t="e">
            <v>#N/A</v>
          </cell>
          <cell r="X200" t="e">
            <v>#N/A</v>
          </cell>
          <cell r="Y200" t="e">
            <v>#N/A</v>
          </cell>
          <cell r="Z200" t="e">
            <v>#N/A</v>
          </cell>
        </row>
        <row r="201">
          <cell r="A201" t="e">
            <v>#N/A</v>
          </cell>
          <cell r="B201" t="e">
            <v>#N/A</v>
          </cell>
          <cell r="C201" t="e">
            <v>#N/A</v>
          </cell>
          <cell r="O201" t="e">
            <v>#N/A</v>
          </cell>
          <cell r="P201" t="e">
            <v>#N/A</v>
          </cell>
          <cell r="Q201" t="e">
            <v>#N/A</v>
          </cell>
          <cell r="R201" t="e">
            <v>#N/A</v>
          </cell>
          <cell r="S201" t="e">
            <v>#N/A</v>
          </cell>
          <cell r="T201" t="e">
            <v>#N/A</v>
          </cell>
          <cell r="U201" t="e">
            <v>#N/A</v>
          </cell>
          <cell r="V201" t="e">
            <v>#N/A</v>
          </cell>
          <cell r="W201" t="e">
            <v>#N/A</v>
          </cell>
          <cell r="X201" t="e">
            <v>#N/A</v>
          </cell>
          <cell r="Y201" t="e">
            <v>#N/A</v>
          </cell>
          <cell r="Z201" t="e">
            <v>#N/A</v>
          </cell>
        </row>
        <row r="202">
          <cell r="A202" t="e">
            <v>#N/A</v>
          </cell>
          <cell r="B202" t="e">
            <v>#N/A</v>
          </cell>
          <cell r="C202" t="e">
            <v>#N/A</v>
          </cell>
          <cell r="O202" t="e">
            <v>#N/A</v>
          </cell>
          <cell r="P202" t="e">
            <v>#N/A</v>
          </cell>
          <cell r="Q202" t="e">
            <v>#N/A</v>
          </cell>
          <cell r="R202" t="e">
            <v>#N/A</v>
          </cell>
          <cell r="S202" t="e">
            <v>#N/A</v>
          </cell>
          <cell r="T202" t="e">
            <v>#N/A</v>
          </cell>
          <cell r="U202" t="e">
            <v>#N/A</v>
          </cell>
          <cell r="V202" t="e">
            <v>#N/A</v>
          </cell>
          <cell r="W202" t="e">
            <v>#N/A</v>
          </cell>
          <cell r="X202" t="e">
            <v>#N/A</v>
          </cell>
          <cell r="Y202" t="e">
            <v>#N/A</v>
          </cell>
          <cell r="Z202" t="e">
            <v>#N/A</v>
          </cell>
        </row>
        <row r="203">
          <cell r="A203" t="e">
            <v>#N/A</v>
          </cell>
          <cell r="B203" t="e">
            <v>#N/A</v>
          </cell>
          <cell r="C203" t="e">
            <v>#N/A</v>
          </cell>
          <cell r="O203" t="e">
            <v>#N/A</v>
          </cell>
          <cell r="P203" t="e">
            <v>#N/A</v>
          </cell>
          <cell r="Q203" t="e">
            <v>#N/A</v>
          </cell>
          <cell r="R203" t="e">
            <v>#N/A</v>
          </cell>
          <cell r="S203" t="e">
            <v>#N/A</v>
          </cell>
          <cell r="T203" t="e">
            <v>#N/A</v>
          </cell>
          <cell r="U203" t="e">
            <v>#N/A</v>
          </cell>
          <cell r="V203" t="e">
            <v>#N/A</v>
          </cell>
          <cell r="W203" t="e">
            <v>#N/A</v>
          </cell>
          <cell r="X203" t="e">
            <v>#N/A</v>
          </cell>
          <cell r="Y203" t="e">
            <v>#N/A</v>
          </cell>
          <cell r="Z203" t="e">
            <v>#N/A</v>
          </cell>
        </row>
        <row r="204">
          <cell r="A204" t="e">
            <v>#N/A</v>
          </cell>
          <cell r="B204" t="e">
            <v>#N/A</v>
          </cell>
          <cell r="C204" t="e">
            <v>#N/A</v>
          </cell>
          <cell r="O204" t="e">
            <v>#N/A</v>
          </cell>
          <cell r="P204" t="e">
            <v>#N/A</v>
          </cell>
          <cell r="Q204" t="e">
            <v>#N/A</v>
          </cell>
          <cell r="R204" t="e">
            <v>#N/A</v>
          </cell>
          <cell r="S204" t="e">
            <v>#N/A</v>
          </cell>
          <cell r="T204" t="e">
            <v>#N/A</v>
          </cell>
          <cell r="U204" t="e">
            <v>#N/A</v>
          </cell>
          <cell r="V204" t="e">
            <v>#N/A</v>
          </cell>
          <cell r="W204" t="e">
            <v>#N/A</v>
          </cell>
          <cell r="X204" t="e">
            <v>#N/A</v>
          </cell>
          <cell r="Y204" t="e">
            <v>#N/A</v>
          </cell>
          <cell r="Z204" t="e">
            <v>#N/A</v>
          </cell>
        </row>
        <row r="205">
          <cell r="A205" t="e">
            <v>#N/A</v>
          </cell>
          <cell r="B205" t="e">
            <v>#N/A</v>
          </cell>
          <cell r="C205" t="e">
            <v>#N/A</v>
          </cell>
          <cell r="O205" t="e">
            <v>#N/A</v>
          </cell>
          <cell r="P205" t="e">
            <v>#N/A</v>
          </cell>
          <cell r="Q205" t="e">
            <v>#N/A</v>
          </cell>
          <cell r="R205" t="e">
            <v>#N/A</v>
          </cell>
          <cell r="S205" t="e">
            <v>#N/A</v>
          </cell>
          <cell r="T205" t="e">
            <v>#N/A</v>
          </cell>
          <cell r="U205" t="e">
            <v>#N/A</v>
          </cell>
          <cell r="V205" t="e">
            <v>#N/A</v>
          </cell>
          <cell r="W205" t="e">
            <v>#N/A</v>
          </cell>
          <cell r="X205" t="e">
            <v>#N/A</v>
          </cell>
          <cell r="Y205" t="e">
            <v>#N/A</v>
          </cell>
          <cell r="Z205" t="e">
            <v>#N/A</v>
          </cell>
        </row>
        <row r="206">
          <cell r="A206" t="e">
            <v>#N/A</v>
          </cell>
          <cell r="B206" t="e">
            <v>#N/A</v>
          </cell>
          <cell r="C206" t="e">
            <v>#N/A</v>
          </cell>
          <cell r="O206" t="e">
            <v>#N/A</v>
          </cell>
          <cell r="P206" t="e">
            <v>#N/A</v>
          </cell>
          <cell r="Q206" t="e">
            <v>#N/A</v>
          </cell>
          <cell r="R206" t="e">
            <v>#N/A</v>
          </cell>
          <cell r="S206" t="e">
            <v>#N/A</v>
          </cell>
          <cell r="T206" t="e">
            <v>#N/A</v>
          </cell>
          <cell r="U206" t="e">
            <v>#N/A</v>
          </cell>
          <cell r="V206" t="e">
            <v>#N/A</v>
          </cell>
          <cell r="W206" t="e">
            <v>#N/A</v>
          </cell>
          <cell r="X206" t="e">
            <v>#N/A</v>
          </cell>
          <cell r="Y206" t="e">
            <v>#N/A</v>
          </cell>
          <cell r="Z206" t="e">
            <v>#N/A</v>
          </cell>
        </row>
        <row r="207">
          <cell r="A207" t="e">
            <v>#N/A</v>
          </cell>
          <cell r="B207" t="e">
            <v>#N/A</v>
          </cell>
          <cell r="C207" t="e">
            <v>#N/A</v>
          </cell>
          <cell r="O207" t="e">
            <v>#N/A</v>
          </cell>
          <cell r="P207" t="e">
            <v>#N/A</v>
          </cell>
          <cell r="Q207" t="e">
            <v>#N/A</v>
          </cell>
          <cell r="R207" t="e">
            <v>#N/A</v>
          </cell>
          <cell r="S207" t="e">
            <v>#N/A</v>
          </cell>
          <cell r="T207" t="e">
            <v>#N/A</v>
          </cell>
          <cell r="U207" t="e">
            <v>#N/A</v>
          </cell>
          <cell r="V207" t="e">
            <v>#N/A</v>
          </cell>
          <cell r="W207" t="e">
            <v>#N/A</v>
          </cell>
          <cell r="X207" t="e">
            <v>#N/A</v>
          </cell>
          <cell r="Y207" t="e">
            <v>#N/A</v>
          </cell>
          <cell r="Z207" t="e">
            <v>#N/A</v>
          </cell>
        </row>
        <row r="208">
          <cell r="A208" t="e">
            <v>#N/A</v>
          </cell>
          <cell r="B208" t="e">
            <v>#N/A</v>
          </cell>
          <cell r="C208" t="e">
            <v>#N/A</v>
          </cell>
          <cell r="O208" t="e">
            <v>#N/A</v>
          </cell>
          <cell r="P208" t="e">
            <v>#N/A</v>
          </cell>
          <cell r="Q208" t="e">
            <v>#N/A</v>
          </cell>
          <cell r="R208" t="e">
            <v>#N/A</v>
          </cell>
          <cell r="S208" t="e">
            <v>#N/A</v>
          </cell>
          <cell r="T208" t="e">
            <v>#N/A</v>
          </cell>
          <cell r="U208" t="e">
            <v>#N/A</v>
          </cell>
          <cell r="V208" t="e">
            <v>#N/A</v>
          </cell>
          <cell r="W208" t="e">
            <v>#N/A</v>
          </cell>
          <cell r="X208" t="e">
            <v>#N/A</v>
          </cell>
          <cell r="Y208" t="e">
            <v>#N/A</v>
          </cell>
          <cell r="Z208" t="e">
            <v>#N/A</v>
          </cell>
        </row>
        <row r="209">
          <cell r="A209" t="e">
            <v>#N/A</v>
          </cell>
          <cell r="B209" t="e">
            <v>#N/A</v>
          </cell>
          <cell r="C209" t="e">
            <v>#N/A</v>
          </cell>
          <cell r="O209" t="e">
            <v>#N/A</v>
          </cell>
          <cell r="P209" t="e">
            <v>#N/A</v>
          </cell>
          <cell r="Q209" t="e">
            <v>#N/A</v>
          </cell>
          <cell r="R209" t="e">
            <v>#N/A</v>
          </cell>
          <cell r="S209" t="e">
            <v>#N/A</v>
          </cell>
          <cell r="T209" t="e">
            <v>#N/A</v>
          </cell>
          <cell r="U209" t="e">
            <v>#N/A</v>
          </cell>
          <cell r="V209" t="e">
            <v>#N/A</v>
          </cell>
          <cell r="W209" t="e">
            <v>#N/A</v>
          </cell>
          <cell r="X209" t="e">
            <v>#N/A</v>
          </cell>
          <cell r="Y209" t="e">
            <v>#N/A</v>
          </cell>
          <cell r="Z209" t="e">
            <v>#N/A</v>
          </cell>
        </row>
        <row r="210">
          <cell r="A210" t="e">
            <v>#N/A</v>
          </cell>
          <cell r="B210" t="e">
            <v>#N/A</v>
          </cell>
          <cell r="C210" t="e">
            <v>#N/A</v>
          </cell>
          <cell r="O210" t="e">
            <v>#N/A</v>
          </cell>
          <cell r="P210" t="e">
            <v>#N/A</v>
          </cell>
          <cell r="Q210" t="e">
            <v>#N/A</v>
          </cell>
          <cell r="R210" t="e">
            <v>#N/A</v>
          </cell>
          <cell r="S210" t="e">
            <v>#N/A</v>
          </cell>
          <cell r="T210" t="e">
            <v>#N/A</v>
          </cell>
          <cell r="U210" t="e">
            <v>#N/A</v>
          </cell>
          <cell r="V210" t="e">
            <v>#N/A</v>
          </cell>
          <cell r="W210" t="e">
            <v>#N/A</v>
          </cell>
          <cell r="X210" t="e">
            <v>#N/A</v>
          </cell>
          <cell r="Y210" t="e">
            <v>#N/A</v>
          </cell>
          <cell r="Z210" t="e">
            <v>#N/A</v>
          </cell>
        </row>
        <row r="211">
          <cell r="A211" t="e">
            <v>#N/A</v>
          </cell>
          <cell r="B211" t="e">
            <v>#N/A</v>
          </cell>
          <cell r="C211" t="e">
            <v>#N/A</v>
          </cell>
          <cell r="O211" t="e">
            <v>#N/A</v>
          </cell>
          <cell r="P211" t="e">
            <v>#N/A</v>
          </cell>
          <cell r="Q211" t="e">
            <v>#N/A</v>
          </cell>
          <cell r="R211" t="e">
            <v>#N/A</v>
          </cell>
          <cell r="S211" t="e">
            <v>#N/A</v>
          </cell>
          <cell r="T211" t="e">
            <v>#N/A</v>
          </cell>
          <cell r="U211" t="e">
            <v>#N/A</v>
          </cell>
          <cell r="V211" t="e">
            <v>#N/A</v>
          </cell>
          <cell r="W211" t="e">
            <v>#N/A</v>
          </cell>
          <cell r="X211" t="e">
            <v>#N/A</v>
          </cell>
          <cell r="Y211" t="e">
            <v>#N/A</v>
          </cell>
          <cell r="Z211" t="e">
            <v>#N/A</v>
          </cell>
        </row>
        <row r="212">
          <cell r="A212" t="e">
            <v>#N/A</v>
          </cell>
          <cell r="B212" t="e">
            <v>#N/A</v>
          </cell>
          <cell r="C212" t="e">
            <v>#N/A</v>
          </cell>
          <cell r="O212" t="e">
            <v>#N/A</v>
          </cell>
          <cell r="P212" t="e">
            <v>#N/A</v>
          </cell>
          <cell r="Q212" t="e">
            <v>#N/A</v>
          </cell>
          <cell r="R212" t="e">
            <v>#N/A</v>
          </cell>
          <cell r="S212" t="e">
            <v>#N/A</v>
          </cell>
          <cell r="T212" t="e">
            <v>#N/A</v>
          </cell>
          <cell r="U212" t="e">
            <v>#N/A</v>
          </cell>
          <cell r="V212" t="e">
            <v>#N/A</v>
          </cell>
          <cell r="W212" t="e">
            <v>#N/A</v>
          </cell>
          <cell r="X212" t="e">
            <v>#N/A</v>
          </cell>
          <cell r="Y212" t="e">
            <v>#N/A</v>
          </cell>
          <cell r="Z212" t="e">
            <v>#N/A</v>
          </cell>
        </row>
        <row r="213">
          <cell r="A213" t="e">
            <v>#N/A</v>
          </cell>
          <cell r="B213" t="e">
            <v>#N/A</v>
          </cell>
          <cell r="C213" t="e">
            <v>#N/A</v>
          </cell>
          <cell r="O213" t="e">
            <v>#N/A</v>
          </cell>
          <cell r="P213" t="e">
            <v>#N/A</v>
          </cell>
          <cell r="Q213" t="e">
            <v>#N/A</v>
          </cell>
          <cell r="R213" t="e">
            <v>#N/A</v>
          </cell>
          <cell r="S213" t="e">
            <v>#N/A</v>
          </cell>
          <cell r="T213" t="e">
            <v>#N/A</v>
          </cell>
          <cell r="U213" t="e">
            <v>#N/A</v>
          </cell>
          <cell r="V213" t="e">
            <v>#N/A</v>
          </cell>
          <cell r="W213" t="e">
            <v>#N/A</v>
          </cell>
          <cell r="X213" t="e">
            <v>#N/A</v>
          </cell>
          <cell r="Y213" t="e">
            <v>#N/A</v>
          </cell>
          <cell r="Z213" t="e">
            <v>#N/A</v>
          </cell>
        </row>
        <row r="214">
          <cell r="A214" t="e">
            <v>#N/A</v>
          </cell>
          <cell r="B214" t="e">
            <v>#N/A</v>
          </cell>
          <cell r="C214" t="e">
            <v>#N/A</v>
          </cell>
          <cell r="O214" t="e">
            <v>#N/A</v>
          </cell>
          <cell r="P214" t="e">
            <v>#N/A</v>
          </cell>
          <cell r="Q214" t="e">
            <v>#N/A</v>
          </cell>
          <cell r="R214" t="e">
            <v>#N/A</v>
          </cell>
          <cell r="S214" t="e">
            <v>#N/A</v>
          </cell>
          <cell r="T214" t="e">
            <v>#N/A</v>
          </cell>
          <cell r="U214" t="e">
            <v>#N/A</v>
          </cell>
          <cell r="V214" t="e">
            <v>#N/A</v>
          </cell>
          <cell r="W214" t="e">
            <v>#N/A</v>
          </cell>
          <cell r="X214" t="e">
            <v>#N/A</v>
          </cell>
          <cell r="Y214" t="e">
            <v>#N/A</v>
          </cell>
          <cell r="Z214" t="e">
            <v>#N/A</v>
          </cell>
        </row>
        <row r="215">
          <cell r="A215" t="e">
            <v>#N/A</v>
          </cell>
          <cell r="B215" t="e">
            <v>#N/A</v>
          </cell>
          <cell r="C215" t="e">
            <v>#N/A</v>
          </cell>
          <cell r="O215" t="e">
            <v>#N/A</v>
          </cell>
          <cell r="P215" t="e">
            <v>#N/A</v>
          </cell>
          <cell r="Q215" t="e">
            <v>#N/A</v>
          </cell>
          <cell r="R215" t="e">
            <v>#N/A</v>
          </cell>
          <cell r="S215" t="e">
            <v>#N/A</v>
          </cell>
          <cell r="T215" t="e">
            <v>#N/A</v>
          </cell>
          <cell r="U215" t="e">
            <v>#N/A</v>
          </cell>
          <cell r="V215" t="e">
            <v>#N/A</v>
          </cell>
          <cell r="W215" t="e">
            <v>#N/A</v>
          </cell>
          <cell r="X215" t="e">
            <v>#N/A</v>
          </cell>
          <cell r="Y215" t="e">
            <v>#N/A</v>
          </cell>
          <cell r="Z215" t="e">
            <v>#N/A</v>
          </cell>
        </row>
        <row r="216">
          <cell r="A216" t="e">
            <v>#N/A</v>
          </cell>
          <cell r="B216" t="e">
            <v>#N/A</v>
          </cell>
          <cell r="C216" t="e">
            <v>#N/A</v>
          </cell>
          <cell r="O216" t="e">
            <v>#N/A</v>
          </cell>
          <cell r="P216" t="e">
            <v>#N/A</v>
          </cell>
          <cell r="Q216" t="e">
            <v>#N/A</v>
          </cell>
          <cell r="R216" t="e">
            <v>#N/A</v>
          </cell>
          <cell r="S216" t="e">
            <v>#N/A</v>
          </cell>
          <cell r="T216" t="e">
            <v>#N/A</v>
          </cell>
          <cell r="U216" t="e">
            <v>#N/A</v>
          </cell>
          <cell r="V216" t="e">
            <v>#N/A</v>
          </cell>
          <cell r="W216" t="e">
            <v>#N/A</v>
          </cell>
          <cell r="X216" t="e">
            <v>#N/A</v>
          </cell>
          <cell r="Y216" t="e">
            <v>#N/A</v>
          </cell>
          <cell r="Z216" t="e">
            <v>#N/A</v>
          </cell>
        </row>
        <row r="217">
          <cell r="A217" t="e">
            <v>#N/A</v>
          </cell>
          <cell r="B217" t="e">
            <v>#N/A</v>
          </cell>
          <cell r="C217" t="e">
            <v>#N/A</v>
          </cell>
          <cell r="O217" t="e">
            <v>#N/A</v>
          </cell>
          <cell r="P217" t="e">
            <v>#N/A</v>
          </cell>
          <cell r="Q217" t="e">
            <v>#N/A</v>
          </cell>
          <cell r="R217" t="e">
            <v>#N/A</v>
          </cell>
          <cell r="S217" t="e">
            <v>#N/A</v>
          </cell>
          <cell r="T217" t="e">
            <v>#N/A</v>
          </cell>
          <cell r="U217" t="e">
            <v>#N/A</v>
          </cell>
          <cell r="V217" t="e">
            <v>#N/A</v>
          </cell>
          <cell r="W217" t="e">
            <v>#N/A</v>
          </cell>
          <cell r="X217" t="e">
            <v>#N/A</v>
          </cell>
          <cell r="Y217" t="e">
            <v>#N/A</v>
          </cell>
          <cell r="Z217" t="e">
            <v>#N/A</v>
          </cell>
        </row>
        <row r="218">
          <cell r="A218" t="e">
            <v>#N/A</v>
          </cell>
          <cell r="B218" t="e">
            <v>#N/A</v>
          </cell>
          <cell r="C218" t="e">
            <v>#N/A</v>
          </cell>
          <cell r="O218" t="e">
            <v>#N/A</v>
          </cell>
          <cell r="P218" t="e">
            <v>#N/A</v>
          </cell>
          <cell r="Q218" t="e">
            <v>#N/A</v>
          </cell>
          <cell r="R218" t="e">
            <v>#N/A</v>
          </cell>
          <cell r="S218" t="e">
            <v>#N/A</v>
          </cell>
          <cell r="T218" t="e">
            <v>#N/A</v>
          </cell>
          <cell r="U218" t="e">
            <v>#N/A</v>
          </cell>
          <cell r="V218" t="e">
            <v>#N/A</v>
          </cell>
          <cell r="W218" t="e">
            <v>#N/A</v>
          </cell>
          <cell r="X218" t="e">
            <v>#N/A</v>
          </cell>
          <cell r="Y218" t="e">
            <v>#N/A</v>
          </cell>
          <cell r="Z218" t="e">
            <v>#N/A</v>
          </cell>
        </row>
        <row r="219">
          <cell r="A219" t="e">
            <v>#N/A</v>
          </cell>
          <cell r="B219" t="e">
            <v>#N/A</v>
          </cell>
          <cell r="C219" t="e">
            <v>#N/A</v>
          </cell>
          <cell r="O219" t="e">
            <v>#N/A</v>
          </cell>
          <cell r="P219" t="e">
            <v>#N/A</v>
          </cell>
          <cell r="Q219" t="e">
            <v>#N/A</v>
          </cell>
          <cell r="R219" t="e">
            <v>#N/A</v>
          </cell>
          <cell r="S219" t="e">
            <v>#N/A</v>
          </cell>
          <cell r="T219" t="e">
            <v>#N/A</v>
          </cell>
          <cell r="U219" t="e">
            <v>#N/A</v>
          </cell>
          <cell r="V219" t="e">
            <v>#N/A</v>
          </cell>
          <cell r="W219" t="e">
            <v>#N/A</v>
          </cell>
          <cell r="X219" t="e">
            <v>#N/A</v>
          </cell>
          <cell r="Y219" t="e">
            <v>#N/A</v>
          </cell>
          <cell r="Z219" t="e">
            <v>#N/A</v>
          </cell>
        </row>
        <row r="220">
          <cell r="A220" t="e">
            <v>#N/A</v>
          </cell>
          <cell r="B220" t="e">
            <v>#N/A</v>
          </cell>
          <cell r="C220" t="e">
            <v>#N/A</v>
          </cell>
          <cell r="O220" t="e">
            <v>#N/A</v>
          </cell>
          <cell r="P220" t="e">
            <v>#N/A</v>
          </cell>
          <cell r="Q220" t="e">
            <v>#N/A</v>
          </cell>
          <cell r="R220" t="e">
            <v>#N/A</v>
          </cell>
          <cell r="S220" t="e">
            <v>#N/A</v>
          </cell>
          <cell r="T220" t="e">
            <v>#N/A</v>
          </cell>
          <cell r="U220" t="e">
            <v>#N/A</v>
          </cell>
          <cell r="V220" t="e">
            <v>#N/A</v>
          </cell>
          <cell r="W220" t="e">
            <v>#N/A</v>
          </cell>
          <cell r="X220" t="e">
            <v>#N/A</v>
          </cell>
          <cell r="Y220" t="e">
            <v>#N/A</v>
          </cell>
          <cell r="Z220" t="e">
            <v>#N/A</v>
          </cell>
        </row>
        <row r="221">
          <cell r="A221" t="e">
            <v>#N/A</v>
          </cell>
          <cell r="B221" t="e">
            <v>#N/A</v>
          </cell>
          <cell r="C221" t="e">
            <v>#N/A</v>
          </cell>
          <cell r="O221" t="e">
            <v>#N/A</v>
          </cell>
          <cell r="P221" t="e">
            <v>#N/A</v>
          </cell>
          <cell r="Q221" t="e">
            <v>#N/A</v>
          </cell>
          <cell r="R221" t="e">
            <v>#N/A</v>
          </cell>
          <cell r="S221" t="e">
            <v>#N/A</v>
          </cell>
          <cell r="T221" t="e">
            <v>#N/A</v>
          </cell>
          <cell r="U221" t="e">
            <v>#N/A</v>
          </cell>
          <cell r="V221" t="e">
            <v>#N/A</v>
          </cell>
          <cell r="W221" t="e">
            <v>#N/A</v>
          </cell>
          <cell r="X221" t="e">
            <v>#N/A</v>
          </cell>
          <cell r="Y221" t="e">
            <v>#N/A</v>
          </cell>
          <cell r="Z221" t="e">
            <v>#N/A</v>
          </cell>
        </row>
        <row r="222">
          <cell r="A222" t="e">
            <v>#N/A</v>
          </cell>
          <cell r="B222" t="e">
            <v>#N/A</v>
          </cell>
          <cell r="C222" t="e">
            <v>#N/A</v>
          </cell>
          <cell r="O222" t="e">
            <v>#N/A</v>
          </cell>
          <cell r="P222" t="e">
            <v>#N/A</v>
          </cell>
          <cell r="Q222" t="e">
            <v>#N/A</v>
          </cell>
          <cell r="R222" t="e">
            <v>#N/A</v>
          </cell>
          <cell r="S222" t="e">
            <v>#N/A</v>
          </cell>
          <cell r="T222" t="e">
            <v>#N/A</v>
          </cell>
          <cell r="U222" t="e">
            <v>#N/A</v>
          </cell>
          <cell r="V222" t="e">
            <v>#N/A</v>
          </cell>
          <cell r="W222" t="e">
            <v>#N/A</v>
          </cell>
          <cell r="X222" t="e">
            <v>#N/A</v>
          </cell>
          <cell r="Y222" t="e">
            <v>#N/A</v>
          </cell>
          <cell r="Z222" t="e">
            <v>#N/A</v>
          </cell>
        </row>
        <row r="223">
          <cell r="A223" t="e">
            <v>#N/A</v>
          </cell>
          <cell r="B223" t="e">
            <v>#N/A</v>
          </cell>
          <cell r="C223" t="e">
            <v>#N/A</v>
          </cell>
          <cell r="O223" t="e">
            <v>#N/A</v>
          </cell>
          <cell r="P223" t="e">
            <v>#N/A</v>
          </cell>
          <cell r="Q223" t="e">
            <v>#N/A</v>
          </cell>
          <cell r="R223" t="e">
            <v>#N/A</v>
          </cell>
          <cell r="S223" t="e">
            <v>#N/A</v>
          </cell>
          <cell r="T223" t="e">
            <v>#N/A</v>
          </cell>
          <cell r="U223" t="e">
            <v>#N/A</v>
          </cell>
          <cell r="V223" t="e">
            <v>#N/A</v>
          </cell>
          <cell r="W223" t="e">
            <v>#N/A</v>
          </cell>
          <cell r="X223" t="e">
            <v>#N/A</v>
          </cell>
          <cell r="Y223" t="e">
            <v>#N/A</v>
          </cell>
          <cell r="Z223" t="e">
            <v>#N/A</v>
          </cell>
        </row>
        <row r="224">
          <cell r="A224" t="e">
            <v>#N/A</v>
          </cell>
          <cell r="B224" t="e">
            <v>#N/A</v>
          </cell>
          <cell r="C224" t="e">
            <v>#N/A</v>
          </cell>
          <cell r="O224" t="e">
            <v>#N/A</v>
          </cell>
          <cell r="P224" t="e">
            <v>#N/A</v>
          </cell>
          <cell r="Q224" t="e">
            <v>#N/A</v>
          </cell>
          <cell r="R224" t="e">
            <v>#N/A</v>
          </cell>
          <cell r="S224" t="e">
            <v>#N/A</v>
          </cell>
          <cell r="T224" t="e">
            <v>#N/A</v>
          </cell>
          <cell r="U224" t="e">
            <v>#N/A</v>
          </cell>
          <cell r="V224" t="e">
            <v>#N/A</v>
          </cell>
          <cell r="W224" t="e">
            <v>#N/A</v>
          </cell>
          <cell r="X224" t="e">
            <v>#N/A</v>
          </cell>
          <cell r="Y224" t="e">
            <v>#N/A</v>
          </cell>
          <cell r="Z224" t="e">
            <v>#N/A</v>
          </cell>
        </row>
        <row r="225">
          <cell r="A225" t="e">
            <v>#N/A</v>
          </cell>
          <cell r="B225" t="e">
            <v>#N/A</v>
          </cell>
          <cell r="C225" t="e">
            <v>#N/A</v>
          </cell>
          <cell r="O225" t="e">
            <v>#N/A</v>
          </cell>
          <cell r="P225" t="e">
            <v>#N/A</v>
          </cell>
          <cell r="Q225" t="e">
            <v>#N/A</v>
          </cell>
          <cell r="R225" t="e">
            <v>#N/A</v>
          </cell>
          <cell r="S225" t="e">
            <v>#N/A</v>
          </cell>
          <cell r="T225" t="e">
            <v>#N/A</v>
          </cell>
          <cell r="U225" t="e">
            <v>#N/A</v>
          </cell>
          <cell r="V225" t="e">
            <v>#N/A</v>
          </cell>
          <cell r="W225" t="e">
            <v>#N/A</v>
          </cell>
          <cell r="X225" t="e">
            <v>#N/A</v>
          </cell>
          <cell r="Y225" t="e">
            <v>#N/A</v>
          </cell>
          <cell r="Z225" t="e">
            <v>#N/A</v>
          </cell>
        </row>
        <row r="226">
          <cell r="A226" t="e">
            <v>#N/A</v>
          </cell>
          <cell r="B226" t="e">
            <v>#N/A</v>
          </cell>
          <cell r="C226" t="e">
            <v>#N/A</v>
          </cell>
          <cell r="O226" t="e">
            <v>#N/A</v>
          </cell>
          <cell r="P226" t="e">
            <v>#N/A</v>
          </cell>
          <cell r="Q226" t="e">
            <v>#N/A</v>
          </cell>
          <cell r="R226" t="e">
            <v>#N/A</v>
          </cell>
          <cell r="S226" t="e">
            <v>#N/A</v>
          </cell>
          <cell r="T226" t="e">
            <v>#N/A</v>
          </cell>
          <cell r="U226" t="e">
            <v>#N/A</v>
          </cell>
          <cell r="V226" t="e">
            <v>#N/A</v>
          </cell>
          <cell r="W226" t="e">
            <v>#N/A</v>
          </cell>
          <cell r="X226" t="e">
            <v>#N/A</v>
          </cell>
          <cell r="Y226" t="e">
            <v>#N/A</v>
          </cell>
          <cell r="Z226" t="e">
            <v>#N/A</v>
          </cell>
        </row>
        <row r="227">
          <cell r="A227" t="e">
            <v>#N/A</v>
          </cell>
          <cell r="B227" t="e">
            <v>#N/A</v>
          </cell>
          <cell r="C227" t="e">
            <v>#N/A</v>
          </cell>
          <cell r="O227" t="e">
            <v>#N/A</v>
          </cell>
          <cell r="P227" t="e">
            <v>#N/A</v>
          </cell>
          <cell r="Q227" t="e">
            <v>#N/A</v>
          </cell>
          <cell r="R227" t="e">
            <v>#N/A</v>
          </cell>
          <cell r="S227" t="e">
            <v>#N/A</v>
          </cell>
          <cell r="T227" t="e">
            <v>#N/A</v>
          </cell>
          <cell r="U227" t="e">
            <v>#N/A</v>
          </cell>
          <cell r="V227" t="e">
            <v>#N/A</v>
          </cell>
          <cell r="W227" t="e">
            <v>#N/A</v>
          </cell>
          <cell r="X227" t="e">
            <v>#N/A</v>
          </cell>
          <cell r="Y227" t="e">
            <v>#N/A</v>
          </cell>
          <cell r="Z227" t="e">
            <v>#N/A</v>
          </cell>
        </row>
        <row r="228">
          <cell r="A228" t="e">
            <v>#N/A</v>
          </cell>
          <cell r="B228" t="e">
            <v>#N/A</v>
          </cell>
          <cell r="C228" t="e">
            <v>#N/A</v>
          </cell>
          <cell r="O228" t="e">
            <v>#N/A</v>
          </cell>
          <cell r="P228" t="e">
            <v>#N/A</v>
          </cell>
          <cell r="Q228" t="e">
            <v>#N/A</v>
          </cell>
          <cell r="R228" t="e">
            <v>#N/A</v>
          </cell>
          <cell r="S228" t="e">
            <v>#N/A</v>
          </cell>
          <cell r="T228" t="e">
            <v>#N/A</v>
          </cell>
          <cell r="U228" t="e">
            <v>#N/A</v>
          </cell>
          <cell r="V228" t="e">
            <v>#N/A</v>
          </cell>
          <cell r="W228" t="e">
            <v>#N/A</v>
          </cell>
          <cell r="X228" t="e">
            <v>#N/A</v>
          </cell>
          <cell r="Y228" t="e">
            <v>#N/A</v>
          </cell>
          <cell r="Z228" t="e">
            <v>#N/A</v>
          </cell>
        </row>
        <row r="229">
          <cell r="A229" t="e">
            <v>#N/A</v>
          </cell>
          <cell r="B229" t="e">
            <v>#N/A</v>
          </cell>
          <cell r="C229" t="e">
            <v>#N/A</v>
          </cell>
          <cell r="O229" t="e">
            <v>#N/A</v>
          </cell>
          <cell r="P229" t="e">
            <v>#N/A</v>
          </cell>
          <cell r="Q229" t="e">
            <v>#N/A</v>
          </cell>
          <cell r="R229" t="e">
            <v>#N/A</v>
          </cell>
          <cell r="S229" t="e">
            <v>#N/A</v>
          </cell>
          <cell r="T229" t="e">
            <v>#N/A</v>
          </cell>
          <cell r="U229" t="e">
            <v>#N/A</v>
          </cell>
          <cell r="V229" t="e">
            <v>#N/A</v>
          </cell>
          <cell r="W229" t="e">
            <v>#N/A</v>
          </cell>
          <cell r="X229" t="e">
            <v>#N/A</v>
          </cell>
          <cell r="Y229" t="e">
            <v>#N/A</v>
          </cell>
          <cell r="Z229" t="e">
            <v>#N/A</v>
          </cell>
        </row>
        <row r="230">
          <cell r="A230" t="e">
            <v>#N/A</v>
          </cell>
          <cell r="B230" t="e">
            <v>#N/A</v>
          </cell>
          <cell r="C230" t="e">
            <v>#N/A</v>
          </cell>
          <cell r="O230" t="e">
            <v>#N/A</v>
          </cell>
          <cell r="P230" t="e">
            <v>#N/A</v>
          </cell>
          <cell r="Q230" t="e">
            <v>#N/A</v>
          </cell>
          <cell r="R230" t="e">
            <v>#N/A</v>
          </cell>
          <cell r="S230" t="e">
            <v>#N/A</v>
          </cell>
          <cell r="T230" t="e">
            <v>#N/A</v>
          </cell>
          <cell r="U230" t="e">
            <v>#N/A</v>
          </cell>
          <cell r="V230" t="e">
            <v>#N/A</v>
          </cell>
          <cell r="W230" t="e">
            <v>#N/A</v>
          </cell>
          <cell r="X230" t="e">
            <v>#N/A</v>
          </cell>
          <cell r="Y230" t="e">
            <v>#N/A</v>
          </cell>
          <cell r="Z230" t="e">
            <v>#N/A</v>
          </cell>
        </row>
        <row r="231">
          <cell r="A231" t="e">
            <v>#N/A</v>
          </cell>
          <cell r="B231" t="e">
            <v>#N/A</v>
          </cell>
          <cell r="C231" t="e">
            <v>#N/A</v>
          </cell>
          <cell r="O231" t="e">
            <v>#N/A</v>
          </cell>
          <cell r="P231" t="e">
            <v>#N/A</v>
          </cell>
          <cell r="Q231" t="e">
            <v>#N/A</v>
          </cell>
          <cell r="R231" t="e">
            <v>#N/A</v>
          </cell>
          <cell r="S231" t="e">
            <v>#N/A</v>
          </cell>
          <cell r="T231" t="e">
            <v>#N/A</v>
          </cell>
          <cell r="U231" t="e">
            <v>#N/A</v>
          </cell>
          <cell r="V231" t="e">
            <v>#N/A</v>
          </cell>
          <cell r="W231" t="e">
            <v>#N/A</v>
          </cell>
          <cell r="X231" t="e">
            <v>#N/A</v>
          </cell>
          <cell r="Y231" t="e">
            <v>#N/A</v>
          </cell>
          <cell r="Z231" t="e">
            <v>#N/A</v>
          </cell>
        </row>
        <row r="232">
          <cell r="A232" t="e">
            <v>#N/A</v>
          </cell>
          <cell r="B232" t="e">
            <v>#N/A</v>
          </cell>
          <cell r="C232" t="e">
            <v>#N/A</v>
          </cell>
          <cell r="O232" t="e">
            <v>#N/A</v>
          </cell>
          <cell r="P232" t="e">
            <v>#N/A</v>
          </cell>
          <cell r="Q232" t="e">
            <v>#N/A</v>
          </cell>
          <cell r="R232" t="e">
            <v>#N/A</v>
          </cell>
          <cell r="S232" t="e">
            <v>#N/A</v>
          </cell>
          <cell r="T232" t="e">
            <v>#N/A</v>
          </cell>
          <cell r="U232" t="e">
            <v>#N/A</v>
          </cell>
          <cell r="V232" t="e">
            <v>#N/A</v>
          </cell>
          <cell r="W232" t="e">
            <v>#N/A</v>
          </cell>
          <cell r="X232" t="e">
            <v>#N/A</v>
          </cell>
          <cell r="Y232" t="e">
            <v>#N/A</v>
          </cell>
          <cell r="Z232" t="e">
            <v>#N/A</v>
          </cell>
        </row>
        <row r="233">
          <cell r="A233" t="e">
            <v>#N/A</v>
          </cell>
          <cell r="B233" t="e">
            <v>#N/A</v>
          </cell>
          <cell r="C233" t="e">
            <v>#N/A</v>
          </cell>
          <cell r="O233" t="e">
            <v>#N/A</v>
          </cell>
          <cell r="P233" t="e">
            <v>#N/A</v>
          </cell>
          <cell r="Q233" t="e">
            <v>#N/A</v>
          </cell>
          <cell r="R233" t="e">
            <v>#N/A</v>
          </cell>
          <cell r="S233" t="e">
            <v>#N/A</v>
          </cell>
          <cell r="T233" t="e">
            <v>#N/A</v>
          </cell>
          <cell r="U233" t="e">
            <v>#N/A</v>
          </cell>
          <cell r="V233" t="e">
            <v>#N/A</v>
          </cell>
          <cell r="W233" t="e">
            <v>#N/A</v>
          </cell>
          <cell r="X233" t="e">
            <v>#N/A</v>
          </cell>
          <cell r="Y233" t="e">
            <v>#N/A</v>
          </cell>
          <cell r="Z233" t="e">
            <v>#N/A</v>
          </cell>
        </row>
        <row r="234">
          <cell r="A234" t="e">
            <v>#N/A</v>
          </cell>
          <cell r="B234" t="e">
            <v>#N/A</v>
          </cell>
          <cell r="C234" t="e">
            <v>#N/A</v>
          </cell>
          <cell r="O234" t="e">
            <v>#N/A</v>
          </cell>
          <cell r="P234" t="e">
            <v>#N/A</v>
          </cell>
          <cell r="Q234" t="e">
            <v>#N/A</v>
          </cell>
          <cell r="R234" t="e">
            <v>#N/A</v>
          </cell>
          <cell r="S234" t="e">
            <v>#N/A</v>
          </cell>
          <cell r="T234" t="e">
            <v>#N/A</v>
          </cell>
          <cell r="U234" t="e">
            <v>#N/A</v>
          </cell>
          <cell r="V234" t="e">
            <v>#N/A</v>
          </cell>
          <cell r="W234" t="e">
            <v>#N/A</v>
          </cell>
          <cell r="X234" t="e">
            <v>#N/A</v>
          </cell>
          <cell r="Y234" t="e">
            <v>#N/A</v>
          </cell>
          <cell r="Z234" t="e">
            <v>#N/A</v>
          </cell>
        </row>
        <row r="235">
          <cell r="A235" t="e">
            <v>#N/A</v>
          </cell>
          <cell r="B235" t="e">
            <v>#N/A</v>
          </cell>
          <cell r="C235" t="e">
            <v>#N/A</v>
          </cell>
          <cell r="O235" t="e">
            <v>#N/A</v>
          </cell>
          <cell r="P235" t="e">
            <v>#N/A</v>
          </cell>
          <cell r="Q235" t="e">
            <v>#N/A</v>
          </cell>
          <cell r="R235" t="e">
            <v>#N/A</v>
          </cell>
          <cell r="S235" t="e">
            <v>#N/A</v>
          </cell>
          <cell r="T235" t="e">
            <v>#N/A</v>
          </cell>
          <cell r="U235" t="e">
            <v>#N/A</v>
          </cell>
          <cell r="V235" t="e">
            <v>#N/A</v>
          </cell>
          <cell r="W235" t="e">
            <v>#N/A</v>
          </cell>
          <cell r="X235" t="e">
            <v>#N/A</v>
          </cell>
          <cell r="Y235" t="e">
            <v>#N/A</v>
          </cell>
          <cell r="Z235" t="e">
            <v>#N/A</v>
          </cell>
        </row>
        <row r="236">
          <cell r="A236" t="e">
            <v>#N/A</v>
          </cell>
          <cell r="B236" t="e">
            <v>#N/A</v>
          </cell>
          <cell r="C236" t="e">
            <v>#N/A</v>
          </cell>
          <cell r="O236" t="e">
            <v>#N/A</v>
          </cell>
          <cell r="P236" t="e">
            <v>#N/A</v>
          </cell>
          <cell r="Q236" t="e">
            <v>#N/A</v>
          </cell>
          <cell r="R236" t="e">
            <v>#N/A</v>
          </cell>
          <cell r="S236" t="e">
            <v>#N/A</v>
          </cell>
          <cell r="T236" t="e">
            <v>#N/A</v>
          </cell>
          <cell r="U236" t="e">
            <v>#N/A</v>
          </cell>
          <cell r="V236" t="e">
            <v>#N/A</v>
          </cell>
          <cell r="W236" t="e">
            <v>#N/A</v>
          </cell>
          <cell r="X236" t="e">
            <v>#N/A</v>
          </cell>
          <cell r="Y236" t="e">
            <v>#N/A</v>
          </cell>
          <cell r="Z236" t="e">
            <v>#N/A</v>
          </cell>
        </row>
        <row r="237">
          <cell r="A237" t="e">
            <v>#N/A</v>
          </cell>
          <cell r="B237" t="e">
            <v>#N/A</v>
          </cell>
          <cell r="C237" t="e">
            <v>#N/A</v>
          </cell>
          <cell r="O237" t="e">
            <v>#N/A</v>
          </cell>
          <cell r="P237" t="e">
            <v>#N/A</v>
          </cell>
          <cell r="Q237" t="e">
            <v>#N/A</v>
          </cell>
          <cell r="R237" t="e">
            <v>#N/A</v>
          </cell>
          <cell r="S237" t="e">
            <v>#N/A</v>
          </cell>
          <cell r="T237" t="e">
            <v>#N/A</v>
          </cell>
          <cell r="U237" t="e">
            <v>#N/A</v>
          </cell>
          <cell r="V237" t="e">
            <v>#N/A</v>
          </cell>
          <cell r="W237" t="e">
            <v>#N/A</v>
          </cell>
          <cell r="X237" t="e">
            <v>#N/A</v>
          </cell>
          <cell r="Y237" t="e">
            <v>#N/A</v>
          </cell>
          <cell r="Z237" t="e">
            <v>#N/A</v>
          </cell>
        </row>
        <row r="238">
          <cell r="A238" t="e">
            <v>#N/A</v>
          </cell>
          <cell r="B238" t="e">
            <v>#N/A</v>
          </cell>
          <cell r="C238" t="e">
            <v>#N/A</v>
          </cell>
          <cell r="O238" t="e">
            <v>#N/A</v>
          </cell>
          <cell r="P238" t="e">
            <v>#N/A</v>
          </cell>
          <cell r="Q238" t="e">
            <v>#N/A</v>
          </cell>
          <cell r="R238" t="e">
            <v>#N/A</v>
          </cell>
          <cell r="S238" t="e">
            <v>#N/A</v>
          </cell>
          <cell r="T238" t="e">
            <v>#N/A</v>
          </cell>
          <cell r="U238" t="e">
            <v>#N/A</v>
          </cell>
          <cell r="V238" t="e">
            <v>#N/A</v>
          </cell>
          <cell r="W238" t="e">
            <v>#N/A</v>
          </cell>
          <cell r="X238" t="e">
            <v>#N/A</v>
          </cell>
          <cell r="Y238" t="e">
            <v>#N/A</v>
          </cell>
          <cell r="Z238" t="e">
            <v>#N/A</v>
          </cell>
        </row>
        <row r="239">
          <cell r="A239" t="e">
            <v>#N/A</v>
          </cell>
          <cell r="B239" t="e">
            <v>#N/A</v>
          </cell>
          <cell r="C239" t="e">
            <v>#N/A</v>
          </cell>
          <cell r="O239" t="e">
            <v>#N/A</v>
          </cell>
          <cell r="P239" t="e">
            <v>#N/A</v>
          </cell>
          <cell r="Q239" t="e">
            <v>#N/A</v>
          </cell>
          <cell r="R239" t="e">
            <v>#N/A</v>
          </cell>
          <cell r="S239" t="e">
            <v>#N/A</v>
          </cell>
          <cell r="T239" t="e">
            <v>#N/A</v>
          </cell>
          <cell r="U239" t="e">
            <v>#N/A</v>
          </cell>
          <cell r="V239" t="e">
            <v>#N/A</v>
          </cell>
          <cell r="W239" t="e">
            <v>#N/A</v>
          </cell>
          <cell r="X239" t="e">
            <v>#N/A</v>
          </cell>
          <cell r="Y239" t="e">
            <v>#N/A</v>
          </cell>
          <cell r="Z239" t="e">
            <v>#N/A</v>
          </cell>
        </row>
        <row r="240">
          <cell r="A240" t="e">
            <v>#N/A</v>
          </cell>
          <cell r="B240" t="e">
            <v>#N/A</v>
          </cell>
          <cell r="C240" t="e">
            <v>#N/A</v>
          </cell>
          <cell r="O240" t="e">
            <v>#N/A</v>
          </cell>
          <cell r="P240" t="e">
            <v>#N/A</v>
          </cell>
          <cell r="Q240" t="e">
            <v>#N/A</v>
          </cell>
          <cell r="R240" t="e">
            <v>#N/A</v>
          </cell>
          <cell r="S240" t="e">
            <v>#N/A</v>
          </cell>
          <cell r="T240" t="e">
            <v>#N/A</v>
          </cell>
          <cell r="U240" t="e">
            <v>#N/A</v>
          </cell>
          <cell r="V240" t="e">
            <v>#N/A</v>
          </cell>
          <cell r="W240" t="e">
            <v>#N/A</v>
          </cell>
          <cell r="X240" t="e">
            <v>#N/A</v>
          </cell>
          <cell r="Y240" t="e">
            <v>#N/A</v>
          </cell>
          <cell r="Z240" t="e">
            <v>#N/A</v>
          </cell>
        </row>
        <row r="241">
          <cell r="A241" t="e">
            <v>#N/A</v>
          </cell>
          <cell r="B241" t="e">
            <v>#N/A</v>
          </cell>
          <cell r="C241" t="e">
            <v>#N/A</v>
          </cell>
          <cell r="O241" t="e">
            <v>#N/A</v>
          </cell>
          <cell r="P241" t="e">
            <v>#N/A</v>
          </cell>
          <cell r="Q241" t="e">
            <v>#N/A</v>
          </cell>
          <cell r="R241" t="e">
            <v>#N/A</v>
          </cell>
          <cell r="S241" t="e">
            <v>#N/A</v>
          </cell>
          <cell r="T241" t="e">
            <v>#N/A</v>
          </cell>
          <cell r="U241" t="e">
            <v>#N/A</v>
          </cell>
          <cell r="V241" t="e">
            <v>#N/A</v>
          </cell>
          <cell r="W241" t="e">
            <v>#N/A</v>
          </cell>
          <cell r="X241" t="e">
            <v>#N/A</v>
          </cell>
          <cell r="Y241" t="e">
            <v>#N/A</v>
          </cell>
          <cell r="Z241" t="e">
            <v>#N/A</v>
          </cell>
        </row>
        <row r="242">
          <cell r="A242" t="e">
            <v>#N/A</v>
          </cell>
          <cell r="B242" t="e">
            <v>#N/A</v>
          </cell>
          <cell r="C242" t="e">
            <v>#N/A</v>
          </cell>
          <cell r="O242" t="e">
            <v>#N/A</v>
          </cell>
          <cell r="P242" t="e">
            <v>#N/A</v>
          </cell>
          <cell r="Q242" t="e">
            <v>#N/A</v>
          </cell>
          <cell r="R242" t="e">
            <v>#N/A</v>
          </cell>
          <cell r="S242" t="e">
            <v>#N/A</v>
          </cell>
          <cell r="T242" t="e">
            <v>#N/A</v>
          </cell>
          <cell r="U242" t="e">
            <v>#N/A</v>
          </cell>
          <cell r="V242" t="e">
            <v>#N/A</v>
          </cell>
          <cell r="W242" t="e">
            <v>#N/A</v>
          </cell>
          <cell r="X242" t="e">
            <v>#N/A</v>
          </cell>
          <cell r="Y242" t="e">
            <v>#N/A</v>
          </cell>
          <cell r="Z242" t="e">
            <v>#N/A</v>
          </cell>
        </row>
        <row r="243">
          <cell r="A243" t="e">
            <v>#N/A</v>
          </cell>
          <cell r="B243" t="e">
            <v>#N/A</v>
          </cell>
          <cell r="C243" t="e">
            <v>#N/A</v>
          </cell>
          <cell r="O243" t="e">
            <v>#N/A</v>
          </cell>
          <cell r="P243" t="e">
            <v>#N/A</v>
          </cell>
          <cell r="Q243" t="e">
            <v>#N/A</v>
          </cell>
          <cell r="R243" t="e">
            <v>#N/A</v>
          </cell>
          <cell r="S243" t="e">
            <v>#N/A</v>
          </cell>
          <cell r="T243" t="e">
            <v>#N/A</v>
          </cell>
          <cell r="U243" t="e">
            <v>#N/A</v>
          </cell>
          <cell r="V243" t="e">
            <v>#N/A</v>
          </cell>
          <cell r="W243" t="e">
            <v>#N/A</v>
          </cell>
          <cell r="X243" t="e">
            <v>#N/A</v>
          </cell>
          <cell r="Y243" t="e">
            <v>#N/A</v>
          </cell>
          <cell r="Z243" t="e">
            <v>#N/A</v>
          </cell>
        </row>
        <row r="244">
          <cell r="A244" t="e">
            <v>#N/A</v>
          </cell>
          <cell r="B244" t="e">
            <v>#N/A</v>
          </cell>
          <cell r="C244" t="e">
            <v>#N/A</v>
          </cell>
          <cell r="O244" t="e">
            <v>#N/A</v>
          </cell>
          <cell r="P244" t="e">
            <v>#N/A</v>
          </cell>
          <cell r="Q244" t="e">
            <v>#N/A</v>
          </cell>
          <cell r="R244" t="e">
            <v>#N/A</v>
          </cell>
          <cell r="S244" t="e">
            <v>#N/A</v>
          </cell>
          <cell r="T244" t="e">
            <v>#N/A</v>
          </cell>
          <cell r="U244" t="e">
            <v>#N/A</v>
          </cell>
          <cell r="V244" t="e">
            <v>#N/A</v>
          </cell>
          <cell r="W244" t="e">
            <v>#N/A</v>
          </cell>
          <cell r="X244" t="e">
            <v>#N/A</v>
          </cell>
          <cell r="Y244" t="e">
            <v>#N/A</v>
          </cell>
          <cell r="Z244" t="e">
            <v>#N/A</v>
          </cell>
        </row>
        <row r="245">
          <cell r="A245" t="e">
            <v>#N/A</v>
          </cell>
          <cell r="B245" t="e">
            <v>#N/A</v>
          </cell>
          <cell r="C245" t="e">
            <v>#N/A</v>
          </cell>
          <cell r="O245" t="e">
            <v>#N/A</v>
          </cell>
          <cell r="P245" t="e">
            <v>#N/A</v>
          </cell>
          <cell r="Q245" t="e">
            <v>#N/A</v>
          </cell>
          <cell r="R245" t="e">
            <v>#N/A</v>
          </cell>
          <cell r="S245" t="e">
            <v>#N/A</v>
          </cell>
          <cell r="T245" t="e">
            <v>#N/A</v>
          </cell>
          <cell r="U245" t="e">
            <v>#N/A</v>
          </cell>
          <cell r="V245" t="e">
            <v>#N/A</v>
          </cell>
          <cell r="W245" t="e">
            <v>#N/A</v>
          </cell>
          <cell r="X245" t="e">
            <v>#N/A</v>
          </cell>
          <cell r="Y245" t="e">
            <v>#N/A</v>
          </cell>
          <cell r="Z245" t="e">
            <v>#N/A</v>
          </cell>
        </row>
        <row r="246">
          <cell r="A246" t="e">
            <v>#N/A</v>
          </cell>
          <cell r="B246" t="e">
            <v>#N/A</v>
          </cell>
          <cell r="C246" t="e">
            <v>#N/A</v>
          </cell>
          <cell r="O246" t="e">
            <v>#N/A</v>
          </cell>
          <cell r="P246" t="e">
            <v>#N/A</v>
          </cell>
          <cell r="Q246" t="e">
            <v>#N/A</v>
          </cell>
          <cell r="R246" t="e">
            <v>#N/A</v>
          </cell>
          <cell r="S246" t="e">
            <v>#N/A</v>
          </cell>
          <cell r="T246" t="e">
            <v>#N/A</v>
          </cell>
          <cell r="U246" t="e">
            <v>#N/A</v>
          </cell>
          <cell r="V246" t="e">
            <v>#N/A</v>
          </cell>
          <cell r="W246" t="e">
            <v>#N/A</v>
          </cell>
          <cell r="X246" t="e">
            <v>#N/A</v>
          </cell>
          <cell r="Y246" t="e">
            <v>#N/A</v>
          </cell>
          <cell r="Z246" t="e">
            <v>#N/A</v>
          </cell>
        </row>
        <row r="247">
          <cell r="A247" t="e">
            <v>#N/A</v>
          </cell>
          <cell r="B247" t="e">
            <v>#N/A</v>
          </cell>
          <cell r="C247" t="e">
            <v>#N/A</v>
          </cell>
          <cell r="O247" t="e">
            <v>#N/A</v>
          </cell>
          <cell r="P247" t="e">
            <v>#N/A</v>
          </cell>
          <cell r="Q247" t="e">
            <v>#N/A</v>
          </cell>
          <cell r="R247" t="e">
            <v>#N/A</v>
          </cell>
          <cell r="S247" t="e">
            <v>#N/A</v>
          </cell>
          <cell r="T247" t="e">
            <v>#N/A</v>
          </cell>
          <cell r="U247" t="e">
            <v>#N/A</v>
          </cell>
          <cell r="V247" t="e">
            <v>#N/A</v>
          </cell>
          <cell r="W247" t="e">
            <v>#N/A</v>
          </cell>
          <cell r="X247" t="e">
            <v>#N/A</v>
          </cell>
          <cell r="Y247" t="e">
            <v>#N/A</v>
          </cell>
          <cell r="Z247" t="e">
            <v>#N/A</v>
          </cell>
        </row>
        <row r="248">
          <cell r="A248" t="e">
            <v>#N/A</v>
          </cell>
          <cell r="B248" t="e">
            <v>#N/A</v>
          </cell>
          <cell r="C248" t="e">
            <v>#N/A</v>
          </cell>
          <cell r="O248" t="e">
            <v>#N/A</v>
          </cell>
          <cell r="P248" t="e">
            <v>#N/A</v>
          </cell>
          <cell r="Q248" t="e">
            <v>#N/A</v>
          </cell>
          <cell r="R248" t="e">
            <v>#N/A</v>
          </cell>
          <cell r="S248" t="e">
            <v>#N/A</v>
          </cell>
          <cell r="T248" t="e">
            <v>#N/A</v>
          </cell>
          <cell r="U248" t="e">
            <v>#N/A</v>
          </cell>
          <cell r="V248" t="e">
            <v>#N/A</v>
          </cell>
          <cell r="W248" t="e">
            <v>#N/A</v>
          </cell>
          <cell r="X248" t="e">
            <v>#N/A</v>
          </cell>
          <cell r="Y248" t="e">
            <v>#N/A</v>
          </cell>
          <cell r="Z248" t="e">
            <v>#N/A</v>
          </cell>
        </row>
        <row r="249">
          <cell r="A249" t="e">
            <v>#N/A</v>
          </cell>
          <cell r="B249" t="e">
            <v>#N/A</v>
          </cell>
          <cell r="C249" t="e">
            <v>#N/A</v>
          </cell>
          <cell r="O249" t="e">
            <v>#N/A</v>
          </cell>
          <cell r="P249" t="e">
            <v>#N/A</v>
          </cell>
          <cell r="Q249" t="e">
            <v>#N/A</v>
          </cell>
          <cell r="R249" t="e">
            <v>#N/A</v>
          </cell>
          <cell r="S249" t="e">
            <v>#N/A</v>
          </cell>
          <cell r="T249" t="e">
            <v>#N/A</v>
          </cell>
          <cell r="U249" t="e">
            <v>#N/A</v>
          </cell>
          <cell r="V249" t="e">
            <v>#N/A</v>
          </cell>
          <cell r="W249" t="e">
            <v>#N/A</v>
          </cell>
          <cell r="X249" t="e">
            <v>#N/A</v>
          </cell>
          <cell r="Y249" t="e">
            <v>#N/A</v>
          </cell>
          <cell r="Z249" t="e">
            <v>#N/A</v>
          </cell>
        </row>
        <row r="250">
          <cell r="A250" t="e">
            <v>#N/A</v>
          </cell>
          <cell r="B250" t="e">
            <v>#N/A</v>
          </cell>
          <cell r="C250" t="e">
            <v>#N/A</v>
          </cell>
          <cell r="O250" t="e">
            <v>#N/A</v>
          </cell>
          <cell r="P250" t="e">
            <v>#N/A</v>
          </cell>
          <cell r="Q250" t="e">
            <v>#N/A</v>
          </cell>
          <cell r="R250" t="e">
            <v>#N/A</v>
          </cell>
          <cell r="S250" t="e">
            <v>#N/A</v>
          </cell>
          <cell r="T250" t="e">
            <v>#N/A</v>
          </cell>
          <cell r="U250" t="e">
            <v>#N/A</v>
          </cell>
          <cell r="V250" t="e">
            <v>#N/A</v>
          </cell>
          <cell r="W250" t="e">
            <v>#N/A</v>
          </cell>
          <cell r="X250" t="e">
            <v>#N/A</v>
          </cell>
          <cell r="Y250" t="e">
            <v>#N/A</v>
          </cell>
          <cell r="Z250" t="e">
            <v>#N/A</v>
          </cell>
        </row>
        <row r="251">
          <cell r="A251" t="e">
            <v>#N/A</v>
          </cell>
          <cell r="B251" t="e">
            <v>#N/A</v>
          </cell>
          <cell r="C251" t="e">
            <v>#N/A</v>
          </cell>
          <cell r="O251" t="e">
            <v>#N/A</v>
          </cell>
          <cell r="P251" t="e">
            <v>#N/A</v>
          </cell>
          <cell r="Q251" t="e">
            <v>#N/A</v>
          </cell>
          <cell r="R251" t="e">
            <v>#N/A</v>
          </cell>
          <cell r="S251" t="e">
            <v>#N/A</v>
          </cell>
          <cell r="T251" t="e">
            <v>#N/A</v>
          </cell>
          <cell r="U251" t="e">
            <v>#N/A</v>
          </cell>
          <cell r="V251" t="e">
            <v>#N/A</v>
          </cell>
          <cell r="W251" t="e">
            <v>#N/A</v>
          </cell>
          <cell r="X251" t="e">
            <v>#N/A</v>
          </cell>
          <cell r="Y251" t="e">
            <v>#N/A</v>
          </cell>
          <cell r="Z251" t="e">
            <v>#N/A</v>
          </cell>
        </row>
        <row r="252">
          <cell r="A252" t="e">
            <v>#N/A</v>
          </cell>
          <cell r="B252" t="e">
            <v>#N/A</v>
          </cell>
          <cell r="C252" t="e">
            <v>#N/A</v>
          </cell>
          <cell r="O252" t="e">
            <v>#N/A</v>
          </cell>
          <cell r="P252" t="e">
            <v>#N/A</v>
          </cell>
          <cell r="Q252" t="e">
            <v>#N/A</v>
          </cell>
          <cell r="R252" t="e">
            <v>#N/A</v>
          </cell>
          <cell r="S252" t="e">
            <v>#N/A</v>
          </cell>
          <cell r="T252" t="e">
            <v>#N/A</v>
          </cell>
          <cell r="U252" t="e">
            <v>#N/A</v>
          </cell>
          <cell r="V252" t="e">
            <v>#N/A</v>
          </cell>
          <cell r="W252" t="e">
            <v>#N/A</v>
          </cell>
          <cell r="X252" t="e">
            <v>#N/A</v>
          </cell>
          <cell r="Y252" t="e">
            <v>#N/A</v>
          </cell>
          <cell r="Z252" t="e">
            <v>#N/A</v>
          </cell>
        </row>
        <row r="253">
          <cell r="A253" t="e">
            <v>#N/A</v>
          </cell>
          <cell r="B253" t="e">
            <v>#N/A</v>
          </cell>
          <cell r="C253" t="e">
            <v>#N/A</v>
          </cell>
          <cell r="O253" t="e">
            <v>#N/A</v>
          </cell>
          <cell r="P253" t="e">
            <v>#N/A</v>
          </cell>
          <cell r="Q253" t="e">
            <v>#N/A</v>
          </cell>
          <cell r="R253" t="e">
            <v>#N/A</v>
          </cell>
          <cell r="S253" t="e">
            <v>#N/A</v>
          </cell>
          <cell r="T253" t="e">
            <v>#N/A</v>
          </cell>
          <cell r="U253" t="e">
            <v>#N/A</v>
          </cell>
          <cell r="V253" t="e">
            <v>#N/A</v>
          </cell>
          <cell r="W253" t="e">
            <v>#N/A</v>
          </cell>
          <cell r="X253" t="e">
            <v>#N/A</v>
          </cell>
          <cell r="Y253" t="e">
            <v>#N/A</v>
          </cell>
          <cell r="Z253" t="e">
            <v>#N/A</v>
          </cell>
        </row>
        <row r="254">
          <cell r="A254" t="e">
            <v>#N/A</v>
          </cell>
          <cell r="B254" t="e">
            <v>#N/A</v>
          </cell>
          <cell r="C254" t="e">
            <v>#N/A</v>
          </cell>
          <cell r="O254" t="e">
            <v>#N/A</v>
          </cell>
          <cell r="P254" t="e">
            <v>#N/A</v>
          </cell>
          <cell r="Q254" t="e">
            <v>#N/A</v>
          </cell>
          <cell r="R254" t="e">
            <v>#N/A</v>
          </cell>
          <cell r="S254" t="e">
            <v>#N/A</v>
          </cell>
          <cell r="T254" t="e">
            <v>#N/A</v>
          </cell>
          <cell r="U254" t="e">
            <v>#N/A</v>
          </cell>
          <cell r="V254" t="e">
            <v>#N/A</v>
          </cell>
          <cell r="W254" t="e">
            <v>#N/A</v>
          </cell>
          <cell r="X254" t="e">
            <v>#N/A</v>
          </cell>
          <cell r="Y254" t="e">
            <v>#N/A</v>
          </cell>
          <cell r="Z254" t="e">
            <v>#N/A</v>
          </cell>
        </row>
        <row r="255">
          <cell r="A255" t="e">
            <v>#N/A</v>
          </cell>
          <cell r="B255" t="e">
            <v>#N/A</v>
          </cell>
          <cell r="C255" t="e">
            <v>#N/A</v>
          </cell>
          <cell r="O255" t="e">
            <v>#N/A</v>
          </cell>
          <cell r="P255" t="e">
            <v>#N/A</v>
          </cell>
          <cell r="Q255" t="e">
            <v>#N/A</v>
          </cell>
          <cell r="R255" t="e">
            <v>#N/A</v>
          </cell>
          <cell r="S255" t="e">
            <v>#N/A</v>
          </cell>
          <cell r="T255" t="e">
            <v>#N/A</v>
          </cell>
          <cell r="U255" t="e">
            <v>#N/A</v>
          </cell>
          <cell r="V255" t="e">
            <v>#N/A</v>
          </cell>
          <cell r="W255" t="e">
            <v>#N/A</v>
          </cell>
          <cell r="X255" t="e">
            <v>#N/A</v>
          </cell>
          <cell r="Y255" t="e">
            <v>#N/A</v>
          </cell>
          <cell r="Z255" t="e">
            <v>#N/A</v>
          </cell>
        </row>
        <row r="256">
          <cell r="A256" t="e">
            <v>#N/A</v>
          </cell>
          <cell r="B256" t="e">
            <v>#N/A</v>
          </cell>
          <cell r="C256" t="e">
            <v>#N/A</v>
          </cell>
          <cell r="O256" t="e">
            <v>#N/A</v>
          </cell>
          <cell r="P256" t="e">
            <v>#N/A</v>
          </cell>
          <cell r="Q256" t="e">
            <v>#N/A</v>
          </cell>
          <cell r="R256" t="e">
            <v>#N/A</v>
          </cell>
          <cell r="S256" t="e">
            <v>#N/A</v>
          </cell>
          <cell r="T256" t="e">
            <v>#N/A</v>
          </cell>
          <cell r="U256" t="e">
            <v>#N/A</v>
          </cell>
          <cell r="V256" t="e">
            <v>#N/A</v>
          </cell>
          <cell r="W256" t="e">
            <v>#N/A</v>
          </cell>
          <cell r="X256" t="e">
            <v>#N/A</v>
          </cell>
          <cell r="Y256" t="e">
            <v>#N/A</v>
          </cell>
          <cell r="Z256" t="e">
            <v>#N/A</v>
          </cell>
        </row>
        <row r="257">
          <cell r="A257" t="e">
            <v>#N/A</v>
          </cell>
          <cell r="B257" t="e">
            <v>#N/A</v>
          </cell>
          <cell r="C257" t="e">
            <v>#N/A</v>
          </cell>
          <cell r="O257" t="e">
            <v>#N/A</v>
          </cell>
          <cell r="P257" t="e">
            <v>#N/A</v>
          </cell>
          <cell r="Q257" t="e">
            <v>#N/A</v>
          </cell>
          <cell r="R257" t="e">
            <v>#N/A</v>
          </cell>
          <cell r="S257" t="e">
            <v>#N/A</v>
          </cell>
          <cell r="T257" t="e">
            <v>#N/A</v>
          </cell>
          <cell r="U257" t="e">
            <v>#N/A</v>
          </cell>
          <cell r="V257" t="e">
            <v>#N/A</v>
          </cell>
          <cell r="W257" t="e">
            <v>#N/A</v>
          </cell>
          <cell r="X257" t="e">
            <v>#N/A</v>
          </cell>
          <cell r="Y257" t="e">
            <v>#N/A</v>
          </cell>
          <cell r="Z257" t="e">
            <v>#N/A</v>
          </cell>
        </row>
        <row r="258">
          <cell r="A258" t="e">
            <v>#N/A</v>
          </cell>
          <cell r="B258" t="e">
            <v>#N/A</v>
          </cell>
          <cell r="C258" t="e">
            <v>#N/A</v>
          </cell>
          <cell r="O258" t="e">
            <v>#N/A</v>
          </cell>
          <cell r="P258" t="e">
            <v>#N/A</v>
          </cell>
          <cell r="Q258" t="e">
            <v>#N/A</v>
          </cell>
          <cell r="R258" t="e">
            <v>#N/A</v>
          </cell>
          <cell r="S258" t="e">
            <v>#N/A</v>
          </cell>
          <cell r="T258" t="e">
            <v>#N/A</v>
          </cell>
          <cell r="U258" t="e">
            <v>#N/A</v>
          </cell>
          <cell r="V258" t="e">
            <v>#N/A</v>
          </cell>
          <cell r="W258" t="e">
            <v>#N/A</v>
          </cell>
          <cell r="X258" t="e">
            <v>#N/A</v>
          </cell>
          <cell r="Y258" t="e">
            <v>#N/A</v>
          </cell>
          <cell r="Z258" t="e">
            <v>#N/A</v>
          </cell>
        </row>
        <row r="259">
          <cell r="A259" t="e">
            <v>#N/A</v>
          </cell>
          <cell r="B259" t="e">
            <v>#N/A</v>
          </cell>
          <cell r="C259" t="e">
            <v>#N/A</v>
          </cell>
          <cell r="O259" t="e">
            <v>#N/A</v>
          </cell>
          <cell r="P259" t="e">
            <v>#N/A</v>
          </cell>
          <cell r="Q259" t="e">
            <v>#N/A</v>
          </cell>
          <cell r="R259" t="e">
            <v>#N/A</v>
          </cell>
          <cell r="S259" t="e">
            <v>#N/A</v>
          </cell>
          <cell r="T259" t="e">
            <v>#N/A</v>
          </cell>
          <cell r="U259" t="e">
            <v>#N/A</v>
          </cell>
          <cell r="V259" t="e">
            <v>#N/A</v>
          </cell>
          <cell r="W259" t="e">
            <v>#N/A</v>
          </cell>
          <cell r="X259" t="e">
            <v>#N/A</v>
          </cell>
          <cell r="Y259" t="e">
            <v>#N/A</v>
          </cell>
          <cell r="Z259" t="e">
            <v>#N/A</v>
          </cell>
        </row>
        <row r="260">
          <cell r="A260" t="e">
            <v>#N/A</v>
          </cell>
          <cell r="B260" t="e">
            <v>#N/A</v>
          </cell>
          <cell r="C260" t="e">
            <v>#N/A</v>
          </cell>
          <cell r="O260" t="e">
            <v>#N/A</v>
          </cell>
          <cell r="P260" t="e">
            <v>#N/A</v>
          </cell>
          <cell r="Q260" t="e">
            <v>#N/A</v>
          </cell>
          <cell r="R260" t="e">
            <v>#N/A</v>
          </cell>
          <cell r="S260" t="e">
            <v>#N/A</v>
          </cell>
          <cell r="T260" t="e">
            <v>#N/A</v>
          </cell>
          <cell r="U260" t="e">
            <v>#N/A</v>
          </cell>
          <cell r="V260" t="e">
            <v>#N/A</v>
          </cell>
          <cell r="W260" t="e">
            <v>#N/A</v>
          </cell>
          <cell r="X260" t="e">
            <v>#N/A</v>
          </cell>
          <cell r="Y260" t="e">
            <v>#N/A</v>
          </cell>
          <cell r="Z260" t="e">
            <v>#N/A</v>
          </cell>
        </row>
        <row r="261">
          <cell r="A261" t="e">
            <v>#N/A</v>
          </cell>
          <cell r="B261" t="e">
            <v>#N/A</v>
          </cell>
          <cell r="C261" t="e">
            <v>#N/A</v>
          </cell>
          <cell r="O261" t="e">
            <v>#N/A</v>
          </cell>
          <cell r="P261" t="e">
            <v>#N/A</v>
          </cell>
          <cell r="Q261" t="e">
            <v>#N/A</v>
          </cell>
          <cell r="R261" t="e">
            <v>#N/A</v>
          </cell>
          <cell r="S261" t="e">
            <v>#N/A</v>
          </cell>
          <cell r="T261" t="e">
            <v>#N/A</v>
          </cell>
          <cell r="U261" t="e">
            <v>#N/A</v>
          </cell>
          <cell r="V261" t="e">
            <v>#N/A</v>
          </cell>
          <cell r="W261" t="e">
            <v>#N/A</v>
          </cell>
          <cell r="X261" t="e">
            <v>#N/A</v>
          </cell>
          <cell r="Y261" t="e">
            <v>#N/A</v>
          </cell>
          <cell r="Z261" t="e">
            <v>#N/A</v>
          </cell>
        </row>
        <row r="262">
          <cell r="A262" t="e">
            <v>#N/A</v>
          </cell>
          <cell r="B262" t="e">
            <v>#N/A</v>
          </cell>
          <cell r="C262" t="e">
            <v>#N/A</v>
          </cell>
          <cell r="O262" t="e">
            <v>#N/A</v>
          </cell>
          <cell r="P262" t="e">
            <v>#N/A</v>
          </cell>
          <cell r="Q262" t="e">
            <v>#N/A</v>
          </cell>
          <cell r="R262" t="e">
            <v>#N/A</v>
          </cell>
          <cell r="S262" t="e">
            <v>#N/A</v>
          </cell>
          <cell r="T262" t="e">
            <v>#N/A</v>
          </cell>
          <cell r="U262" t="e">
            <v>#N/A</v>
          </cell>
          <cell r="V262" t="e">
            <v>#N/A</v>
          </cell>
          <cell r="W262" t="e">
            <v>#N/A</v>
          </cell>
          <cell r="X262" t="e">
            <v>#N/A</v>
          </cell>
          <cell r="Y262" t="e">
            <v>#N/A</v>
          </cell>
          <cell r="Z262" t="e">
            <v>#N/A</v>
          </cell>
        </row>
        <row r="263">
          <cell r="A263" t="e">
            <v>#N/A</v>
          </cell>
          <cell r="B263" t="e">
            <v>#N/A</v>
          </cell>
          <cell r="C263" t="e">
            <v>#N/A</v>
          </cell>
          <cell r="O263" t="e">
            <v>#N/A</v>
          </cell>
          <cell r="P263" t="e">
            <v>#N/A</v>
          </cell>
          <cell r="Q263" t="e">
            <v>#N/A</v>
          </cell>
          <cell r="R263" t="e">
            <v>#N/A</v>
          </cell>
          <cell r="S263" t="e">
            <v>#N/A</v>
          </cell>
          <cell r="T263" t="e">
            <v>#N/A</v>
          </cell>
          <cell r="U263" t="e">
            <v>#N/A</v>
          </cell>
          <cell r="V263" t="e">
            <v>#N/A</v>
          </cell>
          <cell r="W263" t="e">
            <v>#N/A</v>
          </cell>
          <cell r="X263" t="e">
            <v>#N/A</v>
          </cell>
          <cell r="Y263" t="e">
            <v>#N/A</v>
          </cell>
          <cell r="Z263" t="e">
            <v>#N/A</v>
          </cell>
        </row>
        <row r="264">
          <cell r="A264" t="e">
            <v>#N/A</v>
          </cell>
          <cell r="B264" t="e">
            <v>#N/A</v>
          </cell>
          <cell r="C264" t="e">
            <v>#N/A</v>
          </cell>
          <cell r="O264" t="e">
            <v>#N/A</v>
          </cell>
          <cell r="P264" t="e">
            <v>#N/A</v>
          </cell>
          <cell r="Q264" t="e">
            <v>#N/A</v>
          </cell>
          <cell r="R264" t="e">
            <v>#N/A</v>
          </cell>
          <cell r="S264" t="e">
            <v>#N/A</v>
          </cell>
          <cell r="T264" t="e">
            <v>#N/A</v>
          </cell>
          <cell r="U264" t="e">
            <v>#N/A</v>
          </cell>
          <cell r="V264" t="e">
            <v>#N/A</v>
          </cell>
          <cell r="W264" t="e">
            <v>#N/A</v>
          </cell>
          <cell r="X264" t="e">
            <v>#N/A</v>
          </cell>
          <cell r="Y264" t="e">
            <v>#N/A</v>
          </cell>
          <cell r="Z264" t="e">
            <v>#N/A</v>
          </cell>
        </row>
        <row r="265">
          <cell r="A265" t="e">
            <v>#N/A</v>
          </cell>
          <cell r="B265" t="e">
            <v>#N/A</v>
          </cell>
          <cell r="C265" t="e">
            <v>#N/A</v>
          </cell>
          <cell r="O265" t="e">
            <v>#N/A</v>
          </cell>
          <cell r="P265" t="e">
            <v>#N/A</v>
          </cell>
          <cell r="Q265" t="e">
            <v>#N/A</v>
          </cell>
          <cell r="R265" t="e">
            <v>#N/A</v>
          </cell>
          <cell r="S265" t="e">
            <v>#N/A</v>
          </cell>
          <cell r="T265" t="e">
            <v>#N/A</v>
          </cell>
          <cell r="U265" t="e">
            <v>#N/A</v>
          </cell>
          <cell r="V265" t="e">
            <v>#N/A</v>
          </cell>
          <cell r="W265" t="e">
            <v>#N/A</v>
          </cell>
          <cell r="X265" t="e">
            <v>#N/A</v>
          </cell>
          <cell r="Y265" t="e">
            <v>#N/A</v>
          </cell>
          <cell r="Z265" t="e">
            <v>#N/A</v>
          </cell>
        </row>
        <row r="266">
          <cell r="A266" t="e">
            <v>#N/A</v>
          </cell>
          <cell r="B266" t="e">
            <v>#N/A</v>
          </cell>
          <cell r="C266" t="e">
            <v>#N/A</v>
          </cell>
          <cell r="O266" t="e">
            <v>#N/A</v>
          </cell>
          <cell r="P266" t="e">
            <v>#N/A</v>
          </cell>
          <cell r="Q266" t="e">
            <v>#N/A</v>
          </cell>
          <cell r="R266" t="e">
            <v>#N/A</v>
          </cell>
          <cell r="S266" t="e">
            <v>#N/A</v>
          </cell>
          <cell r="T266" t="e">
            <v>#N/A</v>
          </cell>
          <cell r="U266" t="e">
            <v>#N/A</v>
          </cell>
          <cell r="V266" t="e">
            <v>#N/A</v>
          </cell>
          <cell r="W266" t="e">
            <v>#N/A</v>
          </cell>
          <cell r="X266" t="e">
            <v>#N/A</v>
          </cell>
          <cell r="Y266" t="e">
            <v>#N/A</v>
          </cell>
          <cell r="Z266" t="e">
            <v>#N/A</v>
          </cell>
        </row>
        <row r="267">
          <cell r="A267" t="e">
            <v>#N/A</v>
          </cell>
          <cell r="B267" t="e">
            <v>#N/A</v>
          </cell>
          <cell r="C267" t="e">
            <v>#N/A</v>
          </cell>
          <cell r="O267" t="e">
            <v>#N/A</v>
          </cell>
          <cell r="P267" t="e">
            <v>#N/A</v>
          </cell>
          <cell r="Q267" t="e">
            <v>#N/A</v>
          </cell>
          <cell r="R267" t="e">
            <v>#N/A</v>
          </cell>
          <cell r="S267" t="e">
            <v>#N/A</v>
          </cell>
          <cell r="T267" t="e">
            <v>#N/A</v>
          </cell>
          <cell r="U267" t="e">
            <v>#N/A</v>
          </cell>
          <cell r="V267" t="e">
            <v>#N/A</v>
          </cell>
          <cell r="W267" t="e">
            <v>#N/A</v>
          </cell>
          <cell r="X267" t="e">
            <v>#N/A</v>
          </cell>
          <cell r="Y267" t="e">
            <v>#N/A</v>
          </cell>
          <cell r="Z267" t="e">
            <v>#N/A</v>
          </cell>
        </row>
        <row r="268">
          <cell r="A268" t="e">
            <v>#N/A</v>
          </cell>
          <cell r="B268" t="e">
            <v>#N/A</v>
          </cell>
          <cell r="C268" t="e">
            <v>#N/A</v>
          </cell>
          <cell r="O268" t="e">
            <v>#N/A</v>
          </cell>
          <cell r="P268" t="e">
            <v>#N/A</v>
          </cell>
          <cell r="Q268" t="e">
            <v>#N/A</v>
          </cell>
          <cell r="R268" t="e">
            <v>#N/A</v>
          </cell>
          <cell r="S268" t="e">
            <v>#N/A</v>
          </cell>
          <cell r="T268" t="e">
            <v>#N/A</v>
          </cell>
          <cell r="U268" t="e">
            <v>#N/A</v>
          </cell>
          <cell r="V268" t="e">
            <v>#N/A</v>
          </cell>
          <cell r="W268" t="e">
            <v>#N/A</v>
          </cell>
          <cell r="X268" t="e">
            <v>#N/A</v>
          </cell>
          <cell r="Y268" t="e">
            <v>#N/A</v>
          </cell>
          <cell r="Z268" t="e">
            <v>#N/A</v>
          </cell>
        </row>
        <row r="269">
          <cell r="A269" t="e">
            <v>#N/A</v>
          </cell>
          <cell r="B269" t="e">
            <v>#N/A</v>
          </cell>
          <cell r="C269" t="e">
            <v>#N/A</v>
          </cell>
          <cell r="O269" t="e">
            <v>#N/A</v>
          </cell>
          <cell r="P269" t="e">
            <v>#N/A</v>
          </cell>
          <cell r="Q269" t="e">
            <v>#N/A</v>
          </cell>
          <cell r="R269" t="e">
            <v>#N/A</v>
          </cell>
          <cell r="S269" t="e">
            <v>#N/A</v>
          </cell>
          <cell r="T269" t="e">
            <v>#N/A</v>
          </cell>
          <cell r="U269" t="e">
            <v>#N/A</v>
          </cell>
          <cell r="V269" t="e">
            <v>#N/A</v>
          </cell>
          <cell r="W269" t="e">
            <v>#N/A</v>
          </cell>
          <cell r="X269" t="e">
            <v>#N/A</v>
          </cell>
          <cell r="Y269" t="e">
            <v>#N/A</v>
          </cell>
          <cell r="Z269" t="e">
            <v>#N/A</v>
          </cell>
        </row>
        <row r="270">
          <cell r="A270" t="e">
            <v>#N/A</v>
          </cell>
          <cell r="B270" t="e">
            <v>#N/A</v>
          </cell>
          <cell r="C270" t="e">
            <v>#N/A</v>
          </cell>
          <cell r="O270" t="e">
            <v>#N/A</v>
          </cell>
          <cell r="P270" t="e">
            <v>#N/A</v>
          </cell>
          <cell r="Q270" t="e">
            <v>#N/A</v>
          </cell>
          <cell r="R270" t="e">
            <v>#N/A</v>
          </cell>
          <cell r="S270" t="e">
            <v>#N/A</v>
          </cell>
          <cell r="T270" t="e">
            <v>#N/A</v>
          </cell>
          <cell r="U270" t="e">
            <v>#N/A</v>
          </cell>
          <cell r="V270" t="e">
            <v>#N/A</v>
          </cell>
          <cell r="W270" t="e">
            <v>#N/A</v>
          </cell>
          <cell r="X270" t="e">
            <v>#N/A</v>
          </cell>
          <cell r="Y270" t="e">
            <v>#N/A</v>
          </cell>
          <cell r="Z270" t="e">
            <v>#N/A</v>
          </cell>
        </row>
        <row r="271">
          <cell r="A271" t="e">
            <v>#N/A</v>
          </cell>
          <cell r="B271" t="e">
            <v>#N/A</v>
          </cell>
          <cell r="C271" t="e">
            <v>#N/A</v>
          </cell>
          <cell r="O271" t="e">
            <v>#N/A</v>
          </cell>
          <cell r="P271" t="e">
            <v>#N/A</v>
          </cell>
          <cell r="Q271" t="e">
            <v>#N/A</v>
          </cell>
          <cell r="R271" t="e">
            <v>#N/A</v>
          </cell>
          <cell r="S271" t="e">
            <v>#N/A</v>
          </cell>
          <cell r="T271" t="e">
            <v>#N/A</v>
          </cell>
          <cell r="U271" t="e">
            <v>#N/A</v>
          </cell>
          <cell r="V271" t="e">
            <v>#N/A</v>
          </cell>
          <cell r="W271" t="e">
            <v>#N/A</v>
          </cell>
          <cell r="X271" t="e">
            <v>#N/A</v>
          </cell>
          <cell r="Y271" t="e">
            <v>#N/A</v>
          </cell>
          <cell r="Z271" t="e">
            <v>#N/A</v>
          </cell>
        </row>
        <row r="272">
          <cell r="A272" t="e">
            <v>#N/A</v>
          </cell>
          <cell r="B272" t="e">
            <v>#N/A</v>
          </cell>
          <cell r="C272" t="e">
            <v>#N/A</v>
          </cell>
          <cell r="O272" t="e">
            <v>#N/A</v>
          </cell>
          <cell r="P272" t="e">
            <v>#N/A</v>
          </cell>
          <cell r="Q272" t="e">
            <v>#N/A</v>
          </cell>
          <cell r="R272" t="e">
            <v>#N/A</v>
          </cell>
          <cell r="S272" t="e">
            <v>#N/A</v>
          </cell>
          <cell r="T272" t="e">
            <v>#N/A</v>
          </cell>
          <cell r="U272" t="e">
            <v>#N/A</v>
          </cell>
          <cell r="V272" t="e">
            <v>#N/A</v>
          </cell>
          <cell r="W272" t="e">
            <v>#N/A</v>
          </cell>
          <cell r="X272" t="e">
            <v>#N/A</v>
          </cell>
          <cell r="Y272" t="e">
            <v>#N/A</v>
          </cell>
          <cell r="Z272" t="e">
            <v>#N/A</v>
          </cell>
        </row>
        <row r="273">
          <cell r="A273" t="e">
            <v>#N/A</v>
          </cell>
          <cell r="B273" t="e">
            <v>#N/A</v>
          </cell>
          <cell r="C273" t="e">
            <v>#N/A</v>
          </cell>
          <cell r="O273" t="e">
            <v>#N/A</v>
          </cell>
          <cell r="P273" t="e">
            <v>#N/A</v>
          </cell>
          <cell r="Q273" t="e">
            <v>#N/A</v>
          </cell>
          <cell r="R273" t="e">
            <v>#N/A</v>
          </cell>
          <cell r="S273" t="e">
            <v>#N/A</v>
          </cell>
          <cell r="T273" t="e">
            <v>#N/A</v>
          </cell>
          <cell r="U273" t="e">
            <v>#N/A</v>
          </cell>
          <cell r="V273" t="e">
            <v>#N/A</v>
          </cell>
          <cell r="W273" t="e">
            <v>#N/A</v>
          </cell>
          <cell r="X273" t="e">
            <v>#N/A</v>
          </cell>
          <cell r="Y273" t="e">
            <v>#N/A</v>
          </cell>
          <cell r="Z273" t="e">
            <v>#N/A</v>
          </cell>
        </row>
        <row r="274">
          <cell r="A274" t="e">
            <v>#N/A</v>
          </cell>
          <cell r="B274" t="e">
            <v>#N/A</v>
          </cell>
          <cell r="C274" t="e">
            <v>#N/A</v>
          </cell>
          <cell r="O274" t="e">
            <v>#N/A</v>
          </cell>
          <cell r="P274" t="e">
            <v>#N/A</v>
          </cell>
          <cell r="Q274" t="e">
            <v>#N/A</v>
          </cell>
          <cell r="R274" t="e">
            <v>#N/A</v>
          </cell>
          <cell r="S274" t="e">
            <v>#N/A</v>
          </cell>
          <cell r="T274" t="e">
            <v>#N/A</v>
          </cell>
          <cell r="U274" t="e">
            <v>#N/A</v>
          </cell>
          <cell r="V274" t="e">
            <v>#N/A</v>
          </cell>
          <cell r="W274" t="e">
            <v>#N/A</v>
          </cell>
          <cell r="X274" t="e">
            <v>#N/A</v>
          </cell>
          <cell r="Y274" t="e">
            <v>#N/A</v>
          </cell>
          <cell r="Z274" t="e">
            <v>#N/A</v>
          </cell>
        </row>
        <row r="275">
          <cell r="A275" t="e">
            <v>#N/A</v>
          </cell>
          <cell r="B275" t="e">
            <v>#N/A</v>
          </cell>
          <cell r="C275" t="e">
            <v>#N/A</v>
          </cell>
          <cell r="O275" t="e">
            <v>#N/A</v>
          </cell>
          <cell r="P275" t="e">
            <v>#N/A</v>
          </cell>
          <cell r="Q275" t="e">
            <v>#N/A</v>
          </cell>
          <cell r="R275" t="e">
            <v>#N/A</v>
          </cell>
          <cell r="S275" t="e">
            <v>#N/A</v>
          </cell>
          <cell r="T275" t="e">
            <v>#N/A</v>
          </cell>
          <cell r="U275" t="e">
            <v>#N/A</v>
          </cell>
          <cell r="V275" t="e">
            <v>#N/A</v>
          </cell>
          <cell r="W275" t="e">
            <v>#N/A</v>
          </cell>
          <cell r="X275" t="e">
            <v>#N/A</v>
          </cell>
          <cell r="Y275" t="e">
            <v>#N/A</v>
          </cell>
          <cell r="Z275" t="e">
            <v>#N/A</v>
          </cell>
        </row>
        <row r="276">
          <cell r="A276" t="e">
            <v>#N/A</v>
          </cell>
          <cell r="B276" t="e">
            <v>#N/A</v>
          </cell>
          <cell r="C276" t="e">
            <v>#N/A</v>
          </cell>
          <cell r="O276" t="e">
            <v>#N/A</v>
          </cell>
          <cell r="P276" t="e">
            <v>#N/A</v>
          </cell>
          <cell r="Q276" t="e">
            <v>#N/A</v>
          </cell>
          <cell r="R276" t="e">
            <v>#N/A</v>
          </cell>
          <cell r="S276" t="e">
            <v>#N/A</v>
          </cell>
          <cell r="T276" t="e">
            <v>#N/A</v>
          </cell>
          <cell r="U276" t="e">
            <v>#N/A</v>
          </cell>
          <cell r="V276" t="e">
            <v>#N/A</v>
          </cell>
          <cell r="W276" t="e">
            <v>#N/A</v>
          </cell>
          <cell r="X276" t="e">
            <v>#N/A</v>
          </cell>
          <cell r="Y276" t="e">
            <v>#N/A</v>
          </cell>
          <cell r="Z276" t="e">
            <v>#N/A</v>
          </cell>
        </row>
        <row r="277">
          <cell r="A277" t="e">
            <v>#N/A</v>
          </cell>
          <cell r="B277" t="e">
            <v>#N/A</v>
          </cell>
          <cell r="C277" t="e">
            <v>#N/A</v>
          </cell>
          <cell r="O277" t="e">
            <v>#N/A</v>
          </cell>
          <cell r="P277" t="e">
            <v>#N/A</v>
          </cell>
          <cell r="Q277" t="e">
            <v>#N/A</v>
          </cell>
          <cell r="R277" t="e">
            <v>#N/A</v>
          </cell>
          <cell r="S277" t="e">
            <v>#N/A</v>
          </cell>
          <cell r="T277" t="e">
            <v>#N/A</v>
          </cell>
          <cell r="U277" t="e">
            <v>#N/A</v>
          </cell>
          <cell r="V277" t="e">
            <v>#N/A</v>
          </cell>
          <cell r="W277" t="e">
            <v>#N/A</v>
          </cell>
          <cell r="X277" t="e">
            <v>#N/A</v>
          </cell>
          <cell r="Y277" t="e">
            <v>#N/A</v>
          </cell>
          <cell r="Z277" t="e">
            <v>#N/A</v>
          </cell>
        </row>
        <row r="278">
          <cell r="A278" t="e">
            <v>#N/A</v>
          </cell>
          <cell r="B278" t="e">
            <v>#N/A</v>
          </cell>
          <cell r="C278" t="e">
            <v>#N/A</v>
          </cell>
          <cell r="O278" t="e">
            <v>#N/A</v>
          </cell>
          <cell r="P278" t="e">
            <v>#N/A</v>
          </cell>
          <cell r="Q278" t="e">
            <v>#N/A</v>
          </cell>
          <cell r="R278" t="e">
            <v>#N/A</v>
          </cell>
          <cell r="S278" t="e">
            <v>#N/A</v>
          </cell>
          <cell r="T278" t="e">
            <v>#N/A</v>
          </cell>
          <cell r="U278" t="e">
            <v>#N/A</v>
          </cell>
          <cell r="V278" t="e">
            <v>#N/A</v>
          </cell>
          <cell r="W278" t="e">
            <v>#N/A</v>
          </cell>
          <cell r="X278" t="e">
            <v>#N/A</v>
          </cell>
          <cell r="Y278" t="e">
            <v>#N/A</v>
          </cell>
          <cell r="Z278" t="e">
            <v>#N/A</v>
          </cell>
        </row>
        <row r="279">
          <cell r="A279" t="e">
            <v>#N/A</v>
          </cell>
          <cell r="B279" t="e">
            <v>#N/A</v>
          </cell>
          <cell r="C279" t="e">
            <v>#N/A</v>
          </cell>
          <cell r="O279" t="e">
            <v>#N/A</v>
          </cell>
          <cell r="P279" t="e">
            <v>#N/A</v>
          </cell>
          <cell r="Q279" t="e">
            <v>#N/A</v>
          </cell>
          <cell r="R279" t="e">
            <v>#N/A</v>
          </cell>
          <cell r="S279" t="e">
            <v>#N/A</v>
          </cell>
          <cell r="T279" t="e">
            <v>#N/A</v>
          </cell>
          <cell r="U279" t="e">
            <v>#N/A</v>
          </cell>
          <cell r="V279" t="e">
            <v>#N/A</v>
          </cell>
          <cell r="W279" t="e">
            <v>#N/A</v>
          </cell>
          <cell r="X279" t="e">
            <v>#N/A</v>
          </cell>
          <cell r="Y279" t="e">
            <v>#N/A</v>
          </cell>
          <cell r="Z279" t="e">
            <v>#N/A</v>
          </cell>
        </row>
        <row r="280">
          <cell r="A280" t="e">
            <v>#N/A</v>
          </cell>
          <cell r="B280" t="e">
            <v>#N/A</v>
          </cell>
          <cell r="C280" t="e">
            <v>#N/A</v>
          </cell>
          <cell r="O280" t="e">
            <v>#N/A</v>
          </cell>
          <cell r="P280" t="e">
            <v>#N/A</v>
          </cell>
          <cell r="Q280" t="e">
            <v>#N/A</v>
          </cell>
          <cell r="R280" t="e">
            <v>#N/A</v>
          </cell>
          <cell r="S280" t="e">
            <v>#N/A</v>
          </cell>
          <cell r="T280" t="e">
            <v>#N/A</v>
          </cell>
          <cell r="U280" t="e">
            <v>#N/A</v>
          </cell>
          <cell r="V280" t="e">
            <v>#N/A</v>
          </cell>
          <cell r="W280" t="e">
            <v>#N/A</v>
          </cell>
          <cell r="X280" t="e">
            <v>#N/A</v>
          </cell>
          <cell r="Y280" t="e">
            <v>#N/A</v>
          </cell>
          <cell r="Z280" t="e">
            <v>#N/A</v>
          </cell>
        </row>
        <row r="281">
          <cell r="A281" t="e">
            <v>#N/A</v>
          </cell>
          <cell r="B281" t="e">
            <v>#N/A</v>
          </cell>
          <cell r="C281" t="e">
            <v>#N/A</v>
          </cell>
          <cell r="O281" t="e">
            <v>#N/A</v>
          </cell>
          <cell r="P281" t="e">
            <v>#N/A</v>
          </cell>
          <cell r="Q281" t="e">
            <v>#N/A</v>
          </cell>
          <cell r="R281" t="e">
            <v>#N/A</v>
          </cell>
          <cell r="S281" t="e">
            <v>#N/A</v>
          </cell>
          <cell r="T281" t="e">
            <v>#N/A</v>
          </cell>
          <cell r="U281" t="e">
            <v>#N/A</v>
          </cell>
          <cell r="V281" t="e">
            <v>#N/A</v>
          </cell>
          <cell r="W281" t="e">
            <v>#N/A</v>
          </cell>
          <cell r="X281" t="e">
            <v>#N/A</v>
          </cell>
          <cell r="Y281" t="e">
            <v>#N/A</v>
          </cell>
          <cell r="Z281" t="e">
            <v>#N/A</v>
          </cell>
        </row>
        <row r="282">
          <cell r="A282" t="e">
            <v>#N/A</v>
          </cell>
          <cell r="B282" t="e">
            <v>#N/A</v>
          </cell>
          <cell r="C282" t="e">
            <v>#N/A</v>
          </cell>
          <cell r="O282" t="e">
            <v>#N/A</v>
          </cell>
          <cell r="P282" t="e">
            <v>#N/A</v>
          </cell>
          <cell r="Q282" t="e">
            <v>#N/A</v>
          </cell>
          <cell r="R282" t="e">
            <v>#N/A</v>
          </cell>
          <cell r="S282" t="e">
            <v>#N/A</v>
          </cell>
          <cell r="T282" t="e">
            <v>#N/A</v>
          </cell>
          <cell r="U282" t="e">
            <v>#N/A</v>
          </cell>
          <cell r="V282" t="e">
            <v>#N/A</v>
          </cell>
          <cell r="W282" t="e">
            <v>#N/A</v>
          </cell>
          <cell r="X282" t="e">
            <v>#N/A</v>
          </cell>
          <cell r="Y282" t="e">
            <v>#N/A</v>
          </cell>
          <cell r="Z282" t="e">
            <v>#N/A</v>
          </cell>
        </row>
        <row r="283">
          <cell r="A283" t="e">
            <v>#N/A</v>
          </cell>
          <cell r="B283" t="e">
            <v>#N/A</v>
          </cell>
          <cell r="C283" t="e">
            <v>#N/A</v>
          </cell>
          <cell r="O283" t="e">
            <v>#N/A</v>
          </cell>
          <cell r="P283" t="e">
            <v>#N/A</v>
          </cell>
          <cell r="Q283" t="e">
            <v>#N/A</v>
          </cell>
          <cell r="R283" t="e">
            <v>#N/A</v>
          </cell>
          <cell r="S283" t="e">
            <v>#N/A</v>
          </cell>
          <cell r="T283" t="e">
            <v>#N/A</v>
          </cell>
          <cell r="U283" t="e">
            <v>#N/A</v>
          </cell>
          <cell r="V283" t="e">
            <v>#N/A</v>
          </cell>
          <cell r="W283" t="e">
            <v>#N/A</v>
          </cell>
          <cell r="X283" t="e">
            <v>#N/A</v>
          </cell>
          <cell r="Y283" t="e">
            <v>#N/A</v>
          </cell>
          <cell r="Z283" t="e">
            <v>#N/A</v>
          </cell>
        </row>
        <row r="284">
          <cell r="A284" t="e">
            <v>#N/A</v>
          </cell>
          <cell r="B284" t="e">
            <v>#N/A</v>
          </cell>
          <cell r="C284" t="e">
            <v>#N/A</v>
          </cell>
          <cell r="O284" t="e">
            <v>#N/A</v>
          </cell>
          <cell r="P284" t="e">
            <v>#N/A</v>
          </cell>
          <cell r="Q284" t="e">
            <v>#N/A</v>
          </cell>
          <cell r="R284" t="e">
            <v>#N/A</v>
          </cell>
          <cell r="S284" t="e">
            <v>#N/A</v>
          </cell>
          <cell r="T284" t="e">
            <v>#N/A</v>
          </cell>
          <cell r="U284" t="e">
            <v>#N/A</v>
          </cell>
          <cell r="V284" t="e">
            <v>#N/A</v>
          </cell>
          <cell r="W284" t="e">
            <v>#N/A</v>
          </cell>
          <cell r="X284" t="e">
            <v>#N/A</v>
          </cell>
          <cell r="Y284" t="e">
            <v>#N/A</v>
          </cell>
          <cell r="Z284" t="e">
            <v>#N/A</v>
          </cell>
        </row>
        <row r="285">
          <cell r="A285" t="e">
            <v>#N/A</v>
          </cell>
          <cell r="B285" t="e">
            <v>#N/A</v>
          </cell>
          <cell r="C285" t="e">
            <v>#N/A</v>
          </cell>
          <cell r="O285" t="e">
            <v>#N/A</v>
          </cell>
          <cell r="P285" t="e">
            <v>#N/A</v>
          </cell>
          <cell r="Q285" t="e">
            <v>#N/A</v>
          </cell>
          <cell r="R285" t="e">
            <v>#N/A</v>
          </cell>
          <cell r="S285" t="e">
            <v>#N/A</v>
          </cell>
          <cell r="T285" t="e">
            <v>#N/A</v>
          </cell>
          <cell r="U285" t="e">
            <v>#N/A</v>
          </cell>
          <cell r="V285" t="e">
            <v>#N/A</v>
          </cell>
          <cell r="W285" t="e">
            <v>#N/A</v>
          </cell>
          <cell r="X285" t="e">
            <v>#N/A</v>
          </cell>
          <cell r="Y285" t="e">
            <v>#N/A</v>
          </cell>
          <cell r="Z285" t="e">
            <v>#N/A</v>
          </cell>
        </row>
        <row r="286">
          <cell r="A286" t="e">
            <v>#N/A</v>
          </cell>
          <cell r="B286" t="e">
            <v>#N/A</v>
          </cell>
          <cell r="C286" t="e">
            <v>#N/A</v>
          </cell>
          <cell r="O286" t="e">
            <v>#N/A</v>
          </cell>
          <cell r="P286" t="e">
            <v>#N/A</v>
          </cell>
          <cell r="Q286" t="e">
            <v>#N/A</v>
          </cell>
          <cell r="R286" t="e">
            <v>#N/A</v>
          </cell>
          <cell r="S286" t="e">
            <v>#N/A</v>
          </cell>
          <cell r="T286" t="e">
            <v>#N/A</v>
          </cell>
          <cell r="U286" t="e">
            <v>#N/A</v>
          </cell>
          <cell r="V286" t="e">
            <v>#N/A</v>
          </cell>
          <cell r="W286" t="e">
            <v>#N/A</v>
          </cell>
          <cell r="X286" t="e">
            <v>#N/A</v>
          </cell>
          <cell r="Y286" t="e">
            <v>#N/A</v>
          </cell>
          <cell r="Z286" t="e">
            <v>#N/A</v>
          </cell>
        </row>
        <row r="287">
          <cell r="A287" t="e">
            <v>#N/A</v>
          </cell>
          <cell r="B287" t="e">
            <v>#N/A</v>
          </cell>
          <cell r="C287" t="e">
            <v>#N/A</v>
          </cell>
          <cell r="O287" t="e">
            <v>#N/A</v>
          </cell>
          <cell r="P287" t="e">
            <v>#N/A</v>
          </cell>
          <cell r="Q287" t="e">
            <v>#N/A</v>
          </cell>
          <cell r="R287" t="e">
            <v>#N/A</v>
          </cell>
          <cell r="S287" t="e">
            <v>#N/A</v>
          </cell>
          <cell r="T287" t="e">
            <v>#N/A</v>
          </cell>
          <cell r="U287" t="e">
            <v>#N/A</v>
          </cell>
          <cell r="V287" t="e">
            <v>#N/A</v>
          </cell>
          <cell r="W287" t="e">
            <v>#N/A</v>
          </cell>
          <cell r="X287" t="e">
            <v>#N/A</v>
          </cell>
          <cell r="Y287" t="e">
            <v>#N/A</v>
          </cell>
          <cell r="Z287" t="e">
            <v>#N/A</v>
          </cell>
        </row>
        <row r="288">
          <cell r="A288" t="e">
            <v>#N/A</v>
          </cell>
          <cell r="B288" t="e">
            <v>#N/A</v>
          </cell>
          <cell r="C288" t="e">
            <v>#N/A</v>
          </cell>
          <cell r="O288" t="e">
            <v>#N/A</v>
          </cell>
          <cell r="P288" t="e">
            <v>#N/A</v>
          </cell>
          <cell r="Q288" t="e">
            <v>#N/A</v>
          </cell>
          <cell r="R288" t="e">
            <v>#N/A</v>
          </cell>
          <cell r="S288" t="e">
            <v>#N/A</v>
          </cell>
          <cell r="T288" t="e">
            <v>#N/A</v>
          </cell>
          <cell r="U288" t="e">
            <v>#N/A</v>
          </cell>
          <cell r="V288" t="e">
            <v>#N/A</v>
          </cell>
          <cell r="W288" t="e">
            <v>#N/A</v>
          </cell>
          <cell r="X288" t="e">
            <v>#N/A</v>
          </cell>
          <cell r="Y288" t="e">
            <v>#N/A</v>
          </cell>
          <cell r="Z288" t="e">
            <v>#N/A</v>
          </cell>
        </row>
        <row r="289">
          <cell r="A289" t="e">
            <v>#N/A</v>
          </cell>
          <cell r="B289" t="e">
            <v>#N/A</v>
          </cell>
          <cell r="C289" t="e">
            <v>#N/A</v>
          </cell>
          <cell r="O289" t="e">
            <v>#N/A</v>
          </cell>
          <cell r="P289" t="e">
            <v>#N/A</v>
          </cell>
          <cell r="Q289" t="e">
            <v>#N/A</v>
          </cell>
          <cell r="R289" t="e">
            <v>#N/A</v>
          </cell>
          <cell r="S289" t="e">
            <v>#N/A</v>
          </cell>
          <cell r="T289" t="e">
            <v>#N/A</v>
          </cell>
          <cell r="U289" t="e">
            <v>#N/A</v>
          </cell>
          <cell r="V289" t="e">
            <v>#N/A</v>
          </cell>
          <cell r="W289" t="e">
            <v>#N/A</v>
          </cell>
          <cell r="X289" t="e">
            <v>#N/A</v>
          </cell>
          <cell r="Y289" t="e">
            <v>#N/A</v>
          </cell>
          <cell r="Z289" t="e">
            <v>#N/A</v>
          </cell>
        </row>
        <row r="290">
          <cell r="A290" t="e">
            <v>#N/A</v>
          </cell>
          <cell r="B290" t="e">
            <v>#N/A</v>
          </cell>
          <cell r="C290" t="e">
            <v>#N/A</v>
          </cell>
          <cell r="O290" t="e">
            <v>#N/A</v>
          </cell>
          <cell r="P290" t="e">
            <v>#N/A</v>
          </cell>
          <cell r="Q290" t="e">
            <v>#N/A</v>
          </cell>
          <cell r="R290" t="e">
            <v>#N/A</v>
          </cell>
          <cell r="S290" t="e">
            <v>#N/A</v>
          </cell>
          <cell r="T290" t="e">
            <v>#N/A</v>
          </cell>
          <cell r="U290" t="e">
            <v>#N/A</v>
          </cell>
          <cell r="V290" t="e">
            <v>#N/A</v>
          </cell>
          <cell r="W290" t="e">
            <v>#N/A</v>
          </cell>
          <cell r="X290" t="e">
            <v>#N/A</v>
          </cell>
          <cell r="Y290" t="e">
            <v>#N/A</v>
          </cell>
          <cell r="Z290" t="e">
            <v>#N/A</v>
          </cell>
        </row>
        <row r="291">
          <cell r="A291" t="e">
            <v>#N/A</v>
          </cell>
          <cell r="B291" t="e">
            <v>#N/A</v>
          </cell>
          <cell r="C291" t="e">
            <v>#N/A</v>
          </cell>
          <cell r="O291" t="e">
            <v>#N/A</v>
          </cell>
          <cell r="P291" t="e">
            <v>#N/A</v>
          </cell>
          <cell r="Q291" t="e">
            <v>#N/A</v>
          </cell>
          <cell r="R291" t="e">
            <v>#N/A</v>
          </cell>
          <cell r="S291" t="e">
            <v>#N/A</v>
          </cell>
          <cell r="T291" t="e">
            <v>#N/A</v>
          </cell>
          <cell r="U291" t="e">
            <v>#N/A</v>
          </cell>
          <cell r="V291" t="e">
            <v>#N/A</v>
          </cell>
          <cell r="W291" t="e">
            <v>#N/A</v>
          </cell>
          <cell r="X291" t="e">
            <v>#N/A</v>
          </cell>
          <cell r="Y291" t="e">
            <v>#N/A</v>
          </cell>
          <cell r="Z291" t="e">
            <v>#N/A</v>
          </cell>
        </row>
        <row r="292">
          <cell r="A292" t="e">
            <v>#N/A</v>
          </cell>
          <cell r="B292" t="e">
            <v>#N/A</v>
          </cell>
          <cell r="C292" t="e">
            <v>#N/A</v>
          </cell>
          <cell r="O292" t="e">
            <v>#N/A</v>
          </cell>
          <cell r="P292" t="e">
            <v>#N/A</v>
          </cell>
          <cell r="Q292" t="e">
            <v>#N/A</v>
          </cell>
          <cell r="R292" t="e">
            <v>#N/A</v>
          </cell>
          <cell r="S292" t="e">
            <v>#N/A</v>
          </cell>
          <cell r="T292" t="e">
            <v>#N/A</v>
          </cell>
          <cell r="U292" t="e">
            <v>#N/A</v>
          </cell>
          <cell r="V292" t="e">
            <v>#N/A</v>
          </cell>
          <cell r="W292" t="e">
            <v>#N/A</v>
          </cell>
          <cell r="X292" t="e">
            <v>#N/A</v>
          </cell>
          <cell r="Y292" t="e">
            <v>#N/A</v>
          </cell>
          <cell r="Z292" t="e">
            <v>#N/A</v>
          </cell>
        </row>
        <row r="293">
          <cell r="A293" t="e">
            <v>#N/A</v>
          </cell>
          <cell r="B293" t="e">
            <v>#N/A</v>
          </cell>
          <cell r="C293" t="e">
            <v>#N/A</v>
          </cell>
          <cell r="O293" t="e">
            <v>#N/A</v>
          </cell>
          <cell r="P293" t="e">
            <v>#N/A</v>
          </cell>
          <cell r="Q293" t="e">
            <v>#N/A</v>
          </cell>
          <cell r="R293" t="e">
            <v>#N/A</v>
          </cell>
          <cell r="S293" t="e">
            <v>#N/A</v>
          </cell>
          <cell r="T293" t="e">
            <v>#N/A</v>
          </cell>
          <cell r="U293" t="e">
            <v>#N/A</v>
          </cell>
          <cell r="V293" t="e">
            <v>#N/A</v>
          </cell>
          <cell r="W293" t="e">
            <v>#N/A</v>
          </cell>
          <cell r="X293" t="e">
            <v>#N/A</v>
          </cell>
          <cell r="Y293" t="e">
            <v>#N/A</v>
          </cell>
          <cell r="Z293" t="e">
            <v>#N/A</v>
          </cell>
        </row>
        <row r="294">
          <cell r="A294" t="e">
            <v>#N/A</v>
          </cell>
          <cell r="B294" t="e">
            <v>#N/A</v>
          </cell>
          <cell r="C294" t="e">
            <v>#N/A</v>
          </cell>
          <cell r="O294" t="e">
            <v>#N/A</v>
          </cell>
          <cell r="P294" t="e">
            <v>#N/A</v>
          </cell>
          <cell r="Q294" t="e">
            <v>#N/A</v>
          </cell>
          <cell r="R294" t="e">
            <v>#N/A</v>
          </cell>
          <cell r="S294" t="e">
            <v>#N/A</v>
          </cell>
          <cell r="T294" t="e">
            <v>#N/A</v>
          </cell>
          <cell r="U294" t="e">
            <v>#N/A</v>
          </cell>
          <cell r="V294" t="e">
            <v>#N/A</v>
          </cell>
          <cell r="W294" t="e">
            <v>#N/A</v>
          </cell>
          <cell r="X294" t="e">
            <v>#N/A</v>
          </cell>
          <cell r="Y294" t="e">
            <v>#N/A</v>
          </cell>
          <cell r="Z294" t="e">
            <v>#N/A</v>
          </cell>
        </row>
        <row r="295">
          <cell r="A295" t="e">
            <v>#N/A</v>
          </cell>
          <cell r="B295" t="e">
            <v>#N/A</v>
          </cell>
          <cell r="C295" t="e">
            <v>#N/A</v>
          </cell>
          <cell r="O295" t="e">
            <v>#N/A</v>
          </cell>
          <cell r="P295" t="e">
            <v>#N/A</v>
          </cell>
          <cell r="Q295" t="e">
            <v>#N/A</v>
          </cell>
          <cell r="R295" t="e">
            <v>#N/A</v>
          </cell>
          <cell r="S295" t="e">
            <v>#N/A</v>
          </cell>
          <cell r="T295" t="e">
            <v>#N/A</v>
          </cell>
          <cell r="U295" t="e">
            <v>#N/A</v>
          </cell>
          <cell r="V295" t="e">
            <v>#N/A</v>
          </cell>
          <cell r="W295" t="e">
            <v>#N/A</v>
          </cell>
          <cell r="X295" t="e">
            <v>#N/A</v>
          </cell>
          <cell r="Y295" t="e">
            <v>#N/A</v>
          </cell>
          <cell r="Z295" t="e">
            <v>#N/A</v>
          </cell>
        </row>
        <row r="296">
          <cell r="A296" t="e">
            <v>#N/A</v>
          </cell>
          <cell r="B296" t="e">
            <v>#N/A</v>
          </cell>
          <cell r="C296" t="e">
            <v>#N/A</v>
          </cell>
          <cell r="O296" t="e">
            <v>#N/A</v>
          </cell>
          <cell r="P296" t="e">
            <v>#N/A</v>
          </cell>
          <cell r="Q296" t="e">
            <v>#N/A</v>
          </cell>
          <cell r="R296" t="e">
            <v>#N/A</v>
          </cell>
          <cell r="S296" t="e">
            <v>#N/A</v>
          </cell>
          <cell r="T296" t="e">
            <v>#N/A</v>
          </cell>
          <cell r="U296" t="e">
            <v>#N/A</v>
          </cell>
          <cell r="V296" t="e">
            <v>#N/A</v>
          </cell>
          <cell r="W296" t="e">
            <v>#N/A</v>
          </cell>
          <cell r="X296" t="e">
            <v>#N/A</v>
          </cell>
          <cell r="Y296" t="e">
            <v>#N/A</v>
          </cell>
          <cell r="Z296" t="e">
            <v>#N/A</v>
          </cell>
        </row>
        <row r="297">
          <cell r="A297" t="e">
            <v>#N/A</v>
          </cell>
          <cell r="B297" t="e">
            <v>#N/A</v>
          </cell>
          <cell r="C297" t="e">
            <v>#N/A</v>
          </cell>
          <cell r="O297" t="e">
            <v>#N/A</v>
          </cell>
          <cell r="P297" t="e">
            <v>#N/A</v>
          </cell>
          <cell r="Q297" t="e">
            <v>#N/A</v>
          </cell>
          <cell r="R297" t="e">
            <v>#N/A</v>
          </cell>
          <cell r="S297" t="e">
            <v>#N/A</v>
          </cell>
          <cell r="T297" t="e">
            <v>#N/A</v>
          </cell>
          <cell r="U297" t="e">
            <v>#N/A</v>
          </cell>
          <cell r="V297" t="e">
            <v>#N/A</v>
          </cell>
          <cell r="W297" t="e">
            <v>#N/A</v>
          </cell>
          <cell r="X297" t="e">
            <v>#N/A</v>
          </cell>
          <cell r="Y297" t="e">
            <v>#N/A</v>
          </cell>
          <cell r="Z297" t="e">
            <v>#N/A</v>
          </cell>
        </row>
        <row r="298">
          <cell r="A298" t="e">
            <v>#N/A</v>
          </cell>
          <cell r="B298" t="e">
            <v>#N/A</v>
          </cell>
          <cell r="C298" t="e">
            <v>#N/A</v>
          </cell>
          <cell r="O298" t="e">
            <v>#N/A</v>
          </cell>
          <cell r="P298" t="e">
            <v>#N/A</v>
          </cell>
          <cell r="Q298" t="e">
            <v>#N/A</v>
          </cell>
          <cell r="R298" t="e">
            <v>#N/A</v>
          </cell>
          <cell r="S298" t="e">
            <v>#N/A</v>
          </cell>
          <cell r="T298" t="e">
            <v>#N/A</v>
          </cell>
          <cell r="U298" t="e">
            <v>#N/A</v>
          </cell>
          <cell r="V298" t="e">
            <v>#N/A</v>
          </cell>
          <cell r="W298" t="e">
            <v>#N/A</v>
          </cell>
          <cell r="X298" t="e">
            <v>#N/A</v>
          </cell>
          <cell r="Y298" t="e">
            <v>#N/A</v>
          </cell>
          <cell r="Z298" t="e">
            <v>#N/A</v>
          </cell>
        </row>
        <row r="299">
          <cell r="A299" t="e">
            <v>#N/A</v>
          </cell>
          <cell r="B299" t="e">
            <v>#N/A</v>
          </cell>
          <cell r="C299" t="e">
            <v>#N/A</v>
          </cell>
          <cell r="O299" t="e">
            <v>#N/A</v>
          </cell>
          <cell r="P299" t="e">
            <v>#N/A</v>
          </cell>
          <cell r="Q299" t="e">
            <v>#N/A</v>
          </cell>
          <cell r="R299" t="e">
            <v>#N/A</v>
          </cell>
          <cell r="S299" t="e">
            <v>#N/A</v>
          </cell>
          <cell r="T299" t="e">
            <v>#N/A</v>
          </cell>
          <cell r="U299" t="e">
            <v>#N/A</v>
          </cell>
          <cell r="V299" t="e">
            <v>#N/A</v>
          </cell>
          <cell r="W299" t="e">
            <v>#N/A</v>
          </cell>
          <cell r="X299" t="e">
            <v>#N/A</v>
          </cell>
          <cell r="Y299" t="e">
            <v>#N/A</v>
          </cell>
          <cell r="Z299" t="e">
            <v>#N/A</v>
          </cell>
        </row>
        <row r="300">
          <cell r="A300" t="e">
            <v>#N/A</v>
          </cell>
          <cell r="B300" t="e">
            <v>#N/A</v>
          </cell>
          <cell r="C300" t="e">
            <v>#N/A</v>
          </cell>
          <cell r="O300" t="e">
            <v>#N/A</v>
          </cell>
          <cell r="P300" t="e">
            <v>#N/A</v>
          </cell>
          <cell r="Q300" t="e">
            <v>#N/A</v>
          </cell>
          <cell r="R300" t="e">
            <v>#N/A</v>
          </cell>
          <cell r="S300" t="e">
            <v>#N/A</v>
          </cell>
          <cell r="T300" t="e">
            <v>#N/A</v>
          </cell>
          <cell r="U300" t="e">
            <v>#N/A</v>
          </cell>
          <cell r="V300" t="e">
            <v>#N/A</v>
          </cell>
          <cell r="W300" t="e">
            <v>#N/A</v>
          </cell>
          <cell r="X300" t="e">
            <v>#N/A</v>
          </cell>
          <cell r="Y300" t="e">
            <v>#N/A</v>
          </cell>
          <cell r="Z300" t="e">
            <v>#N/A</v>
          </cell>
        </row>
        <row r="301">
          <cell r="A301" t="e">
            <v>#N/A</v>
          </cell>
          <cell r="B301" t="e">
            <v>#N/A</v>
          </cell>
          <cell r="C301" t="e">
            <v>#N/A</v>
          </cell>
          <cell r="O301" t="e">
            <v>#N/A</v>
          </cell>
          <cell r="P301" t="e">
            <v>#N/A</v>
          </cell>
          <cell r="Q301" t="e">
            <v>#N/A</v>
          </cell>
          <cell r="R301" t="e">
            <v>#N/A</v>
          </cell>
          <cell r="S301" t="e">
            <v>#N/A</v>
          </cell>
          <cell r="T301" t="e">
            <v>#N/A</v>
          </cell>
          <cell r="U301" t="e">
            <v>#N/A</v>
          </cell>
          <cell r="V301" t="e">
            <v>#N/A</v>
          </cell>
          <cell r="W301" t="e">
            <v>#N/A</v>
          </cell>
          <cell r="X301" t="e">
            <v>#N/A</v>
          </cell>
          <cell r="Y301" t="e">
            <v>#N/A</v>
          </cell>
          <cell r="Z301" t="e">
            <v>#N/A</v>
          </cell>
        </row>
        <row r="302">
          <cell r="A302" t="e">
            <v>#N/A</v>
          </cell>
          <cell r="B302" t="e">
            <v>#N/A</v>
          </cell>
          <cell r="C302" t="e">
            <v>#N/A</v>
          </cell>
          <cell r="O302" t="e">
            <v>#N/A</v>
          </cell>
          <cell r="P302" t="e">
            <v>#N/A</v>
          </cell>
          <cell r="Q302" t="e">
            <v>#N/A</v>
          </cell>
          <cell r="R302" t="e">
            <v>#N/A</v>
          </cell>
          <cell r="S302" t="e">
            <v>#N/A</v>
          </cell>
          <cell r="T302" t="e">
            <v>#N/A</v>
          </cell>
          <cell r="U302" t="e">
            <v>#N/A</v>
          </cell>
          <cell r="V302" t="e">
            <v>#N/A</v>
          </cell>
          <cell r="W302" t="e">
            <v>#N/A</v>
          </cell>
          <cell r="X302" t="e">
            <v>#N/A</v>
          </cell>
          <cell r="Y302" t="e">
            <v>#N/A</v>
          </cell>
          <cell r="Z302" t="e">
            <v>#N/A</v>
          </cell>
        </row>
        <row r="303">
          <cell r="A303" t="e">
            <v>#N/A</v>
          </cell>
          <cell r="B303" t="e">
            <v>#N/A</v>
          </cell>
          <cell r="C303" t="e">
            <v>#N/A</v>
          </cell>
          <cell r="O303" t="e">
            <v>#N/A</v>
          </cell>
          <cell r="P303" t="e">
            <v>#N/A</v>
          </cell>
          <cell r="Q303" t="e">
            <v>#N/A</v>
          </cell>
          <cell r="R303" t="e">
            <v>#N/A</v>
          </cell>
          <cell r="S303" t="e">
            <v>#N/A</v>
          </cell>
          <cell r="T303" t="e">
            <v>#N/A</v>
          </cell>
          <cell r="U303" t="e">
            <v>#N/A</v>
          </cell>
          <cell r="V303" t="e">
            <v>#N/A</v>
          </cell>
          <cell r="W303" t="e">
            <v>#N/A</v>
          </cell>
          <cell r="X303" t="e">
            <v>#N/A</v>
          </cell>
          <cell r="Y303" t="e">
            <v>#N/A</v>
          </cell>
          <cell r="Z303" t="e">
            <v>#N/A</v>
          </cell>
        </row>
        <row r="304">
          <cell r="A304" t="e">
            <v>#N/A</v>
          </cell>
          <cell r="B304" t="e">
            <v>#N/A</v>
          </cell>
          <cell r="C304" t="e">
            <v>#N/A</v>
          </cell>
          <cell r="O304" t="e">
            <v>#N/A</v>
          </cell>
          <cell r="P304" t="e">
            <v>#N/A</v>
          </cell>
          <cell r="Q304" t="e">
            <v>#N/A</v>
          </cell>
          <cell r="R304" t="e">
            <v>#N/A</v>
          </cell>
          <cell r="S304" t="e">
            <v>#N/A</v>
          </cell>
          <cell r="T304" t="e">
            <v>#N/A</v>
          </cell>
          <cell r="U304" t="e">
            <v>#N/A</v>
          </cell>
          <cell r="V304" t="e">
            <v>#N/A</v>
          </cell>
          <cell r="W304" t="e">
            <v>#N/A</v>
          </cell>
          <cell r="X304" t="e">
            <v>#N/A</v>
          </cell>
          <cell r="Y304" t="e">
            <v>#N/A</v>
          </cell>
          <cell r="Z304" t="e">
            <v>#N/A</v>
          </cell>
        </row>
        <row r="305">
          <cell r="A305" t="e">
            <v>#N/A</v>
          </cell>
          <cell r="B305" t="e">
            <v>#N/A</v>
          </cell>
          <cell r="C305" t="e">
            <v>#N/A</v>
          </cell>
          <cell r="O305" t="e">
            <v>#N/A</v>
          </cell>
          <cell r="P305" t="e">
            <v>#N/A</v>
          </cell>
          <cell r="Q305" t="e">
            <v>#N/A</v>
          </cell>
          <cell r="R305" t="e">
            <v>#N/A</v>
          </cell>
          <cell r="S305" t="e">
            <v>#N/A</v>
          </cell>
          <cell r="T305" t="e">
            <v>#N/A</v>
          </cell>
          <cell r="U305" t="e">
            <v>#N/A</v>
          </cell>
          <cell r="V305" t="e">
            <v>#N/A</v>
          </cell>
          <cell r="W305" t="e">
            <v>#N/A</v>
          </cell>
          <cell r="X305" t="e">
            <v>#N/A</v>
          </cell>
          <cell r="Y305" t="e">
            <v>#N/A</v>
          </cell>
          <cell r="Z305" t="e">
            <v>#N/A</v>
          </cell>
        </row>
        <row r="306">
          <cell r="A306" t="e">
            <v>#N/A</v>
          </cell>
          <cell r="B306" t="e">
            <v>#N/A</v>
          </cell>
          <cell r="C306" t="e">
            <v>#N/A</v>
          </cell>
          <cell r="O306" t="e">
            <v>#N/A</v>
          </cell>
          <cell r="P306" t="e">
            <v>#N/A</v>
          </cell>
          <cell r="Q306" t="e">
            <v>#N/A</v>
          </cell>
          <cell r="R306" t="e">
            <v>#N/A</v>
          </cell>
          <cell r="S306" t="e">
            <v>#N/A</v>
          </cell>
          <cell r="T306" t="e">
            <v>#N/A</v>
          </cell>
          <cell r="U306" t="e">
            <v>#N/A</v>
          </cell>
          <cell r="V306" t="e">
            <v>#N/A</v>
          </cell>
          <cell r="W306" t="e">
            <v>#N/A</v>
          </cell>
          <cell r="X306" t="e">
            <v>#N/A</v>
          </cell>
          <cell r="Y306" t="e">
            <v>#N/A</v>
          </cell>
          <cell r="Z306" t="e">
            <v>#N/A</v>
          </cell>
        </row>
        <row r="307">
          <cell r="A307" t="e">
            <v>#N/A</v>
          </cell>
          <cell r="B307" t="e">
            <v>#N/A</v>
          </cell>
          <cell r="C307" t="e">
            <v>#N/A</v>
          </cell>
          <cell r="O307" t="e">
            <v>#N/A</v>
          </cell>
          <cell r="P307" t="e">
            <v>#N/A</v>
          </cell>
          <cell r="Q307" t="e">
            <v>#N/A</v>
          </cell>
          <cell r="R307" t="e">
            <v>#N/A</v>
          </cell>
          <cell r="S307" t="e">
            <v>#N/A</v>
          </cell>
          <cell r="T307" t="e">
            <v>#N/A</v>
          </cell>
          <cell r="U307" t="e">
            <v>#N/A</v>
          </cell>
          <cell r="V307" t="e">
            <v>#N/A</v>
          </cell>
          <cell r="W307" t="e">
            <v>#N/A</v>
          </cell>
          <cell r="X307" t="e">
            <v>#N/A</v>
          </cell>
          <cell r="Y307" t="e">
            <v>#N/A</v>
          </cell>
          <cell r="Z307" t="e">
            <v>#N/A</v>
          </cell>
        </row>
        <row r="308">
          <cell r="A308" t="e">
            <v>#N/A</v>
          </cell>
          <cell r="B308" t="e">
            <v>#N/A</v>
          </cell>
          <cell r="C308" t="e">
            <v>#N/A</v>
          </cell>
          <cell r="O308" t="e">
            <v>#N/A</v>
          </cell>
          <cell r="P308" t="e">
            <v>#N/A</v>
          </cell>
          <cell r="Q308" t="e">
            <v>#N/A</v>
          </cell>
          <cell r="R308" t="e">
            <v>#N/A</v>
          </cell>
          <cell r="S308" t="e">
            <v>#N/A</v>
          </cell>
          <cell r="T308" t="e">
            <v>#N/A</v>
          </cell>
          <cell r="U308" t="e">
            <v>#N/A</v>
          </cell>
          <cell r="V308" t="e">
            <v>#N/A</v>
          </cell>
          <cell r="W308" t="e">
            <v>#N/A</v>
          </cell>
          <cell r="X308" t="e">
            <v>#N/A</v>
          </cell>
          <cell r="Y308" t="e">
            <v>#N/A</v>
          </cell>
          <cell r="Z308" t="e">
            <v>#N/A</v>
          </cell>
        </row>
        <row r="309">
          <cell r="A309" t="e">
            <v>#N/A</v>
          </cell>
          <cell r="B309" t="e">
            <v>#N/A</v>
          </cell>
          <cell r="C309" t="e">
            <v>#N/A</v>
          </cell>
          <cell r="O309" t="e">
            <v>#N/A</v>
          </cell>
          <cell r="P309" t="e">
            <v>#N/A</v>
          </cell>
          <cell r="Q309" t="e">
            <v>#N/A</v>
          </cell>
          <cell r="R309" t="e">
            <v>#N/A</v>
          </cell>
          <cell r="S309" t="e">
            <v>#N/A</v>
          </cell>
          <cell r="T309" t="e">
            <v>#N/A</v>
          </cell>
          <cell r="U309" t="e">
            <v>#N/A</v>
          </cell>
          <cell r="V309" t="e">
            <v>#N/A</v>
          </cell>
          <cell r="W309" t="e">
            <v>#N/A</v>
          </cell>
          <cell r="X309" t="e">
            <v>#N/A</v>
          </cell>
          <cell r="Y309" t="e">
            <v>#N/A</v>
          </cell>
          <cell r="Z309" t="e">
            <v>#N/A</v>
          </cell>
        </row>
        <row r="310">
          <cell r="A310" t="e">
            <v>#N/A</v>
          </cell>
          <cell r="B310" t="e">
            <v>#N/A</v>
          </cell>
          <cell r="C310" t="e">
            <v>#N/A</v>
          </cell>
          <cell r="O310" t="e">
            <v>#N/A</v>
          </cell>
          <cell r="P310" t="e">
            <v>#N/A</v>
          </cell>
          <cell r="Q310" t="e">
            <v>#N/A</v>
          </cell>
          <cell r="R310" t="e">
            <v>#N/A</v>
          </cell>
          <cell r="S310" t="e">
            <v>#N/A</v>
          </cell>
          <cell r="T310" t="e">
            <v>#N/A</v>
          </cell>
          <cell r="U310" t="e">
            <v>#N/A</v>
          </cell>
          <cell r="V310" t="e">
            <v>#N/A</v>
          </cell>
          <cell r="W310" t="e">
            <v>#N/A</v>
          </cell>
          <cell r="X310" t="e">
            <v>#N/A</v>
          </cell>
          <cell r="Y310" t="e">
            <v>#N/A</v>
          </cell>
          <cell r="Z310" t="e">
            <v>#N/A</v>
          </cell>
        </row>
        <row r="311">
          <cell r="A311" t="e">
            <v>#N/A</v>
          </cell>
          <cell r="B311" t="e">
            <v>#N/A</v>
          </cell>
          <cell r="C311" t="e">
            <v>#N/A</v>
          </cell>
          <cell r="O311" t="e">
            <v>#N/A</v>
          </cell>
          <cell r="P311" t="e">
            <v>#N/A</v>
          </cell>
          <cell r="Q311" t="e">
            <v>#N/A</v>
          </cell>
          <cell r="R311" t="e">
            <v>#N/A</v>
          </cell>
          <cell r="S311" t="e">
            <v>#N/A</v>
          </cell>
          <cell r="T311" t="e">
            <v>#N/A</v>
          </cell>
          <cell r="U311" t="e">
            <v>#N/A</v>
          </cell>
          <cell r="V311" t="e">
            <v>#N/A</v>
          </cell>
          <cell r="W311" t="e">
            <v>#N/A</v>
          </cell>
          <cell r="X311" t="e">
            <v>#N/A</v>
          </cell>
          <cell r="Y311" t="e">
            <v>#N/A</v>
          </cell>
          <cell r="Z311" t="e">
            <v>#N/A</v>
          </cell>
        </row>
        <row r="312">
          <cell r="A312" t="e">
            <v>#N/A</v>
          </cell>
          <cell r="B312" t="e">
            <v>#N/A</v>
          </cell>
          <cell r="C312" t="e">
            <v>#N/A</v>
          </cell>
          <cell r="O312" t="e">
            <v>#N/A</v>
          </cell>
          <cell r="P312" t="e">
            <v>#N/A</v>
          </cell>
          <cell r="Q312" t="e">
            <v>#N/A</v>
          </cell>
          <cell r="R312" t="e">
            <v>#N/A</v>
          </cell>
          <cell r="S312" t="e">
            <v>#N/A</v>
          </cell>
          <cell r="T312" t="e">
            <v>#N/A</v>
          </cell>
          <cell r="U312" t="e">
            <v>#N/A</v>
          </cell>
          <cell r="V312" t="e">
            <v>#N/A</v>
          </cell>
          <cell r="W312" t="e">
            <v>#N/A</v>
          </cell>
          <cell r="X312" t="e">
            <v>#N/A</v>
          </cell>
          <cell r="Y312" t="e">
            <v>#N/A</v>
          </cell>
          <cell r="Z312" t="e">
            <v>#N/A</v>
          </cell>
        </row>
        <row r="313">
          <cell r="A313" t="e">
            <v>#N/A</v>
          </cell>
          <cell r="B313" t="e">
            <v>#N/A</v>
          </cell>
          <cell r="C313" t="e">
            <v>#N/A</v>
          </cell>
          <cell r="O313" t="e">
            <v>#N/A</v>
          </cell>
          <cell r="P313" t="e">
            <v>#N/A</v>
          </cell>
          <cell r="Q313" t="e">
            <v>#N/A</v>
          </cell>
          <cell r="R313" t="e">
            <v>#N/A</v>
          </cell>
          <cell r="S313" t="e">
            <v>#N/A</v>
          </cell>
          <cell r="T313" t="e">
            <v>#N/A</v>
          </cell>
          <cell r="U313" t="e">
            <v>#N/A</v>
          </cell>
          <cell r="V313" t="e">
            <v>#N/A</v>
          </cell>
          <cell r="W313" t="e">
            <v>#N/A</v>
          </cell>
          <cell r="X313" t="e">
            <v>#N/A</v>
          </cell>
          <cell r="Y313" t="e">
            <v>#N/A</v>
          </cell>
          <cell r="Z313" t="e">
            <v>#N/A</v>
          </cell>
        </row>
        <row r="314">
          <cell r="A314" t="e">
            <v>#N/A</v>
          </cell>
          <cell r="B314" t="e">
            <v>#N/A</v>
          </cell>
          <cell r="C314" t="e">
            <v>#N/A</v>
          </cell>
          <cell r="O314" t="e">
            <v>#N/A</v>
          </cell>
          <cell r="P314" t="e">
            <v>#N/A</v>
          </cell>
          <cell r="Q314" t="e">
            <v>#N/A</v>
          </cell>
          <cell r="R314" t="e">
            <v>#N/A</v>
          </cell>
          <cell r="S314" t="e">
            <v>#N/A</v>
          </cell>
          <cell r="T314" t="e">
            <v>#N/A</v>
          </cell>
          <cell r="U314" t="e">
            <v>#N/A</v>
          </cell>
          <cell r="V314" t="e">
            <v>#N/A</v>
          </cell>
          <cell r="W314" t="e">
            <v>#N/A</v>
          </cell>
          <cell r="X314" t="e">
            <v>#N/A</v>
          </cell>
          <cell r="Y314" t="e">
            <v>#N/A</v>
          </cell>
          <cell r="Z314" t="e">
            <v>#N/A</v>
          </cell>
        </row>
        <row r="315">
          <cell r="A315" t="e">
            <v>#N/A</v>
          </cell>
          <cell r="B315" t="e">
            <v>#N/A</v>
          </cell>
          <cell r="C315" t="e">
            <v>#N/A</v>
          </cell>
          <cell r="O315" t="e">
            <v>#N/A</v>
          </cell>
          <cell r="P315" t="e">
            <v>#N/A</v>
          </cell>
          <cell r="Q315" t="e">
            <v>#N/A</v>
          </cell>
          <cell r="R315" t="e">
            <v>#N/A</v>
          </cell>
          <cell r="S315" t="e">
            <v>#N/A</v>
          </cell>
          <cell r="T315" t="e">
            <v>#N/A</v>
          </cell>
          <cell r="U315" t="e">
            <v>#N/A</v>
          </cell>
          <cell r="V315" t="e">
            <v>#N/A</v>
          </cell>
          <cell r="W315" t="e">
            <v>#N/A</v>
          </cell>
          <cell r="X315" t="e">
            <v>#N/A</v>
          </cell>
          <cell r="Y315" t="e">
            <v>#N/A</v>
          </cell>
          <cell r="Z315" t="e">
            <v>#N/A</v>
          </cell>
        </row>
        <row r="316">
          <cell r="A316" t="e">
            <v>#N/A</v>
          </cell>
          <cell r="B316" t="e">
            <v>#N/A</v>
          </cell>
          <cell r="C316" t="e">
            <v>#N/A</v>
          </cell>
          <cell r="O316" t="e">
            <v>#N/A</v>
          </cell>
          <cell r="P316" t="e">
            <v>#N/A</v>
          </cell>
          <cell r="Q316" t="e">
            <v>#N/A</v>
          </cell>
          <cell r="R316" t="e">
            <v>#N/A</v>
          </cell>
          <cell r="S316" t="e">
            <v>#N/A</v>
          </cell>
          <cell r="T316" t="e">
            <v>#N/A</v>
          </cell>
          <cell r="U316" t="e">
            <v>#N/A</v>
          </cell>
          <cell r="V316" t="e">
            <v>#N/A</v>
          </cell>
          <cell r="W316" t="e">
            <v>#N/A</v>
          </cell>
          <cell r="X316" t="e">
            <v>#N/A</v>
          </cell>
          <cell r="Y316" t="e">
            <v>#N/A</v>
          </cell>
          <cell r="Z316" t="e">
            <v>#N/A</v>
          </cell>
        </row>
        <row r="317">
          <cell r="A317" t="e">
            <v>#N/A</v>
          </cell>
          <cell r="B317" t="e">
            <v>#N/A</v>
          </cell>
          <cell r="C317" t="e">
            <v>#N/A</v>
          </cell>
          <cell r="O317" t="e">
            <v>#N/A</v>
          </cell>
          <cell r="P317" t="e">
            <v>#N/A</v>
          </cell>
          <cell r="Q317" t="e">
            <v>#N/A</v>
          </cell>
          <cell r="R317" t="e">
            <v>#N/A</v>
          </cell>
          <cell r="S317" t="e">
            <v>#N/A</v>
          </cell>
          <cell r="T317" t="e">
            <v>#N/A</v>
          </cell>
          <cell r="U317" t="e">
            <v>#N/A</v>
          </cell>
          <cell r="V317" t="e">
            <v>#N/A</v>
          </cell>
          <cell r="W317" t="e">
            <v>#N/A</v>
          </cell>
          <cell r="X317" t="e">
            <v>#N/A</v>
          </cell>
          <cell r="Y317" t="e">
            <v>#N/A</v>
          </cell>
          <cell r="Z317" t="e">
            <v>#N/A</v>
          </cell>
        </row>
        <row r="318">
          <cell r="A318" t="e">
            <v>#N/A</v>
          </cell>
          <cell r="B318" t="e">
            <v>#N/A</v>
          </cell>
          <cell r="C318" t="e">
            <v>#N/A</v>
          </cell>
          <cell r="O318" t="e">
            <v>#N/A</v>
          </cell>
          <cell r="P318" t="e">
            <v>#N/A</v>
          </cell>
          <cell r="Q318" t="e">
            <v>#N/A</v>
          </cell>
          <cell r="R318" t="e">
            <v>#N/A</v>
          </cell>
          <cell r="S318" t="e">
            <v>#N/A</v>
          </cell>
          <cell r="T318" t="e">
            <v>#N/A</v>
          </cell>
          <cell r="U318" t="e">
            <v>#N/A</v>
          </cell>
          <cell r="V318" t="e">
            <v>#N/A</v>
          </cell>
          <cell r="W318" t="e">
            <v>#N/A</v>
          </cell>
          <cell r="X318" t="e">
            <v>#N/A</v>
          </cell>
          <cell r="Y318" t="e">
            <v>#N/A</v>
          </cell>
          <cell r="Z318" t="e">
            <v>#N/A</v>
          </cell>
        </row>
        <row r="319">
          <cell r="A319" t="e">
            <v>#N/A</v>
          </cell>
          <cell r="B319" t="e">
            <v>#N/A</v>
          </cell>
          <cell r="C319" t="e">
            <v>#N/A</v>
          </cell>
          <cell r="O319" t="e">
            <v>#N/A</v>
          </cell>
          <cell r="P319" t="e">
            <v>#N/A</v>
          </cell>
          <cell r="Q319" t="e">
            <v>#N/A</v>
          </cell>
          <cell r="R319" t="e">
            <v>#N/A</v>
          </cell>
          <cell r="S319" t="e">
            <v>#N/A</v>
          </cell>
          <cell r="T319" t="e">
            <v>#N/A</v>
          </cell>
          <cell r="U319" t="e">
            <v>#N/A</v>
          </cell>
          <cell r="V319" t="e">
            <v>#N/A</v>
          </cell>
          <cell r="W319" t="e">
            <v>#N/A</v>
          </cell>
          <cell r="X319" t="e">
            <v>#N/A</v>
          </cell>
          <cell r="Y319" t="e">
            <v>#N/A</v>
          </cell>
          <cell r="Z319" t="e">
            <v>#N/A</v>
          </cell>
        </row>
        <row r="320">
          <cell r="A320" t="e">
            <v>#N/A</v>
          </cell>
          <cell r="B320" t="e">
            <v>#N/A</v>
          </cell>
          <cell r="C320" t="e">
            <v>#N/A</v>
          </cell>
          <cell r="O320" t="e">
            <v>#N/A</v>
          </cell>
          <cell r="P320" t="e">
            <v>#N/A</v>
          </cell>
          <cell r="Q320" t="e">
            <v>#N/A</v>
          </cell>
          <cell r="R320" t="e">
            <v>#N/A</v>
          </cell>
          <cell r="S320" t="e">
            <v>#N/A</v>
          </cell>
          <cell r="T320" t="e">
            <v>#N/A</v>
          </cell>
          <cell r="U320" t="e">
            <v>#N/A</v>
          </cell>
          <cell r="V320" t="e">
            <v>#N/A</v>
          </cell>
          <cell r="W320" t="e">
            <v>#N/A</v>
          </cell>
          <cell r="X320" t="e">
            <v>#N/A</v>
          </cell>
          <cell r="Y320" t="e">
            <v>#N/A</v>
          </cell>
          <cell r="Z320" t="e">
            <v>#N/A</v>
          </cell>
        </row>
        <row r="321">
          <cell r="A321" t="e">
            <v>#N/A</v>
          </cell>
          <cell r="B321" t="e">
            <v>#N/A</v>
          </cell>
          <cell r="C321" t="e">
            <v>#N/A</v>
          </cell>
          <cell r="O321" t="e">
            <v>#N/A</v>
          </cell>
          <cell r="P321" t="e">
            <v>#N/A</v>
          </cell>
          <cell r="Q321" t="e">
            <v>#N/A</v>
          </cell>
          <cell r="R321" t="e">
            <v>#N/A</v>
          </cell>
          <cell r="S321" t="e">
            <v>#N/A</v>
          </cell>
          <cell r="T321" t="e">
            <v>#N/A</v>
          </cell>
          <cell r="U321" t="e">
            <v>#N/A</v>
          </cell>
          <cell r="V321" t="e">
            <v>#N/A</v>
          </cell>
          <cell r="W321" t="e">
            <v>#N/A</v>
          </cell>
          <cell r="X321" t="e">
            <v>#N/A</v>
          </cell>
          <cell r="Y321" t="e">
            <v>#N/A</v>
          </cell>
          <cell r="Z321" t="e">
            <v>#N/A</v>
          </cell>
        </row>
        <row r="322">
          <cell r="A322" t="e">
            <v>#N/A</v>
          </cell>
          <cell r="B322" t="e">
            <v>#N/A</v>
          </cell>
          <cell r="C322" t="e">
            <v>#N/A</v>
          </cell>
          <cell r="O322" t="e">
            <v>#N/A</v>
          </cell>
          <cell r="P322" t="e">
            <v>#N/A</v>
          </cell>
          <cell r="Q322" t="e">
            <v>#N/A</v>
          </cell>
          <cell r="R322" t="e">
            <v>#N/A</v>
          </cell>
          <cell r="S322" t="e">
            <v>#N/A</v>
          </cell>
          <cell r="T322" t="e">
            <v>#N/A</v>
          </cell>
          <cell r="U322" t="e">
            <v>#N/A</v>
          </cell>
          <cell r="V322" t="e">
            <v>#N/A</v>
          </cell>
          <cell r="W322" t="e">
            <v>#N/A</v>
          </cell>
          <cell r="X322" t="e">
            <v>#N/A</v>
          </cell>
          <cell r="Y322" t="e">
            <v>#N/A</v>
          </cell>
          <cell r="Z322" t="e">
            <v>#N/A</v>
          </cell>
        </row>
        <row r="323">
          <cell r="A323" t="e">
            <v>#N/A</v>
          </cell>
          <cell r="B323" t="e">
            <v>#N/A</v>
          </cell>
          <cell r="C323" t="e">
            <v>#N/A</v>
          </cell>
          <cell r="O323" t="e">
            <v>#N/A</v>
          </cell>
          <cell r="P323" t="e">
            <v>#N/A</v>
          </cell>
          <cell r="Q323" t="e">
            <v>#N/A</v>
          </cell>
          <cell r="R323" t="e">
            <v>#N/A</v>
          </cell>
          <cell r="S323" t="e">
            <v>#N/A</v>
          </cell>
          <cell r="T323" t="e">
            <v>#N/A</v>
          </cell>
          <cell r="U323" t="e">
            <v>#N/A</v>
          </cell>
          <cell r="V323" t="e">
            <v>#N/A</v>
          </cell>
          <cell r="W323" t="e">
            <v>#N/A</v>
          </cell>
          <cell r="X323" t="e">
            <v>#N/A</v>
          </cell>
          <cell r="Y323" t="e">
            <v>#N/A</v>
          </cell>
          <cell r="Z323" t="e">
            <v>#N/A</v>
          </cell>
        </row>
        <row r="324">
          <cell r="A324" t="e">
            <v>#N/A</v>
          </cell>
          <cell r="B324" t="e">
            <v>#N/A</v>
          </cell>
          <cell r="C324" t="e">
            <v>#N/A</v>
          </cell>
          <cell r="O324" t="e">
            <v>#N/A</v>
          </cell>
          <cell r="P324" t="e">
            <v>#N/A</v>
          </cell>
          <cell r="Q324" t="e">
            <v>#N/A</v>
          </cell>
          <cell r="R324" t="e">
            <v>#N/A</v>
          </cell>
          <cell r="S324" t="e">
            <v>#N/A</v>
          </cell>
          <cell r="T324" t="e">
            <v>#N/A</v>
          </cell>
          <cell r="U324" t="e">
            <v>#N/A</v>
          </cell>
          <cell r="V324" t="e">
            <v>#N/A</v>
          </cell>
          <cell r="W324" t="e">
            <v>#N/A</v>
          </cell>
          <cell r="X324" t="e">
            <v>#N/A</v>
          </cell>
          <cell r="Y324" t="e">
            <v>#N/A</v>
          </cell>
          <cell r="Z324" t="e">
            <v>#N/A</v>
          </cell>
        </row>
        <row r="325">
          <cell r="A325" t="e">
            <v>#N/A</v>
          </cell>
          <cell r="B325" t="e">
            <v>#N/A</v>
          </cell>
          <cell r="C325" t="e">
            <v>#N/A</v>
          </cell>
          <cell r="O325" t="e">
            <v>#N/A</v>
          </cell>
          <cell r="P325" t="e">
            <v>#N/A</v>
          </cell>
          <cell r="Q325" t="e">
            <v>#N/A</v>
          </cell>
          <cell r="R325" t="e">
            <v>#N/A</v>
          </cell>
          <cell r="S325" t="e">
            <v>#N/A</v>
          </cell>
          <cell r="T325" t="e">
            <v>#N/A</v>
          </cell>
          <cell r="U325" t="e">
            <v>#N/A</v>
          </cell>
          <cell r="V325" t="e">
            <v>#N/A</v>
          </cell>
          <cell r="W325" t="e">
            <v>#N/A</v>
          </cell>
          <cell r="X325" t="e">
            <v>#N/A</v>
          </cell>
          <cell r="Y325" t="e">
            <v>#N/A</v>
          </cell>
          <cell r="Z325" t="e">
            <v>#N/A</v>
          </cell>
        </row>
        <row r="326">
          <cell r="A326" t="e">
            <v>#N/A</v>
          </cell>
          <cell r="B326" t="e">
            <v>#N/A</v>
          </cell>
          <cell r="C326" t="e">
            <v>#N/A</v>
          </cell>
          <cell r="O326" t="e">
            <v>#N/A</v>
          </cell>
          <cell r="P326" t="e">
            <v>#N/A</v>
          </cell>
          <cell r="Q326" t="e">
            <v>#N/A</v>
          </cell>
          <cell r="R326" t="e">
            <v>#N/A</v>
          </cell>
          <cell r="S326" t="e">
            <v>#N/A</v>
          </cell>
          <cell r="T326" t="e">
            <v>#N/A</v>
          </cell>
          <cell r="U326" t="e">
            <v>#N/A</v>
          </cell>
          <cell r="V326" t="e">
            <v>#N/A</v>
          </cell>
          <cell r="W326" t="e">
            <v>#N/A</v>
          </cell>
          <cell r="X326" t="e">
            <v>#N/A</v>
          </cell>
          <cell r="Y326" t="e">
            <v>#N/A</v>
          </cell>
          <cell r="Z326" t="e">
            <v>#N/A</v>
          </cell>
        </row>
        <row r="327">
          <cell r="A327" t="e">
            <v>#N/A</v>
          </cell>
          <cell r="B327" t="e">
            <v>#N/A</v>
          </cell>
          <cell r="C327" t="e">
            <v>#N/A</v>
          </cell>
          <cell r="O327" t="e">
            <v>#N/A</v>
          </cell>
          <cell r="P327" t="e">
            <v>#N/A</v>
          </cell>
          <cell r="Q327" t="e">
            <v>#N/A</v>
          </cell>
          <cell r="R327" t="e">
            <v>#N/A</v>
          </cell>
          <cell r="S327" t="e">
            <v>#N/A</v>
          </cell>
          <cell r="T327" t="e">
            <v>#N/A</v>
          </cell>
          <cell r="U327" t="e">
            <v>#N/A</v>
          </cell>
          <cell r="V327" t="e">
            <v>#N/A</v>
          </cell>
          <cell r="W327" t="e">
            <v>#N/A</v>
          </cell>
          <cell r="X327" t="e">
            <v>#N/A</v>
          </cell>
          <cell r="Y327" t="e">
            <v>#N/A</v>
          </cell>
          <cell r="Z327" t="e">
            <v>#N/A</v>
          </cell>
        </row>
        <row r="328">
          <cell r="A328" t="e">
            <v>#N/A</v>
          </cell>
          <cell r="B328" t="e">
            <v>#N/A</v>
          </cell>
          <cell r="C328" t="e">
            <v>#N/A</v>
          </cell>
          <cell r="O328" t="e">
            <v>#N/A</v>
          </cell>
          <cell r="P328" t="e">
            <v>#N/A</v>
          </cell>
          <cell r="Q328" t="e">
            <v>#N/A</v>
          </cell>
          <cell r="R328" t="e">
            <v>#N/A</v>
          </cell>
          <cell r="S328" t="e">
            <v>#N/A</v>
          </cell>
          <cell r="T328" t="e">
            <v>#N/A</v>
          </cell>
          <cell r="U328" t="e">
            <v>#N/A</v>
          </cell>
          <cell r="V328" t="e">
            <v>#N/A</v>
          </cell>
          <cell r="W328" t="e">
            <v>#N/A</v>
          </cell>
          <cell r="X328" t="e">
            <v>#N/A</v>
          </cell>
          <cell r="Y328" t="e">
            <v>#N/A</v>
          </cell>
          <cell r="Z328" t="e">
            <v>#N/A</v>
          </cell>
        </row>
        <row r="329">
          <cell r="A329" t="e">
            <v>#N/A</v>
          </cell>
          <cell r="B329" t="e">
            <v>#N/A</v>
          </cell>
          <cell r="C329" t="e">
            <v>#N/A</v>
          </cell>
          <cell r="O329" t="e">
            <v>#N/A</v>
          </cell>
          <cell r="P329" t="e">
            <v>#N/A</v>
          </cell>
          <cell r="Q329" t="e">
            <v>#N/A</v>
          </cell>
          <cell r="R329" t="e">
            <v>#N/A</v>
          </cell>
          <cell r="S329" t="e">
            <v>#N/A</v>
          </cell>
          <cell r="T329" t="e">
            <v>#N/A</v>
          </cell>
          <cell r="U329" t="e">
            <v>#N/A</v>
          </cell>
          <cell r="V329" t="e">
            <v>#N/A</v>
          </cell>
          <cell r="W329" t="e">
            <v>#N/A</v>
          </cell>
          <cell r="X329" t="e">
            <v>#N/A</v>
          </cell>
          <cell r="Y329" t="e">
            <v>#N/A</v>
          </cell>
          <cell r="Z329" t="e">
            <v>#N/A</v>
          </cell>
        </row>
        <row r="330">
          <cell r="A330" t="e">
            <v>#N/A</v>
          </cell>
          <cell r="B330" t="e">
            <v>#N/A</v>
          </cell>
          <cell r="C330" t="e">
            <v>#N/A</v>
          </cell>
          <cell r="O330" t="e">
            <v>#N/A</v>
          </cell>
          <cell r="P330" t="e">
            <v>#N/A</v>
          </cell>
          <cell r="Q330" t="e">
            <v>#N/A</v>
          </cell>
          <cell r="R330" t="e">
            <v>#N/A</v>
          </cell>
          <cell r="S330" t="e">
            <v>#N/A</v>
          </cell>
          <cell r="T330" t="e">
            <v>#N/A</v>
          </cell>
          <cell r="U330" t="e">
            <v>#N/A</v>
          </cell>
          <cell r="V330" t="e">
            <v>#N/A</v>
          </cell>
          <cell r="W330" t="e">
            <v>#N/A</v>
          </cell>
          <cell r="X330" t="e">
            <v>#N/A</v>
          </cell>
          <cell r="Y330" t="e">
            <v>#N/A</v>
          </cell>
          <cell r="Z330" t="e">
            <v>#N/A</v>
          </cell>
        </row>
        <row r="331">
          <cell r="A331" t="e">
            <v>#N/A</v>
          </cell>
          <cell r="B331" t="e">
            <v>#N/A</v>
          </cell>
          <cell r="C331" t="e">
            <v>#N/A</v>
          </cell>
          <cell r="O331" t="e">
            <v>#N/A</v>
          </cell>
          <cell r="P331" t="e">
            <v>#N/A</v>
          </cell>
          <cell r="Q331" t="e">
            <v>#N/A</v>
          </cell>
          <cell r="R331" t="e">
            <v>#N/A</v>
          </cell>
          <cell r="S331" t="e">
            <v>#N/A</v>
          </cell>
          <cell r="T331" t="e">
            <v>#N/A</v>
          </cell>
          <cell r="U331" t="e">
            <v>#N/A</v>
          </cell>
          <cell r="V331" t="e">
            <v>#N/A</v>
          </cell>
          <cell r="W331" t="e">
            <v>#N/A</v>
          </cell>
          <cell r="X331" t="e">
            <v>#N/A</v>
          </cell>
          <cell r="Y331" t="e">
            <v>#N/A</v>
          </cell>
          <cell r="Z331" t="e">
            <v>#N/A</v>
          </cell>
        </row>
        <row r="332">
          <cell r="A332" t="e">
            <v>#N/A</v>
          </cell>
          <cell r="B332" t="e">
            <v>#N/A</v>
          </cell>
          <cell r="C332" t="e">
            <v>#N/A</v>
          </cell>
          <cell r="O332" t="e">
            <v>#N/A</v>
          </cell>
          <cell r="P332" t="e">
            <v>#N/A</v>
          </cell>
          <cell r="Q332" t="e">
            <v>#N/A</v>
          </cell>
          <cell r="R332" t="e">
            <v>#N/A</v>
          </cell>
          <cell r="S332" t="e">
            <v>#N/A</v>
          </cell>
          <cell r="T332" t="e">
            <v>#N/A</v>
          </cell>
          <cell r="U332" t="e">
            <v>#N/A</v>
          </cell>
          <cell r="V332" t="e">
            <v>#N/A</v>
          </cell>
          <cell r="W332" t="e">
            <v>#N/A</v>
          </cell>
          <cell r="X332" t="e">
            <v>#N/A</v>
          </cell>
          <cell r="Y332" t="e">
            <v>#N/A</v>
          </cell>
          <cell r="Z332" t="e">
            <v>#N/A</v>
          </cell>
        </row>
        <row r="333">
          <cell r="A333" t="e">
            <v>#N/A</v>
          </cell>
          <cell r="B333" t="e">
            <v>#N/A</v>
          </cell>
          <cell r="C333" t="e">
            <v>#N/A</v>
          </cell>
          <cell r="O333" t="e">
            <v>#N/A</v>
          </cell>
          <cell r="P333" t="e">
            <v>#N/A</v>
          </cell>
          <cell r="Q333" t="e">
            <v>#N/A</v>
          </cell>
          <cell r="R333" t="e">
            <v>#N/A</v>
          </cell>
          <cell r="S333" t="e">
            <v>#N/A</v>
          </cell>
          <cell r="T333" t="e">
            <v>#N/A</v>
          </cell>
          <cell r="U333" t="e">
            <v>#N/A</v>
          </cell>
          <cell r="V333" t="e">
            <v>#N/A</v>
          </cell>
          <cell r="W333" t="e">
            <v>#N/A</v>
          </cell>
          <cell r="X333" t="e">
            <v>#N/A</v>
          </cell>
          <cell r="Y333" t="e">
            <v>#N/A</v>
          </cell>
          <cell r="Z333" t="e">
            <v>#N/A</v>
          </cell>
        </row>
        <row r="334">
          <cell r="A334" t="e">
            <v>#N/A</v>
          </cell>
          <cell r="B334" t="e">
            <v>#N/A</v>
          </cell>
          <cell r="C334" t="e">
            <v>#N/A</v>
          </cell>
          <cell r="O334" t="e">
            <v>#N/A</v>
          </cell>
          <cell r="P334" t="e">
            <v>#N/A</v>
          </cell>
          <cell r="Q334" t="e">
            <v>#N/A</v>
          </cell>
          <cell r="R334" t="e">
            <v>#N/A</v>
          </cell>
          <cell r="S334" t="e">
            <v>#N/A</v>
          </cell>
          <cell r="T334" t="e">
            <v>#N/A</v>
          </cell>
          <cell r="U334" t="e">
            <v>#N/A</v>
          </cell>
          <cell r="V334" t="e">
            <v>#N/A</v>
          </cell>
          <cell r="W334" t="e">
            <v>#N/A</v>
          </cell>
          <cell r="X334" t="e">
            <v>#N/A</v>
          </cell>
          <cell r="Y334" t="e">
            <v>#N/A</v>
          </cell>
          <cell r="Z334" t="e">
            <v>#N/A</v>
          </cell>
        </row>
        <row r="335">
          <cell r="A335" t="e">
            <v>#N/A</v>
          </cell>
          <cell r="B335" t="e">
            <v>#N/A</v>
          </cell>
          <cell r="C335" t="e">
            <v>#N/A</v>
          </cell>
          <cell r="O335" t="e">
            <v>#N/A</v>
          </cell>
          <cell r="P335" t="e">
            <v>#N/A</v>
          </cell>
          <cell r="Q335" t="e">
            <v>#N/A</v>
          </cell>
          <cell r="R335" t="e">
            <v>#N/A</v>
          </cell>
          <cell r="S335" t="e">
            <v>#N/A</v>
          </cell>
          <cell r="T335" t="e">
            <v>#N/A</v>
          </cell>
          <cell r="U335" t="e">
            <v>#N/A</v>
          </cell>
          <cell r="V335" t="e">
            <v>#N/A</v>
          </cell>
          <cell r="W335" t="e">
            <v>#N/A</v>
          </cell>
          <cell r="X335" t="e">
            <v>#N/A</v>
          </cell>
          <cell r="Y335" t="e">
            <v>#N/A</v>
          </cell>
          <cell r="Z335" t="e">
            <v>#N/A</v>
          </cell>
        </row>
        <row r="336">
          <cell r="A336" t="e">
            <v>#N/A</v>
          </cell>
          <cell r="B336" t="e">
            <v>#N/A</v>
          </cell>
          <cell r="C336" t="e">
            <v>#N/A</v>
          </cell>
          <cell r="O336" t="e">
            <v>#N/A</v>
          </cell>
          <cell r="P336" t="e">
            <v>#N/A</v>
          </cell>
          <cell r="Q336" t="e">
            <v>#N/A</v>
          </cell>
          <cell r="R336" t="e">
            <v>#N/A</v>
          </cell>
          <cell r="S336" t="e">
            <v>#N/A</v>
          </cell>
          <cell r="T336" t="e">
            <v>#N/A</v>
          </cell>
          <cell r="U336" t="e">
            <v>#N/A</v>
          </cell>
          <cell r="V336" t="e">
            <v>#N/A</v>
          </cell>
          <cell r="W336" t="e">
            <v>#N/A</v>
          </cell>
          <cell r="X336" t="e">
            <v>#N/A</v>
          </cell>
          <cell r="Y336" t="e">
            <v>#N/A</v>
          </cell>
          <cell r="Z336" t="e">
            <v>#N/A</v>
          </cell>
        </row>
        <row r="337">
          <cell r="A337" t="e">
            <v>#N/A</v>
          </cell>
          <cell r="B337" t="e">
            <v>#N/A</v>
          </cell>
          <cell r="C337" t="e">
            <v>#N/A</v>
          </cell>
          <cell r="O337" t="e">
            <v>#N/A</v>
          </cell>
          <cell r="P337" t="e">
            <v>#N/A</v>
          </cell>
          <cell r="Q337" t="e">
            <v>#N/A</v>
          </cell>
          <cell r="R337" t="e">
            <v>#N/A</v>
          </cell>
          <cell r="S337" t="e">
            <v>#N/A</v>
          </cell>
          <cell r="T337" t="e">
            <v>#N/A</v>
          </cell>
          <cell r="U337" t="e">
            <v>#N/A</v>
          </cell>
          <cell r="V337" t="e">
            <v>#N/A</v>
          </cell>
          <cell r="W337" t="e">
            <v>#N/A</v>
          </cell>
          <cell r="X337" t="e">
            <v>#N/A</v>
          </cell>
          <cell r="Y337" t="e">
            <v>#N/A</v>
          </cell>
          <cell r="Z337" t="e">
            <v>#N/A</v>
          </cell>
        </row>
        <row r="338">
          <cell r="A338" t="e">
            <v>#N/A</v>
          </cell>
          <cell r="B338" t="e">
            <v>#N/A</v>
          </cell>
          <cell r="C338" t="e">
            <v>#N/A</v>
          </cell>
          <cell r="O338" t="e">
            <v>#N/A</v>
          </cell>
          <cell r="P338" t="e">
            <v>#N/A</v>
          </cell>
          <cell r="Q338" t="e">
            <v>#N/A</v>
          </cell>
          <cell r="R338" t="e">
            <v>#N/A</v>
          </cell>
          <cell r="S338" t="e">
            <v>#N/A</v>
          </cell>
          <cell r="T338" t="e">
            <v>#N/A</v>
          </cell>
          <cell r="U338" t="e">
            <v>#N/A</v>
          </cell>
          <cell r="V338" t="e">
            <v>#N/A</v>
          </cell>
          <cell r="W338" t="e">
            <v>#N/A</v>
          </cell>
          <cell r="X338" t="e">
            <v>#N/A</v>
          </cell>
          <cell r="Y338" t="e">
            <v>#N/A</v>
          </cell>
          <cell r="Z338" t="e">
            <v>#N/A</v>
          </cell>
        </row>
        <row r="339">
          <cell r="A339" t="e">
            <v>#N/A</v>
          </cell>
          <cell r="B339" t="e">
            <v>#N/A</v>
          </cell>
          <cell r="C339" t="e">
            <v>#N/A</v>
          </cell>
          <cell r="O339" t="e">
            <v>#N/A</v>
          </cell>
          <cell r="P339" t="e">
            <v>#N/A</v>
          </cell>
          <cell r="Q339" t="e">
            <v>#N/A</v>
          </cell>
          <cell r="R339" t="e">
            <v>#N/A</v>
          </cell>
          <cell r="S339" t="e">
            <v>#N/A</v>
          </cell>
          <cell r="T339" t="e">
            <v>#N/A</v>
          </cell>
          <cell r="U339" t="e">
            <v>#N/A</v>
          </cell>
          <cell r="V339" t="e">
            <v>#N/A</v>
          </cell>
          <cell r="W339" t="e">
            <v>#N/A</v>
          </cell>
          <cell r="X339" t="e">
            <v>#N/A</v>
          </cell>
          <cell r="Y339" t="e">
            <v>#N/A</v>
          </cell>
          <cell r="Z339" t="e">
            <v>#N/A</v>
          </cell>
        </row>
        <row r="340">
          <cell r="A340" t="e">
            <v>#N/A</v>
          </cell>
          <cell r="B340" t="e">
            <v>#N/A</v>
          </cell>
          <cell r="C340" t="e">
            <v>#N/A</v>
          </cell>
          <cell r="O340" t="e">
            <v>#N/A</v>
          </cell>
          <cell r="P340" t="e">
            <v>#N/A</v>
          </cell>
          <cell r="Q340" t="e">
            <v>#N/A</v>
          </cell>
          <cell r="R340" t="e">
            <v>#N/A</v>
          </cell>
          <cell r="S340" t="e">
            <v>#N/A</v>
          </cell>
          <cell r="T340" t="e">
            <v>#N/A</v>
          </cell>
          <cell r="U340" t="e">
            <v>#N/A</v>
          </cell>
          <cell r="V340" t="e">
            <v>#N/A</v>
          </cell>
          <cell r="W340" t="e">
            <v>#N/A</v>
          </cell>
          <cell r="X340" t="e">
            <v>#N/A</v>
          </cell>
          <cell r="Y340" t="e">
            <v>#N/A</v>
          </cell>
          <cell r="Z340" t="e">
            <v>#N/A</v>
          </cell>
        </row>
        <row r="341">
          <cell r="A341" t="e">
            <v>#N/A</v>
          </cell>
          <cell r="B341" t="e">
            <v>#N/A</v>
          </cell>
          <cell r="C341" t="e">
            <v>#N/A</v>
          </cell>
          <cell r="O341" t="e">
            <v>#N/A</v>
          </cell>
          <cell r="P341" t="e">
            <v>#N/A</v>
          </cell>
          <cell r="Q341" t="e">
            <v>#N/A</v>
          </cell>
          <cell r="R341" t="e">
            <v>#N/A</v>
          </cell>
          <cell r="S341" t="e">
            <v>#N/A</v>
          </cell>
          <cell r="T341" t="e">
            <v>#N/A</v>
          </cell>
          <cell r="U341" t="e">
            <v>#N/A</v>
          </cell>
          <cell r="V341" t="e">
            <v>#N/A</v>
          </cell>
          <cell r="W341" t="e">
            <v>#N/A</v>
          </cell>
          <cell r="X341" t="e">
            <v>#N/A</v>
          </cell>
          <cell r="Y341" t="e">
            <v>#N/A</v>
          </cell>
          <cell r="Z341" t="e">
            <v>#N/A</v>
          </cell>
        </row>
        <row r="342">
          <cell r="A342" t="e">
            <v>#N/A</v>
          </cell>
          <cell r="B342" t="e">
            <v>#N/A</v>
          </cell>
          <cell r="C342" t="e">
            <v>#N/A</v>
          </cell>
          <cell r="O342" t="e">
            <v>#N/A</v>
          </cell>
          <cell r="P342" t="e">
            <v>#N/A</v>
          </cell>
          <cell r="Q342" t="e">
            <v>#N/A</v>
          </cell>
          <cell r="R342" t="e">
            <v>#N/A</v>
          </cell>
          <cell r="S342" t="e">
            <v>#N/A</v>
          </cell>
          <cell r="T342" t="e">
            <v>#N/A</v>
          </cell>
          <cell r="U342" t="e">
            <v>#N/A</v>
          </cell>
          <cell r="V342" t="e">
            <v>#N/A</v>
          </cell>
          <cell r="W342" t="e">
            <v>#N/A</v>
          </cell>
          <cell r="X342" t="e">
            <v>#N/A</v>
          </cell>
          <cell r="Y342" t="e">
            <v>#N/A</v>
          </cell>
          <cell r="Z342" t="e">
            <v>#N/A</v>
          </cell>
        </row>
        <row r="343">
          <cell r="A343" t="e">
            <v>#N/A</v>
          </cell>
          <cell r="B343" t="e">
            <v>#N/A</v>
          </cell>
          <cell r="C343" t="e">
            <v>#N/A</v>
          </cell>
          <cell r="O343" t="e">
            <v>#N/A</v>
          </cell>
          <cell r="P343" t="e">
            <v>#N/A</v>
          </cell>
          <cell r="Q343" t="e">
            <v>#N/A</v>
          </cell>
          <cell r="R343" t="e">
            <v>#N/A</v>
          </cell>
          <cell r="S343" t="e">
            <v>#N/A</v>
          </cell>
          <cell r="T343" t="e">
            <v>#N/A</v>
          </cell>
          <cell r="U343" t="e">
            <v>#N/A</v>
          </cell>
          <cell r="V343" t="e">
            <v>#N/A</v>
          </cell>
          <cell r="W343" t="e">
            <v>#N/A</v>
          </cell>
          <cell r="X343" t="e">
            <v>#N/A</v>
          </cell>
          <cell r="Y343" t="e">
            <v>#N/A</v>
          </cell>
          <cell r="Z343" t="e">
            <v>#N/A</v>
          </cell>
        </row>
        <row r="344">
          <cell r="A344" t="e">
            <v>#N/A</v>
          </cell>
          <cell r="B344" t="e">
            <v>#N/A</v>
          </cell>
          <cell r="C344" t="e">
            <v>#N/A</v>
          </cell>
          <cell r="O344" t="e">
            <v>#N/A</v>
          </cell>
          <cell r="P344" t="e">
            <v>#N/A</v>
          </cell>
          <cell r="Q344" t="e">
            <v>#N/A</v>
          </cell>
          <cell r="R344" t="e">
            <v>#N/A</v>
          </cell>
          <cell r="S344" t="e">
            <v>#N/A</v>
          </cell>
          <cell r="T344" t="e">
            <v>#N/A</v>
          </cell>
          <cell r="U344" t="e">
            <v>#N/A</v>
          </cell>
          <cell r="V344" t="e">
            <v>#N/A</v>
          </cell>
          <cell r="W344" t="e">
            <v>#N/A</v>
          </cell>
          <cell r="X344" t="e">
            <v>#N/A</v>
          </cell>
          <cell r="Y344" t="e">
            <v>#N/A</v>
          </cell>
          <cell r="Z344" t="e">
            <v>#N/A</v>
          </cell>
        </row>
        <row r="345">
          <cell r="A345" t="e">
            <v>#N/A</v>
          </cell>
          <cell r="B345" t="e">
            <v>#N/A</v>
          </cell>
          <cell r="C345" t="e">
            <v>#N/A</v>
          </cell>
          <cell r="O345" t="e">
            <v>#N/A</v>
          </cell>
          <cell r="P345" t="e">
            <v>#N/A</v>
          </cell>
          <cell r="Q345" t="e">
            <v>#N/A</v>
          </cell>
          <cell r="R345" t="e">
            <v>#N/A</v>
          </cell>
          <cell r="S345" t="e">
            <v>#N/A</v>
          </cell>
          <cell r="T345" t="e">
            <v>#N/A</v>
          </cell>
          <cell r="U345" t="e">
            <v>#N/A</v>
          </cell>
          <cell r="V345" t="e">
            <v>#N/A</v>
          </cell>
          <cell r="W345" t="e">
            <v>#N/A</v>
          </cell>
          <cell r="X345" t="e">
            <v>#N/A</v>
          </cell>
          <cell r="Y345" t="e">
            <v>#N/A</v>
          </cell>
          <cell r="Z345" t="e">
            <v>#N/A</v>
          </cell>
        </row>
        <row r="346">
          <cell r="A346" t="e">
            <v>#N/A</v>
          </cell>
          <cell r="B346" t="e">
            <v>#N/A</v>
          </cell>
          <cell r="C346" t="e">
            <v>#N/A</v>
          </cell>
          <cell r="O346" t="e">
            <v>#N/A</v>
          </cell>
          <cell r="P346" t="e">
            <v>#N/A</v>
          </cell>
          <cell r="Q346" t="e">
            <v>#N/A</v>
          </cell>
          <cell r="R346" t="e">
            <v>#N/A</v>
          </cell>
          <cell r="S346" t="e">
            <v>#N/A</v>
          </cell>
          <cell r="T346" t="e">
            <v>#N/A</v>
          </cell>
          <cell r="U346" t="e">
            <v>#N/A</v>
          </cell>
          <cell r="V346" t="e">
            <v>#N/A</v>
          </cell>
          <cell r="W346" t="e">
            <v>#N/A</v>
          </cell>
          <cell r="X346" t="e">
            <v>#N/A</v>
          </cell>
          <cell r="Y346" t="e">
            <v>#N/A</v>
          </cell>
          <cell r="Z346" t="e">
            <v>#N/A</v>
          </cell>
        </row>
        <row r="347">
          <cell r="A347" t="e">
            <v>#N/A</v>
          </cell>
          <cell r="B347" t="e">
            <v>#N/A</v>
          </cell>
          <cell r="C347" t="e">
            <v>#N/A</v>
          </cell>
          <cell r="O347" t="e">
            <v>#N/A</v>
          </cell>
          <cell r="P347" t="e">
            <v>#N/A</v>
          </cell>
          <cell r="Q347" t="e">
            <v>#N/A</v>
          </cell>
          <cell r="R347" t="e">
            <v>#N/A</v>
          </cell>
          <cell r="S347" t="e">
            <v>#N/A</v>
          </cell>
          <cell r="T347" t="e">
            <v>#N/A</v>
          </cell>
          <cell r="U347" t="e">
            <v>#N/A</v>
          </cell>
          <cell r="V347" t="e">
            <v>#N/A</v>
          </cell>
          <cell r="W347" t="e">
            <v>#N/A</v>
          </cell>
          <cell r="X347" t="e">
            <v>#N/A</v>
          </cell>
          <cell r="Y347" t="e">
            <v>#N/A</v>
          </cell>
          <cell r="Z347" t="e">
            <v>#N/A</v>
          </cell>
        </row>
        <row r="348">
          <cell r="A348" t="e">
            <v>#N/A</v>
          </cell>
          <cell r="B348" t="e">
            <v>#N/A</v>
          </cell>
          <cell r="C348" t="e">
            <v>#N/A</v>
          </cell>
          <cell r="O348" t="e">
            <v>#N/A</v>
          </cell>
          <cell r="P348" t="e">
            <v>#N/A</v>
          </cell>
          <cell r="Q348" t="e">
            <v>#N/A</v>
          </cell>
          <cell r="R348" t="e">
            <v>#N/A</v>
          </cell>
          <cell r="S348" t="e">
            <v>#N/A</v>
          </cell>
          <cell r="T348" t="e">
            <v>#N/A</v>
          </cell>
          <cell r="U348" t="e">
            <v>#N/A</v>
          </cell>
          <cell r="V348" t="e">
            <v>#N/A</v>
          </cell>
          <cell r="W348" t="e">
            <v>#N/A</v>
          </cell>
          <cell r="X348" t="e">
            <v>#N/A</v>
          </cell>
          <cell r="Y348" t="e">
            <v>#N/A</v>
          </cell>
          <cell r="Z348" t="e">
            <v>#N/A</v>
          </cell>
        </row>
        <row r="349">
          <cell r="A349" t="e">
            <v>#N/A</v>
          </cell>
          <cell r="B349" t="e">
            <v>#N/A</v>
          </cell>
          <cell r="C349" t="e">
            <v>#N/A</v>
          </cell>
          <cell r="O349" t="e">
            <v>#N/A</v>
          </cell>
          <cell r="P349" t="e">
            <v>#N/A</v>
          </cell>
          <cell r="Q349" t="e">
            <v>#N/A</v>
          </cell>
          <cell r="R349" t="e">
            <v>#N/A</v>
          </cell>
          <cell r="S349" t="e">
            <v>#N/A</v>
          </cell>
          <cell r="T349" t="e">
            <v>#N/A</v>
          </cell>
          <cell r="U349" t="e">
            <v>#N/A</v>
          </cell>
          <cell r="V349" t="e">
            <v>#N/A</v>
          </cell>
          <cell r="W349" t="e">
            <v>#N/A</v>
          </cell>
          <cell r="X349" t="e">
            <v>#N/A</v>
          </cell>
          <cell r="Y349" t="e">
            <v>#N/A</v>
          </cell>
          <cell r="Z349" t="e">
            <v>#N/A</v>
          </cell>
        </row>
        <row r="350">
          <cell r="A350" t="e">
            <v>#N/A</v>
          </cell>
          <cell r="B350" t="e">
            <v>#N/A</v>
          </cell>
          <cell r="C350" t="e">
            <v>#N/A</v>
          </cell>
          <cell r="O350" t="e">
            <v>#N/A</v>
          </cell>
          <cell r="P350" t="e">
            <v>#N/A</v>
          </cell>
          <cell r="Q350" t="e">
            <v>#N/A</v>
          </cell>
          <cell r="R350" t="e">
            <v>#N/A</v>
          </cell>
          <cell r="S350" t="e">
            <v>#N/A</v>
          </cell>
          <cell r="T350" t="e">
            <v>#N/A</v>
          </cell>
          <cell r="U350" t="e">
            <v>#N/A</v>
          </cell>
          <cell r="V350" t="e">
            <v>#N/A</v>
          </cell>
          <cell r="W350" t="e">
            <v>#N/A</v>
          </cell>
          <cell r="X350" t="e">
            <v>#N/A</v>
          </cell>
          <cell r="Y350" t="e">
            <v>#N/A</v>
          </cell>
          <cell r="Z350" t="e">
            <v>#N/A</v>
          </cell>
        </row>
        <row r="351">
          <cell r="A351" t="e">
            <v>#N/A</v>
          </cell>
          <cell r="B351" t="e">
            <v>#N/A</v>
          </cell>
          <cell r="C351" t="e">
            <v>#N/A</v>
          </cell>
          <cell r="O351" t="e">
            <v>#N/A</v>
          </cell>
          <cell r="P351" t="e">
            <v>#N/A</v>
          </cell>
          <cell r="Q351" t="e">
            <v>#N/A</v>
          </cell>
          <cell r="R351" t="e">
            <v>#N/A</v>
          </cell>
          <cell r="S351" t="e">
            <v>#N/A</v>
          </cell>
          <cell r="T351" t="e">
            <v>#N/A</v>
          </cell>
          <cell r="U351" t="e">
            <v>#N/A</v>
          </cell>
          <cell r="V351" t="e">
            <v>#N/A</v>
          </cell>
          <cell r="W351" t="e">
            <v>#N/A</v>
          </cell>
          <cell r="X351" t="e">
            <v>#N/A</v>
          </cell>
          <cell r="Y351" t="e">
            <v>#N/A</v>
          </cell>
          <cell r="Z351" t="e">
            <v>#N/A</v>
          </cell>
        </row>
        <row r="352">
          <cell r="A352" t="e">
            <v>#N/A</v>
          </cell>
          <cell r="B352" t="e">
            <v>#N/A</v>
          </cell>
          <cell r="C352" t="e">
            <v>#N/A</v>
          </cell>
          <cell r="O352" t="e">
            <v>#N/A</v>
          </cell>
          <cell r="P352" t="e">
            <v>#N/A</v>
          </cell>
          <cell r="Q352" t="e">
            <v>#N/A</v>
          </cell>
          <cell r="R352" t="e">
            <v>#N/A</v>
          </cell>
          <cell r="S352" t="e">
            <v>#N/A</v>
          </cell>
          <cell r="T352" t="e">
            <v>#N/A</v>
          </cell>
          <cell r="U352" t="e">
            <v>#N/A</v>
          </cell>
          <cell r="V352" t="e">
            <v>#N/A</v>
          </cell>
          <cell r="W352" t="e">
            <v>#N/A</v>
          </cell>
          <cell r="X352" t="e">
            <v>#N/A</v>
          </cell>
          <cell r="Y352" t="e">
            <v>#N/A</v>
          </cell>
          <cell r="Z352" t="e">
            <v>#N/A</v>
          </cell>
        </row>
        <row r="353">
          <cell r="A353" t="e">
            <v>#N/A</v>
          </cell>
          <cell r="B353" t="e">
            <v>#N/A</v>
          </cell>
          <cell r="C353" t="e">
            <v>#N/A</v>
          </cell>
          <cell r="O353" t="e">
            <v>#N/A</v>
          </cell>
          <cell r="P353" t="e">
            <v>#N/A</v>
          </cell>
          <cell r="Q353" t="e">
            <v>#N/A</v>
          </cell>
          <cell r="R353" t="e">
            <v>#N/A</v>
          </cell>
          <cell r="S353" t="e">
            <v>#N/A</v>
          </cell>
          <cell r="T353" t="e">
            <v>#N/A</v>
          </cell>
          <cell r="U353" t="e">
            <v>#N/A</v>
          </cell>
          <cell r="V353" t="e">
            <v>#N/A</v>
          </cell>
          <cell r="W353" t="e">
            <v>#N/A</v>
          </cell>
          <cell r="X353" t="e">
            <v>#N/A</v>
          </cell>
          <cell r="Y353" t="e">
            <v>#N/A</v>
          </cell>
          <cell r="Z353" t="e">
            <v>#N/A</v>
          </cell>
        </row>
        <row r="354">
          <cell r="A354" t="e">
            <v>#N/A</v>
          </cell>
          <cell r="B354" t="e">
            <v>#N/A</v>
          </cell>
          <cell r="C354" t="e">
            <v>#N/A</v>
          </cell>
          <cell r="O354" t="e">
            <v>#N/A</v>
          </cell>
          <cell r="P354" t="e">
            <v>#N/A</v>
          </cell>
          <cell r="Q354" t="e">
            <v>#N/A</v>
          </cell>
          <cell r="R354" t="e">
            <v>#N/A</v>
          </cell>
          <cell r="S354" t="e">
            <v>#N/A</v>
          </cell>
          <cell r="T354" t="e">
            <v>#N/A</v>
          </cell>
          <cell r="U354" t="e">
            <v>#N/A</v>
          </cell>
          <cell r="V354" t="e">
            <v>#N/A</v>
          </cell>
          <cell r="W354" t="e">
            <v>#N/A</v>
          </cell>
          <cell r="X354" t="e">
            <v>#N/A</v>
          </cell>
          <cell r="Y354" t="e">
            <v>#N/A</v>
          </cell>
          <cell r="Z354" t="e">
            <v>#N/A</v>
          </cell>
        </row>
        <row r="355">
          <cell r="A355" t="e">
            <v>#N/A</v>
          </cell>
          <cell r="B355" t="e">
            <v>#N/A</v>
          </cell>
          <cell r="C355" t="e">
            <v>#N/A</v>
          </cell>
          <cell r="O355" t="e">
            <v>#N/A</v>
          </cell>
          <cell r="P355" t="e">
            <v>#N/A</v>
          </cell>
          <cell r="Q355" t="e">
            <v>#N/A</v>
          </cell>
          <cell r="R355" t="e">
            <v>#N/A</v>
          </cell>
          <cell r="S355" t="e">
            <v>#N/A</v>
          </cell>
          <cell r="T355" t="e">
            <v>#N/A</v>
          </cell>
          <cell r="U355" t="e">
            <v>#N/A</v>
          </cell>
          <cell r="V355" t="e">
            <v>#N/A</v>
          </cell>
          <cell r="W355" t="e">
            <v>#N/A</v>
          </cell>
          <cell r="X355" t="e">
            <v>#N/A</v>
          </cell>
          <cell r="Y355" t="e">
            <v>#N/A</v>
          </cell>
          <cell r="Z355" t="e">
            <v>#N/A</v>
          </cell>
        </row>
        <row r="356">
          <cell r="A356" t="e">
            <v>#N/A</v>
          </cell>
          <cell r="B356" t="e">
            <v>#N/A</v>
          </cell>
          <cell r="C356" t="e">
            <v>#N/A</v>
          </cell>
          <cell r="O356" t="e">
            <v>#N/A</v>
          </cell>
          <cell r="P356" t="e">
            <v>#N/A</v>
          </cell>
          <cell r="Q356" t="e">
            <v>#N/A</v>
          </cell>
          <cell r="R356" t="e">
            <v>#N/A</v>
          </cell>
          <cell r="S356" t="e">
            <v>#N/A</v>
          </cell>
          <cell r="T356" t="e">
            <v>#N/A</v>
          </cell>
          <cell r="U356" t="e">
            <v>#N/A</v>
          </cell>
          <cell r="V356" t="e">
            <v>#N/A</v>
          </cell>
          <cell r="W356" t="e">
            <v>#N/A</v>
          </cell>
          <cell r="X356" t="e">
            <v>#N/A</v>
          </cell>
          <cell r="Y356" t="e">
            <v>#N/A</v>
          </cell>
          <cell r="Z356" t="e">
            <v>#N/A</v>
          </cell>
        </row>
        <row r="357">
          <cell r="A357" t="e">
            <v>#N/A</v>
          </cell>
          <cell r="B357" t="e">
            <v>#N/A</v>
          </cell>
          <cell r="C357" t="e">
            <v>#N/A</v>
          </cell>
          <cell r="O357" t="e">
            <v>#N/A</v>
          </cell>
          <cell r="P357" t="e">
            <v>#N/A</v>
          </cell>
          <cell r="Q357" t="e">
            <v>#N/A</v>
          </cell>
          <cell r="R357" t="e">
            <v>#N/A</v>
          </cell>
          <cell r="S357" t="e">
            <v>#N/A</v>
          </cell>
          <cell r="T357" t="e">
            <v>#N/A</v>
          </cell>
          <cell r="U357" t="e">
            <v>#N/A</v>
          </cell>
          <cell r="V357" t="e">
            <v>#N/A</v>
          </cell>
          <cell r="W357" t="e">
            <v>#N/A</v>
          </cell>
          <cell r="X357" t="e">
            <v>#N/A</v>
          </cell>
          <cell r="Y357" t="e">
            <v>#N/A</v>
          </cell>
          <cell r="Z357" t="e">
            <v>#N/A</v>
          </cell>
        </row>
        <row r="358">
          <cell r="A358" t="e">
            <v>#N/A</v>
          </cell>
          <cell r="B358" t="e">
            <v>#N/A</v>
          </cell>
          <cell r="C358" t="e">
            <v>#N/A</v>
          </cell>
          <cell r="O358" t="e">
            <v>#N/A</v>
          </cell>
          <cell r="P358" t="e">
            <v>#N/A</v>
          </cell>
          <cell r="Q358" t="e">
            <v>#N/A</v>
          </cell>
          <cell r="R358" t="e">
            <v>#N/A</v>
          </cell>
          <cell r="S358" t="e">
            <v>#N/A</v>
          </cell>
          <cell r="T358" t="e">
            <v>#N/A</v>
          </cell>
          <cell r="U358" t="e">
            <v>#N/A</v>
          </cell>
          <cell r="V358" t="e">
            <v>#N/A</v>
          </cell>
          <cell r="W358" t="e">
            <v>#N/A</v>
          </cell>
          <cell r="X358" t="e">
            <v>#N/A</v>
          </cell>
          <cell r="Y358" t="e">
            <v>#N/A</v>
          </cell>
          <cell r="Z358" t="e">
            <v>#N/A</v>
          </cell>
        </row>
        <row r="359">
          <cell r="A359" t="e">
            <v>#N/A</v>
          </cell>
          <cell r="B359" t="e">
            <v>#N/A</v>
          </cell>
          <cell r="C359" t="e">
            <v>#N/A</v>
          </cell>
          <cell r="O359" t="e">
            <v>#N/A</v>
          </cell>
          <cell r="P359" t="e">
            <v>#N/A</v>
          </cell>
          <cell r="Q359" t="e">
            <v>#N/A</v>
          </cell>
          <cell r="R359" t="e">
            <v>#N/A</v>
          </cell>
          <cell r="S359" t="e">
            <v>#N/A</v>
          </cell>
          <cell r="T359" t="e">
            <v>#N/A</v>
          </cell>
          <cell r="U359" t="e">
            <v>#N/A</v>
          </cell>
          <cell r="V359" t="e">
            <v>#N/A</v>
          </cell>
          <cell r="W359" t="e">
            <v>#N/A</v>
          </cell>
          <cell r="X359" t="e">
            <v>#N/A</v>
          </cell>
          <cell r="Y359" t="e">
            <v>#N/A</v>
          </cell>
          <cell r="Z359" t="e">
            <v>#N/A</v>
          </cell>
        </row>
        <row r="360">
          <cell r="A360" t="e">
            <v>#N/A</v>
          </cell>
          <cell r="B360" t="e">
            <v>#N/A</v>
          </cell>
          <cell r="C360" t="e">
            <v>#N/A</v>
          </cell>
          <cell r="O360" t="e">
            <v>#N/A</v>
          </cell>
          <cell r="P360" t="e">
            <v>#N/A</v>
          </cell>
          <cell r="Q360" t="e">
            <v>#N/A</v>
          </cell>
          <cell r="R360" t="e">
            <v>#N/A</v>
          </cell>
          <cell r="S360" t="e">
            <v>#N/A</v>
          </cell>
          <cell r="T360" t="e">
            <v>#N/A</v>
          </cell>
          <cell r="U360" t="e">
            <v>#N/A</v>
          </cell>
          <cell r="V360" t="e">
            <v>#N/A</v>
          </cell>
          <cell r="W360" t="e">
            <v>#N/A</v>
          </cell>
          <cell r="X360" t="e">
            <v>#N/A</v>
          </cell>
          <cell r="Y360" t="e">
            <v>#N/A</v>
          </cell>
          <cell r="Z360" t="e">
            <v>#N/A</v>
          </cell>
        </row>
        <row r="361">
          <cell r="A361" t="e">
            <v>#N/A</v>
          </cell>
          <cell r="B361" t="e">
            <v>#N/A</v>
          </cell>
          <cell r="C361" t="e">
            <v>#N/A</v>
          </cell>
          <cell r="O361" t="e">
            <v>#N/A</v>
          </cell>
          <cell r="P361" t="e">
            <v>#N/A</v>
          </cell>
          <cell r="Q361" t="e">
            <v>#N/A</v>
          </cell>
          <cell r="R361" t="e">
            <v>#N/A</v>
          </cell>
          <cell r="S361" t="e">
            <v>#N/A</v>
          </cell>
          <cell r="T361" t="e">
            <v>#N/A</v>
          </cell>
          <cell r="U361" t="e">
            <v>#N/A</v>
          </cell>
          <cell r="V361" t="e">
            <v>#N/A</v>
          </cell>
          <cell r="W361" t="e">
            <v>#N/A</v>
          </cell>
          <cell r="X361" t="e">
            <v>#N/A</v>
          </cell>
          <cell r="Y361" t="e">
            <v>#N/A</v>
          </cell>
          <cell r="Z361" t="e">
            <v>#N/A</v>
          </cell>
        </row>
        <row r="362">
          <cell r="A362" t="e">
            <v>#N/A</v>
          </cell>
          <cell r="B362" t="e">
            <v>#N/A</v>
          </cell>
          <cell r="C362" t="e">
            <v>#N/A</v>
          </cell>
          <cell r="O362" t="e">
            <v>#N/A</v>
          </cell>
          <cell r="P362" t="e">
            <v>#N/A</v>
          </cell>
          <cell r="Q362" t="e">
            <v>#N/A</v>
          </cell>
          <cell r="R362" t="e">
            <v>#N/A</v>
          </cell>
          <cell r="S362" t="e">
            <v>#N/A</v>
          </cell>
          <cell r="T362" t="e">
            <v>#N/A</v>
          </cell>
          <cell r="U362" t="e">
            <v>#N/A</v>
          </cell>
          <cell r="V362" t="e">
            <v>#N/A</v>
          </cell>
          <cell r="W362" t="e">
            <v>#N/A</v>
          </cell>
          <cell r="X362" t="e">
            <v>#N/A</v>
          </cell>
          <cell r="Y362" t="e">
            <v>#N/A</v>
          </cell>
          <cell r="Z362" t="e">
            <v>#N/A</v>
          </cell>
        </row>
        <row r="363">
          <cell r="A363" t="e">
            <v>#N/A</v>
          </cell>
          <cell r="B363" t="e">
            <v>#N/A</v>
          </cell>
          <cell r="C363" t="e">
            <v>#N/A</v>
          </cell>
          <cell r="O363" t="e">
            <v>#N/A</v>
          </cell>
          <cell r="P363" t="e">
            <v>#N/A</v>
          </cell>
          <cell r="Q363" t="e">
            <v>#N/A</v>
          </cell>
          <cell r="R363" t="e">
            <v>#N/A</v>
          </cell>
          <cell r="S363" t="e">
            <v>#N/A</v>
          </cell>
          <cell r="T363" t="e">
            <v>#N/A</v>
          </cell>
          <cell r="U363" t="e">
            <v>#N/A</v>
          </cell>
          <cell r="V363" t="e">
            <v>#N/A</v>
          </cell>
          <cell r="W363" t="e">
            <v>#N/A</v>
          </cell>
          <cell r="X363" t="e">
            <v>#N/A</v>
          </cell>
          <cell r="Y363" t="e">
            <v>#N/A</v>
          </cell>
          <cell r="Z363" t="e">
            <v>#N/A</v>
          </cell>
        </row>
        <row r="364">
          <cell r="A364" t="e">
            <v>#N/A</v>
          </cell>
          <cell r="B364" t="e">
            <v>#N/A</v>
          </cell>
          <cell r="C364" t="e">
            <v>#N/A</v>
          </cell>
          <cell r="O364" t="e">
            <v>#N/A</v>
          </cell>
          <cell r="P364" t="e">
            <v>#N/A</v>
          </cell>
          <cell r="Q364" t="e">
            <v>#N/A</v>
          </cell>
          <cell r="R364" t="e">
            <v>#N/A</v>
          </cell>
          <cell r="S364" t="e">
            <v>#N/A</v>
          </cell>
          <cell r="T364" t="e">
            <v>#N/A</v>
          </cell>
          <cell r="U364" t="e">
            <v>#N/A</v>
          </cell>
          <cell r="V364" t="e">
            <v>#N/A</v>
          </cell>
          <cell r="W364" t="e">
            <v>#N/A</v>
          </cell>
          <cell r="X364" t="e">
            <v>#N/A</v>
          </cell>
          <cell r="Y364" t="e">
            <v>#N/A</v>
          </cell>
          <cell r="Z364" t="e">
            <v>#N/A</v>
          </cell>
        </row>
        <row r="365">
          <cell r="A365" t="e">
            <v>#N/A</v>
          </cell>
          <cell r="B365" t="e">
            <v>#N/A</v>
          </cell>
          <cell r="C365" t="e">
            <v>#N/A</v>
          </cell>
          <cell r="O365" t="e">
            <v>#N/A</v>
          </cell>
          <cell r="P365" t="e">
            <v>#N/A</v>
          </cell>
          <cell r="Q365" t="e">
            <v>#N/A</v>
          </cell>
          <cell r="R365" t="e">
            <v>#N/A</v>
          </cell>
          <cell r="S365" t="e">
            <v>#N/A</v>
          </cell>
          <cell r="T365" t="e">
            <v>#N/A</v>
          </cell>
          <cell r="U365" t="e">
            <v>#N/A</v>
          </cell>
          <cell r="V365" t="e">
            <v>#N/A</v>
          </cell>
          <cell r="W365" t="e">
            <v>#N/A</v>
          </cell>
          <cell r="X365" t="e">
            <v>#N/A</v>
          </cell>
          <cell r="Y365" t="e">
            <v>#N/A</v>
          </cell>
          <cell r="Z365" t="e">
            <v>#N/A</v>
          </cell>
        </row>
        <row r="366">
          <cell r="A366" t="e">
            <v>#N/A</v>
          </cell>
          <cell r="B366" t="e">
            <v>#N/A</v>
          </cell>
          <cell r="C366" t="e">
            <v>#N/A</v>
          </cell>
          <cell r="O366" t="e">
            <v>#N/A</v>
          </cell>
          <cell r="P366" t="e">
            <v>#N/A</v>
          </cell>
          <cell r="Q366" t="e">
            <v>#N/A</v>
          </cell>
          <cell r="R366" t="e">
            <v>#N/A</v>
          </cell>
          <cell r="S366" t="e">
            <v>#N/A</v>
          </cell>
          <cell r="T366" t="e">
            <v>#N/A</v>
          </cell>
          <cell r="U366" t="e">
            <v>#N/A</v>
          </cell>
          <cell r="V366" t="e">
            <v>#N/A</v>
          </cell>
          <cell r="W366" t="e">
            <v>#N/A</v>
          </cell>
          <cell r="X366" t="e">
            <v>#N/A</v>
          </cell>
          <cell r="Y366" t="e">
            <v>#N/A</v>
          </cell>
          <cell r="Z366" t="e">
            <v>#N/A</v>
          </cell>
        </row>
        <row r="367">
          <cell r="A367" t="e">
            <v>#N/A</v>
          </cell>
          <cell r="B367" t="e">
            <v>#N/A</v>
          </cell>
          <cell r="C367" t="e">
            <v>#N/A</v>
          </cell>
          <cell r="O367" t="e">
            <v>#N/A</v>
          </cell>
          <cell r="P367" t="e">
            <v>#N/A</v>
          </cell>
          <cell r="Q367" t="e">
            <v>#N/A</v>
          </cell>
          <cell r="R367" t="e">
            <v>#N/A</v>
          </cell>
          <cell r="S367" t="e">
            <v>#N/A</v>
          </cell>
          <cell r="T367" t="e">
            <v>#N/A</v>
          </cell>
          <cell r="U367" t="e">
            <v>#N/A</v>
          </cell>
          <cell r="V367" t="e">
            <v>#N/A</v>
          </cell>
          <cell r="W367" t="e">
            <v>#N/A</v>
          </cell>
          <cell r="X367" t="e">
            <v>#N/A</v>
          </cell>
          <cell r="Y367" t="e">
            <v>#N/A</v>
          </cell>
          <cell r="Z367" t="e">
            <v>#N/A</v>
          </cell>
        </row>
        <row r="368">
          <cell r="A368" t="e">
            <v>#N/A</v>
          </cell>
          <cell r="B368" t="e">
            <v>#N/A</v>
          </cell>
          <cell r="C368" t="e">
            <v>#N/A</v>
          </cell>
          <cell r="O368" t="e">
            <v>#N/A</v>
          </cell>
          <cell r="P368" t="e">
            <v>#N/A</v>
          </cell>
          <cell r="Q368" t="e">
            <v>#N/A</v>
          </cell>
          <cell r="R368" t="e">
            <v>#N/A</v>
          </cell>
          <cell r="S368" t="e">
            <v>#N/A</v>
          </cell>
          <cell r="T368" t="e">
            <v>#N/A</v>
          </cell>
          <cell r="U368" t="e">
            <v>#N/A</v>
          </cell>
          <cell r="V368" t="e">
            <v>#N/A</v>
          </cell>
          <cell r="W368" t="e">
            <v>#N/A</v>
          </cell>
          <cell r="X368" t="e">
            <v>#N/A</v>
          </cell>
          <cell r="Y368" t="e">
            <v>#N/A</v>
          </cell>
          <cell r="Z368" t="e">
            <v>#N/A</v>
          </cell>
        </row>
        <row r="369">
          <cell r="A369" t="e">
            <v>#N/A</v>
          </cell>
          <cell r="B369" t="e">
            <v>#N/A</v>
          </cell>
          <cell r="C369" t="e">
            <v>#N/A</v>
          </cell>
          <cell r="O369" t="e">
            <v>#N/A</v>
          </cell>
          <cell r="P369" t="e">
            <v>#N/A</v>
          </cell>
          <cell r="Q369" t="e">
            <v>#N/A</v>
          </cell>
          <cell r="R369" t="e">
            <v>#N/A</v>
          </cell>
          <cell r="S369" t="e">
            <v>#N/A</v>
          </cell>
          <cell r="T369" t="e">
            <v>#N/A</v>
          </cell>
          <cell r="U369" t="e">
            <v>#N/A</v>
          </cell>
          <cell r="V369" t="e">
            <v>#N/A</v>
          </cell>
          <cell r="W369" t="e">
            <v>#N/A</v>
          </cell>
          <cell r="X369" t="e">
            <v>#N/A</v>
          </cell>
          <cell r="Y369" t="e">
            <v>#N/A</v>
          </cell>
          <cell r="Z369" t="e">
            <v>#N/A</v>
          </cell>
        </row>
        <row r="370">
          <cell r="A370" t="e">
            <v>#N/A</v>
          </cell>
          <cell r="B370" t="e">
            <v>#N/A</v>
          </cell>
          <cell r="C370" t="e">
            <v>#N/A</v>
          </cell>
          <cell r="O370" t="e">
            <v>#N/A</v>
          </cell>
          <cell r="P370" t="e">
            <v>#N/A</v>
          </cell>
          <cell r="Q370" t="e">
            <v>#N/A</v>
          </cell>
          <cell r="R370" t="e">
            <v>#N/A</v>
          </cell>
          <cell r="S370" t="e">
            <v>#N/A</v>
          </cell>
          <cell r="T370" t="e">
            <v>#N/A</v>
          </cell>
          <cell r="U370" t="e">
            <v>#N/A</v>
          </cell>
          <cell r="V370" t="e">
            <v>#N/A</v>
          </cell>
          <cell r="W370" t="e">
            <v>#N/A</v>
          </cell>
          <cell r="X370" t="e">
            <v>#N/A</v>
          </cell>
          <cell r="Y370" t="e">
            <v>#N/A</v>
          </cell>
          <cell r="Z370" t="e">
            <v>#N/A</v>
          </cell>
        </row>
        <row r="371">
          <cell r="A371" t="e">
            <v>#N/A</v>
          </cell>
          <cell r="B371" t="e">
            <v>#N/A</v>
          </cell>
          <cell r="C371" t="e">
            <v>#N/A</v>
          </cell>
          <cell r="O371" t="e">
            <v>#N/A</v>
          </cell>
          <cell r="P371" t="e">
            <v>#N/A</v>
          </cell>
          <cell r="Q371" t="e">
            <v>#N/A</v>
          </cell>
          <cell r="R371" t="e">
            <v>#N/A</v>
          </cell>
          <cell r="S371" t="e">
            <v>#N/A</v>
          </cell>
          <cell r="T371" t="e">
            <v>#N/A</v>
          </cell>
          <cell r="U371" t="e">
            <v>#N/A</v>
          </cell>
          <cell r="V371" t="e">
            <v>#N/A</v>
          </cell>
          <cell r="W371" t="e">
            <v>#N/A</v>
          </cell>
          <cell r="X371" t="e">
            <v>#N/A</v>
          </cell>
          <cell r="Y371" t="e">
            <v>#N/A</v>
          </cell>
          <cell r="Z371" t="e">
            <v>#N/A</v>
          </cell>
        </row>
        <row r="372">
          <cell r="A372" t="e">
            <v>#N/A</v>
          </cell>
          <cell r="B372" t="e">
            <v>#N/A</v>
          </cell>
          <cell r="C372" t="e">
            <v>#N/A</v>
          </cell>
          <cell r="O372" t="e">
            <v>#N/A</v>
          </cell>
          <cell r="P372" t="e">
            <v>#N/A</v>
          </cell>
          <cell r="Q372" t="e">
            <v>#N/A</v>
          </cell>
          <cell r="R372" t="e">
            <v>#N/A</v>
          </cell>
          <cell r="S372" t="e">
            <v>#N/A</v>
          </cell>
          <cell r="T372" t="e">
            <v>#N/A</v>
          </cell>
          <cell r="U372" t="e">
            <v>#N/A</v>
          </cell>
          <cell r="V372" t="e">
            <v>#N/A</v>
          </cell>
          <cell r="W372" t="e">
            <v>#N/A</v>
          </cell>
          <cell r="X372" t="e">
            <v>#N/A</v>
          </cell>
          <cell r="Y372" t="e">
            <v>#N/A</v>
          </cell>
          <cell r="Z372" t="e">
            <v>#N/A</v>
          </cell>
        </row>
        <row r="373">
          <cell r="A373" t="e">
            <v>#N/A</v>
          </cell>
          <cell r="B373" t="e">
            <v>#N/A</v>
          </cell>
          <cell r="C373" t="e">
            <v>#N/A</v>
          </cell>
          <cell r="O373" t="e">
            <v>#N/A</v>
          </cell>
          <cell r="P373" t="e">
            <v>#N/A</v>
          </cell>
          <cell r="Q373" t="e">
            <v>#N/A</v>
          </cell>
          <cell r="R373" t="e">
            <v>#N/A</v>
          </cell>
          <cell r="S373" t="e">
            <v>#N/A</v>
          </cell>
          <cell r="T373" t="e">
            <v>#N/A</v>
          </cell>
          <cell r="U373" t="e">
            <v>#N/A</v>
          </cell>
          <cell r="V373" t="e">
            <v>#N/A</v>
          </cell>
          <cell r="W373" t="e">
            <v>#N/A</v>
          </cell>
          <cell r="X373" t="e">
            <v>#N/A</v>
          </cell>
          <cell r="Y373" t="e">
            <v>#N/A</v>
          </cell>
          <cell r="Z373" t="e">
            <v>#N/A</v>
          </cell>
        </row>
        <row r="374">
          <cell r="A374" t="e">
            <v>#N/A</v>
          </cell>
          <cell r="B374" t="e">
            <v>#N/A</v>
          </cell>
          <cell r="C374" t="e">
            <v>#N/A</v>
          </cell>
          <cell r="O374" t="e">
            <v>#N/A</v>
          </cell>
          <cell r="P374" t="e">
            <v>#N/A</v>
          </cell>
          <cell r="Q374" t="e">
            <v>#N/A</v>
          </cell>
          <cell r="R374" t="e">
            <v>#N/A</v>
          </cell>
          <cell r="S374" t="e">
            <v>#N/A</v>
          </cell>
          <cell r="T374" t="e">
            <v>#N/A</v>
          </cell>
          <cell r="U374" t="e">
            <v>#N/A</v>
          </cell>
          <cell r="V374" t="e">
            <v>#N/A</v>
          </cell>
          <cell r="W374" t="e">
            <v>#N/A</v>
          </cell>
          <cell r="X374" t="e">
            <v>#N/A</v>
          </cell>
          <cell r="Y374" t="e">
            <v>#N/A</v>
          </cell>
          <cell r="Z374" t="e">
            <v>#N/A</v>
          </cell>
        </row>
        <row r="375">
          <cell r="A375" t="e">
            <v>#N/A</v>
          </cell>
          <cell r="B375" t="e">
            <v>#N/A</v>
          </cell>
          <cell r="C375" t="e">
            <v>#N/A</v>
          </cell>
          <cell r="O375" t="e">
            <v>#N/A</v>
          </cell>
          <cell r="P375" t="e">
            <v>#N/A</v>
          </cell>
          <cell r="Q375" t="e">
            <v>#N/A</v>
          </cell>
          <cell r="R375" t="e">
            <v>#N/A</v>
          </cell>
          <cell r="S375" t="e">
            <v>#N/A</v>
          </cell>
          <cell r="T375" t="e">
            <v>#N/A</v>
          </cell>
          <cell r="U375" t="e">
            <v>#N/A</v>
          </cell>
          <cell r="V375" t="e">
            <v>#N/A</v>
          </cell>
          <cell r="W375" t="e">
            <v>#N/A</v>
          </cell>
          <cell r="X375" t="e">
            <v>#N/A</v>
          </cell>
          <cell r="Y375" t="e">
            <v>#N/A</v>
          </cell>
          <cell r="Z375" t="e">
            <v>#N/A</v>
          </cell>
        </row>
        <row r="376">
          <cell r="A376" t="e">
            <v>#N/A</v>
          </cell>
          <cell r="B376" t="e">
            <v>#N/A</v>
          </cell>
          <cell r="C376" t="e">
            <v>#N/A</v>
          </cell>
          <cell r="O376" t="e">
            <v>#N/A</v>
          </cell>
          <cell r="P376" t="e">
            <v>#N/A</v>
          </cell>
          <cell r="Q376" t="e">
            <v>#N/A</v>
          </cell>
          <cell r="R376" t="e">
            <v>#N/A</v>
          </cell>
          <cell r="S376" t="e">
            <v>#N/A</v>
          </cell>
          <cell r="T376" t="e">
            <v>#N/A</v>
          </cell>
          <cell r="U376" t="e">
            <v>#N/A</v>
          </cell>
          <cell r="V376" t="e">
            <v>#N/A</v>
          </cell>
          <cell r="W376" t="e">
            <v>#N/A</v>
          </cell>
          <cell r="X376" t="e">
            <v>#N/A</v>
          </cell>
          <cell r="Y376" t="e">
            <v>#N/A</v>
          </cell>
          <cell r="Z376" t="e">
            <v>#N/A</v>
          </cell>
        </row>
        <row r="377">
          <cell r="A377" t="e">
            <v>#N/A</v>
          </cell>
          <cell r="B377" t="e">
            <v>#N/A</v>
          </cell>
          <cell r="C377" t="e">
            <v>#N/A</v>
          </cell>
          <cell r="O377" t="e">
            <v>#N/A</v>
          </cell>
          <cell r="P377" t="e">
            <v>#N/A</v>
          </cell>
          <cell r="Q377" t="e">
            <v>#N/A</v>
          </cell>
          <cell r="R377" t="e">
            <v>#N/A</v>
          </cell>
          <cell r="S377" t="e">
            <v>#N/A</v>
          </cell>
          <cell r="T377" t="e">
            <v>#N/A</v>
          </cell>
          <cell r="U377" t="e">
            <v>#N/A</v>
          </cell>
          <cell r="V377" t="e">
            <v>#N/A</v>
          </cell>
          <cell r="W377" t="e">
            <v>#N/A</v>
          </cell>
          <cell r="X377" t="e">
            <v>#N/A</v>
          </cell>
          <cell r="Y377" t="e">
            <v>#N/A</v>
          </cell>
          <cell r="Z377" t="e">
            <v>#N/A</v>
          </cell>
        </row>
        <row r="378">
          <cell r="A378" t="e">
            <v>#N/A</v>
          </cell>
          <cell r="B378" t="e">
            <v>#N/A</v>
          </cell>
          <cell r="C378" t="e">
            <v>#N/A</v>
          </cell>
          <cell r="O378" t="e">
            <v>#N/A</v>
          </cell>
          <cell r="P378" t="e">
            <v>#N/A</v>
          </cell>
          <cell r="Q378" t="e">
            <v>#N/A</v>
          </cell>
          <cell r="R378" t="e">
            <v>#N/A</v>
          </cell>
          <cell r="S378" t="e">
            <v>#N/A</v>
          </cell>
          <cell r="T378" t="e">
            <v>#N/A</v>
          </cell>
          <cell r="U378" t="e">
            <v>#N/A</v>
          </cell>
          <cell r="V378" t="e">
            <v>#N/A</v>
          </cell>
          <cell r="W378" t="e">
            <v>#N/A</v>
          </cell>
          <cell r="X378" t="e">
            <v>#N/A</v>
          </cell>
          <cell r="Y378" t="e">
            <v>#N/A</v>
          </cell>
          <cell r="Z378" t="e">
            <v>#N/A</v>
          </cell>
        </row>
        <row r="379">
          <cell r="A379" t="e">
            <v>#N/A</v>
          </cell>
          <cell r="B379" t="e">
            <v>#N/A</v>
          </cell>
          <cell r="C379" t="e">
            <v>#N/A</v>
          </cell>
          <cell r="O379" t="e">
            <v>#N/A</v>
          </cell>
          <cell r="P379" t="e">
            <v>#N/A</v>
          </cell>
          <cell r="Q379" t="e">
            <v>#N/A</v>
          </cell>
          <cell r="R379" t="e">
            <v>#N/A</v>
          </cell>
          <cell r="S379" t="e">
            <v>#N/A</v>
          </cell>
          <cell r="T379" t="e">
            <v>#N/A</v>
          </cell>
          <cell r="U379" t="e">
            <v>#N/A</v>
          </cell>
          <cell r="V379" t="e">
            <v>#N/A</v>
          </cell>
          <cell r="W379" t="e">
            <v>#N/A</v>
          </cell>
          <cell r="X379" t="e">
            <v>#N/A</v>
          </cell>
          <cell r="Y379" t="e">
            <v>#N/A</v>
          </cell>
          <cell r="Z379" t="e">
            <v>#N/A</v>
          </cell>
        </row>
        <row r="380">
          <cell r="A380" t="e">
            <v>#N/A</v>
          </cell>
          <cell r="B380" t="e">
            <v>#N/A</v>
          </cell>
          <cell r="C380" t="e">
            <v>#N/A</v>
          </cell>
          <cell r="O380" t="e">
            <v>#N/A</v>
          </cell>
          <cell r="P380" t="e">
            <v>#N/A</v>
          </cell>
          <cell r="Q380" t="e">
            <v>#N/A</v>
          </cell>
          <cell r="R380" t="e">
            <v>#N/A</v>
          </cell>
          <cell r="S380" t="e">
            <v>#N/A</v>
          </cell>
          <cell r="T380" t="e">
            <v>#N/A</v>
          </cell>
          <cell r="U380" t="e">
            <v>#N/A</v>
          </cell>
          <cell r="V380" t="e">
            <v>#N/A</v>
          </cell>
          <cell r="W380" t="e">
            <v>#N/A</v>
          </cell>
          <cell r="X380" t="e">
            <v>#N/A</v>
          </cell>
          <cell r="Y380" t="e">
            <v>#N/A</v>
          </cell>
          <cell r="Z380" t="e">
            <v>#N/A</v>
          </cell>
        </row>
        <row r="381">
          <cell r="A381" t="e">
            <v>#N/A</v>
          </cell>
          <cell r="B381" t="e">
            <v>#N/A</v>
          </cell>
          <cell r="C381" t="e">
            <v>#N/A</v>
          </cell>
          <cell r="O381" t="e">
            <v>#N/A</v>
          </cell>
          <cell r="P381" t="e">
            <v>#N/A</v>
          </cell>
          <cell r="Q381" t="e">
            <v>#N/A</v>
          </cell>
          <cell r="R381" t="e">
            <v>#N/A</v>
          </cell>
          <cell r="S381" t="e">
            <v>#N/A</v>
          </cell>
          <cell r="T381" t="e">
            <v>#N/A</v>
          </cell>
          <cell r="U381" t="e">
            <v>#N/A</v>
          </cell>
          <cell r="V381" t="e">
            <v>#N/A</v>
          </cell>
          <cell r="W381" t="e">
            <v>#N/A</v>
          </cell>
          <cell r="X381" t="e">
            <v>#N/A</v>
          </cell>
          <cell r="Y381" t="e">
            <v>#N/A</v>
          </cell>
          <cell r="Z381" t="e">
            <v>#N/A</v>
          </cell>
        </row>
        <row r="382">
          <cell r="A382" t="e">
            <v>#N/A</v>
          </cell>
          <cell r="B382" t="e">
            <v>#N/A</v>
          </cell>
          <cell r="C382" t="e">
            <v>#N/A</v>
          </cell>
          <cell r="O382" t="e">
            <v>#N/A</v>
          </cell>
          <cell r="P382" t="e">
            <v>#N/A</v>
          </cell>
          <cell r="Q382" t="e">
            <v>#N/A</v>
          </cell>
          <cell r="R382" t="e">
            <v>#N/A</v>
          </cell>
          <cell r="S382" t="e">
            <v>#N/A</v>
          </cell>
          <cell r="T382" t="e">
            <v>#N/A</v>
          </cell>
          <cell r="U382" t="e">
            <v>#N/A</v>
          </cell>
          <cell r="V382" t="e">
            <v>#N/A</v>
          </cell>
          <cell r="W382" t="e">
            <v>#N/A</v>
          </cell>
          <cell r="X382" t="e">
            <v>#N/A</v>
          </cell>
          <cell r="Y382" t="e">
            <v>#N/A</v>
          </cell>
          <cell r="Z382" t="e">
            <v>#N/A</v>
          </cell>
        </row>
        <row r="383">
          <cell r="A383" t="e">
            <v>#N/A</v>
          </cell>
          <cell r="B383" t="e">
            <v>#N/A</v>
          </cell>
          <cell r="C383" t="e">
            <v>#N/A</v>
          </cell>
          <cell r="O383" t="e">
            <v>#N/A</v>
          </cell>
          <cell r="P383" t="e">
            <v>#N/A</v>
          </cell>
          <cell r="Q383" t="e">
            <v>#N/A</v>
          </cell>
          <cell r="R383" t="e">
            <v>#N/A</v>
          </cell>
          <cell r="S383" t="e">
            <v>#N/A</v>
          </cell>
          <cell r="T383" t="e">
            <v>#N/A</v>
          </cell>
          <cell r="U383" t="e">
            <v>#N/A</v>
          </cell>
          <cell r="V383" t="e">
            <v>#N/A</v>
          </cell>
          <cell r="W383" t="e">
            <v>#N/A</v>
          </cell>
          <cell r="X383" t="e">
            <v>#N/A</v>
          </cell>
          <cell r="Y383" t="e">
            <v>#N/A</v>
          </cell>
          <cell r="Z383" t="e">
            <v>#N/A</v>
          </cell>
        </row>
        <row r="384">
          <cell r="A384" t="e">
            <v>#N/A</v>
          </cell>
          <cell r="B384" t="e">
            <v>#N/A</v>
          </cell>
          <cell r="C384" t="e">
            <v>#N/A</v>
          </cell>
          <cell r="O384" t="e">
            <v>#N/A</v>
          </cell>
          <cell r="P384" t="e">
            <v>#N/A</v>
          </cell>
          <cell r="Q384" t="e">
            <v>#N/A</v>
          </cell>
          <cell r="R384" t="e">
            <v>#N/A</v>
          </cell>
          <cell r="S384" t="e">
            <v>#N/A</v>
          </cell>
          <cell r="T384" t="e">
            <v>#N/A</v>
          </cell>
          <cell r="U384" t="e">
            <v>#N/A</v>
          </cell>
          <cell r="V384" t="e">
            <v>#N/A</v>
          </cell>
          <cell r="W384" t="e">
            <v>#N/A</v>
          </cell>
          <cell r="X384" t="e">
            <v>#N/A</v>
          </cell>
          <cell r="Y384" t="e">
            <v>#N/A</v>
          </cell>
          <cell r="Z384" t="e">
            <v>#N/A</v>
          </cell>
        </row>
        <row r="385">
          <cell r="A385" t="e">
            <v>#N/A</v>
          </cell>
          <cell r="B385" t="e">
            <v>#N/A</v>
          </cell>
          <cell r="C385" t="e">
            <v>#N/A</v>
          </cell>
          <cell r="O385" t="e">
            <v>#N/A</v>
          </cell>
          <cell r="P385" t="e">
            <v>#N/A</v>
          </cell>
          <cell r="Q385" t="e">
            <v>#N/A</v>
          </cell>
          <cell r="R385" t="e">
            <v>#N/A</v>
          </cell>
          <cell r="S385" t="e">
            <v>#N/A</v>
          </cell>
          <cell r="T385" t="e">
            <v>#N/A</v>
          </cell>
          <cell r="U385" t="e">
            <v>#N/A</v>
          </cell>
          <cell r="V385" t="e">
            <v>#N/A</v>
          </cell>
          <cell r="W385" t="e">
            <v>#N/A</v>
          </cell>
          <cell r="X385" t="e">
            <v>#N/A</v>
          </cell>
          <cell r="Y385" t="e">
            <v>#N/A</v>
          </cell>
          <cell r="Z385" t="e">
            <v>#N/A</v>
          </cell>
        </row>
        <row r="386">
          <cell r="A386" t="e">
            <v>#N/A</v>
          </cell>
          <cell r="B386" t="e">
            <v>#N/A</v>
          </cell>
          <cell r="C386" t="e">
            <v>#N/A</v>
          </cell>
          <cell r="O386" t="e">
            <v>#N/A</v>
          </cell>
          <cell r="P386" t="e">
            <v>#N/A</v>
          </cell>
          <cell r="Q386" t="e">
            <v>#N/A</v>
          </cell>
          <cell r="R386" t="e">
            <v>#N/A</v>
          </cell>
          <cell r="S386" t="e">
            <v>#N/A</v>
          </cell>
          <cell r="T386" t="e">
            <v>#N/A</v>
          </cell>
          <cell r="U386" t="e">
            <v>#N/A</v>
          </cell>
          <cell r="V386" t="e">
            <v>#N/A</v>
          </cell>
          <cell r="W386" t="e">
            <v>#N/A</v>
          </cell>
          <cell r="X386" t="e">
            <v>#N/A</v>
          </cell>
          <cell r="Y386" t="e">
            <v>#N/A</v>
          </cell>
          <cell r="Z386" t="e">
            <v>#N/A</v>
          </cell>
        </row>
        <row r="387">
          <cell r="A387" t="e">
            <v>#N/A</v>
          </cell>
          <cell r="B387" t="e">
            <v>#N/A</v>
          </cell>
          <cell r="C387" t="e">
            <v>#N/A</v>
          </cell>
          <cell r="O387" t="e">
            <v>#N/A</v>
          </cell>
          <cell r="P387" t="e">
            <v>#N/A</v>
          </cell>
          <cell r="Q387" t="e">
            <v>#N/A</v>
          </cell>
          <cell r="R387" t="e">
            <v>#N/A</v>
          </cell>
          <cell r="S387" t="e">
            <v>#N/A</v>
          </cell>
          <cell r="T387" t="e">
            <v>#N/A</v>
          </cell>
          <cell r="U387" t="e">
            <v>#N/A</v>
          </cell>
          <cell r="V387" t="e">
            <v>#N/A</v>
          </cell>
          <cell r="W387" t="e">
            <v>#N/A</v>
          </cell>
          <cell r="X387" t="e">
            <v>#N/A</v>
          </cell>
          <cell r="Y387" t="e">
            <v>#N/A</v>
          </cell>
          <cell r="Z387" t="e">
            <v>#N/A</v>
          </cell>
        </row>
        <row r="388">
          <cell r="A388" t="e">
            <v>#N/A</v>
          </cell>
          <cell r="B388" t="e">
            <v>#N/A</v>
          </cell>
          <cell r="C388" t="e">
            <v>#N/A</v>
          </cell>
          <cell r="O388" t="e">
            <v>#N/A</v>
          </cell>
          <cell r="P388" t="e">
            <v>#N/A</v>
          </cell>
          <cell r="Q388" t="e">
            <v>#N/A</v>
          </cell>
          <cell r="R388" t="e">
            <v>#N/A</v>
          </cell>
          <cell r="S388" t="e">
            <v>#N/A</v>
          </cell>
          <cell r="T388" t="e">
            <v>#N/A</v>
          </cell>
          <cell r="U388" t="e">
            <v>#N/A</v>
          </cell>
          <cell r="V388" t="e">
            <v>#N/A</v>
          </cell>
          <cell r="W388" t="e">
            <v>#N/A</v>
          </cell>
          <cell r="X388" t="e">
            <v>#N/A</v>
          </cell>
          <cell r="Y388" t="e">
            <v>#N/A</v>
          </cell>
          <cell r="Z388" t="e">
            <v>#N/A</v>
          </cell>
        </row>
        <row r="389">
          <cell r="A389" t="e">
            <v>#N/A</v>
          </cell>
          <cell r="B389" t="e">
            <v>#N/A</v>
          </cell>
          <cell r="C389" t="e">
            <v>#N/A</v>
          </cell>
          <cell r="O389" t="e">
            <v>#N/A</v>
          </cell>
          <cell r="P389" t="e">
            <v>#N/A</v>
          </cell>
          <cell r="Q389" t="e">
            <v>#N/A</v>
          </cell>
          <cell r="R389" t="e">
            <v>#N/A</v>
          </cell>
          <cell r="S389" t="e">
            <v>#N/A</v>
          </cell>
          <cell r="T389" t="e">
            <v>#N/A</v>
          </cell>
          <cell r="U389" t="e">
            <v>#N/A</v>
          </cell>
          <cell r="V389" t="e">
            <v>#N/A</v>
          </cell>
          <cell r="W389" t="e">
            <v>#N/A</v>
          </cell>
          <cell r="X389" t="e">
            <v>#N/A</v>
          </cell>
          <cell r="Y389" t="e">
            <v>#N/A</v>
          </cell>
          <cell r="Z389" t="e">
            <v>#N/A</v>
          </cell>
        </row>
        <row r="390">
          <cell r="A390" t="e">
            <v>#N/A</v>
          </cell>
          <cell r="B390" t="e">
            <v>#N/A</v>
          </cell>
          <cell r="C390" t="e">
            <v>#N/A</v>
          </cell>
          <cell r="O390" t="e">
            <v>#N/A</v>
          </cell>
          <cell r="P390" t="e">
            <v>#N/A</v>
          </cell>
          <cell r="Q390" t="e">
            <v>#N/A</v>
          </cell>
          <cell r="R390" t="e">
            <v>#N/A</v>
          </cell>
          <cell r="S390" t="e">
            <v>#N/A</v>
          </cell>
          <cell r="T390" t="e">
            <v>#N/A</v>
          </cell>
          <cell r="U390" t="e">
            <v>#N/A</v>
          </cell>
          <cell r="V390" t="e">
            <v>#N/A</v>
          </cell>
          <cell r="W390" t="e">
            <v>#N/A</v>
          </cell>
          <cell r="X390" t="e">
            <v>#N/A</v>
          </cell>
          <cell r="Y390" t="e">
            <v>#N/A</v>
          </cell>
          <cell r="Z390" t="e">
            <v>#N/A</v>
          </cell>
        </row>
        <row r="391">
          <cell r="A391" t="e">
            <v>#N/A</v>
          </cell>
          <cell r="B391" t="e">
            <v>#N/A</v>
          </cell>
          <cell r="C391" t="e">
            <v>#N/A</v>
          </cell>
          <cell r="O391" t="e">
            <v>#N/A</v>
          </cell>
          <cell r="P391" t="e">
            <v>#N/A</v>
          </cell>
          <cell r="Q391" t="e">
            <v>#N/A</v>
          </cell>
          <cell r="R391" t="e">
            <v>#N/A</v>
          </cell>
          <cell r="S391" t="e">
            <v>#N/A</v>
          </cell>
          <cell r="T391" t="e">
            <v>#N/A</v>
          </cell>
          <cell r="U391" t="e">
            <v>#N/A</v>
          </cell>
          <cell r="V391" t="e">
            <v>#N/A</v>
          </cell>
          <cell r="W391" t="e">
            <v>#N/A</v>
          </cell>
          <cell r="X391" t="e">
            <v>#N/A</v>
          </cell>
          <cell r="Y391" t="e">
            <v>#N/A</v>
          </cell>
          <cell r="Z391" t="e">
            <v>#N/A</v>
          </cell>
        </row>
        <row r="392">
          <cell r="A392" t="e">
            <v>#N/A</v>
          </cell>
          <cell r="B392" t="e">
            <v>#N/A</v>
          </cell>
          <cell r="C392" t="e">
            <v>#N/A</v>
          </cell>
          <cell r="O392" t="e">
            <v>#N/A</v>
          </cell>
          <cell r="P392" t="e">
            <v>#N/A</v>
          </cell>
          <cell r="Q392" t="e">
            <v>#N/A</v>
          </cell>
          <cell r="R392" t="e">
            <v>#N/A</v>
          </cell>
          <cell r="S392" t="e">
            <v>#N/A</v>
          </cell>
          <cell r="T392" t="e">
            <v>#N/A</v>
          </cell>
          <cell r="U392" t="e">
            <v>#N/A</v>
          </cell>
          <cell r="V392" t="e">
            <v>#N/A</v>
          </cell>
          <cell r="W392" t="e">
            <v>#N/A</v>
          </cell>
          <cell r="X392" t="e">
            <v>#N/A</v>
          </cell>
          <cell r="Y392" t="e">
            <v>#N/A</v>
          </cell>
          <cell r="Z392" t="e">
            <v>#N/A</v>
          </cell>
        </row>
        <row r="393">
          <cell r="A393" t="e">
            <v>#N/A</v>
          </cell>
          <cell r="B393" t="e">
            <v>#N/A</v>
          </cell>
          <cell r="C393" t="e">
            <v>#N/A</v>
          </cell>
          <cell r="O393" t="e">
            <v>#N/A</v>
          </cell>
          <cell r="P393" t="e">
            <v>#N/A</v>
          </cell>
          <cell r="Q393" t="e">
            <v>#N/A</v>
          </cell>
          <cell r="R393" t="e">
            <v>#N/A</v>
          </cell>
          <cell r="S393" t="e">
            <v>#N/A</v>
          </cell>
          <cell r="T393" t="e">
            <v>#N/A</v>
          </cell>
          <cell r="U393" t="e">
            <v>#N/A</v>
          </cell>
          <cell r="V393" t="e">
            <v>#N/A</v>
          </cell>
          <cell r="W393" t="e">
            <v>#N/A</v>
          </cell>
          <cell r="X393" t="e">
            <v>#N/A</v>
          </cell>
          <cell r="Y393" t="e">
            <v>#N/A</v>
          </cell>
          <cell r="Z393" t="e">
            <v>#N/A</v>
          </cell>
        </row>
        <row r="394">
          <cell r="A394" t="e">
            <v>#N/A</v>
          </cell>
          <cell r="B394" t="e">
            <v>#N/A</v>
          </cell>
          <cell r="C394" t="e">
            <v>#N/A</v>
          </cell>
          <cell r="O394" t="e">
            <v>#N/A</v>
          </cell>
          <cell r="P394" t="e">
            <v>#N/A</v>
          </cell>
          <cell r="Q394" t="e">
            <v>#N/A</v>
          </cell>
          <cell r="R394" t="e">
            <v>#N/A</v>
          </cell>
          <cell r="S394" t="e">
            <v>#N/A</v>
          </cell>
          <cell r="T394" t="e">
            <v>#N/A</v>
          </cell>
          <cell r="U394" t="e">
            <v>#N/A</v>
          </cell>
          <cell r="V394" t="e">
            <v>#N/A</v>
          </cell>
          <cell r="W394" t="e">
            <v>#N/A</v>
          </cell>
          <cell r="X394" t="e">
            <v>#N/A</v>
          </cell>
          <cell r="Y394" t="e">
            <v>#N/A</v>
          </cell>
          <cell r="Z394" t="e">
            <v>#N/A</v>
          </cell>
        </row>
        <row r="395">
          <cell r="A395" t="e">
            <v>#N/A</v>
          </cell>
          <cell r="B395" t="e">
            <v>#N/A</v>
          </cell>
          <cell r="C395" t="e">
            <v>#N/A</v>
          </cell>
          <cell r="O395" t="e">
            <v>#N/A</v>
          </cell>
          <cell r="P395" t="e">
            <v>#N/A</v>
          </cell>
          <cell r="Q395" t="e">
            <v>#N/A</v>
          </cell>
          <cell r="R395" t="e">
            <v>#N/A</v>
          </cell>
          <cell r="S395" t="e">
            <v>#N/A</v>
          </cell>
          <cell r="T395" t="e">
            <v>#N/A</v>
          </cell>
          <cell r="U395" t="e">
            <v>#N/A</v>
          </cell>
          <cell r="V395" t="e">
            <v>#N/A</v>
          </cell>
          <cell r="W395" t="e">
            <v>#N/A</v>
          </cell>
          <cell r="X395" t="e">
            <v>#N/A</v>
          </cell>
          <cell r="Y395" t="e">
            <v>#N/A</v>
          </cell>
          <cell r="Z395" t="e">
            <v>#N/A</v>
          </cell>
        </row>
        <row r="396">
          <cell r="A396" t="e">
            <v>#N/A</v>
          </cell>
          <cell r="B396" t="e">
            <v>#N/A</v>
          </cell>
          <cell r="C396" t="e">
            <v>#N/A</v>
          </cell>
          <cell r="O396" t="e">
            <v>#N/A</v>
          </cell>
          <cell r="P396" t="e">
            <v>#N/A</v>
          </cell>
          <cell r="Q396" t="e">
            <v>#N/A</v>
          </cell>
          <cell r="R396" t="e">
            <v>#N/A</v>
          </cell>
          <cell r="S396" t="e">
            <v>#N/A</v>
          </cell>
          <cell r="T396" t="e">
            <v>#N/A</v>
          </cell>
          <cell r="U396" t="e">
            <v>#N/A</v>
          </cell>
          <cell r="V396" t="e">
            <v>#N/A</v>
          </cell>
          <cell r="W396" t="e">
            <v>#N/A</v>
          </cell>
          <cell r="X396" t="e">
            <v>#N/A</v>
          </cell>
          <cell r="Y396" t="e">
            <v>#N/A</v>
          </cell>
          <cell r="Z396" t="e">
            <v>#N/A</v>
          </cell>
        </row>
        <row r="397">
          <cell r="A397" t="e">
            <v>#N/A</v>
          </cell>
          <cell r="B397" t="e">
            <v>#N/A</v>
          </cell>
          <cell r="C397" t="e">
            <v>#N/A</v>
          </cell>
          <cell r="O397" t="e">
            <v>#N/A</v>
          </cell>
          <cell r="P397" t="e">
            <v>#N/A</v>
          </cell>
          <cell r="Q397" t="e">
            <v>#N/A</v>
          </cell>
          <cell r="R397" t="e">
            <v>#N/A</v>
          </cell>
          <cell r="S397" t="e">
            <v>#N/A</v>
          </cell>
          <cell r="T397" t="e">
            <v>#N/A</v>
          </cell>
          <cell r="U397" t="e">
            <v>#N/A</v>
          </cell>
          <cell r="V397" t="e">
            <v>#N/A</v>
          </cell>
          <cell r="W397" t="e">
            <v>#N/A</v>
          </cell>
          <cell r="X397" t="e">
            <v>#N/A</v>
          </cell>
          <cell r="Y397" t="e">
            <v>#N/A</v>
          </cell>
          <cell r="Z397" t="e">
            <v>#N/A</v>
          </cell>
        </row>
        <row r="398">
          <cell r="A398" t="e">
            <v>#N/A</v>
          </cell>
          <cell r="B398" t="e">
            <v>#N/A</v>
          </cell>
          <cell r="C398" t="e">
            <v>#N/A</v>
          </cell>
          <cell r="O398" t="e">
            <v>#N/A</v>
          </cell>
          <cell r="P398" t="e">
            <v>#N/A</v>
          </cell>
          <cell r="Q398" t="e">
            <v>#N/A</v>
          </cell>
          <cell r="R398" t="e">
            <v>#N/A</v>
          </cell>
          <cell r="S398" t="e">
            <v>#N/A</v>
          </cell>
          <cell r="T398" t="e">
            <v>#N/A</v>
          </cell>
          <cell r="U398" t="e">
            <v>#N/A</v>
          </cell>
          <cell r="V398" t="e">
            <v>#N/A</v>
          </cell>
          <cell r="W398" t="e">
            <v>#N/A</v>
          </cell>
          <cell r="X398" t="e">
            <v>#N/A</v>
          </cell>
          <cell r="Y398" t="e">
            <v>#N/A</v>
          </cell>
          <cell r="Z398" t="e">
            <v>#N/A</v>
          </cell>
        </row>
        <row r="399">
          <cell r="A399" t="e">
            <v>#N/A</v>
          </cell>
          <cell r="B399" t="e">
            <v>#N/A</v>
          </cell>
          <cell r="C399" t="e">
            <v>#N/A</v>
          </cell>
          <cell r="O399" t="e">
            <v>#N/A</v>
          </cell>
          <cell r="P399" t="e">
            <v>#N/A</v>
          </cell>
          <cell r="Q399" t="e">
            <v>#N/A</v>
          </cell>
          <cell r="R399" t="e">
            <v>#N/A</v>
          </cell>
          <cell r="S399" t="e">
            <v>#N/A</v>
          </cell>
          <cell r="T399" t="e">
            <v>#N/A</v>
          </cell>
          <cell r="U399" t="e">
            <v>#N/A</v>
          </cell>
          <cell r="V399" t="e">
            <v>#N/A</v>
          </cell>
          <cell r="W399" t="e">
            <v>#N/A</v>
          </cell>
          <cell r="X399" t="e">
            <v>#N/A</v>
          </cell>
          <cell r="Y399" t="e">
            <v>#N/A</v>
          </cell>
          <cell r="Z399" t="e">
            <v>#N/A</v>
          </cell>
        </row>
        <row r="400">
          <cell r="A400" t="e">
            <v>#N/A</v>
          </cell>
          <cell r="B400" t="e">
            <v>#N/A</v>
          </cell>
          <cell r="C400" t="e">
            <v>#N/A</v>
          </cell>
          <cell r="O400" t="e">
            <v>#N/A</v>
          </cell>
          <cell r="P400" t="e">
            <v>#N/A</v>
          </cell>
          <cell r="Q400" t="e">
            <v>#N/A</v>
          </cell>
          <cell r="R400" t="e">
            <v>#N/A</v>
          </cell>
          <cell r="S400" t="e">
            <v>#N/A</v>
          </cell>
          <cell r="T400" t="e">
            <v>#N/A</v>
          </cell>
          <cell r="U400" t="e">
            <v>#N/A</v>
          </cell>
          <cell r="V400" t="e">
            <v>#N/A</v>
          </cell>
          <cell r="W400" t="e">
            <v>#N/A</v>
          </cell>
          <cell r="X400" t="e">
            <v>#N/A</v>
          </cell>
          <cell r="Y400" t="e">
            <v>#N/A</v>
          </cell>
          <cell r="Z400" t="e">
            <v>#N/A</v>
          </cell>
        </row>
        <row r="401">
          <cell r="A401" t="e">
            <v>#N/A</v>
          </cell>
          <cell r="B401" t="e">
            <v>#N/A</v>
          </cell>
          <cell r="C401" t="e">
            <v>#N/A</v>
          </cell>
          <cell r="O401" t="e">
            <v>#N/A</v>
          </cell>
          <cell r="P401" t="e">
            <v>#N/A</v>
          </cell>
          <cell r="Q401" t="e">
            <v>#N/A</v>
          </cell>
          <cell r="R401" t="e">
            <v>#N/A</v>
          </cell>
          <cell r="S401" t="e">
            <v>#N/A</v>
          </cell>
          <cell r="T401" t="e">
            <v>#N/A</v>
          </cell>
          <cell r="U401" t="e">
            <v>#N/A</v>
          </cell>
          <cell r="V401" t="e">
            <v>#N/A</v>
          </cell>
          <cell r="W401" t="e">
            <v>#N/A</v>
          </cell>
          <cell r="X401" t="e">
            <v>#N/A</v>
          </cell>
          <cell r="Y401" t="e">
            <v>#N/A</v>
          </cell>
          <cell r="Z401" t="e">
            <v>#N/A</v>
          </cell>
        </row>
        <row r="402">
          <cell r="A402" t="e">
            <v>#N/A</v>
          </cell>
          <cell r="B402" t="e">
            <v>#N/A</v>
          </cell>
          <cell r="C402" t="e">
            <v>#N/A</v>
          </cell>
          <cell r="O402" t="e">
            <v>#N/A</v>
          </cell>
          <cell r="P402" t="e">
            <v>#N/A</v>
          </cell>
          <cell r="Q402" t="e">
            <v>#N/A</v>
          </cell>
          <cell r="R402" t="e">
            <v>#N/A</v>
          </cell>
          <cell r="S402" t="e">
            <v>#N/A</v>
          </cell>
          <cell r="T402" t="e">
            <v>#N/A</v>
          </cell>
          <cell r="U402" t="e">
            <v>#N/A</v>
          </cell>
          <cell r="V402" t="e">
            <v>#N/A</v>
          </cell>
          <cell r="W402" t="e">
            <v>#N/A</v>
          </cell>
          <cell r="X402" t="e">
            <v>#N/A</v>
          </cell>
          <cell r="Y402" t="e">
            <v>#N/A</v>
          </cell>
          <cell r="Z402" t="e">
            <v>#N/A</v>
          </cell>
        </row>
        <row r="403">
          <cell r="A403" t="e">
            <v>#N/A</v>
          </cell>
          <cell r="B403" t="e">
            <v>#N/A</v>
          </cell>
          <cell r="C403" t="e">
            <v>#N/A</v>
          </cell>
          <cell r="O403" t="e">
            <v>#N/A</v>
          </cell>
          <cell r="P403" t="e">
            <v>#N/A</v>
          </cell>
          <cell r="Q403" t="e">
            <v>#N/A</v>
          </cell>
          <cell r="R403" t="e">
            <v>#N/A</v>
          </cell>
          <cell r="S403" t="e">
            <v>#N/A</v>
          </cell>
          <cell r="T403" t="e">
            <v>#N/A</v>
          </cell>
          <cell r="U403" t="e">
            <v>#N/A</v>
          </cell>
          <cell r="V403" t="e">
            <v>#N/A</v>
          </cell>
          <cell r="W403" t="e">
            <v>#N/A</v>
          </cell>
          <cell r="X403" t="e">
            <v>#N/A</v>
          </cell>
          <cell r="Y403" t="e">
            <v>#N/A</v>
          </cell>
          <cell r="Z403" t="e">
            <v>#N/A</v>
          </cell>
        </row>
        <row r="404">
          <cell r="A404" t="e">
            <v>#N/A</v>
          </cell>
          <cell r="B404" t="e">
            <v>#N/A</v>
          </cell>
          <cell r="C404" t="e">
            <v>#N/A</v>
          </cell>
          <cell r="O404" t="e">
            <v>#N/A</v>
          </cell>
          <cell r="P404" t="e">
            <v>#N/A</v>
          </cell>
          <cell r="Q404" t="e">
            <v>#N/A</v>
          </cell>
          <cell r="R404" t="e">
            <v>#N/A</v>
          </cell>
          <cell r="S404" t="e">
            <v>#N/A</v>
          </cell>
          <cell r="T404" t="e">
            <v>#N/A</v>
          </cell>
          <cell r="U404" t="e">
            <v>#N/A</v>
          </cell>
          <cell r="V404" t="e">
            <v>#N/A</v>
          </cell>
          <cell r="W404" t="e">
            <v>#N/A</v>
          </cell>
          <cell r="X404" t="e">
            <v>#N/A</v>
          </cell>
          <cell r="Y404" t="e">
            <v>#N/A</v>
          </cell>
          <cell r="Z404" t="e">
            <v>#N/A</v>
          </cell>
        </row>
        <row r="405">
          <cell r="A405" t="e">
            <v>#N/A</v>
          </cell>
          <cell r="B405" t="e">
            <v>#N/A</v>
          </cell>
          <cell r="C405" t="e">
            <v>#N/A</v>
          </cell>
          <cell r="O405" t="e">
            <v>#N/A</v>
          </cell>
          <cell r="P405" t="e">
            <v>#N/A</v>
          </cell>
          <cell r="Q405" t="e">
            <v>#N/A</v>
          </cell>
          <cell r="R405" t="e">
            <v>#N/A</v>
          </cell>
          <cell r="S405" t="e">
            <v>#N/A</v>
          </cell>
          <cell r="T405" t="e">
            <v>#N/A</v>
          </cell>
          <cell r="U405" t="e">
            <v>#N/A</v>
          </cell>
          <cell r="V405" t="e">
            <v>#N/A</v>
          </cell>
          <cell r="W405" t="e">
            <v>#N/A</v>
          </cell>
          <cell r="X405" t="e">
            <v>#N/A</v>
          </cell>
          <cell r="Y405" t="e">
            <v>#N/A</v>
          </cell>
          <cell r="Z405" t="e">
            <v>#N/A</v>
          </cell>
        </row>
        <row r="406">
          <cell r="A406" t="e">
            <v>#N/A</v>
          </cell>
          <cell r="B406" t="e">
            <v>#N/A</v>
          </cell>
          <cell r="C406" t="e">
            <v>#N/A</v>
          </cell>
          <cell r="O406" t="e">
            <v>#N/A</v>
          </cell>
          <cell r="P406" t="e">
            <v>#N/A</v>
          </cell>
          <cell r="Q406" t="e">
            <v>#N/A</v>
          </cell>
          <cell r="R406" t="e">
            <v>#N/A</v>
          </cell>
          <cell r="S406" t="e">
            <v>#N/A</v>
          </cell>
          <cell r="T406" t="e">
            <v>#N/A</v>
          </cell>
          <cell r="U406" t="e">
            <v>#N/A</v>
          </cell>
          <cell r="V406" t="e">
            <v>#N/A</v>
          </cell>
          <cell r="W406" t="e">
            <v>#N/A</v>
          </cell>
          <cell r="X406" t="e">
            <v>#N/A</v>
          </cell>
          <cell r="Y406" t="e">
            <v>#N/A</v>
          </cell>
          <cell r="Z406" t="e">
            <v>#N/A</v>
          </cell>
        </row>
        <row r="407">
          <cell r="A407" t="e">
            <v>#N/A</v>
          </cell>
          <cell r="B407" t="e">
            <v>#N/A</v>
          </cell>
          <cell r="C407" t="e">
            <v>#N/A</v>
          </cell>
          <cell r="O407" t="e">
            <v>#N/A</v>
          </cell>
          <cell r="P407" t="e">
            <v>#N/A</v>
          </cell>
          <cell r="Q407" t="e">
            <v>#N/A</v>
          </cell>
          <cell r="R407" t="e">
            <v>#N/A</v>
          </cell>
          <cell r="S407" t="e">
            <v>#N/A</v>
          </cell>
          <cell r="T407" t="e">
            <v>#N/A</v>
          </cell>
          <cell r="U407" t="e">
            <v>#N/A</v>
          </cell>
          <cell r="V407" t="e">
            <v>#N/A</v>
          </cell>
          <cell r="W407" t="e">
            <v>#N/A</v>
          </cell>
          <cell r="X407" t="e">
            <v>#N/A</v>
          </cell>
          <cell r="Y407" t="e">
            <v>#N/A</v>
          </cell>
          <cell r="Z407" t="e">
            <v>#N/A</v>
          </cell>
        </row>
        <row r="408">
          <cell r="A408" t="e">
            <v>#N/A</v>
          </cell>
          <cell r="B408" t="e">
            <v>#N/A</v>
          </cell>
          <cell r="C408" t="e">
            <v>#N/A</v>
          </cell>
          <cell r="O408" t="e">
            <v>#N/A</v>
          </cell>
          <cell r="P408" t="e">
            <v>#N/A</v>
          </cell>
          <cell r="Q408" t="e">
            <v>#N/A</v>
          </cell>
          <cell r="R408" t="e">
            <v>#N/A</v>
          </cell>
          <cell r="S408" t="e">
            <v>#N/A</v>
          </cell>
          <cell r="T408" t="e">
            <v>#N/A</v>
          </cell>
          <cell r="U408" t="e">
            <v>#N/A</v>
          </cell>
          <cell r="V408" t="e">
            <v>#N/A</v>
          </cell>
          <cell r="W408" t="e">
            <v>#N/A</v>
          </cell>
          <cell r="X408" t="e">
            <v>#N/A</v>
          </cell>
          <cell r="Y408" t="e">
            <v>#N/A</v>
          </cell>
          <cell r="Z408" t="e">
            <v>#N/A</v>
          </cell>
        </row>
        <row r="409">
          <cell r="A409" t="e">
            <v>#N/A</v>
          </cell>
          <cell r="B409" t="e">
            <v>#N/A</v>
          </cell>
          <cell r="C409" t="e">
            <v>#N/A</v>
          </cell>
          <cell r="O409" t="e">
            <v>#N/A</v>
          </cell>
          <cell r="P409" t="e">
            <v>#N/A</v>
          </cell>
          <cell r="Q409" t="e">
            <v>#N/A</v>
          </cell>
          <cell r="R409" t="e">
            <v>#N/A</v>
          </cell>
          <cell r="S409" t="e">
            <v>#N/A</v>
          </cell>
          <cell r="T409" t="e">
            <v>#N/A</v>
          </cell>
          <cell r="U409" t="e">
            <v>#N/A</v>
          </cell>
          <cell r="V409" t="e">
            <v>#N/A</v>
          </cell>
          <cell r="W409" t="e">
            <v>#N/A</v>
          </cell>
          <cell r="X409" t="e">
            <v>#N/A</v>
          </cell>
          <cell r="Y409" t="e">
            <v>#N/A</v>
          </cell>
          <cell r="Z409" t="e">
            <v>#N/A</v>
          </cell>
        </row>
        <row r="410">
          <cell r="A410" t="e">
            <v>#N/A</v>
          </cell>
          <cell r="B410" t="e">
            <v>#N/A</v>
          </cell>
          <cell r="C410" t="e">
            <v>#N/A</v>
          </cell>
          <cell r="O410" t="e">
            <v>#N/A</v>
          </cell>
          <cell r="P410" t="e">
            <v>#N/A</v>
          </cell>
          <cell r="Q410" t="e">
            <v>#N/A</v>
          </cell>
          <cell r="R410" t="e">
            <v>#N/A</v>
          </cell>
          <cell r="S410" t="e">
            <v>#N/A</v>
          </cell>
          <cell r="T410" t="e">
            <v>#N/A</v>
          </cell>
          <cell r="U410" t="e">
            <v>#N/A</v>
          </cell>
          <cell r="V410" t="e">
            <v>#N/A</v>
          </cell>
          <cell r="W410" t="e">
            <v>#N/A</v>
          </cell>
          <cell r="X410" t="e">
            <v>#N/A</v>
          </cell>
          <cell r="Y410" t="e">
            <v>#N/A</v>
          </cell>
          <cell r="Z410" t="e">
            <v>#N/A</v>
          </cell>
        </row>
        <row r="411">
          <cell r="A411" t="e">
            <v>#N/A</v>
          </cell>
          <cell r="B411" t="e">
            <v>#N/A</v>
          </cell>
          <cell r="C411" t="e">
            <v>#N/A</v>
          </cell>
          <cell r="O411" t="e">
            <v>#N/A</v>
          </cell>
          <cell r="P411" t="e">
            <v>#N/A</v>
          </cell>
          <cell r="Q411" t="e">
            <v>#N/A</v>
          </cell>
          <cell r="R411" t="e">
            <v>#N/A</v>
          </cell>
          <cell r="S411" t="e">
            <v>#N/A</v>
          </cell>
          <cell r="T411" t="e">
            <v>#N/A</v>
          </cell>
          <cell r="U411" t="e">
            <v>#N/A</v>
          </cell>
          <cell r="V411" t="e">
            <v>#N/A</v>
          </cell>
          <cell r="W411" t="e">
            <v>#N/A</v>
          </cell>
          <cell r="X411" t="e">
            <v>#N/A</v>
          </cell>
          <cell r="Y411" t="e">
            <v>#N/A</v>
          </cell>
          <cell r="Z411" t="e">
            <v>#N/A</v>
          </cell>
        </row>
        <row r="412">
          <cell r="A412" t="e">
            <v>#N/A</v>
          </cell>
          <cell r="B412" t="e">
            <v>#N/A</v>
          </cell>
          <cell r="C412" t="e">
            <v>#N/A</v>
          </cell>
          <cell r="O412" t="e">
            <v>#N/A</v>
          </cell>
          <cell r="P412" t="e">
            <v>#N/A</v>
          </cell>
          <cell r="Q412" t="e">
            <v>#N/A</v>
          </cell>
          <cell r="R412" t="e">
            <v>#N/A</v>
          </cell>
          <cell r="S412" t="e">
            <v>#N/A</v>
          </cell>
          <cell r="T412" t="e">
            <v>#N/A</v>
          </cell>
          <cell r="U412" t="e">
            <v>#N/A</v>
          </cell>
          <cell r="V412" t="e">
            <v>#N/A</v>
          </cell>
          <cell r="W412" t="e">
            <v>#N/A</v>
          </cell>
          <cell r="X412" t="e">
            <v>#N/A</v>
          </cell>
          <cell r="Y412" t="e">
            <v>#N/A</v>
          </cell>
          <cell r="Z412" t="e">
            <v>#N/A</v>
          </cell>
        </row>
        <row r="413">
          <cell r="A413" t="e">
            <v>#N/A</v>
          </cell>
          <cell r="B413" t="e">
            <v>#N/A</v>
          </cell>
          <cell r="C413" t="e">
            <v>#N/A</v>
          </cell>
          <cell r="O413" t="e">
            <v>#N/A</v>
          </cell>
          <cell r="P413" t="e">
            <v>#N/A</v>
          </cell>
          <cell r="Q413" t="e">
            <v>#N/A</v>
          </cell>
          <cell r="R413" t="e">
            <v>#N/A</v>
          </cell>
          <cell r="S413" t="e">
            <v>#N/A</v>
          </cell>
          <cell r="T413" t="e">
            <v>#N/A</v>
          </cell>
          <cell r="U413" t="e">
            <v>#N/A</v>
          </cell>
          <cell r="V413" t="e">
            <v>#N/A</v>
          </cell>
          <cell r="W413" t="e">
            <v>#N/A</v>
          </cell>
          <cell r="X413" t="e">
            <v>#N/A</v>
          </cell>
          <cell r="Y413" t="e">
            <v>#N/A</v>
          </cell>
          <cell r="Z413" t="e">
            <v>#N/A</v>
          </cell>
        </row>
        <row r="414">
          <cell r="A414" t="e">
            <v>#N/A</v>
          </cell>
          <cell r="B414" t="e">
            <v>#N/A</v>
          </cell>
          <cell r="C414" t="e">
            <v>#N/A</v>
          </cell>
          <cell r="O414" t="e">
            <v>#N/A</v>
          </cell>
          <cell r="P414" t="e">
            <v>#N/A</v>
          </cell>
          <cell r="Q414" t="e">
            <v>#N/A</v>
          </cell>
          <cell r="R414" t="e">
            <v>#N/A</v>
          </cell>
          <cell r="S414" t="e">
            <v>#N/A</v>
          </cell>
          <cell r="T414" t="e">
            <v>#N/A</v>
          </cell>
          <cell r="U414" t="e">
            <v>#N/A</v>
          </cell>
          <cell r="V414" t="e">
            <v>#N/A</v>
          </cell>
          <cell r="W414" t="e">
            <v>#N/A</v>
          </cell>
          <cell r="X414" t="e">
            <v>#N/A</v>
          </cell>
          <cell r="Y414" t="e">
            <v>#N/A</v>
          </cell>
          <cell r="Z414" t="e">
            <v>#N/A</v>
          </cell>
        </row>
        <row r="415">
          <cell r="A415" t="e">
            <v>#N/A</v>
          </cell>
          <cell r="B415" t="e">
            <v>#N/A</v>
          </cell>
          <cell r="C415" t="e">
            <v>#N/A</v>
          </cell>
          <cell r="O415" t="e">
            <v>#N/A</v>
          </cell>
          <cell r="P415" t="e">
            <v>#N/A</v>
          </cell>
          <cell r="Q415" t="e">
            <v>#N/A</v>
          </cell>
          <cell r="R415" t="e">
            <v>#N/A</v>
          </cell>
          <cell r="S415" t="e">
            <v>#N/A</v>
          </cell>
          <cell r="T415" t="e">
            <v>#N/A</v>
          </cell>
          <cell r="U415" t="e">
            <v>#N/A</v>
          </cell>
          <cell r="V415" t="e">
            <v>#N/A</v>
          </cell>
          <cell r="W415" t="e">
            <v>#N/A</v>
          </cell>
          <cell r="X415" t="e">
            <v>#N/A</v>
          </cell>
          <cell r="Y415" t="e">
            <v>#N/A</v>
          </cell>
          <cell r="Z415" t="e">
            <v>#N/A</v>
          </cell>
        </row>
        <row r="416">
          <cell r="A416" t="e">
            <v>#N/A</v>
          </cell>
          <cell r="B416" t="e">
            <v>#N/A</v>
          </cell>
          <cell r="C416" t="e">
            <v>#N/A</v>
          </cell>
          <cell r="O416" t="e">
            <v>#N/A</v>
          </cell>
          <cell r="P416" t="e">
            <v>#N/A</v>
          </cell>
          <cell r="Q416" t="e">
            <v>#N/A</v>
          </cell>
          <cell r="R416" t="e">
            <v>#N/A</v>
          </cell>
          <cell r="S416" t="e">
            <v>#N/A</v>
          </cell>
          <cell r="T416" t="e">
            <v>#N/A</v>
          </cell>
          <cell r="U416" t="e">
            <v>#N/A</v>
          </cell>
          <cell r="V416" t="e">
            <v>#N/A</v>
          </cell>
          <cell r="W416" t="e">
            <v>#N/A</v>
          </cell>
          <cell r="X416" t="e">
            <v>#N/A</v>
          </cell>
          <cell r="Y416" t="e">
            <v>#N/A</v>
          </cell>
          <cell r="Z416" t="e">
            <v>#N/A</v>
          </cell>
        </row>
        <row r="417">
          <cell r="A417" t="e">
            <v>#N/A</v>
          </cell>
          <cell r="B417" t="e">
            <v>#N/A</v>
          </cell>
          <cell r="C417" t="e">
            <v>#N/A</v>
          </cell>
          <cell r="O417" t="e">
            <v>#N/A</v>
          </cell>
          <cell r="P417" t="e">
            <v>#N/A</v>
          </cell>
          <cell r="Q417" t="e">
            <v>#N/A</v>
          </cell>
          <cell r="R417" t="e">
            <v>#N/A</v>
          </cell>
          <cell r="S417" t="e">
            <v>#N/A</v>
          </cell>
          <cell r="T417" t="e">
            <v>#N/A</v>
          </cell>
          <cell r="U417" t="e">
            <v>#N/A</v>
          </cell>
          <cell r="V417" t="e">
            <v>#N/A</v>
          </cell>
          <cell r="W417" t="e">
            <v>#N/A</v>
          </cell>
          <cell r="X417" t="e">
            <v>#N/A</v>
          </cell>
          <cell r="Y417" t="e">
            <v>#N/A</v>
          </cell>
          <cell r="Z417" t="e">
            <v>#N/A</v>
          </cell>
        </row>
        <row r="418">
          <cell r="A418" t="e">
            <v>#N/A</v>
          </cell>
          <cell r="B418" t="e">
            <v>#N/A</v>
          </cell>
          <cell r="C418" t="e">
            <v>#N/A</v>
          </cell>
          <cell r="O418" t="e">
            <v>#N/A</v>
          </cell>
          <cell r="P418" t="e">
            <v>#N/A</v>
          </cell>
          <cell r="Q418" t="e">
            <v>#N/A</v>
          </cell>
          <cell r="R418" t="e">
            <v>#N/A</v>
          </cell>
          <cell r="S418" t="e">
            <v>#N/A</v>
          </cell>
          <cell r="T418" t="e">
            <v>#N/A</v>
          </cell>
          <cell r="U418" t="e">
            <v>#N/A</v>
          </cell>
          <cell r="V418" t="e">
            <v>#N/A</v>
          </cell>
          <cell r="W418" t="e">
            <v>#N/A</v>
          </cell>
          <cell r="X418" t="e">
            <v>#N/A</v>
          </cell>
          <cell r="Y418" t="e">
            <v>#N/A</v>
          </cell>
          <cell r="Z418" t="e">
            <v>#N/A</v>
          </cell>
        </row>
        <row r="419">
          <cell r="A419" t="e">
            <v>#N/A</v>
          </cell>
          <cell r="B419" t="e">
            <v>#N/A</v>
          </cell>
          <cell r="C419" t="e">
            <v>#N/A</v>
          </cell>
          <cell r="O419" t="e">
            <v>#N/A</v>
          </cell>
          <cell r="P419" t="e">
            <v>#N/A</v>
          </cell>
          <cell r="Q419" t="e">
            <v>#N/A</v>
          </cell>
          <cell r="R419" t="e">
            <v>#N/A</v>
          </cell>
          <cell r="S419" t="e">
            <v>#N/A</v>
          </cell>
          <cell r="T419" t="e">
            <v>#N/A</v>
          </cell>
          <cell r="U419" t="e">
            <v>#N/A</v>
          </cell>
          <cell r="V419" t="e">
            <v>#N/A</v>
          </cell>
          <cell r="W419" t="e">
            <v>#N/A</v>
          </cell>
          <cell r="X419" t="e">
            <v>#N/A</v>
          </cell>
          <cell r="Y419" t="e">
            <v>#N/A</v>
          </cell>
          <cell r="Z419" t="e">
            <v>#N/A</v>
          </cell>
        </row>
        <row r="420">
          <cell r="A420" t="e">
            <v>#N/A</v>
          </cell>
          <cell r="B420" t="e">
            <v>#N/A</v>
          </cell>
          <cell r="C420" t="e">
            <v>#N/A</v>
          </cell>
          <cell r="O420" t="e">
            <v>#N/A</v>
          </cell>
          <cell r="P420" t="e">
            <v>#N/A</v>
          </cell>
          <cell r="Q420" t="e">
            <v>#N/A</v>
          </cell>
          <cell r="R420" t="e">
            <v>#N/A</v>
          </cell>
          <cell r="S420" t="e">
            <v>#N/A</v>
          </cell>
          <cell r="T420" t="e">
            <v>#N/A</v>
          </cell>
          <cell r="U420" t="e">
            <v>#N/A</v>
          </cell>
          <cell r="V420" t="e">
            <v>#N/A</v>
          </cell>
          <cell r="W420" t="e">
            <v>#N/A</v>
          </cell>
          <cell r="X420" t="e">
            <v>#N/A</v>
          </cell>
          <cell r="Y420" t="e">
            <v>#N/A</v>
          </cell>
          <cell r="Z420" t="e">
            <v>#N/A</v>
          </cell>
        </row>
        <row r="421">
          <cell r="A421" t="e">
            <v>#N/A</v>
          </cell>
          <cell r="B421" t="e">
            <v>#N/A</v>
          </cell>
          <cell r="C421" t="e">
            <v>#N/A</v>
          </cell>
          <cell r="O421" t="e">
            <v>#N/A</v>
          </cell>
          <cell r="P421" t="e">
            <v>#N/A</v>
          </cell>
          <cell r="Q421" t="e">
            <v>#N/A</v>
          </cell>
          <cell r="R421" t="e">
            <v>#N/A</v>
          </cell>
          <cell r="S421" t="e">
            <v>#N/A</v>
          </cell>
          <cell r="T421" t="e">
            <v>#N/A</v>
          </cell>
          <cell r="U421" t="e">
            <v>#N/A</v>
          </cell>
          <cell r="V421" t="e">
            <v>#N/A</v>
          </cell>
          <cell r="W421" t="e">
            <v>#N/A</v>
          </cell>
          <cell r="X421" t="e">
            <v>#N/A</v>
          </cell>
          <cell r="Y421" t="e">
            <v>#N/A</v>
          </cell>
          <cell r="Z421" t="e">
            <v>#N/A</v>
          </cell>
        </row>
        <row r="422">
          <cell r="A422" t="e">
            <v>#N/A</v>
          </cell>
          <cell r="B422" t="e">
            <v>#N/A</v>
          </cell>
          <cell r="C422" t="e">
            <v>#N/A</v>
          </cell>
          <cell r="O422" t="e">
            <v>#N/A</v>
          </cell>
          <cell r="P422" t="e">
            <v>#N/A</v>
          </cell>
          <cell r="Q422" t="e">
            <v>#N/A</v>
          </cell>
          <cell r="R422" t="e">
            <v>#N/A</v>
          </cell>
          <cell r="S422" t="e">
            <v>#N/A</v>
          </cell>
          <cell r="T422" t="e">
            <v>#N/A</v>
          </cell>
          <cell r="U422" t="e">
            <v>#N/A</v>
          </cell>
          <cell r="V422" t="e">
            <v>#N/A</v>
          </cell>
          <cell r="W422" t="e">
            <v>#N/A</v>
          </cell>
          <cell r="X422" t="e">
            <v>#N/A</v>
          </cell>
          <cell r="Y422" t="e">
            <v>#N/A</v>
          </cell>
          <cell r="Z422" t="e">
            <v>#N/A</v>
          </cell>
        </row>
        <row r="423">
          <cell r="A423" t="e">
            <v>#N/A</v>
          </cell>
          <cell r="B423" t="e">
            <v>#N/A</v>
          </cell>
          <cell r="C423" t="e">
            <v>#N/A</v>
          </cell>
          <cell r="O423" t="e">
            <v>#N/A</v>
          </cell>
          <cell r="P423" t="e">
            <v>#N/A</v>
          </cell>
          <cell r="Q423" t="e">
            <v>#N/A</v>
          </cell>
          <cell r="R423" t="e">
            <v>#N/A</v>
          </cell>
          <cell r="S423" t="e">
            <v>#N/A</v>
          </cell>
          <cell r="T423" t="e">
            <v>#N/A</v>
          </cell>
          <cell r="U423" t="e">
            <v>#N/A</v>
          </cell>
          <cell r="V423" t="e">
            <v>#N/A</v>
          </cell>
          <cell r="W423" t="e">
            <v>#N/A</v>
          </cell>
          <cell r="X423" t="e">
            <v>#N/A</v>
          </cell>
          <cell r="Y423" t="e">
            <v>#N/A</v>
          </cell>
          <cell r="Z423" t="e">
            <v>#N/A</v>
          </cell>
        </row>
        <row r="424">
          <cell r="A424" t="e">
            <v>#N/A</v>
          </cell>
          <cell r="B424" t="e">
            <v>#N/A</v>
          </cell>
          <cell r="C424" t="e">
            <v>#N/A</v>
          </cell>
          <cell r="O424" t="e">
            <v>#N/A</v>
          </cell>
          <cell r="P424" t="e">
            <v>#N/A</v>
          </cell>
          <cell r="Q424" t="e">
            <v>#N/A</v>
          </cell>
          <cell r="R424" t="e">
            <v>#N/A</v>
          </cell>
          <cell r="S424" t="e">
            <v>#N/A</v>
          </cell>
          <cell r="T424" t="e">
            <v>#N/A</v>
          </cell>
          <cell r="U424" t="e">
            <v>#N/A</v>
          </cell>
          <cell r="V424" t="e">
            <v>#N/A</v>
          </cell>
          <cell r="W424" t="e">
            <v>#N/A</v>
          </cell>
          <cell r="X424" t="e">
            <v>#N/A</v>
          </cell>
          <cell r="Y424" t="e">
            <v>#N/A</v>
          </cell>
          <cell r="Z424" t="e">
            <v>#N/A</v>
          </cell>
        </row>
        <row r="425">
          <cell r="A425" t="e">
            <v>#N/A</v>
          </cell>
          <cell r="B425" t="e">
            <v>#N/A</v>
          </cell>
          <cell r="C425" t="e">
            <v>#N/A</v>
          </cell>
          <cell r="O425" t="e">
            <v>#N/A</v>
          </cell>
          <cell r="P425" t="e">
            <v>#N/A</v>
          </cell>
          <cell r="Q425" t="e">
            <v>#N/A</v>
          </cell>
          <cell r="R425" t="e">
            <v>#N/A</v>
          </cell>
          <cell r="S425" t="e">
            <v>#N/A</v>
          </cell>
          <cell r="T425" t="e">
            <v>#N/A</v>
          </cell>
          <cell r="U425" t="e">
            <v>#N/A</v>
          </cell>
          <cell r="V425" t="e">
            <v>#N/A</v>
          </cell>
          <cell r="W425" t="e">
            <v>#N/A</v>
          </cell>
          <cell r="X425" t="e">
            <v>#N/A</v>
          </cell>
          <cell r="Y425" t="e">
            <v>#N/A</v>
          </cell>
          <cell r="Z425" t="e">
            <v>#N/A</v>
          </cell>
        </row>
        <row r="426">
          <cell r="A426" t="e">
            <v>#N/A</v>
          </cell>
          <cell r="B426" t="e">
            <v>#N/A</v>
          </cell>
          <cell r="C426" t="e">
            <v>#N/A</v>
          </cell>
          <cell r="O426" t="e">
            <v>#N/A</v>
          </cell>
          <cell r="P426" t="e">
            <v>#N/A</v>
          </cell>
          <cell r="Q426" t="e">
            <v>#N/A</v>
          </cell>
          <cell r="R426" t="e">
            <v>#N/A</v>
          </cell>
          <cell r="S426" t="e">
            <v>#N/A</v>
          </cell>
          <cell r="T426" t="e">
            <v>#N/A</v>
          </cell>
          <cell r="U426" t="e">
            <v>#N/A</v>
          </cell>
          <cell r="V426" t="e">
            <v>#N/A</v>
          </cell>
          <cell r="W426" t="e">
            <v>#N/A</v>
          </cell>
          <cell r="X426" t="e">
            <v>#N/A</v>
          </cell>
          <cell r="Y426" t="e">
            <v>#N/A</v>
          </cell>
          <cell r="Z426" t="e">
            <v>#N/A</v>
          </cell>
        </row>
        <row r="427">
          <cell r="A427" t="e">
            <v>#N/A</v>
          </cell>
          <cell r="B427" t="e">
            <v>#N/A</v>
          </cell>
          <cell r="C427" t="e">
            <v>#N/A</v>
          </cell>
          <cell r="O427" t="e">
            <v>#N/A</v>
          </cell>
          <cell r="P427" t="e">
            <v>#N/A</v>
          </cell>
          <cell r="Q427" t="e">
            <v>#N/A</v>
          </cell>
          <cell r="R427" t="e">
            <v>#N/A</v>
          </cell>
          <cell r="S427" t="e">
            <v>#N/A</v>
          </cell>
          <cell r="T427" t="e">
            <v>#N/A</v>
          </cell>
          <cell r="U427" t="e">
            <v>#N/A</v>
          </cell>
          <cell r="V427" t="e">
            <v>#N/A</v>
          </cell>
          <cell r="W427" t="e">
            <v>#N/A</v>
          </cell>
          <cell r="X427" t="e">
            <v>#N/A</v>
          </cell>
          <cell r="Y427" t="e">
            <v>#N/A</v>
          </cell>
          <cell r="Z427" t="e">
            <v>#N/A</v>
          </cell>
        </row>
        <row r="428">
          <cell r="A428" t="e">
            <v>#N/A</v>
          </cell>
          <cell r="B428" t="e">
            <v>#N/A</v>
          </cell>
          <cell r="C428" t="e">
            <v>#N/A</v>
          </cell>
          <cell r="O428" t="e">
            <v>#N/A</v>
          </cell>
          <cell r="P428" t="e">
            <v>#N/A</v>
          </cell>
          <cell r="Q428" t="e">
            <v>#N/A</v>
          </cell>
          <cell r="R428" t="e">
            <v>#N/A</v>
          </cell>
          <cell r="S428" t="e">
            <v>#N/A</v>
          </cell>
          <cell r="T428" t="e">
            <v>#N/A</v>
          </cell>
          <cell r="U428" t="e">
            <v>#N/A</v>
          </cell>
          <cell r="V428" t="e">
            <v>#N/A</v>
          </cell>
          <cell r="W428" t="e">
            <v>#N/A</v>
          </cell>
          <cell r="X428" t="e">
            <v>#N/A</v>
          </cell>
          <cell r="Y428" t="e">
            <v>#N/A</v>
          </cell>
          <cell r="Z428" t="e">
            <v>#N/A</v>
          </cell>
        </row>
        <row r="429">
          <cell r="A429" t="e">
            <v>#N/A</v>
          </cell>
          <cell r="B429" t="e">
            <v>#N/A</v>
          </cell>
          <cell r="C429" t="e">
            <v>#N/A</v>
          </cell>
          <cell r="O429" t="e">
            <v>#N/A</v>
          </cell>
          <cell r="P429" t="e">
            <v>#N/A</v>
          </cell>
          <cell r="Q429" t="e">
            <v>#N/A</v>
          </cell>
          <cell r="R429" t="e">
            <v>#N/A</v>
          </cell>
          <cell r="S429" t="e">
            <v>#N/A</v>
          </cell>
          <cell r="T429" t="e">
            <v>#N/A</v>
          </cell>
          <cell r="U429" t="e">
            <v>#N/A</v>
          </cell>
          <cell r="V429" t="e">
            <v>#N/A</v>
          </cell>
          <cell r="W429" t="e">
            <v>#N/A</v>
          </cell>
          <cell r="X429" t="e">
            <v>#N/A</v>
          </cell>
          <cell r="Y429" t="e">
            <v>#N/A</v>
          </cell>
          <cell r="Z429" t="e">
            <v>#N/A</v>
          </cell>
        </row>
        <row r="430">
          <cell r="A430" t="e">
            <v>#N/A</v>
          </cell>
          <cell r="B430" t="e">
            <v>#N/A</v>
          </cell>
          <cell r="C430" t="e">
            <v>#N/A</v>
          </cell>
          <cell r="O430" t="e">
            <v>#N/A</v>
          </cell>
          <cell r="P430" t="e">
            <v>#N/A</v>
          </cell>
          <cell r="Q430" t="e">
            <v>#N/A</v>
          </cell>
          <cell r="R430" t="e">
            <v>#N/A</v>
          </cell>
          <cell r="S430" t="e">
            <v>#N/A</v>
          </cell>
          <cell r="T430" t="e">
            <v>#N/A</v>
          </cell>
          <cell r="U430" t="e">
            <v>#N/A</v>
          </cell>
          <cell r="V430" t="e">
            <v>#N/A</v>
          </cell>
          <cell r="W430" t="e">
            <v>#N/A</v>
          </cell>
          <cell r="X430" t="e">
            <v>#N/A</v>
          </cell>
          <cell r="Y430" t="e">
            <v>#N/A</v>
          </cell>
          <cell r="Z430" t="e">
            <v>#N/A</v>
          </cell>
        </row>
        <row r="431">
          <cell r="A431" t="e">
            <v>#N/A</v>
          </cell>
          <cell r="B431" t="e">
            <v>#N/A</v>
          </cell>
          <cell r="C431" t="e">
            <v>#N/A</v>
          </cell>
          <cell r="O431" t="e">
            <v>#N/A</v>
          </cell>
          <cell r="P431" t="e">
            <v>#N/A</v>
          </cell>
          <cell r="Q431" t="e">
            <v>#N/A</v>
          </cell>
          <cell r="R431" t="e">
            <v>#N/A</v>
          </cell>
          <cell r="S431" t="e">
            <v>#N/A</v>
          </cell>
          <cell r="T431" t="e">
            <v>#N/A</v>
          </cell>
          <cell r="U431" t="e">
            <v>#N/A</v>
          </cell>
          <cell r="V431" t="e">
            <v>#N/A</v>
          </cell>
          <cell r="W431" t="e">
            <v>#N/A</v>
          </cell>
          <cell r="X431" t="e">
            <v>#N/A</v>
          </cell>
          <cell r="Y431" t="e">
            <v>#N/A</v>
          </cell>
          <cell r="Z431" t="e">
            <v>#N/A</v>
          </cell>
        </row>
        <row r="432">
          <cell r="A432" t="e">
            <v>#N/A</v>
          </cell>
          <cell r="B432" t="e">
            <v>#N/A</v>
          </cell>
          <cell r="C432" t="e">
            <v>#N/A</v>
          </cell>
          <cell r="O432" t="e">
            <v>#N/A</v>
          </cell>
          <cell r="P432" t="e">
            <v>#N/A</v>
          </cell>
          <cell r="Q432" t="e">
            <v>#N/A</v>
          </cell>
          <cell r="R432" t="e">
            <v>#N/A</v>
          </cell>
          <cell r="S432" t="e">
            <v>#N/A</v>
          </cell>
          <cell r="T432" t="e">
            <v>#N/A</v>
          </cell>
          <cell r="U432" t="e">
            <v>#N/A</v>
          </cell>
          <cell r="V432" t="e">
            <v>#N/A</v>
          </cell>
          <cell r="W432" t="e">
            <v>#N/A</v>
          </cell>
          <cell r="X432" t="e">
            <v>#N/A</v>
          </cell>
          <cell r="Y432" t="e">
            <v>#N/A</v>
          </cell>
          <cell r="Z432" t="e">
            <v>#N/A</v>
          </cell>
        </row>
        <row r="433">
          <cell r="A433" t="e">
            <v>#N/A</v>
          </cell>
          <cell r="B433" t="e">
            <v>#N/A</v>
          </cell>
          <cell r="C433" t="e">
            <v>#N/A</v>
          </cell>
          <cell r="O433" t="e">
            <v>#N/A</v>
          </cell>
          <cell r="P433" t="e">
            <v>#N/A</v>
          </cell>
          <cell r="Q433" t="e">
            <v>#N/A</v>
          </cell>
          <cell r="R433" t="e">
            <v>#N/A</v>
          </cell>
          <cell r="S433" t="e">
            <v>#N/A</v>
          </cell>
          <cell r="T433" t="e">
            <v>#N/A</v>
          </cell>
          <cell r="U433" t="e">
            <v>#N/A</v>
          </cell>
          <cell r="V433" t="e">
            <v>#N/A</v>
          </cell>
          <cell r="W433" t="e">
            <v>#N/A</v>
          </cell>
          <cell r="X433" t="e">
            <v>#N/A</v>
          </cell>
          <cell r="Y433" t="e">
            <v>#N/A</v>
          </cell>
          <cell r="Z433" t="e">
            <v>#N/A</v>
          </cell>
        </row>
        <row r="434">
          <cell r="A434" t="e">
            <v>#N/A</v>
          </cell>
          <cell r="B434" t="e">
            <v>#N/A</v>
          </cell>
          <cell r="C434" t="e">
            <v>#N/A</v>
          </cell>
          <cell r="O434" t="e">
            <v>#N/A</v>
          </cell>
          <cell r="P434" t="e">
            <v>#N/A</v>
          </cell>
          <cell r="Q434" t="e">
            <v>#N/A</v>
          </cell>
          <cell r="R434" t="e">
            <v>#N/A</v>
          </cell>
          <cell r="S434" t="e">
            <v>#N/A</v>
          </cell>
          <cell r="T434" t="e">
            <v>#N/A</v>
          </cell>
          <cell r="U434" t="e">
            <v>#N/A</v>
          </cell>
          <cell r="V434" t="e">
            <v>#N/A</v>
          </cell>
          <cell r="W434" t="e">
            <v>#N/A</v>
          </cell>
          <cell r="X434" t="e">
            <v>#N/A</v>
          </cell>
          <cell r="Y434" t="e">
            <v>#N/A</v>
          </cell>
          <cell r="Z434" t="e">
            <v>#N/A</v>
          </cell>
        </row>
        <row r="435">
          <cell r="A435" t="e">
            <v>#N/A</v>
          </cell>
          <cell r="B435" t="e">
            <v>#N/A</v>
          </cell>
          <cell r="C435" t="e">
            <v>#N/A</v>
          </cell>
          <cell r="O435" t="e">
            <v>#N/A</v>
          </cell>
          <cell r="P435" t="e">
            <v>#N/A</v>
          </cell>
          <cell r="Q435" t="e">
            <v>#N/A</v>
          </cell>
          <cell r="R435" t="e">
            <v>#N/A</v>
          </cell>
          <cell r="S435" t="e">
            <v>#N/A</v>
          </cell>
          <cell r="T435" t="e">
            <v>#N/A</v>
          </cell>
          <cell r="U435" t="e">
            <v>#N/A</v>
          </cell>
          <cell r="V435" t="e">
            <v>#N/A</v>
          </cell>
          <cell r="W435" t="e">
            <v>#N/A</v>
          </cell>
          <cell r="X435" t="e">
            <v>#N/A</v>
          </cell>
          <cell r="Y435" t="e">
            <v>#N/A</v>
          </cell>
          <cell r="Z435" t="e">
            <v>#N/A</v>
          </cell>
        </row>
        <row r="436">
          <cell r="A436" t="e">
            <v>#N/A</v>
          </cell>
          <cell r="B436" t="e">
            <v>#N/A</v>
          </cell>
          <cell r="C436" t="e">
            <v>#N/A</v>
          </cell>
          <cell r="O436" t="e">
            <v>#N/A</v>
          </cell>
          <cell r="P436" t="e">
            <v>#N/A</v>
          </cell>
          <cell r="Q436" t="e">
            <v>#N/A</v>
          </cell>
          <cell r="R436" t="e">
            <v>#N/A</v>
          </cell>
          <cell r="S436" t="e">
            <v>#N/A</v>
          </cell>
          <cell r="T436" t="e">
            <v>#N/A</v>
          </cell>
          <cell r="U436" t="e">
            <v>#N/A</v>
          </cell>
          <cell r="V436" t="e">
            <v>#N/A</v>
          </cell>
          <cell r="W436" t="e">
            <v>#N/A</v>
          </cell>
          <cell r="X436" t="e">
            <v>#N/A</v>
          </cell>
          <cell r="Y436" t="e">
            <v>#N/A</v>
          </cell>
          <cell r="Z436" t="e">
            <v>#N/A</v>
          </cell>
        </row>
        <row r="437">
          <cell r="A437" t="e">
            <v>#N/A</v>
          </cell>
          <cell r="B437" t="e">
            <v>#N/A</v>
          </cell>
          <cell r="C437" t="e">
            <v>#N/A</v>
          </cell>
          <cell r="O437" t="e">
            <v>#N/A</v>
          </cell>
          <cell r="P437" t="e">
            <v>#N/A</v>
          </cell>
          <cell r="Q437" t="e">
            <v>#N/A</v>
          </cell>
          <cell r="R437" t="e">
            <v>#N/A</v>
          </cell>
          <cell r="S437" t="e">
            <v>#N/A</v>
          </cell>
          <cell r="T437" t="e">
            <v>#N/A</v>
          </cell>
          <cell r="U437" t="e">
            <v>#N/A</v>
          </cell>
          <cell r="V437" t="e">
            <v>#N/A</v>
          </cell>
          <cell r="W437" t="e">
            <v>#N/A</v>
          </cell>
          <cell r="X437" t="e">
            <v>#N/A</v>
          </cell>
          <cell r="Y437" t="e">
            <v>#N/A</v>
          </cell>
          <cell r="Z437" t="e">
            <v>#N/A</v>
          </cell>
        </row>
        <row r="438">
          <cell r="A438" t="e">
            <v>#N/A</v>
          </cell>
          <cell r="B438" t="e">
            <v>#N/A</v>
          </cell>
          <cell r="C438" t="e">
            <v>#N/A</v>
          </cell>
          <cell r="O438" t="e">
            <v>#N/A</v>
          </cell>
          <cell r="P438" t="e">
            <v>#N/A</v>
          </cell>
          <cell r="Q438" t="e">
            <v>#N/A</v>
          </cell>
          <cell r="R438" t="e">
            <v>#N/A</v>
          </cell>
          <cell r="S438" t="e">
            <v>#N/A</v>
          </cell>
          <cell r="T438" t="e">
            <v>#N/A</v>
          </cell>
          <cell r="U438" t="e">
            <v>#N/A</v>
          </cell>
          <cell r="V438" t="e">
            <v>#N/A</v>
          </cell>
          <cell r="W438" t="e">
            <v>#N/A</v>
          </cell>
          <cell r="X438" t="e">
            <v>#N/A</v>
          </cell>
          <cell r="Y438" t="e">
            <v>#N/A</v>
          </cell>
          <cell r="Z438" t="e">
            <v>#N/A</v>
          </cell>
        </row>
        <row r="439">
          <cell r="A439" t="e">
            <v>#N/A</v>
          </cell>
          <cell r="B439" t="e">
            <v>#N/A</v>
          </cell>
          <cell r="C439" t="e">
            <v>#N/A</v>
          </cell>
          <cell r="O439" t="e">
            <v>#N/A</v>
          </cell>
          <cell r="P439" t="e">
            <v>#N/A</v>
          </cell>
          <cell r="Q439" t="e">
            <v>#N/A</v>
          </cell>
          <cell r="R439" t="e">
            <v>#N/A</v>
          </cell>
          <cell r="S439" t="e">
            <v>#N/A</v>
          </cell>
          <cell r="T439" t="e">
            <v>#N/A</v>
          </cell>
          <cell r="U439" t="e">
            <v>#N/A</v>
          </cell>
          <cell r="V439" t="e">
            <v>#N/A</v>
          </cell>
          <cell r="W439" t="e">
            <v>#N/A</v>
          </cell>
          <cell r="X439" t="e">
            <v>#N/A</v>
          </cell>
          <cell r="Y439" t="e">
            <v>#N/A</v>
          </cell>
          <cell r="Z439" t="e">
            <v>#N/A</v>
          </cell>
        </row>
        <row r="440">
          <cell r="A440" t="e">
            <v>#N/A</v>
          </cell>
          <cell r="B440" t="e">
            <v>#N/A</v>
          </cell>
          <cell r="C440" t="e">
            <v>#N/A</v>
          </cell>
          <cell r="O440" t="e">
            <v>#N/A</v>
          </cell>
          <cell r="P440" t="e">
            <v>#N/A</v>
          </cell>
          <cell r="Q440" t="e">
            <v>#N/A</v>
          </cell>
          <cell r="R440" t="e">
            <v>#N/A</v>
          </cell>
          <cell r="S440" t="e">
            <v>#N/A</v>
          </cell>
          <cell r="T440" t="e">
            <v>#N/A</v>
          </cell>
          <cell r="U440" t="e">
            <v>#N/A</v>
          </cell>
          <cell r="V440" t="e">
            <v>#N/A</v>
          </cell>
          <cell r="W440" t="e">
            <v>#N/A</v>
          </cell>
          <cell r="X440" t="e">
            <v>#N/A</v>
          </cell>
          <cell r="Y440" t="e">
            <v>#N/A</v>
          </cell>
          <cell r="Z440" t="e">
            <v>#N/A</v>
          </cell>
        </row>
        <row r="441">
          <cell r="A441" t="e">
            <v>#N/A</v>
          </cell>
          <cell r="B441" t="e">
            <v>#N/A</v>
          </cell>
          <cell r="C441" t="e">
            <v>#N/A</v>
          </cell>
          <cell r="O441" t="e">
            <v>#N/A</v>
          </cell>
          <cell r="P441" t="e">
            <v>#N/A</v>
          </cell>
          <cell r="Q441" t="e">
            <v>#N/A</v>
          </cell>
          <cell r="R441" t="e">
            <v>#N/A</v>
          </cell>
          <cell r="S441" t="e">
            <v>#N/A</v>
          </cell>
          <cell r="T441" t="e">
            <v>#N/A</v>
          </cell>
          <cell r="U441" t="e">
            <v>#N/A</v>
          </cell>
          <cell r="V441" t="e">
            <v>#N/A</v>
          </cell>
          <cell r="W441" t="e">
            <v>#N/A</v>
          </cell>
          <cell r="X441" t="e">
            <v>#N/A</v>
          </cell>
          <cell r="Y441" t="e">
            <v>#N/A</v>
          </cell>
          <cell r="Z441" t="e">
            <v>#N/A</v>
          </cell>
        </row>
        <row r="442">
          <cell r="A442" t="e">
            <v>#N/A</v>
          </cell>
          <cell r="B442" t="e">
            <v>#N/A</v>
          </cell>
          <cell r="C442" t="e">
            <v>#N/A</v>
          </cell>
          <cell r="O442" t="e">
            <v>#N/A</v>
          </cell>
          <cell r="P442" t="e">
            <v>#N/A</v>
          </cell>
          <cell r="Q442" t="e">
            <v>#N/A</v>
          </cell>
          <cell r="R442" t="e">
            <v>#N/A</v>
          </cell>
          <cell r="S442" t="e">
            <v>#N/A</v>
          </cell>
          <cell r="T442" t="e">
            <v>#N/A</v>
          </cell>
          <cell r="U442" t="e">
            <v>#N/A</v>
          </cell>
          <cell r="V442" t="e">
            <v>#N/A</v>
          </cell>
          <cell r="W442" t="e">
            <v>#N/A</v>
          </cell>
          <cell r="X442" t="e">
            <v>#N/A</v>
          </cell>
          <cell r="Y442" t="e">
            <v>#N/A</v>
          </cell>
          <cell r="Z442" t="e">
            <v>#N/A</v>
          </cell>
        </row>
        <row r="443">
          <cell r="A443" t="e">
            <v>#N/A</v>
          </cell>
          <cell r="B443" t="e">
            <v>#N/A</v>
          </cell>
          <cell r="C443" t="e">
            <v>#N/A</v>
          </cell>
          <cell r="O443" t="e">
            <v>#N/A</v>
          </cell>
          <cell r="P443" t="e">
            <v>#N/A</v>
          </cell>
          <cell r="Q443" t="e">
            <v>#N/A</v>
          </cell>
          <cell r="R443" t="e">
            <v>#N/A</v>
          </cell>
          <cell r="S443" t="e">
            <v>#N/A</v>
          </cell>
          <cell r="T443" t="e">
            <v>#N/A</v>
          </cell>
          <cell r="U443" t="e">
            <v>#N/A</v>
          </cell>
          <cell r="V443" t="e">
            <v>#N/A</v>
          </cell>
          <cell r="W443" t="e">
            <v>#N/A</v>
          </cell>
          <cell r="X443" t="e">
            <v>#N/A</v>
          </cell>
          <cell r="Y443" t="e">
            <v>#N/A</v>
          </cell>
          <cell r="Z443" t="e">
            <v>#N/A</v>
          </cell>
        </row>
        <row r="444">
          <cell r="A444" t="e">
            <v>#N/A</v>
          </cell>
          <cell r="B444" t="e">
            <v>#N/A</v>
          </cell>
          <cell r="C444" t="e">
            <v>#N/A</v>
          </cell>
          <cell r="O444" t="e">
            <v>#N/A</v>
          </cell>
          <cell r="P444" t="e">
            <v>#N/A</v>
          </cell>
          <cell r="Q444" t="e">
            <v>#N/A</v>
          </cell>
          <cell r="R444" t="e">
            <v>#N/A</v>
          </cell>
          <cell r="S444" t="e">
            <v>#N/A</v>
          </cell>
          <cell r="T444" t="e">
            <v>#N/A</v>
          </cell>
          <cell r="U444" t="e">
            <v>#N/A</v>
          </cell>
          <cell r="V444" t="e">
            <v>#N/A</v>
          </cell>
          <cell r="W444" t="e">
            <v>#N/A</v>
          </cell>
          <cell r="X444" t="e">
            <v>#N/A</v>
          </cell>
          <cell r="Y444" t="e">
            <v>#N/A</v>
          </cell>
          <cell r="Z444" t="e">
            <v>#N/A</v>
          </cell>
        </row>
        <row r="445">
          <cell r="A445" t="e">
            <v>#N/A</v>
          </cell>
          <cell r="B445" t="e">
            <v>#N/A</v>
          </cell>
          <cell r="C445" t="e">
            <v>#N/A</v>
          </cell>
          <cell r="O445" t="e">
            <v>#N/A</v>
          </cell>
          <cell r="P445" t="e">
            <v>#N/A</v>
          </cell>
          <cell r="Q445" t="e">
            <v>#N/A</v>
          </cell>
          <cell r="R445" t="e">
            <v>#N/A</v>
          </cell>
          <cell r="S445" t="e">
            <v>#N/A</v>
          </cell>
          <cell r="T445" t="e">
            <v>#N/A</v>
          </cell>
          <cell r="U445" t="e">
            <v>#N/A</v>
          </cell>
          <cell r="V445" t="e">
            <v>#N/A</v>
          </cell>
          <cell r="W445" t="e">
            <v>#N/A</v>
          </cell>
          <cell r="X445" t="e">
            <v>#N/A</v>
          </cell>
          <cell r="Y445" t="e">
            <v>#N/A</v>
          </cell>
          <cell r="Z445" t="e">
            <v>#N/A</v>
          </cell>
        </row>
        <row r="446">
          <cell r="A446" t="e">
            <v>#N/A</v>
          </cell>
          <cell r="B446" t="e">
            <v>#N/A</v>
          </cell>
          <cell r="C446" t="e">
            <v>#N/A</v>
          </cell>
          <cell r="O446" t="e">
            <v>#N/A</v>
          </cell>
          <cell r="P446" t="e">
            <v>#N/A</v>
          </cell>
          <cell r="Q446" t="e">
            <v>#N/A</v>
          </cell>
          <cell r="R446" t="e">
            <v>#N/A</v>
          </cell>
          <cell r="S446" t="e">
            <v>#N/A</v>
          </cell>
          <cell r="T446" t="e">
            <v>#N/A</v>
          </cell>
          <cell r="U446" t="e">
            <v>#N/A</v>
          </cell>
          <cell r="V446" t="e">
            <v>#N/A</v>
          </cell>
          <cell r="W446" t="e">
            <v>#N/A</v>
          </cell>
          <cell r="X446" t="e">
            <v>#N/A</v>
          </cell>
          <cell r="Y446" t="e">
            <v>#N/A</v>
          </cell>
          <cell r="Z446" t="e">
            <v>#N/A</v>
          </cell>
        </row>
        <row r="447">
          <cell r="A447" t="e">
            <v>#N/A</v>
          </cell>
          <cell r="B447" t="e">
            <v>#N/A</v>
          </cell>
          <cell r="C447" t="e">
            <v>#N/A</v>
          </cell>
          <cell r="O447" t="e">
            <v>#N/A</v>
          </cell>
          <cell r="P447" t="e">
            <v>#N/A</v>
          </cell>
          <cell r="Q447" t="e">
            <v>#N/A</v>
          </cell>
          <cell r="R447" t="e">
            <v>#N/A</v>
          </cell>
          <cell r="S447" t="e">
            <v>#N/A</v>
          </cell>
          <cell r="T447" t="e">
            <v>#N/A</v>
          </cell>
          <cell r="U447" t="e">
            <v>#N/A</v>
          </cell>
          <cell r="V447" t="e">
            <v>#N/A</v>
          </cell>
          <cell r="W447" t="e">
            <v>#N/A</v>
          </cell>
          <cell r="X447" t="e">
            <v>#N/A</v>
          </cell>
          <cell r="Y447" t="e">
            <v>#N/A</v>
          </cell>
          <cell r="Z447" t="e">
            <v>#N/A</v>
          </cell>
        </row>
        <row r="448">
          <cell r="A448" t="e">
            <v>#N/A</v>
          </cell>
          <cell r="B448" t="e">
            <v>#N/A</v>
          </cell>
          <cell r="C448" t="e">
            <v>#N/A</v>
          </cell>
          <cell r="O448" t="e">
            <v>#N/A</v>
          </cell>
          <cell r="P448" t="e">
            <v>#N/A</v>
          </cell>
          <cell r="Q448" t="e">
            <v>#N/A</v>
          </cell>
          <cell r="R448" t="e">
            <v>#N/A</v>
          </cell>
          <cell r="S448" t="e">
            <v>#N/A</v>
          </cell>
          <cell r="T448" t="e">
            <v>#N/A</v>
          </cell>
          <cell r="U448" t="e">
            <v>#N/A</v>
          </cell>
          <cell r="V448" t="e">
            <v>#N/A</v>
          </cell>
          <cell r="W448" t="e">
            <v>#N/A</v>
          </cell>
          <cell r="X448" t="e">
            <v>#N/A</v>
          </cell>
          <cell r="Y448" t="e">
            <v>#N/A</v>
          </cell>
          <cell r="Z448" t="e">
            <v>#N/A</v>
          </cell>
        </row>
        <row r="449">
          <cell r="A449" t="e">
            <v>#N/A</v>
          </cell>
          <cell r="B449" t="e">
            <v>#N/A</v>
          </cell>
          <cell r="C449" t="e">
            <v>#N/A</v>
          </cell>
          <cell r="O449" t="e">
            <v>#N/A</v>
          </cell>
          <cell r="P449" t="e">
            <v>#N/A</v>
          </cell>
          <cell r="Q449" t="e">
            <v>#N/A</v>
          </cell>
          <cell r="R449" t="e">
            <v>#N/A</v>
          </cell>
          <cell r="S449" t="e">
            <v>#N/A</v>
          </cell>
          <cell r="T449" t="e">
            <v>#N/A</v>
          </cell>
          <cell r="U449" t="e">
            <v>#N/A</v>
          </cell>
          <cell r="V449" t="e">
            <v>#N/A</v>
          </cell>
          <cell r="W449" t="e">
            <v>#N/A</v>
          </cell>
          <cell r="X449" t="e">
            <v>#N/A</v>
          </cell>
          <cell r="Y449" t="e">
            <v>#N/A</v>
          </cell>
          <cell r="Z449" t="e">
            <v>#N/A</v>
          </cell>
        </row>
        <row r="450">
          <cell r="A450" t="e">
            <v>#N/A</v>
          </cell>
          <cell r="B450" t="e">
            <v>#N/A</v>
          </cell>
          <cell r="C450" t="e">
            <v>#N/A</v>
          </cell>
          <cell r="O450" t="e">
            <v>#N/A</v>
          </cell>
          <cell r="P450" t="e">
            <v>#N/A</v>
          </cell>
          <cell r="Q450" t="e">
            <v>#N/A</v>
          </cell>
          <cell r="R450" t="e">
            <v>#N/A</v>
          </cell>
          <cell r="S450" t="e">
            <v>#N/A</v>
          </cell>
          <cell r="T450" t="e">
            <v>#N/A</v>
          </cell>
          <cell r="U450" t="e">
            <v>#N/A</v>
          </cell>
          <cell r="V450" t="e">
            <v>#N/A</v>
          </cell>
          <cell r="W450" t="e">
            <v>#N/A</v>
          </cell>
          <cell r="X450" t="e">
            <v>#N/A</v>
          </cell>
          <cell r="Y450" t="e">
            <v>#N/A</v>
          </cell>
          <cell r="Z450" t="e">
            <v>#N/A</v>
          </cell>
        </row>
        <row r="451">
          <cell r="A451" t="e">
            <v>#N/A</v>
          </cell>
          <cell r="B451" t="e">
            <v>#N/A</v>
          </cell>
          <cell r="C451" t="e">
            <v>#N/A</v>
          </cell>
          <cell r="O451" t="e">
            <v>#N/A</v>
          </cell>
          <cell r="P451" t="e">
            <v>#N/A</v>
          </cell>
          <cell r="Q451" t="e">
            <v>#N/A</v>
          </cell>
          <cell r="R451" t="e">
            <v>#N/A</v>
          </cell>
          <cell r="S451" t="e">
            <v>#N/A</v>
          </cell>
          <cell r="T451" t="e">
            <v>#N/A</v>
          </cell>
          <cell r="U451" t="e">
            <v>#N/A</v>
          </cell>
          <cell r="V451" t="e">
            <v>#N/A</v>
          </cell>
          <cell r="W451" t="e">
            <v>#N/A</v>
          </cell>
          <cell r="X451" t="e">
            <v>#N/A</v>
          </cell>
          <cell r="Y451" t="e">
            <v>#N/A</v>
          </cell>
          <cell r="Z451" t="e">
            <v>#N/A</v>
          </cell>
        </row>
        <row r="452">
          <cell r="A452" t="e">
            <v>#N/A</v>
          </cell>
          <cell r="B452" t="e">
            <v>#N/A</v>
          </cell>
          <cell r="C452" t="e">
            <v>#N/A</v>
          </cell>
          <cell r="O452" t="e">
            <v>#N/A</v>
          </cell>
          <cell r="P452" t="e">
            <v>#N/A</v>
          </cell>
          <cell r="Q452" t="e">
            <v>#N/A</v>
          </cell>
          <cell r="R452" t="e">
            <v>#N/A</v>
          </cell>
          <cell r="S452" t="e">
            <v>#N/A</v>
          </cell>
          <cell r="T452" t="e">
            <v>#N/A</v>
          </cell>
          <cell r="U452" t="e">
            <v>#N/A</v>
          </cell>
          <cell r="V452" t="e">
            <v>#N/A</v>
          </cell>
          <cell r="W452" t="e">
            <v>#N/A</v>
          </cell>
          <cell r="X452" t="e">
            <v>#N/A</v>
          </cell>
          <cell r="Y452" t="e">
            <v>#N/A</v>
          </cell>
          <cell r="Z452" t="e">
            <v>#N/A</v>
          </cell>
        </row>
        <row r="453">
          <cell r="A453" t="e">
            <v>#N/A</v>
          </cell>
          <cell r="B453" t="e">
            <v>#N/A</v>
          </cell>
          <cell r="C453" t="e">
            <v>#N/A</v>
          </cell>
          <cell r="O453" t="e">
            <v>#N/A</v>
          </cell>
          <cell r="P453" t="e">
            <v>#N/A</v>
          </cell>
          <cell r="Q453" t="e">
            <v>#N/A</v>
          </cell>
          <cell r="R453" t="e">
            <v>#N/A</v>
          </cell>
          <cell r="S453" t="e">
            <v>#N/A</v>
          </cell>
          <cell r="T453" t="e">
            <v>#N/A</v>
          </cell>
          <cell r="U453" t="e">
            <v>#N/A</v>
          </cell>
          <cell r="V453" t="e">
            <v>#N/A</v>
          </cell>
          <cell r="W453" t="e">
            <v>#N/A</v>
          </cell>
          <cell r="X453" t="e">
            <v>#N/A</v>
          </cell>
          <cell r="Y453" t="e">
            <v>#N/A</v>
          </cell>
          <cell r="Z453" t="e">
            <v>#N/A</v>
          </cell>
        </row>
        <row r="454">
          <cell r="A454" t="e">
            <v>#N/A</v>
          </cell>
          <cell r="B454" t="e">
            <v>#N/A</v>
          </cell>
          <cell r="C454" t="e">
            <v>#N/A</v>
          </cell>
          <cell r="O454" t="e">
            <v>#N/A</v>
          </cell>
          <cell r="P454" t="e">
            <v>#N/A</v>
          </cell>
          <cell r="Q454" t="e">
            <v>#N/A</v>
          </cell>
          <cell r="R454" t="e">
            <v>#N/A</v>
          </cell>
          <cell r="S454" t="e">
            <v>#N/A</v>
          </cell>
          <cell r="T454" t="e">
            <v>#N/A</v>
          </cell>
          <cell r="U454" t="e">
            <v>#N/A</v>
          </cell>
          <cell r="V454" t="e">
            <v>#N/A</v>
          </cell>
          <cell r="W454" t="e">
            <v>#N/A</v>
          </cell>
          <cell r="X454" t="e">
            <v>#N/A</v>
          </cell>
          <cell r="Y454" t="e">
            <v>#N/A</v>
          </cell>
          <cell r="Z454" t="e">
            <v>#N/A</v>
          </cell>
        </row>
        <row r="455">
          <cell r="A455" t="e">
            <v>#N/A</v>
          </cell>
          <cell r="B455" t="e">
            <v>#N/A</v>
          </cell>
          <cell r="C455" t="e">
            <v>#N/A</v>
          </cell>
          <cell r="O455" t="e">
            <v>#N/A</v>
          </cell>
          <cell r="P455" t="e">
            <v>#N/A</v>
          </cell>
          <cell r="Q455" t="e">
            <v>#N/A</v>
          </cell>
          <cell r="R455" t="e">
            <v>#N/A</v>
          </cell>
          <cell r="S455" t="e">
            <v>#N/A</v>
          </cell>
          <cell r="T455" t="e">
            <v>#N/A</v>
          </cell>
          <cell r="U455" t="e">
            <v>#N/A</v>
          </cell>
          <cell r="V455" t="e">
            <v>#N/A</v>
          </cell>
          <cell r="W455" t="e">
            <v>#N/A</v>
          </cell>
          <cell r="X455" t="e">
            <v>#N/A</v>
          </cell>
          <cell r="Y455" t="e">
            <v>#N/A</v>
          </cell>
          <cell r="Z455" t="e">
            <v>#N/A</v>
          </cell>
        </row>
        <row r="456">
          <cell r="A456" t="e">
            <v>#N/A</v>
          </cell>
          <cell r="B456" t="e">
            <v>#N/A</v>
          </cell>
          <cell r="C456" t="e">
            <v>#N/A</v>
          </cell>
          <cell r="O456" t="e">
            <v>#N/A</v>
          </cell>
          <cell r="P456" t="e">
            <v>#N/A</v>
          </cell>
          <cell r="Q456" t="e">
            <v>#N/A</v>
          </cell>
          <cell r="R456" t="e">
            <v>#N/A</v>
          </cell>
          <cell r="S456" t="e">
            <v>#N/A</v>
          </cell>
          <cell r="T456" t="e">
            <v>#N/A</v>
          </cell>
          <cell r="U456" t="e">
            <v>#N/A</v>
          </cell>
          <cell r="V456" t="e">
            <v>#N/A</v>
          </cell>
          <cell r="W456" t="e">
            <v>#N/A</v>
          </cell>
          <cell r="X456" t="e">
            <v>#N/A</v>
          </cell>
          <cell r="Y456" t="e">
            <v>#N/A</v>
          </cell>
          <cell r="Z456" t="e">
            <v>#N/A</v>
          </cell>
        </row>
        <row r="457">
          <cell r="A457" t="e">
            <v>#N/A</v>
          </cell>
          <cell r="B457" t="e">
            <v>#N/A</v>
          </cell>
          <cell r="C457" t="e">
            <v>#N/A</v>
          </cell>
          <cell r="O457" t="e">
            <v>#N/A</v>
          </cell>
          <cell r="P457" t="e">
            <v>#N/A</v>
          </cell>
          <cell r="Q457" t="e">
            <v>#N/A</v>
          </cell>
          <cell r="R457" t="e">
            <v>#N/A</v>
          </cell>
          <cell r="S457" t="e">
            <v>#N/A</v>
          </cell>
          <cell r="T457" t="e">
            <v>#N/A</v>
          </cell>
          <cell r="U457" t="e">
            <v>#N/A</v>
          </cell>
          <cell r="V457" t="e">
            <v>#N/A</v>
          </cell>
          <cell r="W457" t="e">
            <v>#N/A</v>
          </cell>
          <cell r="X457" t="e">
            <v>#N/A</v>
          </cell>
          <cell r="Y457" t="e">
            <v>#N/A</v>
          </cell>
          <cell r="Z457" t="e">
            <v>#N/A</v>
          </cell>
        </row>
        <row r="458">
          <cell r="A458" t="e">
            <v>#N/A</v>
          </cell>
          <cell r="B458" t="e">
            <v>#N/A</v>
          </cell>
          <cell r="C458" t="e">
            <v>#N/A</v>
          </cell>
          <cell r="O458" t="e">
            <v>#N/A</v>
          </cell>
          <cell r="P458" t="e">
            <v>#N/A</v>
          </cell>
          <cell r="Q458" t="e">
            <v>#N/A</v>
          </cell>
          <cell r="R458" t="e">
            <v>#N/A</v>
          </cell>
          <cell r="S458" t="e">
            <v>#N/A</v>
          </cell>
          <cell r="T458" t="e">
            <v>#N/A</v>
          </cell>
          <cell r="U458" t="e">
            <v>#N/A</v>
          </cell>
          <cell r="V458" t="e">
            <v>#N/A</v>
          </cell>
          <cell r="W458" t="e">
            <v>#N/A</v>
          </cell>
          <cell r="X458" t="e">
            <v>#N/A</v>
          </cell>
          <cell r="Y458" t="e">
            <v>#N/A</v>
          </cell>
          <cell r="Z458" t="e">
            <v>#N/A</v>
          </cell>
        </row>
        <row r="459">
          <cell r="A459" t="e">
            <v>#N/A</v>
          </cell>
          <cell r="B459" t="e">
            <v>#N/A</v>
          </cell>
          <cell r="C459" t="e">
            <v>#N/A</v>
          </cell>
          <cell r="O459" t="e">
            <v>#N/A</v>
          </cell>
          <cell r="P459" t="e">
            <v>#N/A</v>
          </cell>
          <cell r="Q459" t="e">
            <v>#N/A</v>
          </cell>
          <cell r="R459" t="e">
            <v>#N/A</v>
          </cell>
          <cell r="S459" t="e">
            <v>#N/A</v>
          </cell>
          <cell r="T459" t="e">
            <v>#N/A</v>
          </cell>
          <cell r="U459" t="e">
            <v>#N/A</v>
          </cell>
          <cell r="V459" t="e">
            <v>#N/A</v>
          </cell>
          <cell r="W459" t="e">
            <v>#N/A</v>
          </cell>
          <cell r="X459" t="e">
            <v>#N/A</v>
          </cell>
          <cell r="Y459" t="e">
            <v>#N/A</v>
          </cell>
          <cell r="Z459" t="e">
            <v>#N/A</v>
          </cell>
        </row>
        <row r="460">
          <cell r="A460" t="e">
            <v>#N/A</v>
          </cell>
          <cell r="B460" t="e">
            <v>#N/A</v>
          </cell>
          <cell r="C460" t="e">
            <v>#N/A</v>
          </cell>
          <cell r="O460" t="e">
            <v>#N/A</v>
          </cell>
          <cell r="P460" t="e">
            <v>#N/A</v>
          </cell>
          <cell r="Q460" t="e">
            <v>#N/A</v>
          </cell>
          <cell r="R460" t="e">
            <v>#N/A</v>
          </cell>
          <cell r="S460" t="e">
            <v>#N/A</v>
          </cell>
          <cell r="T460" t="e">
            <v>#N/A</v>
          </cell>
          <cell r="U460" t="e">
            <v>#N/A</v>
          </cell>
          <cell r="V460" t="e">
            <v>#N/A</v>
          </cell>
          <cell r="W460" t="e">
            <v>#N/A</v>
          </cell>
          <cell r="X460" t="e">
            <v>#N/A</v>
          </cell>
          <cell r="Y460" t="e">
            <v>#N/A</v>
          </cell>
          <cell r="Z460" t="e">
            <v>#N/A</v>
          </cell>
        </row>
        <row r="461">
          <cell r="A461" t="e">
            <v>#N/A</v>
          </cell>
          <cell r="B461" t="e">
            <v>#N/A</v>
          </cell>
          <cell r="C461" t="e">
            <v>#N/A</v>
          </cell>
          <cell r="O461" t="e">
            <v>#N/A</v>
          </cell>
          <cell r="P461" t="e">
            <v>#N/A</v>
          </cell>
          <cell r="Q461" t="e">
            <v>#N/A</v>
          </cell>
          <cell r="R461" t="e">
            <v>#N/A</v>
          </cell>
          <cell r="S461" t="e">
            <v>#N/A</v>
          </cell>
          <cell r="T461" t="e">
            <v>#N/A</v>
          </cell>
          <cell r="U461" t="e">
            <v>#N/A</v>
          </cell>
          <cell r="V461" t="e">
            <v>#N/A</v>
          </cell>
          <cell r="W461" t="e">
            <v>#N/A</v>
          </cell>
          <cell r="X461" t="e">
            <v>#N/A</v>
          </cell>
          <cell r="Y461" t="e">
            <v>#N/A</v>
          </cell>
          <cell r="Z461" t="e">
            <v>#N/A</v>
          </cell>
        </row>
        <row r="462">
          <cell r="A462" t="e">
            <v>#N/A</v>
          </cell>
          <cell r="B462" t="e">
            <v>#N/A</v>
          </cell>
          <cell r="C462" t="e">
            <v>#N/A</v>
          </cell>
          <cell r="O462" t="e">
            <v>#N/A</v>
          </cell>
          <cell r="P462" t="e">
            <v>#N/A</v>
          </cell>
          <cell r="Q462" t="e">
            <v>#N/A</v>
          </cell>
          <cell r="R462" t="e">
            <v>#N/A</v>
          </cell>
          <cell r="S462" t="e">
            <v>#N/A</v>
          </cell>
          <cell r="T462" t="e">
            <v>#N/A</v>
          </cell>
          <cell r="U462" t="e">
            <v>#N/A</v>
          </cell>
          <cell r="V462" t="e">
            <v>#N/A</v>
          </cell>
          <cell r="W462" t="e">
            <v>#N/A</v>
          </cell>
          <cell r="X462" t="e">
            <v>#N/A</v>
          </cell>
          <cell r="Y462" t="e">
            <v>#N/A</v>
          </cell>
          <cell r="Z462" t="e">
            <v>#N/A</v>
          </cell>
        </row>
        <row r="463">
          <cell r="A463" t="e">
            <v>#N/A</v>
          </cell>
          <cell r="B463" t="e">
            <v>#N/A</v>
          </cell>
          <cell r="C463" t="e">
            <v>#N/A</v>
          </cell>
          <cell r="O463" t="e">
            <v>#N/A</v>
          </cell>
          <cell r="P463" t="e">
            <v>#N/A</v>
          </cell>
          <cell r="Q463" t="e">
            <v>#N/A</v>
          </cell>
          <cell r="R463" t="e">
            <v>#N/A</v>
          </cell>
          <cell r="S463" t="e">
            <v>#N/A</v>
          </cell>
          <cell r="T463" t="e">
            <v>#N/A</v>
          </cell>
          <cell r="U463" t="e">
            <v>#N/A</v>
          </cell>
          <cell r="V463" t="e">
            <v>#N/A</v>
          </cell>
          <cell r="W463" t="e">
            <v>#N/A</v>
          </cell>
          <cell r="X463" t="e">
            <v>#N/A</v>
          </cell>
          <cell r="Y463" t="e">
            <v>#N/A</v>
          </cell>
          <cell r="Z463" t="e">
            <v>#N/A</v>
          </cell>
        </row>
        <row r="464">
          <cell r="A464" t="e">
            <v>#N/A</v>
          </cell>
          <cell r="B464" t="e">
            <v>#N/A</v>
          </cell>
          <cell r="C464" t="e">
            <v>#N/A</v>
          </cell>
          <cell r="O464" t="e">
            <v>#N/A</v>
          </cell>
          <cell r="P464" t="e">
            <v>#N/A</v>
          </cell>
          <cell r="Q464" t="e">
            <v>#N/A</v>
          </cell>
          <cell r="R464" t="e">
            <v>#N/A</v>
          </cell>
          <cell r="S464" t="e">
            <v>#N/A</v>
          </cell>
          <cell r="T464" t="e">
            <v>#N/A</v>
          </cell>
          <cell r="U464" t="e">
            <v>#N/A</v>
          </cell>
          <cell r="V464" t="e">
            <v>#N/A</v>
          </cell>
          <cell r="W464" t="e">
            <v>#N/A</v>
          </cell>
          <cell r="X464" t="e">
            <v>#N/A</v>
          </cell>
          <cell r="Y464" t="e">
            <v>#N/A</v>
          </cell>
          <cell r="Z464" t="e">
            <v>#N/A</v>
          </cell>
        </row>
        <row r="465">
          <cell r="A465" t="e">
            <v>#N/A</v>
          </cell>
          <cell r="B465" t="e">
            <v>#N/A</v>
          </cell>
          <cell r="C465" t="e">
            <v>#N/A</v>
          </cell>
          <cell r="O465" t="e">
            <v>#N/A</v>
          </cell>
          <cell r="P465" t="e">
            <v>#N/A</v>
          </cell>
          <cell r="Q465" t="e">
            <v>#N/A</v>
          </cell>
          <cell r="R465" t="e">
            <v>#N/A</v>
          </cell>
          <cell r="S465" t="e">
            <v>#N/A</v>
          </cell>
          <cell r="T465" t="e">
            <v>#N/A</v>
          </cell>
          <cell r="U465" t="e">
            <v>#N/A</v>
          </cell>
          <cell r="V465" t="e">
            <v>#N/A</v>
          </cell>
          <cell r="W465" t="e">
            <v>#N/A</v>
          </cell>
          <cell r="X465" t="e">
            <v>#N/A</v>
          </cell>
          <cell r="Y465" t="e">
            <v>#N/A</v>
          </cell>
          <cell r="Z465" t="e">
            <v>#N/A</v>
          </cell>
        </row>
        <row r="466">
          <cell r="A466" t="e">
            <v>#N/A</v>
          </cell>
          <cell r="B466" t="e">
            <v>#N/A</v>
          </cell>
          <cell r="C466" t="e">
            <v>#N/A</v>
          </cell>
          <cell r="O466" t="e">
            <v>#N/A</v>
          </cell>
          <cell r="P466" t="e">
            <v>#N/A</v>
          </cell>
          <cell r="Q466" t="e">
            <v>#N/A</v>
          </cell>
          <cell r="R466" t="e">
            <v>#N/A</v>
          </cell>
          <cell r="S466" t="e">
            <v>#N/A</v>
          </cell>
          <cell r="T466" t="e">
            <v>#N/A</v>
          </cell>
          <cell r="U466" t="e">
            <v>#N/A</v>
          </cell>
          <cell r="V466" t="e">
            <v>#N/A</v>
          </cell>
          <cell r="W466" t="e">
            <v>#N/A</v>
          </cell>
          <cell r="X466" t="e">
            <v>#N/A</v>
          </cell>
          <cell r="Y466" t="e">
            <v>#N/A</v>
          </cell>
          <cell r="Z466" t="e">
            <v>#N/A</v>
          </cell>
        </row>
        <row r="467">
          <cell r="A467" t="e">
            <v>#N/A</v>
          </cell>
          <cell r="B467" t="e">
            <v>#N/A</v>
          </cell>
          <cell r="C467" t="e">
            <v>#N/A</v>
          </cell>
          <cell r="O467" t="e">
            <v>#N/A</v>
          </cell>
          <cell r="P467" t="e">
            <v>#N/A</v>
          </cell>
          <cell r="Q467" t="e">
            <v>#N/A</v>
          </cell>
          <cell r="R467" t="e">
            <v>#N/A</v>
          </cell>
          <cell r="S467" t="e">
            <v>#N/A</v>
          </cell>
          <cell r="T467" t="e">
            <v>#N/A</v>
          </cell>
          <cell r="U467" t="e">
            <v>#N/A</v>
          </cell>
          <cell r="V467" t="e">
            <v>#N/A</v>
          </cell>
          <cell r="W467" t="e">
            <v>#N/A</v>
          </cell>
          <cell r="X467" t="e">
            <v>#N/A</v>
          </cell>
          <cell r="Y467" t="e">
            <v>#N/A</v>
          </cell>
          <cell r="Z467" t="e">
            <v>#N/A</v>
          </cell>
        </row>
        <row r="468">
          <cell r="A468" t="e">
            <v>#N/A</v>
          </cell>
          <cell r="B468" t="e">
            <v>#N/A</v>
          </cell>
          <cell r="C468" t="e">
            <v>#N/A</v>
          </cell>
          <cell r="O468" t="e">
            <v>#N/A</v>
          </cell>
          <cell r="P468" t="e">
            <v>#N/A</v>
          </cell>
          <cell r="Q468" t="e">
            <v>#N/A</v>
          </cell>
          <cell r="R468" t="e">
            <v>#N/A</v>
          </cell>
          <cell r="S468" t="e">
            <v>#N/A</v>
          </cell>
          <cell r="T468" t="e">
            <v>#N/A</v>
          </cell>
          <cell r="U468" t="e">
            <v>#N/A</v>
          </cell>
          <cell r="V468" t="e">
            <v>#N/A</v>
          </cell>
          <cell r="W468" t="e">
            <v>#N/A</v>
          </cell>
          <cell r="X468" t="e">
            <v>#N/A</v>
          </cell>
          <cell r="Y468" t="e">
            <v>#N/A</v>
          </cell>
          <cell r="Z468" t="e">
            <v>#N/A</v>
          </cell>
        </row>
        <row r="469">
          <cell r="A469" t="e">
            <v>#N/A</v>
          </cell>
          <cell r="B469" t="e">
            <v>#N/A</v>
          </cell>
          <cell r="C469" t="e">
            <v>#N/A</v>
          </cell>
          <cell r="O469" t="e">
            <v>#N/A</v>
          </cell>
          <cell r="P469" t="e">
            <v>#N/A</v>
          </cell>
          <cell r="Q469" t="e">
            <v>#N/A</v>
          </cell>
          <cell r="R469" t="e">
            <v>#N/A</v>
          </cell>
          <cell r="S469" t="e">
            <v>#N/A</v>
          </cell>
          <cell r="T469" t="e">
            <v>#N/A</v>
          </cell>
          <cell r="U469" t="e">
            <v>#N/A</v>
          </cell>
          <cell r="V469" t="e">
            <v>#N/A</v>
          </cell>
          <cell r="W469" t="e">
            <v>#N/A</v>
          </cell>
          <cell r="X469" t="e">
            <v>#N/A</v>
          </cell>
          <cell r="Y469" t="e">
            <v>#N/A</v>
          </cell>
          <cell r="Z469" t="e">
            <v>#N/A</v>
          </cell>
        </row>
        <row r="470">
          <cell r="A470" t="e">
            <v>#N/A</v>
          </cell>
          <cell r="B470" t="e">
            <v>#N/A</v>
          </cell>
          <cell r="C470" t="e">
            <v>#N/A</v>
          </cell>
          <cell r="O470" t="e">
            <v>#N/A</v>
          </cell>
          <cell r="P470" t="e">
            <v>#N/A</v>
          </cell>
          <cell r="Q470" t="e">
            <v>#N/A</v>
          </cell>
          <cell r="R470" t="e">
            <v>#N/A</v>
          </cell>
          <cell r="S470" t="e">
            <v>#N/A</v>
          </cell>
          <cell r="T470" t="e">
            <v>#N/A</v>
          </cell>
          <cell r="U470" t="e">
            <v>#N/A</v>
          </cell>
          <cell r="V470" t="e">
            <v>#N/A</v>
          </cell>
          <cell r="W470" t="e">
            <v>#N/A</v>
          </cell>
          <cell r="X470" t="e">
            <v>#N/A</v>
          </cell>
          <cell r="Y470" t="e">
            <v>#N/A</v>
          </cell>
          <cell r="Z470" t="e">
            <v>#N/A</v>
          </cell>
        </row>
        <row r="471">
          <cell r="A471" t="e">
            <v>#N/A</v>
          </cell>
          <cell r="B471" t="e">
            <v>#N/A</v>
          </cell>
          <cell r="C471" t="e">
            <v>#N/A</v>
          </cell>
          <cell r="O471" t="e">
            <v>#N/A</v>
          </cell>
          <cell r="P471" t="e">
            <v>#N/A</v>
          </cell>
          <cell r="Q471" t="e">
            <v>#N/A</v>
          </cell>
          <cell r="R471" t="e">
            <v>#N/A</v>
          </cell>
          <cell r="S471" t="e">
            <v>#N/A</v>
          </cell>
          <cell r="T471" t="e">
            <v>#N/A</v>
          </cell>
          <cell r="U471" t="e">
            <v>#N/A</v>
          </cell>
          <cell r="V471" t="e">
            <v>#N/A</v>
          </cell>
          <cell r="W471" t="e">
            <v>#N/A</v>
          </cell>
          <cell r="X471" t="e">
            <v>#N/A</v>
          </cell>
          <cell r="Y471" t="e">
            <v>#N/A</v>
          </cell>
          <cell r="Z471" t="e">
            <v>#N/A</v>
          </cell>
        </row>
        <row r="472">
          <cell r="A472" t="e">
            <v>#N/A</v>
          </cell>
          <cell r="B472" t="e">
            <v>#N/A</v>
          </cell>
          <cell r="C472" t="e">
            <v>#N/A</v>
          </cell>
          <cell r="O472" t="e">
            <v>#N/A</v>
          </cell>
          <cell r="P472" t="e">
            <v>#N/A</v>
          </cell>
          <cell r="Q472" t="e">
            <v>#N/A</v>
          </cell>
          <cell r="R472" t="e">
            <v>#N/A</v>
          </cell>
          <cell r="S472" t="e">
            <v>#N/A</v>
          </cell>
          <cell r="T472" t="e">
            <v>#N/A</v>
          </cell>
          <cell r="U472" t="e">
            <v>#N/A</v>
          </cell>
          <cell r="V472" t="e">
            <v>#N/A</v>
          </cell>
          <cell r="W472" t="e">
            <v>#N/A</v>
          </cell>
          <cell r="X472" t="e">
            <v>#N/A</v>
          </cell>
          <cell r="Y472" t="e">
            <v>#N/A</v>
          </cell>
          <cell r="Z472" t="e">
            <v>#N/A</v>
          </cell>
        </row>
        <row r="473">
          <cell r="A473" t="e">
            <v>#N/A</v>
          </cell>
          <cell r="B473" t="e">
            <v>#N/A</v>
          </cell>
          <cell r="C473" t="e">
            <v>#N/A</v>
          </cell>
          <cell r="O473" t="e">
            <v>#N/A</v>
          </cell>
          <cell r="P473" t="e">
            <v>#N/A</v>
          </cell>
          <cell r="Q473" t="e">
            <v>#N/A</v>
          </cell>
          <cell r="R473" t="e">
            <v>#N/A</v>
          </cell>
          <cell r="S473" t="e">
            <v>#N/A</v>
          </cell>
          <cell r="T473" t="e">
            <v>#N/A</v>
          </cell>
          <cell r="U473" t="e">
            <v>#N/A</v>
          </cell>
          <cell r="V473" t="e">
            <v>#N/A</v>
          </cell>
          <cell r="W473" t="e">
            <v>#N/A</v>
          </cell>
          <cell r="X473" t="e">
            <v>#N/A</v>
          </cell>
          <cell r="Y473" t="e">
            <v>#N/A</v>
          </cell>
          <cell r="Z473" t="e">
            <v>#N/A</v>
          </cell>
        </row>
        <row r="474">
          <cell r="A474" t="e">
            <v>#N/A</v>
          </cell>
          <cell r="B474" t="e">
            <v>#N/A</v>
          </cell>
          <cell r="C474" t="e">
            <v>#N/A</v>
          </cell>
          <cell r="O474" t="e">
            <v>#N/A</v>
          </cell>
          <cell r="P474" t="e">
            <v>#N/A</v>
          </cell>
          <cell r="Q474" t="e">
            <v>#N/A</v>
          </cell>
          <cell r="R474" t="e">
            <v>#N/A</v>
          </cell>
          <cell r="S474" t="e">
            <v>#N/A</v>
          </cell>
          <cell r="T474" t="e">
            <v>#N/A</v>
          </cell>
          <cell r="U474" t="e">
            <v>#N/A</v>
          </cell>
          <cell r="V474" t="e">
            <v>#N/A</v>
          </cell>
          <cell r="W474" t="e">
            <v>#N/A</v>
          </cell>
          <cell r="X474" t="e">
            <v>#N/A</v>
          </cell>
          <cell r="Y474" t="e">
            <v>#N/A</v>
          </cell>
          <cell r="Z474" t="e">
            <v>#N/A</v>
          </cell>
        </row>
        <row r="475">
          <cell r="A475" t="e">
            <v>#N/A</v>
          </cell>
          <cell r="B475" t="e">
            <v>#N/A</v>
          </cell>
          <cell r="C475" t="e">
            <v>#N/A</v>
          </cell>
          <cell r="O475" t="e">
            <v>#N/A</v>
          </cell>
          <cell r="P475" t="e">
            <v>#N/A</v>
          </cell>
          <cell r="Q475" t="e">
            <v>#N/A</v>
          </cell>
          <cell r="R475" t="e">
            <v>#N/A</v>
          </cell>
          <cell r="S475" t="e">
            <v>#N/A</v>
          </cell>
          <cell r="T475" t="e">
            <v>#N/A</v>
          </cell>
          <cell r="U475" t="e">
            <v>#N/A</v>
          </cell>
          <cell r="V475" t="e">
            <v>#N/A</v>
          </cell>
          <cell r="W475" t="e">
            <v>#N/A</v>
          </cell>
          <cell r="X475" t="e">
            <v>#N/A</v>
          </cell>
          <cell r="Y475" t="e">
            <v>#N/A</v>
          </cell>
          <cell r="Z475" t="e">
            <v>#N/A</v>
          </cell>
        </row>
        <row r="476">
          <cell r="A476" t="e">
            <v>#N/A</v>
          </cell>
          <cell r="B476" t="e">
            <v>#N/A</v>
          </cell>
          <cell r="C476" t="e">
            <v>#N/A</v>
          </cell>
          <cell r="O476" t="e">
            <v>#N/A</v>
          </cell>
          <cell r="P476" t="e">
            <v>#N/A</v>
          </cell>
          <cell r="Q476" t="e">
            <v>#N/A</v>
          </cell>
          <cell r="R476" t="e">
            <v>#N/A</v>
          </cell>
          <cell r="S476" t="e">
            <v>#N/A</v>
          </cell>
          <cell r="T476" t="e">
            <v>#N/A</v>
          </cell>
          <cell r="U476" t="e">
            <v>#N/A</v>
          </cell>
          <cell r="V476" t="e">
            <v>#N/A</v>
          </cell>
          <cell r="W476" t="e">
            <v>#N/A</v>
          </cell>
          <cell r="X476" t="e">
            <v>#N/A</v>
          </cell>
          <cell r="Y476" t="e">
            <v>#N/A</v>
          </cell>
          <cell r="Z476" t="e">
            <v>#N/A</v>
          </cell>
        </row>
        <row r="477">
          <cell r="A477" t="e">
            <v>#N/A</v>
          </cell>
          <cell r="B477" t="e">
            <v>#N/A</v>
          </cell>
          <cell r="C477" t="e">
            <v>#N/A</v>
          </cell>
          <cell r="O477" t="e">
            <v>#N/A</v>
          </cell>
          <cell r="P477" t="e">
            <v>#N/A</v>
          </cell>
          <cell r="Q477" t="e">
            <v>#N/A</v>
          </cell>
          <cell r="R477" t="e">
            <v>#N/A</v>
          </cell>
          <cell r="S477" t="e">
            <v>#N/A</v>
          </cell>
          <cell r="T477" t="e">
            <v>#N/A</v>
          </cell>
          <cell r="U477" t="e">
            <v>#N/A</v>
          </cell>
          <cell r="V477" t="e">
            <v>#N/A</v>
          </cell>
          <cell r="W477" t="e">
            <v>#N/A</v>
          </cell>
          <cell r="X477" t="e">
            <v>#N/A</v>
          </cell>
          <cell r="Y477" t="e">
            <v>#N/A</v>
          </cell>
          <cell r="Z477" t="e">
            <v>#N/A</v>
          </cell>
        </row>
        <row r="478">
          <cell r="A478" t="e">
            <v>#N/A</v>
          </cell>
          <cell r="B478" t="e">
            <v>#N/A</v>
          </cell>
          <cell r="C478" t="e">
            <v>#N/A</v>
          </cell>
          <cell r="O478" t="e">
            <v>#N/A</v>
          </cell>
          <cell r="P478" t="e">
            <v>#N/A</v>
          </cell>
          <cell r="Q478" t="e">
            <v>#N/A</v>
          </cell>
          <cell r="R478" t="e">
            <v>#N/A</v>
          </cell>
          <cell r="S478" t="e">
            <v>#N/A</v>
          </cell>
          <cell r="T478" t="e">
            <v>#N/A</v>
          </cell>
          <cell r="U478" t="e">
            <v>#N/A</v>
          </cell>
          <cell r="V478" t="e">
            <v>#N/A</v>
          </cell>
          <cell r="W478" t="e">
            <v>#N/A</v>
          </cell>
          <cell r="X478" t="e">
            <v>#N/A</v>
          </cell>
          <cell r="Y478" t="e">
            <v>#N/A</v>
          </cell>
          <cell r="Z478" t="e">
            <v>#N/A</v>
          </cell>
        </row>
        <row r="479">
          <cell r="A479" t="e">
            <v>#N/A</v>
          </cell>
          <cell r="B479" t="e">
            <v>#N/A</v>
          </cell>
          <cell r="C479" t="e">
            <v>#N/A</v>
          </cell>
          <cell r="O479" t="e">
            <v>#N/A</v>
          </cell>
          <cell r="P479" t="e">
            <v>#N/A</v>
          </cell>
          <cell r="Q479" t="e">
            <v>#N/A</v>
          </cell>
          <cell r="R479" t="e">
            <v>#N/A</v>
          </cell>
          <cell r="S479" t="e">
            <v>#N/A</v>
          </cell>
          <cell r="T479" t="e">
            <v>#N/A</v>
          </cell>
          <cell r="U479" t="e">
            <v>#N/A</v>
          </cell>
          <cell r="V479" t="e">
            <v>#N/A</v>
          </cell>
          <cell r="W479" t="e">
            <v>#N/A</v>
          </cell>
          <cell r="X479" t="e">
            <v>#N/A</v>
          </cell>
          <cell r="Y479" t="e">
            <v>#N/A</v>
          </cell>
          <cell r="Z479" t="e">
            <v>#N/A</v>
          </cell>
        </row>
        <row r="480">
          <cell r="A480" t="e">
            <v>#N/A</v>
          </cell>
          <cell r="B480" t="e">
            <v>#N/A</v>
          </cell>
          <cell r="C480" t="e">
            <v>#N/A</v>
          </cell>
          <cell r="O480" t="e">
            <v>#N/A</v>
          </cell>
          <cell r="P480" t="e">
            <v>#N/A</v>
          </cell>
          <cell r="Q480" t="e">
            <v>#N/A</v>
          </cell>
          <cell r="R480" t="e">
            <v>#N/A</v>
          </cell>
          <cell r="S480" t="e">
            <v>#N/A</v>
          </cell>
          <cell r="T480" t="e">
            <v>#N/A</v>
          </cell>
          <cell r="U480" t="e">
            <v>#N/A</v>
          </cell>
          <cell r="V480" t="e">
            <v>#N/A</v>
          </cell>
          <cell r="W480" t="e">
            <v>#N/A</v>
          </cell>
          <cell r="X480" t="e">
            <v>#N/A</v>
          </cell>
          <cell r="Y480" t="e">
            <v>#N/A</v>
          </cell>
          <cell r="Z480" t="e">
            <v>#N/A</v>
          </cell>
        </row>
        <row r="481">
          <cell r="A481" t="e">
            <v>#N/A</v>
          </cell>
          <cell r="B481" t="e">
            <v>#N/A</v>
          </cell>
          <cell r="C481" t="e">
            <v>#N/A</v>
          </cell>
          <cell r="O481" t="e">
            <v>#N/A</v>
          </cell>
          <cell r="P481" t="e">
            <v>#N/A</v>
          </cell>
          <cell r="Q481" t="e">
            <v>#N/A</v>
          </cell>
          <cell r="R481" t="e">
            <v>#N/A</v>
          </cell>
          <cell r="S481" t="e">
            <v>#N/A</v>
          </cell>
          <cell r="T481" t="e">
            <v>#N/A</v>
          </cell>
          <cell r="U481" t="e">
            <v>#N/A</v>
          </cell>
          <cell r="V481" t="e">
            <v>#N/A</v>
          </cell>
          <cell r="W481" t="e">
            <v>#N/A</v>
          </cell>
          <cell r="X481" t="e">
            <v>#N/A</v>
          </cell>
          <cell r="Y481" t="e">
            <v>#N/A</v>
          </cell>
          <cell r="Z481" t="e">
            <v>#N/A</v>
          </cell>
        </row>
        <row r="482">
          <cell r="A482" t="e">
            <v>#N/A</v>
          </cell>
          <cell r="B482" t="e">
            <v>#N/A</v>
          </cell>
          <cell r="C482" t="e">
            <v>#N/A</v>
          </cell>
          <cell r="O482" t="e">
            <v>#N/A</v>
          </cell>
          <cell r="P482" t="e">
            <v>#N/A</v>
          </cell>
          <cell r="Q482" t="e">
            <v>#N/A</v>
          </cell>
          <cell r="R482" t="e">
            <v>#N/A</v>
          </cell>
          <cell r="S482" t="e">
            <v>#N/A</v>
          </cell>
          <cell r="T482" t="e">
            <v>#N/A</v>
          </cell>
          <cell r="U482" t="e">
            <v>#N/A</v>
          </cell>
          <cell r="V482" t="e">
            <v>#N/A</v>
          </cell>
          <cell r="W482" t="e">
            <v>#N/A</v>
          </cell>
          <cell r="X482" t="e">
            <v>#N/A</v>
          </cell>
          <cell r="Y482" t="e">
            <v>#N/A</v>
          </cell>
          <cell r="Z482" t="e">
            <v>#N/A</v>
          </cell>
        </row>
        <row r="483">
          <cell r="A483" t="e">
            <v>#N/A</v>
          </cell>
          <cell r="B483" t="e">
            <v>#N/A</v>
          </cell>
          <cell r="C483" t="e">
            <v>#N/A</v>
          </cell>
          <cell r="O483" t="e">
            <v>#N/A</v>
          </cell>
          <cell r="P483" t="e">
            <v>#N/A</v>
          </cell>
          <cell r="Q483" t="e">
            <v>#N/A</v>
          </cell>
          <cell r="R483" t="e">
            <v>#N/A</v>
          </cell>
          <cell r="S483" t="e">
            <v>#N/A</v>
          </cell>
          <cell r="T483" t="e">
            <v>#N/A</v>
          </cell>
          <cell r="U483" t="e">
            <v>#N/A</v>
          </cell>
          <cell r="V483" t="e">
            <v>#N/A</v>
          </cell>
          <cell r="W483" t="e">
            <v>#N/A</v>
          </cell>
          <cell r="X483" t="e">
            <v>#N/A</v>
          </cell>
          <cell r="Y483" t="e">
            <v>#N/A</v>
          </cell>
          <cell r="Z483" t="e">
            <v>#N/A</v>
          </cell>
        </row>
        <row r="484">
          <cell r="A484" t="e">
            <v>#N/A</v>
          </cell>
          <cell r="B484" t="e">
            <v>#N/A</v>
          </cell>
          <cell r="C484" t="e">
            <v>#N/A</v>
          </cell>
          <cell r="O484" t="e">
            <v>#N/A</v>
          </cell>
          <cell r="P484" t="e">
            <v>#N/A</v>
          </cell>
          <cell r="Q484" t="e">
            <v>#N/A</v>
          </cell>
          <cell r="R484" t="e">
            <v>#N/A</v>
          </cell>
          <cell r="S484" t="e">
            <v>#N/A</v>
          </cell>
          <cell r="T484" t="e">
            <v>#N/A</v>
          </cell>
          <cell r="U484" t="e">
            <v>#N/A</v>
          </cell>
          <cell r="V484" t="e">
            <v>#N/A</v>
          </cell>
          <cell r="W484" t="e">
            <v>#N/A</v>
          </cell>
          <cell r="X484" t="e">
            <v>#N/A</v>
          </cell>
          <cell r="Y484" t="e">
            <v>#N/A</v>
          </cell>
          <cell r="Z484" t="e">
            <v>#N/A</v>
          </cell>
        </row>
        <row r="485">
          <cell r="A485" t="e">
            <v>#N/A</v>
          </cell>
          <cell r="B485" t="e">
            <v>#N/A</v>
          </cell>
          <cell r="C485" t="e">
            <v>#N/A</v>
          </cell>
          <cell r="O485" t="e">
            <v>#N/A</v>
          </cell>
          <cell r="P485" t="e">
            <v>#N/A</v>
          </cell>
          <cell r="Q485" t="e">
            <v>#N/A</v>
          </cell>
          <cell r="R485" t="e">
            <v>#N/A</v>
          </cell>
          <cell r="S485" t="e">
            <v>#N/A</v>
          </cell>
          <cell r="T485" t="e">
            <v>#N/A</v>
          </cell>
          <cell r="U485" t="e">
            <v>#N/A</v>
          </cell>
          <cell r="V485" t="e">
            <v>#N/A</v>
          </cell>
          <cell r="W485" t="e">
            <v>#N/A</v>
          </cell>
          <cell r="X485" t="e">
            <v>#N/A</v>
          </cell>
          <cell r="Y485" t="e">
            <v>#N/A</v>
          </cell>
          <cell r="Z485" t="e">
            <v>#N/A</v>
          </cell>
        </row>
        <row r="486">
          <cell r="A486" t="e">
            <v>#N/A</v>
          </cell>
          <cell r="B486" t="e">
            <v>#N/A</v>
          </cell>
          <cell r="C486" t="e">
            <v>#N/A</v>
          </cell>
          <cell r="O486" t="e">
            <v>#N/A</v>
          </cell>
          <cell r="P486" t="e">
            <v>#N/A</v>
          </cell>
          <cell r="Q486" t="e">
            <v>#N/A</v>
          </cell>
          <cell r="R486" t="e">
            <v>#N/A</v>
          </cell>
          <cell r="S486" t="e">
            <v>#N/A</v>
          </cell>
          <cell r="T486" t="e">
            <v>#N/A</v>
          </cell>
          <cell r="U486" t="e">
            <v>#N/A</v>
          </cell>
          <cell r="V486" t="e">
            <v>#N/A</v>
          </cell>
          <cell r="W486" t="e">
            <v>#N/A</v>
          </cell>
          <cell r="X486" t="e">
            <v>#N/A</v>
          </cell>
          <cell r="Y486" t="e">
            <v>#N/A</v>
          </cell>
          <cell r="Z486" t="e">
            <v>#N/A</v>
          </cell>
        </row>
        <row r="487">
          <cell r="A487" t="e">
            <v>#N/A</v>
          </cell>
          <cell r="B487" t="e">
            <v>#N/A</v>
          </cell>
          <cell r="C487" t="e">
            <v>#N/A</v>
          </cell>
          <cell r="O487" t="e">
            <v>#N/A</v>
          </cell>
          <cell r="P487" t="e">
            <v>#N/A</v>
          </cell>
          <cell r="Q487" t="e">
            <v>#N/A</v>
          </cell>
          <cell r="R487" t="e">
            <v>#N/A</v>
          </cell>
          <cell r="S487" t="e">
            <v>#N/A</v>
          </cell>
          <cell r="T487" t="e">
            <v>#N/A</v>
          </cell>
          <cell r="U487" t="e">
            <v>#N/A</v>
          </cell>
          <cell r="V487" t="e">
            <v>#N/A</v>
          </cell>
          <cell r="W487" t="e">
            <v>#N/A</v>
          </cell>
          <cell r="X487" t="e">
            <v>#N/A</v>
          </cell>
          <cell r="Y487" t="e">
            <v>#N/A</v>
          </cell>
          <cell r="Z487" t="e">
            <v>#N/A</v>
          </cell>
        </row>
        <row r="488">
          <cell r="A488" t="e">
            <v>#N/A</v>
          </cell>
          <cell r="B488" t="e">
            <v>#N/A</v>
          </cell>
          <cell r="C488" t="e">
            <v>#N/A</v>
          </cell>
          <cell r="O488" t="e">
            <v>#N/A</v>
          </cell>
          <cell r="P488" t="e">
            <v>#N/A</v>
          </cell>
          <cell r="Q488" t="e">
            <v>#N/A</v>
          </cell>
          <cell r="R488" t="e">
            <v>#N/A</v>
          </cell>
          <cell r="S488" t="e">
            <v>#N/A</v>
          </cell>
          <cell r="T488" t="e">
            <v>#N/A</v>
          </cell>
          <cell r="U488" t="e">
            <v>#N/A</v>
          </cell>
          <cell r="V488" t="e">
            <v>#N/A</v>
          </cell>
          <cell r="W488" t="e">
            <v>#N/A</v>
          </cell>
          <cell r="X488" t="e">
            <v>#N/A</v>
          </cell>
          <cell r="Y488" t="e">
            <v>#N/A</v>
          </cell>
          <cell r="Z488" t="e">
            <v>#N/A</v>
          </cell>
        </row>
        <row r="489">
          <cell r="A489" t="e">
            <v>#N/A</v>
          </cell>
          <cell r="B489" t="e">
            <v>#N/A</v>
          </cell>
          <cell r="C489" t="e">
            <v>#N/A</v>
          </cell>
          <cell r="O489" t="e">
            <v>#N/A</v>
          </cell>
          <cell r="P489" t="e">
            <v>#N/A</v>
          </cell>
          <cell r="Q489" t="e">
            <v>#N/A</v>
          </cell>
          <cell r="R489" t="e">
            <v>#N/A</v>
          </cell>
          <cell r="S489" t="e">
            <v>#N/A</v>
          </cell>
          <cell r="T489" t="e">
            <v>#N/A</v>
          </cell>
          <cell r="U489" t="e">
            <v>#N/A</v>
          </cell>
          <cell r="V489" t="e">
            <v>#N/A</v>
          </cell>
          <cell r="W489" t="e">
            <v>#N/A</v>
          </cell>
          <cell r="X489" t="e">
            <v>#N/A</v>
          </cell>
          <cell r="Y489" t="e">
            <v>#N/A</v>
          </cell>
          <cell r="Z489" t="e">
            <v>#N/A</v>
          </cell>
        </row>
        <row r="490">
          <cell r="A490" t="e">
            <v>#N/A</v>
          </cell>
          <cell r="B490" t="e">
            <v>#N/A</v>
          </cell>
          <cell r="C490" t="e">
            <v>#N/A</v>
          </cell>
          <cell r="O490" t="e">
            <v>#N/A</v>
          </cell>
          <cell r="P490" t="e">
            <v>#N/A</v>
          </cell>
          <cell r="Q490" t="e">
            <v>#N/A</v>
          </cell>
          <cell r="R490" t="e">
            <v>#N/A</v>
          </cell>
          <cell r="S490" t="e">
            <v>#N/A</v>
          </cell>
          <cell r="T490" t="e">
            <v>#N/A</v>
          </cell>
          <cell r="U490" t="e">
            <v>#N/A</v>
          </cell>
          <cell r="V490" t="e">
            <v>#N/A</v>
          </cell>
          <cell r="W490" t="e">
            <v>#N/A</v>
          </cell>
          <cell r="X490" t="e">
            <v>#N/A</v>
          </cell>
          <cell r="Y490" t="e">
            <v>#N/A</v>
          </cell>
          <cell r="Z490" t="e">
            <v>#N/A</v>
          </cell>
        </row>
        <row r="491">
          <cell r="A491" t="e">
            <v>#N/A</v>
          </cell>
          <cell r="B491" t="e">
            <v>#N/A</v>
          </cell>
          <cell r="C491" t="e">
            <v>#N/A</v>
          </cell>
          <cell r="O491" t="e">
            <v>#N/A</v>
          </cell>
          <cell r="P491" t="e">
            <v>#N/A</v>
          </cell>
          <cell r="Q491" t="e">
            <v>#N/A</v>
          </cell>
          <cell r="R491" t="e">
            <v>#N/A</v>
          </cell>
          <cell r="S491" t="e">
            <v>#N/A</v>
          </cell>
          <cell r="T491" t="e">
            <v>#N/A</v>
          </cell>
          <cell r="U491" t="e">
            <v>#N/A</v>
          </cell>
          <cell r="V491" t="e">
            <v>#N/A</v>
          </cell>
          <cell r="W491" t="e">
            <v>#N/A</v>
          </cell>
          <cell r="X491" t="e">
            <v>#N/A</v>
          </cell>
          <cell r="Y491" t="e">
            <v>#N/A</v>
          </cell>
          <cell r="Z491" t="e">
            <v>#N/A</v>
          </cell>
        </row>
        <row r="492">
          <cell r="A492" t="e">
            <v>#N/A</v>
          </cell>
          <cell r="B492" t="e">
            <v>#N/A</v>
          </cell>
          <cell r="C492" t="e">
            <v>#N/A</v>
          </cell>
          <cell r="O492" t="e">
            <v>#N/A</v>
          </cell>
          <cell r="P492" t="e">
            <v>#N/A</v>
          </cell>
          <cell r="Q492" t="e">
            <v>#N/A</v>
          </cell>
          <cell r="R492" t="e">
            <v>#N/A</v>
          </cell>
          <cell r="S492" t="e">
            <v>#N/A</v>
          </cell>
          <cell r="T492" t="e">
            <v>#N/A</v>
          </cell>
          <cell r="U492" t="e">
            <v>#N/A</v>
          </cell>
          <cell r="V492" t="e">
            <v>#N/A</v>
          </cell>
          <cell r="W492" t="e">
            <v>#N/A</v>
          </cell>
          <cell r="X492" t="e">
            <v>#N/A</v>
          </cell>
          <cell r="Y492" t="e">
            <v>#N/A</v>
          </cell>
          <cell r="Z492" t="e">
            <v>#N/A</v>
          </cell>
        </row>
        <row r="493">
          <cell r="A493" t="e">
            <v>#N/A</v>
          </cell>
          <cell r="B493" t="e">
            <v>#N/A</v>
          </cell>
          <cell r="C493" t="e">
            <v>#N/A</v>
          </cell>
          <cell r="O493" t="e">
            <v>#N/A</v>
          </cell>
          <cell r="P493" t="e">
            <v>#N/A</v>
          </cell>
          <cell r="Q493" t="e">
            <v>#N/A</v>
          </cell>
          <cell r="R493" t="e">
            <v>#N/A</v>
          </cell>
          <cell r="S493" t="e">
            <v>#N/A</v>
          </cell>
          <cell r="T493" t="e">
            <v>#N/A</v>
          </cell>
          <cell r="U493" t="e">
            <v>#N/A</v>
          </cell>
          <cell r="V493" t="e">
            <v>#N/A</v>
          </cell>
          <cell r="W493" t="e">
            <v>#N/A</v>
          </cell>
          <cell r="X493" t="e">
            <v>#N/A</v>
          </cell>
          <cell r="Y493" t="e">
            <v>#N/A</v>
          </cell>
          <cell r="Z493" t="e">
            <v>#N/A</v>
          </cell>
        </row>
        <row r="494">
          <cell r="A494" t="e">
            <v>#N/A</v>
          </cell>
          <cell r="B494" t="e">
            <v>#N/A</v>
          </cell>
          <cell r="C494" t="e">
            <v>#N/A</v>
          </cell>
          <cell r="O494" t="e">
            <v>#N/A</v>
          </cell>
          <cell r="P494" t="e">
            <v>#N/A</v>
          </cell>
          <cell r="Q494" t="e">
            <v>#N/A</v>
          </cell>
          <cell r="R494" t="e">
            <v>#N/A</v>
          </cell>
          <cell r="S494" t="e">
            <v>#N/A</v>
          </cell>
          <cell r="T494" t="e">
            <v>#N/A</v>
          </cell>
          <cell r="U494" t="e">
            <v>#N/A</v>
          </cell>
          <cell r="V494" t="e">
            <v>#N/A</v>
          </cell>
          <cell r="W494" t="e">
            <v>#N/A</v>
          </cell>
          <cell r="X494" t="e">
            <v>#N/A</v>
          </cell>
          <cell r="Y494" t="e">
            <v>#N/A</v>
          </cell>
          <cell r="Z494" t="e">
            <v>#N/A</v>
          </cell>
        </row>
        <row r="495">
          <cell r="A495" t="e">
            <v>#N/A</v>
          </cell>
          <cell r="B495" t="e">
            <v>#N/A</v>
          </cell>
          <cell r="C495" t="e">
            <v>#N/A</v>
          </cell>
          <cell r="O495" t="e">
            <v>#N/A</v>
          </cell>
          <cell r="P495" t="e">
            <v>#N/A</v>
          </cell>
          <cell r="Q495" t="e">
            <v>#N/A</v>
          </cell>
          <cell r="R495" t="e">
            <v>#N/A</v>
          </cell>
          <cell r="S495" t="e">
            <v>#N/A</v>
          </cell>
          <cell r="T495" t="e">
            <v>#N/A</v>
          </cell>
          <cell r="U495" t="e">
            <v>#N/A</v>
          </cell>
          <cell r="V495" t="e">
            <v>#N/A</v>
          </cell>
          <cell r="W495" t="e">
            <v>#N/A</v>
          </cell>
          <cell r="X495" t="e">
            <v>#N/A</v>
          </cell>
          <cell r="Y495" t="e">
            <v>#N/A</v>
          </cell>
          <cell r="Z495" t="e">
            <v>#N/A</v>
          </cell>
        </row>
        <row r="496">
          <cell r="A496" t="e">
            <v>#N/A</v>
          </cell>
          <cell r="B496" t="e">
            <v>#N/A</v>
          </cell>
          <cell r="C496" t="e">
            <v>#N/A</v>
          </cell>
          <cell r="O496" t="e">
            <v>#N/A</v>
          </cell>
          <cell r="P496" t="e">
            <v>#N/A</v>
          </cell>
          <cell r="Q496" t="e">
            <v>#N/A</v>
          </cell>
          <cell r="R496" t="e">
            <v>#N/A</v>
          </cell>
          <cell r="S496" t="e">
            <v>#N/A</v>
          </cell>
          <cell r="T496" t="e">
            <v>#N/A</v>
          </cell>
          <cell r="U496" t="e">
            <v>#N/A</v>
          </cell>
          <cell r="V496" t="e">
            <v>#N/A</v>
          </cell>
          <cell r="W496" t="e">
            <v>#N/A</v>
          </cell>
          <cell r="X496" t="e">
            <v>#N/A</v>
          </cell>
          <cell r="Y496" t="e">
            <v>#N/A</v>
          </cell>
          <cell r="Z496" t="e">
            <v>#N/A</v>
          </cell>
        </row>
        <row r="497">
          <cell r="A497" t="e">
            <v>#N/A</v>
          </cell>
          <cell r="B497" t="e">
            <v>#N/A</v>
          </cell>
          <cell r="C497" t="e">
            <v>#N/A</v>
          </cell>
          <cell r="O497" t="e">
            <v>#N/A</v>
          </cell>
          <cell r="P497" t="e">
            <v>#N/A</v>
          </cell>
          <cell r="Q497" t="e">
            <v>#N/A</v>
          </cell>
          <cell r="R497" t="e">
            <v>#N/A</v>
          </cell>
          <cell r="S497" t="e">
            <v>#N/A</v>
          </cell>
          <cell r="T497" t="e">
            <v>#N/A</v>
          </cell>
          <cell r="U497" t="e">
            <v>#N/A</v>
          </cell>
          <cell r="V497" t="e">
            <v>#N/A</v>
          </cell>
          <cell r="W497" t="e">
            <v>#N/A</v>
          </cell>
          <cell r="X497" t="e">
            <v>#N/A</v>
          </cell>
          <cell r="Y497" t="e">
            <v>#N/A</v>
          </cell>
          <cell r="Z497" t="e">
            <v>#N/A</v>
          </cell>
        </row>
        <row r="498">
          <cell r="A498" t="e">
            <v>#N/A</v>
          </cell>
          <cell r="B498" t="e">
            <v>#N/A</v>
          </cell>
          <cell r="C498" t="e">
            <v>#N/A</v>
          </cell>
          <cell r="O498" t="e">
            <v>#N/A</v>
          </cell>
          <cell r="P498" t="e">
            <v>#N/A</v>
          </cell>
          <cell r="Q498" t="e">
            <v>#N/A</v>
          </cell>
          <cell r="R498" t="e">
            <v>#N/A</v>
          </cell>
          <cell r="S498" t="e">
            <v>#N/A</v>
          </cell>
          <cell r="T498" t="e">
            <v>#N/A</v>
          </cell>
          <cell r="U498" t="e">
            <v>#N/A</v>
          </cell>
          <cell r="V498" t="e">
            <v>#N/A</v>
          </cell>
          <cell r="W498" t="e">
            <v>#N/A</v>
          </cell>
          <cell r="X498" t="e">
            <v>#N/A</v>
          </cell>
          <cell r="Y498" t="e">
            <v>#N/A</v>
          </cell>
          <cell r="Z498" t="e">
            <v>#N/A</v>
          </cell>
        </row>
        <row r="499">
          <cell r="A499" t="e">
            <v>#N/A</v>
          </cell>
          <cell r="B499" t="e">
            <v>#N/A</v>
          </cell>
          <cell r="C499" t="e">
            <v>#N/A</v>
          </cell>
          <cell r="O499" t="e">
            <v>#N/A</v>
          </cell>
          <cell r="P499" t="e">
            <v>#N/A</v>
          </cell>
          <cell r="Q499" t="e">
            <v>#N/A</v>
          </cell>
          <cell r="R499" t="e">
            <v>#N/A</v>
          </cell>
          <cell r="S499" t="e">
            <v>#N/A</v>
          </cell>
          <cell r="T499" t="e">
            <v>#N/A</v>
          </cell>
          <cell r="U499" t="e">
            <v>#N/A</v>
          </cell>
          <cell r="V499" t="e">
            <v>#N/A</v>
          </cell>
          <cell r="W499" t="e">
            <v>#N/A</v>
          </cell>
          <cell r="X499" t="e">
            <v>#N/A</v>
          </cell>
          <cell r="Y499" t="e">
            <v>#N/A</v>
          </cell>
          <cell r="Z499" t="e">
            <v>#N/A</v>
          </cell>
        </row>
        <row r="500">
          <cell r="A500" t="e">
            <v>#N/A</v>
          </cell>
          <cell r="B500" t="e">
            <v>#N/A</v>
          </cell>
          <cell r="C500" t="e">
            <v>#N/A</v>
          </cell>
          <cell r="O500" t="e">
            <v>#N/A</v>
          </cell>
          <cell r="P500" t="e">
            <v>#N/A</v>
          </cell>
          <cell r="Q500" t="e">
            <v>#N/A</v>
          </cell>
          <cell r="R500" t="e">
            <v>#N/A</v>
          </cell>
          <cell r="S500" t="e">
            <v>#N/A</v>
          </cell>
          <cell r="T500" t="e">
            <v>#N/A</v>
          </cell>
          <cell r="U500" t="e">
            <v>#N/A</v>
          </cell>
          <cell r="V500" t="e">
            <v>#N/A</v>
          </cell>
          <cell r="W500" t="e">
            <v>#N/A</v>
          </cell>
          <cell r="X500" t="e">
            <v>#N/A</v>
          </cell>
          <cell r="Y500" t="e">
            <v>#N/A</v>
          </cell>
          <cell r="Z500" t="e">
            <v>#N/A</v>
          </cell>
        </row>
        <row r="501">
          <cell r="A501" t="e">
            <v>#N/A</v>
          </cell>
          <cell r="B501" t="e">
            <v>#N/A</v>
          </cell>
          <cell r="C501" t="e">
            <v>#N/A</v>
          </cell>
          <cell r="O501" t="e">
            <v>#N/A</v>
          </cell>
          <cell r="P501" t="e">
            <v>#N/A</v>
          </cell>
          <cell r="Q501" t="e">
            <v>#N/A</v>
          </cell>
          <cell r="R501" t="e">
            <v>#N/A</v>
          </cell>
          <cell r="S501" t="e">
            <v>#N/A</v>
          </cell>
          <cell r="T501" t="e">
            <v>#N/A</v>
          </cell>
          <cell r="U501" t="e">
            <v>#N/A</v>
          </cell>
          <cell r="V501" t="e">
            <v>#N/A</v>
          </cell>
          <cell r="W501" t="e">
            <v>#N/A</v>
          </cell>
          <cell r="X501" t="e">
            <v>#N/A</v>
          </cell>
          <cell r="Y501" t="e">
            <v>#N/A</v>
          </cell>
          <cell r="Z501" t="e">
            <v>#N/A</v>
          </cell>
        </row>
        <row r="502">
          <cell r="A502" t="e">
            <v>#N/A</v>
          </cell>
          <cell r="B502" t="e">
            <v>#N/A</v>
          </cell>
          <cell r="C502" t="e">
            <v>#N/A</v>
          </cell>
          <cell r="O502" t="e">
            <v>#N/A</v>
          </cell>
          <cell r="P502" t="e">
            <v>#N/A</v>
          </cell>
          <cell r="Q502" t="e">
            <v>#N/A</v>
          </cell>
          <cell r="R502" t="e">
            <v>#N/A</v>
          </cell>
          <cell r="S502" t="e">
            <v>#N/A</v>
          </cell>
          <cell r="T502" t="e">
            <v>#N/A</v>
          </cell>
          <cell r="U502" t="e">
            <v>#N/A</v>
          </cell>
          <cell r="V502" t="e">
            <v>#N/A</v>
          </cell>
          <cell r="W502" t="e">
            <v>#N/A</v>
          </cell>
          <cell r="X502" t="e">
            <v>#N/A</v>
          </cell>
          <cell r="Y502" t="e">
            <v>#N/A</v>
          </cell>
          <cell r="Z502" t="e">
            <v>#N/A</v>
          </cell>
        </row>
        <row r="503">
          <cell r="A503" t="e">
            <v>#N/A</v>
          </cell>
          <cell r="B503" t="e">
            <v>#N/A</v>
          </cell>
          <cell r="C503" t="e">
            <v>#N/A</v>
          </cell>
          <cell r="O503" t="e">
            <v>#N/A</v>
          </cell>
          <cell r="P503" t="e">
            <v>#N/A</v>
          </cell>
          <cell r="Q503" t="e">
            <v>#N/A</v>
          </cell>
          <cell r="R503" t="e">
            <v>#N/A</v>
          </cell>
          <cell r="S503" t="e">
            <v>#N/A</v>
          </cell>
          <cell r="T503" t="e">
            <v>#N/A</v>
          </cell>
          <cell r="U503" t="e">
            <v>#N/A</v>
          </cell>
          <cell r="V503" t="e">
            <v>#N/A</v>
          </cell>
          <cell r="W503" t="e">
            <v>#N/A</v>
          </cell>
          <cell r="X503" t="e">
            <v>#N/A</v>
          </cell>
          <cell r="Y503" t="e">
            <v>#N/A</v>
          </cell>
          <cell r="Z503" t="e">
            <v>#N/A</v>
          </cell>
        </row>
        <row r="504">
          <cell r="A504" t="e">
            <v>#N/A</v>
          </cell>
          <cell r="B504" t="e">
            <v>#N/A</v>
          </cell>
          <cell r="C504" t="e">
            <v>#N/A</v>
          </cell>
          <cell r="O504" t="e">
            <v>#N/A</v>
          </cell>
          <cell r="P504" t="e">
            <v>#N/A</v>
          </cell>
          <cell r="Q504" t="e">
            <v>#N/A</v>
          </cell>
          <cell r="R504" t="e">
            <v>#N/A</v>
          </cell>
          <cell r="S504" t="e">
            <v>#N/A</v>
          </cell>
          <cell r="T504" t="e">
            <v>#N/A</v>
          </cell>
          <cell r="U504" t="e">
            <v>#N/A</v>
          </cell>
          <cell r="V504" t="e">
            <v>#N/A</v>
          </cell>
          <cell r="W504" t="e">
            <v>#N/A</v>
          </cell>
          <cell r="X504" t="e">
            <v>#N/A</v>
          </cell>
          <cell r="Y504" t="e">
            <v>#N/A</v>
          </cell>
          <cell r="Z504" t="e">
            <v>#N/A</v>
          </cell>
        </row>
        <row r="505">
          <cell r="A505" t="e">
            <v>#N/A</v>
          </cell>
          <cell r="B505" t="e">
            <v>#N/A</v>
          </cell>
          <cell r="C505" t="e">
            <v>#N/A</v>
          </cell>
          <cell r="O505" t="e">
            <v>#N/A</v>
          </cell>
          <cell r="P505" t="e">
            <v>#N/A</v>
          </cell>
          <cell r="Q505" t="e">
            <v>#N/A</v>
          </cell>
          <cell r="R505" t="e">
            <v>#N/A</v>
          </cell>
          <cell r="S505" t="e">
            <v>#N/A</v>
          </cell>
          <cell r="T505" t="e">
            <v>#N/A</v>
          </cell>
          <cell r="U505" t="e">
            <v>#N/A</v>
          </cell>
          <cell r="V505" t="e">
            <v>#N/A</v>
          </cell>
          <cell r="W505" t="e">
            <v>#N/A</v>
          </cell>
          <cell r="X505" t="e">
            <v>#N/A</v>
          </cell>
          <cell r="Y505" t="e">
            <v>#N/A</v>
          </cell>
          <cell r="Z505" t="e">
            <v>#N/A</v>
          </cell>
        </row>
        <row r="506">
          <cell r="A506" t="e">
            <v>#N/A</v>
          </cell>
          <cell r="B506" t="e">
            <v>#N/A</v>
          </cell>
          <cell r="C506" t="e">
            <v>#N/A</v>
          </cell>
          <cell r="O506" t="e">
            <v>#N/A</v>
          </cell>
          <cell r="P506" t="e">
            <v>#N/A</v>
          </cell>
          <cell r="Q506" t="e">
            <v>#N/A</v>
          </cell>
          <cell r="R506" t="e">
            <v>#N/A</v>
          </cell>
          <cell r="S506" t="e">
            <v>#N/A</v>
          </cell>
          <cell r="T506" t="e">
            <v>#N/A</v>
          </cell>
          <cell r="U506" t="e">
            <v>#N/A</v>
          </cell>
          <cell r="V506" t="e">
            <v>#N/A</v>
          </cell>
          <cell r="W506" t="e">
            <v>#N/A</v>
          </cell>
          <cell r="X506" t="e">
            <v>#N/A</v>
          </cell>
          <cell r="Y506" t="e">
            <v>#N/A</v>
          </cell>
          <cell r="Z506" t="e">
            <v>#N/A</v>
          </cell>
        </row>
        <row r="507">
          <cell r="A507" t="e">
            <v>#N/A</v>
          </cell>
          <cell r="B507" t="e">
            <v>#N/A</v>
          </cell>
          <cell r="C507" t="e">
            <v>#N/A</v>
          </cell>
          <cell r="O507" t="e">
            <v>#N/A</v>
          </cell>
          <cell r="P507" t="e">
            <v>#N/A</v>
          </cell>
          <cell r="Q507" t="e">
            <v>#N/A</v>
          </cell>
          <cell r="R507" t="e">
            <v>#N/A</v>
          </cell>
          <cell r="S507" t="e">
            <v>#N/A</v>
          </cell>
          <cell r="T507" t="e">
            <v>#N/A</v>
          </cell>
          <cell r="U507" t="e">
            <v>#N/A</v>
          </cell>
          <cell r="V507" t="e">
            <v>#N/A</v>
          </cell>
          <cell r="W507" t="e">
            <v>#N/A</v>
          </cell>
          <cell r="X507" t="e">
            <v>#N/A</v>
          </cell>
          <cell r="Y507" t="e">
            <v>#N/A</v>
          </cell>
          <cell r="Z507" t="e">
            <v>#N/A</v>
          </cell>
        </row>
        <row r="508">
          <cell r="A508" t="e">
            <v>#N/A</v>
          </cell>
          <cell r="B508" t="e">
            <v>#N/A</v>
          </cell>
          <cell r="C508" t="e">
            <v>#N/A</v>
          </cell>
          <cell r="O508" t="e">
            <v>#N/A</v>
          </cell>
          <cell r="P508" t="e">
            <v>#N/A</v>
          </cell>
          <cell r="Q508" t="e">
            <v>#N/A</v>
          </cell>
          <cell r="R508" t="e">
            <v>#N/A</v>
          </cell>
          <cell r="S508" t="e">
            <v>#N/A</v>
          </cell>
          <cell r="T508" t="e">
            <v>#N/A</v>
          </cell>
          <cell r="U508" t="e">
            <v>#N/A</v>
          </cell>
          <cell r="V508" t="e">
            <v>#N/A</v>
          </cell>
          <cell r="W508" t="e">
            <v>#N/A</v>
          </cell>
          <cell r="X508" t="e">
            <v>#N/A</v>
          </cell>
          <cell r="Y508" t="e">
            <v>#N/A</v>
          </cell>
          <cell r="Z508" t="e">
            <v>#N/A</v>
          </cell>
        </row>
        <row r="509">
          <cell r="A509" t="e">
            <v>#N/A</v>
          </cell>
          <cell r="B509" t="e">
            <v>#N/A</v>
          </cell>
          <cell r="C509" t="e">
            <v>#N/A</v>
          </cell>
          <cell r="O509" t="e">
            <v>#N/A</v>
          </cell>
          <cell r="P509" t="e">
            <v>#N/A</v>
          </cell>
          <cell r="Q509" t="e">
            <v>#N/A</v>
          </cell>
          <cell r="R509" t="e">
            <v>#N/A</v>
          </cell>
          <cell r="S509" t="e">
            <v>#N/A</v>
          </cell>
          <cell r="T509" t="e">
            <v>#N/A</v>
          </cell>
          <cell r="U509" t="e">
            <v>#N/A</v>
          </cell>
          <cell r="V509" t="e">
            <v>#N/A</v>
          </cell>
          <cell r="W509" t="e">
            <v>#N/A</v>
          </cell>
          <cell r="X509" t="e">
            <v>#N/A</v>
          </cell>
          <cell r="Y509" t="e">
            <v>#N/A</v>
          </cell>
          <cell r="Z509" t="e">
            <v>#N/A</v>
          </cell>
        </row>
        <row r="510">
          <cell r="A510" t="e">
            <v>#N/A</v>
          </cell>
          <cell r="B510" t="e">
            <v>#N/A</v>
          </cell>
          <cell r="C510" t="e">
            <v>#N/A</v>
          </cell>
          <cell r="O510" t="e">
            <v>#N/A</v>
          </cell>
          <cell r="P510" t="e">
            <v>#N/A</v>
          </cell>
          <cell r="Q510" t="e">
            <v>#N/A</v>
          </cell>
          <cell r="R510" t="e">
            <v>#N/A</v>
          </cell>
          <cell r="S510" t="e">
            <v>#N/A</v>
          </cell>
          <cell r="T510" t="e">
            <v>#N/A</v>
          </cell>
          <cell r="U510" t="e">
            <v>#N/A</v>
          </cell>
          <cell r="V510" t="e">
            <v>#N/A</v>
          </cell>
          <cell r="W510" t="e">
            <v>#N/A</v>
          </cell>
          <cell r="X510" t="e">
            <v>#N/A</v>
          </cell>
          <cell r="Y510" t="e">
            <v>#N/A</v>
          </cell>
          <cell r="Z510" t="e">
            <v>#N/A</v>
          </cell>
        </row>
        <row r="511">
          <cell r="A511" t="e">
            <v>#N/A</v>
          </cell>
          <cell r="B511" t="e">
            <v>#N/A</v>
          </cell>
          <cell r="C511" t="e">
            <v>#N/A</v>
          </cell>
          <cell r="O511" t="e">
            <v>#N/A</v>
          </cell>
          <cell r="P511" t="e">
            <v>#N/A</v>
          </cell>
          <cell r="Q511" t="e">
            <v>#N/A</v>
          </cell>
          <cell r="R511" t="e">
            <v>#N/A</v>
          </cell>
          <cell r="S511" t="e">
            <v>#N/A</v>
          </cell>
          <cell r="T511" t="e">
            <v>#N/A</v>
          </cell>
          <cell r="U511" t="e">
            <v>#N/A</v>
          </cell>
          <cell r="V511" t="e">
            <v>#N/A</v>
          </cell>
          <cell r="W511" t="e">
            <v>#N/A</v>
          </cell>
          <cell r="X511" t="e">
            <v>#N/A</v>
          </cell>
          <cell r="Y511" t="e">
            <v>#N/A</v>
          </cell>
          <cell r="Z511" t="e">
            <v>#N/A</v>
          </cell>
        </row>
        <row r="512">
          <cell r="A512" t="e">
            <v>#N/A</v>
          </cell>
          <cell r="B512" t="e">
            <v>#N/A</v>
          </cell>
          <cell r="C512" t="e">
            <v>#N/A</v>
          </cell>
          <cell r="O512" t="e">
            <v>#N/A</v>
          </cell>
          <cell r="P512" t="e">
            <v>#N/A</v>
          </cell>
          <cell r="Q512" t="e">
            <v>#N/A</v>
          </cell>
          <cell r="R512" t="e">
            <v>#N/A</v>
          </cell>
          <cell r="S512" t="e">
            <v>#N/A</v>
          </cell>
          <cell r="T512" t="e">
            <v>#N/A</v>
          </cell>
          <cell r="U512" t="e">
            <v>#N/A</v>
          </cell>
          <cell r="V512" t="e">
            <v>#N/A</v>
          </cell>
          <cell r="W512" t="e">
            <v>#N/A</v>
          </cell>
          <cell r="X512" t="e">
            <v>#N/A</v>
          </cell>
          <cell r="Y512" t="e">
            <v>#N/A</v>
          </cell>
          <cell r="Z512" t="e">
            <v>#N/A</v>
          </cell>
        </row>
        <row r="513">
          <cell r="A513" t="e">
            <v>#N/A</v>
          </cell>
          <cell r="B513" t="e">
            <v>#N/A</v>
          </cell>
          <cell r="C513" t="e">
            <v>#N/A</v>
          </cell>
          <cell r="O513" t="e">
            <v>#N/A</v>
          </cell>
          <cell r="P513" t="e">
            <v>#N/A</v>
          </cell>
          <cell r="Q513" t="e">
            <v>#N/A</v>
          </cell>
          <cell r="R513" t="e">
            <v>#N/A</v>
          </cell>
          <cell r="S513" t="e">
            <v>#N/A</v>
          </cell>
          <cell r="T513" t="e">
            <v>#N/A</v>
          </cell>
          <cell r="U513" t="e">
            <v>#N/A</v>
          </cell>
          <cell r="V513" t="e">
            <v>#N/A</v>
          </cell>
          <cell r="W513" t="e">
            <v>#N/A</v>
          </cell>
          <cell r="X513" t="e">
            <v>#N/A</v>
          </cell>
          <cell r="Y513" t="e">
            <v>#N/A</v>
          </cell>
          <cell r="Z513" t="e">
            <v>#N/A</v>
          </cell>
        </row>
        <row r="514">
          <cell r="A514" t="e">
            <v>#N/A</v>
          </cell>
          <cell r="B514" t="e">
            <v>#N/A</v>
          </cell>
          <cell r="C514" t="e">
            <v>#N/A</v>
          </cell>
          <cell r="O514" t="e">
            <v>#N/A</v>
          </cell>
          <cell r="P514" t="e">
            <v>#N/A</v>
          </cell>
          <cell r="Q514" t="e">
            <v>#N/A</v>
          </cell>
          <cell r="R514" t="e">
            <v>#N/A</v>
          </cell>
          <cell r="S514" t="e">
            <v>#N/A</v>
          </cell>
          <cell r="T514" t="e">
            <v>#N/A</v>
          </cell>
          <cell r="U514" t="e">
            <v>#N/A</v>
          </cell>
          <cell r="V514" t="e">
            <v>#N/A</v>
          </cell>
          <cell r="W514" t="e">
            <v>#N/A</v>
          </cell>
          <cell r="X514" t="e">
            <v>#N/A</v>
          </cell>
          <cell r="Y514" t="e">
            <v>#N/A</v>
          </cell>
          <cell r="Z514" t="e">
            <v>#N/A</v>
          </cell>
        </row>
        <row r="515">
          <cell r="A515" t="e">
            <v>#N/A</v>
          </cell>
          <cell r="B515" t="e">
            <v>#N/A</v>
          </cell>
          <cell r="C515" t="e">
            <v>#N/A</v>
          </cell>
          <cell r="O515" t="e">
            <v>#N/A</v>
          </cell>
          <cell r="P515" t="e">
            <v>#N/A</v>
          </cell>
          <cell r="Q515" t="e">
            <v>#N/A</v>
          </cell>
          <cell r="R515" t="e">
            <v>#N/A</v>
          </cell>
          <cell r="S515" t="e">
            <v>#N/A</v>
          </cell>
          <cell r="T515" t="e">
            <v>#N/A</v>
          </cell>
          <cell r="U515" t="e">
            <v>#N/A</v>
          </cell>
          <cell r="V515" t="e">
            <v>#N/A</v>
          </cell>
          <cell r="W515" t="e">
            <v>#N/A</v>
          </cell>
          <cell r="X515" t="e">
            <v>#N/A</v>
          </cell>
          <cell r="Y515" t="e">
            <v>#N/A</v>
          </cell>
          <cell r="Z515" t="e">
            <v>#N/A</v>
          </cell>
        </row>
        <row r="516">
          <cell r="A516" t="e">
            <v>#N/A</v>
          </cell>
          <cell r="B516" t="e">
            <v>#N/A</v>
          </cell>
          <cell r="C516" t="e">
            <v>#N/A</v>
          </cell>
          <cell r="O516" t="e">
            <v>#N/A</v>
          </cell>
          <cell r="P516" t="e">
            <v>#N/A</v>
          </cell>
          <cell r="Q516" t="e">
            <v>#N/A</v>
          </cell>
          <cell r="R516" t="e">
            <v>#N/A</v>
          </cell>
          <cell r="S516" t="e">
            <v>#N/A</v>
          </cell>
          <cell r="T516" t="e">
            <v>#N/A</v>
          </cell>
          <cell r="U516" t="e">
            <v>#N/A</v>
          </cell>
          <cell r="V516" t="e">
            <v>#N/A</v>
          </cell>
          <cell r="W516" t="e">
            <v>#N/A</v>
          </cell>
          <cell r="X516" t="e">
            <v>#N/A</v>
          </cell>
          <cell r="Y516" t="e">
            <v>#N/A</v>
          </cell>
          <cell r="Z516" t="e">
            <v>#N/A</v>
          </cell>
        </row>
        <row r="517">
          <cell r="A517" t="e">
            <v>#N/A</v>
          </cell>
          <cell r="B517" t="e">
            <v>#N/A</v>
          </cell>
          <cell r="C517" t="e">
            <v>#N/A</v>
          </cell>
          <cell r="O517" t="e">
            <v>#N/A</v>
          </cell>
          <cell r="P517" t="e">
            <v>#N/A</v>
          </cell>
          <cell r="Q517" t="e">
            <v>#N/A</v>
          </cell>
          <cell r="R517" t="e">
            <v>#N/A</v>
          </cell>
          <cell r="S517" t="e">
            <v>#N/A</v>
          </cell>
          <cell r="T517" t="e">
            <v>#N/A</v>
          </cell>
          <cell r="U517" t="e">
            <v>#N/A</v>
          </cell>
          <cell r="V517" t="e">
            <v>#N/A</v>
          </cell>
          <cell r="W517" t="e">
            <v>#N/A</v>
          </cell>
          <cell r="X517" t="e">
            <v>#N/A</v>
          </cell>
          <cell r="Y517" t="e">
            <v>#N/A</v>
          </cell>
          <cell r="Z517" t="e">
            <v>#N/A</v>
          </cell>
        </row>
        <row r="518">
          <cell r="A518" t="e">
            <v>#N/A</v>
          </cell>
          <cell r="B518" t="e">
            <v>#N/A</v>
          </cell>
          <cell r="C518" t="e">
            <v>#N/A</v>
          </cell>
          <cell r="O518" t="e">
            <v>#N/A</v>
          </cell>
          <cell r="P518" t="e">
            <v>#N/A</v>
          </cell>
          <cell r="Q518" t="e">
            <v>#N/A</v>
          </cell>
          <cell r="R518" t="e">
            <v>#N/A</v>
          </cell>
          <cell r="S518" t="e">
            <v>#N/A</v>
          </cell>
          <cell r="T518" t="e">
            <v>#N/A</v>
          </cell>
          <cell r="U518" t="e">
            <v>#N/A</v>
          </cell>
          <cell r="V518" t="e">
            <v>#N/A</v>
          </cell>
          <cell r="W518" t="e">
            <v>#N/A</v>
          </cell>
          <cell r="X518" t="e">
            <v>#N/A</v>
          </cell>
          <cell r="Y518" t="e">
            <v>#N/A</v>
          </cell>
          <cell r="Z518" t="e">
            <v>#N/A</v>
          </cell>
        </row>
        <row r="519">
          <cell r="A519" t="e">
            <v>#N/A</v>
          </cell>
          <cell r="B519" t="e">
            <v>#N/A</v>
          </cell>
          <cell r="C519" t="e">
            <v>#N/A</v>
          </cell>
          <cell r="O519" t="e">
            <v>#N/A</v>
          </cell>
          <cell r="P519" t="e">
            <v>#N/A</v>
          </cell>
          <cell r="Q519" t="e">
            <v>#N/A</v>
          </cell>
          <cell r="R519" t="e">
            <v>#N/A</v>
          </cell>
          <cell r="S519" t="e">
            <v>#N/A</v>
          </cell>
          <cell r="T519" t="e">
            <v>#N/A</v>
          </cell>
          <cell r="U519" t="e">
            <v>#N/A</v>
          </cell>
          <cell r="V519" t="e">
            <v>#N/A</v>
          </cell>
          <cell r="W519" t="e">
            <v>#N/A</v>
          </cell>
          <cell r="X519" t="e">
            <v>#N/A</v>
          </cell>
          <cell r="Y519" t="e">
            <v>#N/A</v>
          </cell>
          <cell r="Z519" t="e">
            <v>#N/A</v>
          </cell>
        </row>
        <row r="520">
          <cell r="A520" t="e">
            <v>#N/A</v>
          </cell>
          <cell r="B520" t="e">
            <v>#N/A</v>
          </cell>
          <cell r="C520" t="e">
            <v>#N/A</v>
          </cell>
          <cell r="O520" t="e">
            <v>#N/A</v>
          </cell>
          <cell r="P520" t="e">
            <v>#N/A</v>
          </cell>
          <cell r="Q520" t="e">
            <v>#N/A</v>
          </cell>
          <cell r="R520" t="e">
            <v>#N/A</v>
          </cell>
          <cell r="S520" t="e">
            <v>#N/A</v>
          </cell>
          <cell r="T520" t="e">
            <v>#N/A</v>
          </cell>
          <cell r="U520" t="e">
            <v>#N/A</v>
          </cell>
          <cell r="V520" t="e">
            <v>#N/A</v>
          </cell>
          <cell r="W520" t="e">
            <v>#N/A</v>
          </cell>
          <cell r="X520" t="e">
            <v>#N/A</v>
          </cell>
          <cell r="Y520" t="e">
            <v>#N/A</v>
          </cell>
          <cell r="Z520" t="e">
            <v>#N/A</v>
          </cell>
        </row>
        <row r="521">
          <cell r="A521" t="e">
            <v>#N/A</v>
          </cell>
          <cell r="B521" t="e">
            <v>#N/A</v>
          </cell>
          <cell r="C521" t="e">
            <v>#N/A</v>
          </cell>
          <cell r="O521" t="e">
            <v>#N/A</v>
          </cell>
          <cell r="P521" t="e">
            <v>#N/A</v>
          </cell>
          <cell r="Q521" t="e">
            <v>#N/A</v>
          </cell>
          <cell r="R521" t="e">
            <v>#N/A</v>
          </cell>
          <cell r="S521" t="e">
            <v>#N/A</v>
          </cell>
          <cell r="T521" t="e">
            <v>#N/A</v>
          </cell>
          <cell r="U521" t="e">
            <v>#N/A</v>
          </cell>
          <cell r="V521" t="e">
            <v>#N/A</v>
          </cell>
          <cell r="W521" t="e">
            <v>#N/A</v>
          </cell>
          <cell r="X521" t="e">
            <v>#N/A</v>
          </cell>
          <cell r="Y521" t="e">
            <v>#N/A</v>
          </cell>
          <cell r="Z521" t="e">
            <v>#N/A</v>
          </cell>
        </row>
        <row r="522">
          <cell r="A522" t="e">
            <v>#N/A</v>
          </cell>
          <cell r="B522" t="e">
            <v>#N/A</v>
          </cell>
          <cell r="C522" t="e">
            <v>#N/A</v>
          </cell>
          <cell r="O522" t="e">
            <v>#N/A</v>
          </cell>
          <cell r="P522" t="e">
            <v>#N/A</v>
          </cell>
          <cell r="Q522" t="e">
            <v>#N/A</v>
          </cell>
          <cell r="R522" t="e">
            <v>#N/A</v>
          </cell>
          <cell r="S522" t="e">
            <v>#N/A</v>
          </cell>
          <cell r="T522" t="e">
            <v>#N/A</v>
          </cell>
          <cell r="U522" t="e">
            <v>#N/A</v>
          </cell>
          <cell r="V522" t="e">
            <v>#N/A</v>
          </cell>
          <cell r="W522" t="e">
            <v>#N/A</v>
          </cell>
          <cell r="X522" t="e">
            <v>#N/A</v>
          </cell>
          <cell r="Y522" t="e">
            <v>#N/A</v>
          </cell>
          <cell r="Z522" t="e">
            <v>#N/A</v>
          </cell>
        </row>
        <row r="523">
          <cell r="A523" t="e">
            <v>#N/A</v>
          </cell>
          <cell r="B523" t="e">
            <v>#N/A</v>
          </cell>
          <cell r="C523" t="e">
            <v>#N/A</v>
          </cell>
          <cell r="O523" t="e">
            <v>#N/A</v>
          </cell>
          <cell r="P523" t="e">
            <v>#N/A</v>
          </cell>
          <cell r="Q523" t="e">
            <v>#N/A</v>
          </cell>
          <cell r="R523" t="e">
            <v>#N/A</v>
          </cell>
          <cell r="S523" t="e">
            <v>#N/A</v>
          </cell>
          <cell r="T523" t="e">
            <v>#N/A</v>
          </cell>
          <cell r="U523" t="e">
            <v>#N/A</v>
          </cell>
          <cell r="V523" t="e">
            <v>#N/A</v>
          </cell>
          <cell r="W523" t="e">
            <v>#N/A</v>
          </cell>
          <cell r="X523" t="e">
            <v>#N/A</v>
          </cell>
          <cell r="Y523" t="e">
            <v>#N/A</v>
          </cell>
          <cell r="Z523" t="e">
            <v>#N/A</v>
          </cell>
        </row>
        <row r="524">
          <cell r="A524" t="e">
            <v>#N/A</v>
          </cell>
          <cell r="B524" t="e">
            <v>#N/A</v>
          </cell>
          <cell r="C524" t="e">
            <v>#N/A</v>
          </cell>
          <cell r="O524" t="e">
            <v>#N/A</v>
          </cell>
          <cell r="P524" t="e">
            <v>#N/A</v>
          </cell>
          <cell r="Q524" t="e">
            <v>#N/A</v>
          </cell>
          <cell r="R524" t="e">
            <v>#N/A</v>
          </cell>
          <cell r="S524" t="e">
            <v>#N/A</v>
          </cell>
          <cell r="T524" t="e">
            <v>#N/A</v>
          </cell>
          <cell r="U524" t="e">
            <v>#N/A</v>
          </cell>
          <cell r="V524" t="e">
            <v>#N/A</v>
          </cell>
          <cell r="W524" t="e">
            <v>#N/A</v>
          </cell>
          <cell r="X524" t="e">
            <v>#N/A</v>
          </cell>
          <cell r="Y524" t="e">
            <v>#N/A</v>
          </cell>
          <cell r="Z524" t="e">
            <v>#N/A</v>
          </cell>
        </row>
        <row r="525">
          <cell r="A525" t="e">
            <v>#N/A</v>
          </cell>
          <cell r="B525" t="e">
            <v>#N/A</v>
          </cell>
          <cell r="C525" t="e">
            <v>#N/A</v>
          </cell>
          <cell r="O525" t="e">
            <v>#N/A</v>
          </cell>
          <cell r="P525" t="e">
            <v>#N/A</v>
          </cell>
          <cell r="Q525" t="e">
            <v>#N/A</v>
          </cell>
          <cell r="R525" t="e">
            <v>#N/A</v>
          </cell>
          <cell r="S525" t="e">
            <v>#N/A</v>
          </cell>
          <cell r="T525" t="e">
            <v>#N/A</v>
          </cell>
          <cell r="U525" t="e">
            <v>#N/A</v>
          </cell>
          <cell r="V525" t="e">
            <v>#N/A</v>
          </cell>
          <cell r="W525" t="e">
            <v>#N/A</v>
          </cell>
          <cell r="X525" t="e">
            <v>#N/A</v>
          </cell>
          <cell r="Y525" t="e">
            <v>#N/A</v>
          </cell>
          <cell r="Z525" t="e">
            <v>#N/A</v>
          </cell>
        </row>
        <row r="526">
          <cell r="A526" t="e">
            <v>#N/A</v>
          </cell>
          <cell r="B526" t="e">
            <v>#N/A</v>
          </cell>
          <cell r="C526" t="e">
            <v>#N/A</v>
          </cell>
          <cell r="O526" t="e">
            <v>#N/A</v>
          </cell>
          <cell r="P526" t="e">
            <v>#N/A</v>
          </cell>
          <cell r="Q526" t="e">
            <v>#N/A</v>
          </cell>
          <cell r="R526" t="e">
            <v>#N/A</v>
          </cell>
          <cell r="S526" t="e">
            <v>#N/A</v>
          </cell>
          <cell r="T526" t="e">
            <v>#N/A</v>
          </cell>
          <cell r="U526" t="e">
            <v>#N/A</v>
          </cell>
          <cell r="V526" t="e">
            <v>#N/A</v>
          </cell>
          <cell r="W526" t="e">
            <v>#N/A</v>
          </cell>
          <cell r="X526" t="e">
            <v>#N/A</v>
          </cell>
          <cell r="Y526" t="e">
            <v>#N/A</v>
          </cell>
          <cell r="Z526" t="e">
            <v>#N/A</v>
          </cell>
        </row>
        <row r="527">
          <cell r="A527" t="e">
            <v>#N/A</v>
          </cell>
          <cell r="B527" t="e">
            <v>#N/A</v>
          </cell>
          <cell r="C527" t="e">
            <v>#N/A</v>
          </cell>
          <cell r="O527" t="e">
            <v>#N/A</v>
          </cell>
          <cell r="P527" t="e">
            <v>#N/A</v>
          </cell>
          <cell r="Q527" t="e">
            <v>#N/A</v>
          </cell>
          <cell r="R527" t="e">
            <v>#N/A</v>
          </cell>
          <cell r="S527" t="e">
            <v>#N/A</v>
          </cell>
          <cell r="T527" t="e">
            <v>#N/A</v>
          </cell>
          <cell r="U527" t="e">
            <v>#N/A</v>
          </cell>
          <cell r="V527" t="e">
            <v>#N/A</v>
          </cell>
          <cell r="W527" t="e">
            <v>#N/A</v>
          </cell>
          <cell r="X527" t="e">
            <v>#N/A</v>
          </cell>
          <cell r="Y527" t="e">
            <v>#N/A</v>
          </cell>
          <cell r="Z527" t="e">
            <v>#N/A</v>
          </cell>
        </row>
        <row r="528">
          <cell r="A528" t="e">
            <v>#N/A</v>
          </cell>
          <cell r="B528" t="e">
            <v>#N/A</v>
          </cell>
          <cell r="C528" t="e">
            <v>#N/A</v>
          </cell>
          <cell r="O528" t="e">
            <v>#N/A</v>
          </cell>
          <cell r="P528" t="e">
            <v>#N/A</v>
          </cell>
          <cell r="Q528" t="e">
            <v>#N/A</v>
          </cell>
          <cell r="R528" t="e">
            <v>#N/A</v>
          </cell>
          <cell r="S528" t="e">
            <v>#N/A</v>
          </cell>
          <cell r="T528" t="e">
            <v>#N/A</v>
          </cell>
          <cell r="U528" t="e">
            <v>#N/A</v>
          </cell>
          <cell r="V528" t="e">
            <v>#N/A</v>
          </cell>
          <cell r="W528" t="e">
            <v>#N/A</v>
          </cell>
          <cell r="X528" t="e">
            <v>#N/A</v>
          </cell>
          <cell r="Y528" t="e">
            <v>#N/A</v>
          </cell>
          <cell r="Z528" t="e">
            <v>#N/A</v>
          </cell>
        </row>
        <row r="529">
          <cell r="A529" t="e">
            <v>#N/A</v>
          </cell>
          <cell r="B529" t="e">
            <v>#N/A</v>
          </cell>
          <cell r="C529" t="e">
            <v>#N/A</v>
          </cell>
          <cell r="O529" t="e">
            <v>#N/A</v>
          </cell>
          <cell r="P529" t="e">
            <v>#N/A</v>
          </cell>
          <cell r="Q529" t="e">
            <v>#N/A</v>
          </cell>
          <cell r="R529" t="e">
            <v>#N/A</v>
          </cell>
          <cell r="S529" t="e">
            <v>#N/A</v>
          </cell>
          <cell r="T529" t="e">
            <v>#N/A</v>
          </cell>
          <cell r="U529" t="e">
            <v>#N/A</v>
          </cell>
          <cell r="V529" t="e">
            <v>#N/A</v>
          </cell>
          <cell r="W529" t="e">
            <v>#N/A</v>
          </cell>
          <cell r="X529" t="e">
            <v>#N/A</v>
          </cell>
          <cell r="Y529" t="e">
            <v>#N/A</v>
          </cell>
          <cell r="Z529" t="e">
            <v>#N/A</v>
          </cell>
        </row>
        <row r="530">
          <cell r="A530" t="e">
            <v>#N/A</v>
          </cell>
          <cell r="B530" t="e">
            <v>#N/A</v>
          </cell>
          <cell r="C530" t="e">
            <v>#N/A</v>
          </cell>
          <cell r="O530" t="e">
            <v>#N/A</v>
          </cell>
          <cell r="P530" t="e">
            <v>#N/A</v>
          </cell>
          <cell r="Q530" t="e">
            <v>#N/A</v>
          </cell>
          <cell r="R530" t="e">
            <v>#N/A</v>
          </cell>
          <cell r="S530" t="e">
            <v>#N/A</v>
          </cell>
          <cell r="T530" t="e">
            <v>#N/A</v>
          </cell>
          <cell r="U530" t="e">
            <v>#N/A</v>
          </cell>
          <cell r="V530" t="e">
            <v>#N/A</v>
          </cell>
          <cell r="W530" t="e">
            <v>#N/A</v>
          </cell>
          <cell r="X530" t="e">
            <v>#N/A</v>
          </cell>
          <cell r="Y530" t="e">
            <v>#N/A</v>
          </cell>
          <cell r="Z530" t="e">
            <v>#N/A</v>
          </cell>
        </row>
        <row r="531">
          <cell r="A531" t="e">
            <v>#N/A</v>
          </cell>
          <cell r="B531" t="e">
            <v>#N/A</v>
          </cell>
          <cell r="C531" t="e">
            <v>#N/A</v>
          </cell>
          <cell r="O531" t="e">
            <v>#N/A</v>
          </cell>
          <cell r="P531" t="e">
            <v>#N/A</v>
          </cell>
          <cell r="Q531" t="e">
            <v>#N/A</v>
          </cell>
          <cell r="R531" t="e">
            <v>#N/A</v>
          </cell>
          <cell r="S531" t="e">
            <v>#N/A</v>
          </cell>
          <cell r="T531" t="e">
            <v>#N/A</v>
          </cell>
          <cell r="U531" t="e">
            <v>#N/A</v>
          </cell>
          <cell r="V531" t="e">
            <v>#N/A</v>
          </cell>
          <cell r="W531" t="e">
            <v>#N/A</v>
          </cell>
          <cell r="X531" t="e">
            <v>#N/A</v>
          </cell>
          <cell r="Y531" t="e">
            <v>#N/A</v>
          </cell>
          <cell r="Z531" t="e">
            <v>#N/A</v>
          </cell>
        </row>
        <row r="532">
          <cell r="A532" t="e">
            <v>#N/A</v>
          </cell>
          <cell r="B532" t="e">
            <v>#N/A</v>
          </cell>
          <cell r="C532" t="e">
            <v>#N/A</v>
          </cell>
          <cell r="O532" t="e">
            <v>#N/A</v>
          </cell>
          <cell r="P532" t="e">
            <v>#N/A</v>
          </cell>
          <cell r="Q532" t="e">
            <v>#N/A</v>
          </cell>
          <cell r="R532" t="e">
            <v>#N/A</v>
          </cell>
          <cell r="S532" t="e">
            <v>#N/A</v>
          </cell>
          <cell r="T532" t="e">
            <v>#N/A</v>
          </cell>
          <cell r="U532" t="e">
            <v>#N/A</v>
          </cell>
          <cell r="V532" t="e">
            <v>#N/A</v>
          </cell>
          <cell r="W532" t="e">
            <v>#N/A</v>
          </cell>
          <cell r="X532" t="e">
            <v>#N/A</v>
          </cell>
          <cell r="Y532" t="e">
            <v>#N/A</v>
          </cell>
          <cell r="Z532" t="e">
            <v>#N/A</v>
          </cell>
        </row>
        <row r="533">
          <cell r="A533" t="e">
            <v>#N/A</v>
          </cell>
          <cell r="B533" t="e">
            <v>#N/A</v>
          </cell>
          <cell r="C533" t="e">
            <v>#N/A</v>
          </cell>
          <cell r="O533" t="e">
            <v>#N/A</v>
          </cell>
          <cell r="P533" t="e">
            <v>#N/A</v>
          </cell>
          <cell r="Q533" t="e">
            <v>#N/A</v>
          </cell>
          <cell r="R533" t="e">
            <v>#N/A</v>
          </cell>
          <cell r="S533" t="e">
            <v>#N/A</v>
          </cell>
          <cell r="T533" t="e">
            <v>#N/A</v>
          </cell>
          <cell r="U533" t="e">
            <v>#N/A</v>
          </cell>
          <cell r="V533" t="e">
            <v>#N/A</v>
          </cell>
          <cell r="W533" t="e">
            <v>#N/A</v>
          </cell>
          <cell r="X533" t="e">
            <v>#N/A</v>
          </cell>
          <cell r="Y533" t="e">
            <v>#N/A</v>
          </cell>
          <cell r="Z533" t="e">
            <v>#N/A</v>
          </cell>
        </row>
        <row r="534">
          <cell r="A534" t="e">
            <v>#N/A</v>
          </cell>
          <cell r="B534" t="e">
            <v>#N/A</v>
          </cell>
          <cell r="C534" t="e">
            <v>#N/A</v>
          </cell>
          <cell r="O534" t="e">
            <v>#N/A</v>
          </cell>
          <cell r="P534" t="e">
            <v>#N/A</v>
          </cell>
          <cell r="Q534" t="e">
            <v>#N/A</v>
          </cell>
          <cell r="R534" t="e">
            <v>#N/A</v>
          </cell>
          <cell r="S534" t="e">
            <v>#N/A</v>
          </cell>
          <cell r="T534" t="e">
            <v>#N/A</v>
          </cell>
          <cell r="U534" t="e">
            <v>#N/A</v>
          </cell>
          <cell r="V534" t="e">
            <v>#N/A</v>
          </cell>
          <cell r="W534" t="e">
            <v>#N/A</v>
          </cell>
          <cell r="X534" t="e">
            <v>#N/A</v>
          </cell>
          <cell r="Y534" t="e">
            <v>#N/A</v>
          </cell>
          <cell r="Z534" t="e">
            <v>#N/A</v>
          </cell>
        </row>
        <row r="535">
          <cell r="A535" t="e">
            <v>#N/A</v>
          </cell>
          <cell r="B535" t="e">
            <v>#N/A</v>
          </cell>
          <cell r="C535" t="e">
            <v>#N/A</v>
          </cell>
          <cell r="O535" t="e">
            <v>#N/A</v>
          </cell>
          <cell r="P535" t="e">
            <v>#N/A</v>
          </cell>
          <cell r="Q535" t="e">
            <v>#N/A</v>
          </cell>
          <cell r="R535" t="e">
            <v>#N/A</v>
          </cell>
          <cell r="S535" t="e">
            <v>#N/A</v>
          </cell>
          <cell r="T535" t="e">
            <v>#N/A</v>
          </cell>
          <cell r="U535" t="e">
            <v>#N/A</v>
          </cell>
          <cell r="V535" t="e">
            <v>#N/A</v>
          </cell>
          <cell r="W535" t="e">
            <v>#N/A</v>
          </cell>
          <cell r="X535" t="e">
            <v>#N/A</v>
          </cell>
          <cell r="Y535" t="e">
            <v>#N/A</v>
          </cell>
          <cell r="Z535" t="e">
            <v>#N/A</v>
          </cell>
        </row>
        <row r="536">
          <cell r="A536" t="e">
            <v>#N/A</v>
          </cell>
          <cell r="B536" t="e">
            <v>#N/A</v>
          </cell>
          <cell r="C536" t="e">
            <v>#N/A</v>
          </cell>
          <cell r="O536" t="e">
            <v>#N/A</v>
          </cell>
          <cell r="P536" t="e">
            <v>#N/A</v>
          </cell>
          <cell r="Q536" t="e">
            <v>#N/A</v>
          </cell>
          <cell r="R536" t="e">
            <v>#N/A</v>
          </cell>
          <cell r="S536" t="e">
            <v>#N/A</v>
          </cell>
          <cell r="T536" t="e">
            <v>#N/A</v>
          </cell>
          <cell r="U536" t="e">
            <v>#N/A</v>
          </cell>
          <cell r="V536" t="e">
            <v>#N/A</v>
          </cell>
          <cell r="W536" t="e">
            <v>#N/A</v>
          </cell>
          <cell r="X536" t="e">
            <v>#N/A</v>
          </cell>
          <cell r="Y536" t="e">
            <v>#N/A</v>
          </cell>
          <cell r="Z536" t="e">
            <v>#N/A</v>
          </cell>
        </row>
        <row r="537">
          <cell r="A537" t="e">
            <v>#N/A</v>
          </cell>
          <cell r="B537" t="e">
            <v>#N/A</v>
          </cell>
          <cell r="C537" t="e">
            <v>#N/A</v>
          </cell>
          <cell r="O537" t="e">
            <v>#N/A</v>
          </cell>
          <cell r="P537" t="e">
            <v>#N/A</v>
          </cell>
          <cell r="Q537" t="e">
            <v>#N/A</v>
          </cell>
          <cell r="R537" t="e">
            <v>#N/A</v>
          </cell>
          <cell r="S537" t="e">
            <v>#N/A</v>
          </cell>
          <cell r="T537" t="e">
            <v>#N/A</v>
          </cell>
          <cell r="U537" t="e">
            <v>#N/A</v>
          </cell>
          <cell r="V537" t="e">
            <v>#N/A</v>
          </cell>
          <cell r="W537" t="e">
            <v>#N/A</v>
          </cell>
          <cell r="X537" t="e">
            <v>#N/A</v>
          </cell>
          <cell r="Y537" t="e">
            <v>#N/A</v>
          </cell>
          <cell r="Z537" t="e">
            <v>#N/A</v>
          </cell>
        </row>
        <row r="538">
          <cell r="A538" t="e">
            <v>#N/A</v>
          </cell>
          <cell r="B538" t="e">
            <v>#N/A</v>
          </cell>
          <cell r="C538" t="e">
            <v>#N/A</v>
          </cell>
          <cell r="O538" t="e">
            <v>#N/A</v>
          </cell>
          <cell r="P538" t="e">
            <v>#N/A</v>
          </cell>
          <cell r="Q538" t="e">
            <v>#N/A</v>
          </cell>
          <cell r="R538" t="e">
            <v>#N/A</v>
          </cell>
          <cell r="S538" t="e">
            <v>#N/A</v>
          </cell>
          <cell r="T538" t="e">
            <v>#N/A</v>
          </cell>
          <cell r="U538" t="e">
            <v>#N/A</v>
          </cell>
          <cell r="V538" t="e">
            <v>#N/A</v>
          </cell>
          <cell r="W538" t="e">
            <v>#N/A</v>
          </cell>
          <cell r="X538" t="e">
            <v>#N/A</v>
          </cell>
          <cell r="Y538" t="e">
            <v>#N/A</v>
          </cell>
          <cell r="Z538" t="e">
            <v>#N/A</v>
          </cell>
        </row>
        <row r="539">
          <cell r="A539" t="e">
            <v>#N/A</v>
          </cell>
          <cell r="B539" t="e">
            <v>#N/A</v>
          </cell>
          <cell r="C539" t="e">
            <v>#N/A</v>
          </cell>
          <cell r="O539" t="e">
            <v>#N/A</v>
          </cell>
          <cell r="P539" t="e">
            <v>#N/A</v>
          </cell>
          <cell r="Q539" t="e">
            <v>#N/A</v>
          </cell>
          <cell r="R539" t="e">
            <v>#N/A</v>
          </cell>
          <cell r="S539" t="e">
            <v>#N/A</v>
          </cell>
          <cell r="T539" t="e">
            <v>#N/A</v>
          </cell>
          <cell r="U539" t="e">
            <v>#N/A</v>
          </cell>
          <cell r="V539" t="e">
            <v>#N/A</v>
          </cell>
          <cell r="W539" t="e">
            <v>#N/A</v>
          </cell>
          <cell r="X539" t="e">
            <v>#N/A</v>
          </cell>
          <cell r="Y539" t="e">
            <v>#N/A</v>
          </cell>
          <cell r="Z539" t="e">
            <v>#N/A</v>
          </cell>
        </row>
        <row r="540">
          <cell r="A540" t="e">
            <v>#N/A</v>
          </cell>
          <cell r="B540" t="e">
            <v>#N/A</v>
          </cell>
          <cell r="C540" t="e">
            <v>#N/A</v>
          </cell>
          <cell r="O540" t="e">
            <v>#N/A</v>
          </cell>
          <cell r="P540" t="e">
            <v>#N/A</v>
          </cell>
          <cell r="Q540" t="e">
            <v>#N/A</v>
          </cell>
          <cell r="R540" t="e">
            <v>#N/A</v>
          </cell>
          <cell r="S540" t="e">
            <v>#N/A</v>
          </cell>
          <cell r="T540" t="e">
            <v>#N/A</v>
          </cell>
          <cell r="U540" t="e">
            <v>#N/A</v>
          </cell>
          <cell r="V540" t="e">
            <v>#N/A</v>
          </cell>
          <cell r="W540" t="e">
            <v>#N/A</v>
          </cell>
          <cell r="X540" t="e">
            <v>#N/A</v>
          </cell>
          <cell r="Y540" t="e">
            <v>#N/A</v>
          </cell>
          <cell r="Z540" t="e">
            <v>#N/A</v>
          </cell>
        </row>
        <row r="541">
          <cell r="A541" t="e">
            <v>#N/A</v>
          </cell>
          <cell r="B541" t="e">
            <v>#N/A</v>
          </cell>
          <cell r="C541" t="e">
            <v>#N/A</v>
          </cell>
          <cell r="O541" t="e">
            <v>#N/A</v>
          </cell>
          <cell r="P541" t="e">
            <v>#N/A</v>
          </cell>
          <cell r="Q541" t="e">
            <v>#N/A</v>
          </cell>
          <cell r="R541" t="e">
            <v>#N/A</v>
          </cell>
          <cell r="S541" t="e">
            <v>#N/A</v>
          </cell>
          <cell r="T541" t="e">
            <v>#N/A</v>
          </cell>
          <cell r="U541" t="e">
            <v>#N/A</v>
          </cell>
          <cell r="V541" t="e">
            <v>#N/A</v>
          </cell>
          <cell r="W541" t="e">
            <v>#N/A</v>
          </cell>
          <cell r="X541" t="e">
            <v>#N/A</v>
          </cell>
          <cell r="Y541" t="e">
            <v>#N/A</v>
          </cell>
          <cell r="Z541" t="e">
            <v>#N/A</v>
          </cell>
        </row>
        <row r="542">
          <cell r="A542" t="e">
            <v>#N/A</v>
          </cell>
          <cell r="B542" t="e">
            <v>#N/A</v>
          </cell>
          <cell r="C542" t="e">
            <v>#N/A</v>
          </cell>
          <cell r="O542" t="e">
            <v>#N/A</v>
          </cell>
          <cell r="P542" t="e">
            <v>#N/A</v>
          </cell>
          <cell r="Q542" t="e">
            <v>#N/A</v>
          </cell>
          <cell r="R542" t="e">
            <v>#N/A</v>
          </cell>
          <cell r="S542" t="e">
            <v>#N/A</v>
          </cell>
          <cell r="T542" t="e">
            <v>#N/A</v>
          </cell>
          <cell r="U542" t="e">
            <v>#N/A</v>
          </cell>
          <cell r="V542" t="e">
            <v>#N/A</v>
          </cell>
          <cell r="W542" t="e">
            <v>#N/A</v>
          </cell>
          <cell r="X542" t="e">
            <v>#N/A</v>
          </cell>
          <cell r="Y542" t="e">
            <v>#N/A</v>
          </cell>
          <cell r="Z542" t="e">
            <v>#N/A</v>
          </cell>
        </row>
        <row r="543">
          <cell r="A543" t="e">
            <v>#N/A</v>
          </cell>
          <cell r="B543" t="e">
            <v>#N/A</v>
          </cell>
          <cell r="C543" t="e">
            <v>#N/A</v>
          </cell>
          <cell r="O543" t="e">
            <v>#N/A</v>
          </cell>
          <cell r="P543" t="e">
            <v>#N/A</v>
          </cell>
          <cell r="Q543" t="e">
            <v>#N/A</v>
          </cell>
          <cell r="R543" t="e">
            <v>#N/A</v>
          </cell>
          <cell r="S543" t="e">
            <v>#N/A</v>
          </cell>
          <cell r="T543" t="e">
            <v>#N/A</v>
          </cell>
          <cell r="U543" t="e">
            <v>#N/A</v>
          </cell>
          <cell r="V543" t="e">
            <v>#N/A</v>
          </cell>
          <cell r="W543" t="e">
            <v>#N/A</v>
          </cell>
          <cell r="X543" t="e">
            <v>#N/A</v>
          </cell>
          <cell r="Y543" t="e">
            <v>#N/A</v>
          </cell>
          <cell r="Z543" t="e">
            <v>#N/A</v>
          </cell>
        </row>
        <row r="544">
          <cell r="A544" t="e">
            <v>#N/A</v>
          </cell>
          <cell r="B544" t="e">
            <v>#N/A</v>
          </cell>
          <cell r="C544" t="e">
            <v>#N/A</v>
          </cell>
          <cell r="O544" t="e">
            <v>#N/A</v>
          </cell>
          <cell r="P544" t="e">
            <v>#N/A</v>
          </cell>
          <cell r="Q544" t="e">
            <v>#N/A</v>
          </cell>
          <cell r="R544" t="e">
            <v>#N/A</v>
          </cell>
          <cell r="S544" t="e">
            <v>#N/A</v>
          </cell>
          <cell r="T544" t="e">
            <v>#N/A</v>
          </cell>
          <cell r="U544" t="e">
            <v>#N/A</v>
          </cell>
          <cell r="V544" t="e">
            <v>#N/A</v>
          </cell>
          <cell r="W544" t="e">
            <v>#N/A</v>
          </cell>
          <cell r="X544" t="e">
            <v>#N/A</v>
          </cell>
          <cell r="Y544" t="e">
            <v>#N/A</v>
          </cell>
          <cell r="Z544" t="e">
            <v>#N/A</v>
          </cell>
        </row>
        <row r="545">
          <cell r="A545" t="e">
            <v>#N/A</v>
          </cell>
          <cell r="B545" t="e">
            <v>#N/A</v>
          </cell>
          <cell r="C545" t="e">
            <v>#N/A</v>
          </cell>
          <cell r="O545" t="e">
            <v>#N/A</v>
          </cell>
          <cell r="P545" t="e">
            <v>#N/A</v>
          </cell>
          <cell r="Q545" t="e">
            <v>#N/A</v>
          </cell>
          <cell r="R545" t="e">
            <v>#N/A</v>
          </cell>
          <cell r="S545" t="e">
            <v>#N/A</v>
          </cell>
          <cell r="T545" t="e">
            <v>#N/A</v>
          </cell>
          <cell r="U545" t="e">
            <v>#N/A</v>
          </cell>
          <cell r="V545" t="e">
            <v>#N/A</v>
          </cell>
          <cell r="W545" t="e">
            <v>#N/A</v>
          </cell>
          <cell r="X545" t="e">
            <v>#N/A</v>
          </cell>
          <cell r="Y545" t="e">
            <v>#N/A</v>
          </cell>
          <cell r="Z545" t="e">
            <v>#N/A</v>
          </cell>
        </row>
        <row r="546">
          <cell r="A546" t="e">
            <v>#N/A</v>
          </cell>
          <cell r="B546" t="e">
            <v>#N/A</v>
          </cell>
          <cell r="C546" t="e">
            <v>#N/A</v>
          </cell>
          <cell r="O546" t="e">
            <v>#N/A</v>
          </cell>
          <cell r="P546" t="e">
            <v>#N/A</v>
          </cell>
          <cell r="Q546" t="e">
            <v>#N/A</v>
          </cell>
          <cell r="R546" t="e">
            <v>#N/A</v>
          </cell>
          <cell r="S546" t="e">
            <v>#N/A</v>
          </cell>
          <cell r="T546" t="e">
            <v>#N/A</v>
          </cell>
          <cell r="U546" t="e">
            <v>#N/A</v>
          </cell>
          <cell r="V546" t="e">
            <v>#N/A</v>
          </cell>
          <cell r="W546" t="e">
            <v>#N/A</v>
          </cell>
          <cell r="X546" t="e">
            <v>#N/A</v>
          </cell>
          <cell r="Y546" t="e">
            <v>#N/A</v>
          </cell>
          <cell r="Z546" t="e">
            <v>#N/A</v>
          </cell>
        </row>
        <row r="547">
          <cell r="A547" t="e">
            <v>#N/A</v>
          </cell>
          <cell r="B547" t="e">
            <v>#N/A</v>
          </cell>
          <cell r="C547" t="e">
            <v>#N/A</v>
          </cell>
          <cell r="O547" t="e">
            <v>#N/A</v>
          </cell>
          <cell r="P547" t="e">
            <v>#N/A</v>
          </cell>
          <cell r="Q547" t="e">
            <v>#N/A</v>
          </cell>
          <cell r="R547" t="e">
            <v>#N/A</v>
          </cell>
          <cell r="S547" t="e">
            <v>#N/A</v>
          </cell>
          <cell r="T547" t="e">
            <v>#N/A</v>
          </cell>
          <cell r="U547" t="e">
            <v>#N/A</v>
          </cell>
          <cell r="V547" t="e">
            <v>#N/A</v>
          </cell>
          <cell r="W547" t="e">
            <v>#N/A</v>
          </cell>
          <cell r="X547" t="e">
            <v>#N/A</v>
          </cell>
          <cell r="Y547" t="e">
            <v>#N/A</v>
          </cell>
          <cell r="Z547" t="e">
            <v>#N/A</v>
          </cell>
        </row>
        <row r="548">
          <cell r="A548" t="e">
            <v>#N/A</v>
          </cell>
          <cell r="B548" t="e">
            <v>#N/A</v>
          </cell>
          <cell r="C548" t="e">
            <v>#N/A</v>
          </cell>
          <cell r="O548" t="e">
            <v>#N/A</v>
          </cell>
          <cell r="P548" t="e">
            <v>#N/A</v>
          </cell>
          <cell r="Q548" t="e">
            <v>#N/A</v>
          </cell>
          <cell r="R548" t="e">
            <v>#N/A</v>
          </cell>
          <cell r="S548" t="e">
            <v>#N/A</v>
          </cell>
          <cell r="T548" t="e">
            <v>#N/A</v>
          </cell>
          <cell r="U548" t="e">
            <v>#N/A</v>
          </cell>
          <cell r="V548" t="e">
            <v>#N/A</v>
          </cell>
          <cell r="W548" t="e">
            <v>#N/A</v>
          </cell>
          <cell r="X548" t="e">
            <v>#N/A</v>
          </cell>
          <cell r="Y548" t="e">
            <v>#N/A</v>
          </cell>
          <cell r="Z548" t="e">
            <v>#N/A</v>
          </cell>
        </row>
        <row r="549">
          <cell r="A549" t="e">
            <v>#N/A</v>
          </cell>
          <cell r="B549" t="e">
            <v>#N/A</v>
          </cell>
          <cell r="C549" t="e">
            <v>#N/A</v>
          </cell>
          <cell r="O549" t="e">
            <v>#N/A</v>
          </cell>
          <cell r="P549" t="e">
            <v>#N/A</v>
          </cell>
          <cell r="Q549" t="e">
            <v>#N/A</v>
          </cell>
          <cell r="R549" t="e">
            <v>#N/A</v>
          </cell>
          <cell r="S549" t="e">
            <v>#N/A</v>
          </cell>
          <cell r="T549" t="e">
            <v>#N/A</v>
          </cell>
          <cell r="U549" t="e">
            <v>#N/A</v>
          </cell>
          <cell r="V549" t="e">
            <v>#N/A</v>
          </cell>
          <cell r="W549" t="e">
            <v>#N/A</v>
          </cell>
          <cell r="X549" t="e">
            <v>#N/A</v>
          </cell>
          <cell r="Y549" t="e">
            <v>#N/A</v>
          </cell>
          <cell r="Z549" t="e">
            <v>#N/A</v>
          </cell>
        </row>
        <row r="550">
          <cell r="A550" t="e">
            <v>#N/A</v>
          </cell>
          <cell r="B550" t="e">
            <v>#N/A</v>
          </cell>
          <cell r="C550" t="e">
            <v>#N/A</v>
          </cell>
          <cell r="O550" t="e">
            <v>#N/A</v>
          </cell>
          <cell r="P550" t="e">
            <v>#N/A</v>
          </cell>
          <cell r="Q550" t="e">
            <v>#N/A</v>
          </cell>
          <cell r="R550" t="e">
            <v>#N/A</v>
          </cell>
          <cell r="S550" t="e">
            <v>#N/A</v>
          </cell>
          <cell r="T550" t="e">
            <v>#N/A</v>
          </cell>
          <cell r="U550" t="e">
            <v>#N/A</v>
          </cell>
          <cell r="V550" t="e">
            <v>#N/A</v>
          </cell>
          <cell r="W550" t="e">
            <v>#N/A</v>
          </cell>
          <cell r="X550" t="e">
            <v>#N/A</v>
          </cell>
          <cell r="Y550" t="e">
            <v>#N/A</v>
          </cell>
          <cell r="Z550" t="e">
            <v>#N/A</v>
          </cell>
        </row>
        <row r="551">
          <cell r="A551" t="e">
            <v>#N/A</v>
          </cell>
          <cell r="B551" t="e">
            <v>#N/A</v>
          </cell>
          <cell r="C551" t="e">
            <v>#N/A</v>
          </cell>
          <cell r="O551" t="e">
            <v>#N/A</v>
          </cell>
          <cell r="P551" t="e">
            <v>#N/A</v>
          </cell>
          <cell r="Q551" t="e">
            <v>#N/A</v>
          </cell>
          <cell r="R551" t="e">
            <v>#N/A</v>
          </cell>
          <cell r="S551" t="e">
            <v>#N/A</v>
          </cell>
          <cell r="T551" t="e">
            <v>#N/A</v>
          </cell>
          <cell r="U551" t="e">
            <v>#N/A</v>
          </cell>
          <cell r="V551" t="e">
            <v>#N/A</v>
          </cell>
          <cell r="W551" t="e">
            <v>#N/A</v>
          </cell>
          <cell r="X551" t="e">
            <v>#N/A</v>
          </cell>
          <cell r="Y551" t="e">
            <v>#N/A</v>
          </cell>
          <cell r="Z551" t="e">
            <v>#N/A</v>
          </cell>
        </row>
        <row r="552">
          <cell r="A552" t="e">
            <v>#N/A</v>
          </cell>
          <cell r="B552" t="e">
            <v>#N/A</v>
          </cell>
          <cell r="C552" t="e">
            <v>#N/A</v>
          </cell>
          <cell r="O552" t="e">
            <v>#N/A</v>
          </cell>
          <cell r="P552" t="e">
            <v>#N/A</v>
          </cell>
          <cell r="Q552" t="e">
            <v>#N/A</v>
          </cell>
          <cell r="R552" t="e">
            <v>#N/A</v>
          </cell>
          <cell r="S552" t="e">
            <v>#N/A</v>
          </cell>
          <cell r="T552" t="e">
            <v>#N/A</v>
          </cell>
          <cell r="U552" t="e">
            <v>#N/A</v>
          </cell>
          <cell r="V552" t="e">
            <v>#N/A</v>
          </cell>
          <cell r="W552" t="e">
            <v>#N/A</v>
          </cell>
          <cell r="X552" t="e">
            <v>#N/A</v>
          </cell>
          <cell r="Y552" t="e">
            <v>#N/A</v>
          </cell>
          <cell r="Z552" t="e">
            <v>#N/A</v>
          </cell>
        </row>
        <row r="553">
          <cell r="A553" t="e">
            <v>#N/A</v>
          </cell>
          <cell r="B553" t="e">
            <v>#N/A</v>
          </cell>
          <cell r="C553" t="e">
            <v>#N/A</v>
          </cell>
          <cell r="O553" t="e">
            <v>#N/A</v>
          </cell>
          <cell r="P553" t="e">
            <v>#N/A</v>
          </cell>
          <cell r="Q553" t="e">
            <v>#N/A</v>
          </cell>
          <cell r="R553" t="e">
            <v>#N/A</v>
          </cell>
          <cell r="S553" t="e">
            <v>#N/A</v>
          </cell>
          <cell r="T553" t="e">
            <v>#N/A</v>
          </cell>
          <cell r="U553" t="e">
            <v>#N/A</v>
          </cell>
          <cell r="V553" t="e">
            <v>#N/A</v>
          </cell>
          <cell r="W553" t="e">
            <v>#N/A</v>
          </cell>
          <cell r="X553" t="e">
            <v>#N/A</v>
          </cell>
          <cell r="Y553" t="e">
            <v>#N/A</v>
          </cell>
          <cell r="Z553" t="e">
            <v>#N/A</v>
          </cell>
        </row>
        <row r="554">
          <cell r="A554" t="e">
            <v>#N/A</v>
          </cell>
          <cell r="B554" t="e">
            <v>#N/A</v>
          </cell>
          <cell r="C554" t="e">
            <v>#N/A</v>
          </cell>
          <cell r="O554" t="e">
            <v>#N/A</v>
          </cell>
          <cell r="P554" t="e">
            <v>#N/A</v>
          </cell>
          <cell r="Q554" t="e">
            <v>#N/A</v>
          </cell>
          <cell r="R554" t="e">
            <v>#N/A</v>
          </cell>
          <cell r="S554" t="e">
            <v>#N/A</v>
          </cell>
          <cell r="T554" t="e">
            <v>#N/A</v>
          </cell>
          <cell r="U554" t="e">
            <v>#N/A</v>
          </cell>
          <cell r="V554" t="e">
            <v>#N/A</v>
          </cell>
          <cell r="W554" t="e">
            <v>#N/A</v>
          </cell>
          <cell r="X554" t="e">
            <v>#N/A</v>
          </cell>
          <cell r="Y554" t="e">
            <v>#N/A</v>
          </cell>
          <cell r="Z554" t="e">
            <v>#N/A</v>
          </cell>
        </row>
        <row r="555">
          <cell r="A555" t="e">
            <v>#N/A</v>
          </cell>
          <cell r="B555" t="e">
            <v>#N/A</v>
          </cell>
          <cell r="C555" t="e">
            <v>#N/A</v>
          </cell>
          <cell r="O555" t="e">
            <v>#N/A</v>
          </cell>
          <cell r="P555" t="e">
            <v>#N/A</v>
          </cell>
          <cell r="Q555" t="e">
            <v>#N/A</v>
          </cell>
          <cell r="R555" t="e">
            <v>#N/A</v>
          </cell>
          <cell r="S555" t="e">
            <v>#N/A</v>
          </cell>
          <cell r="T555" t="e">
            <v>#N/A</v>
          </cell>
          <cell r="U555" t="e">
            <v>#N/A</v>
          </cell>
          <cell r="V555" t="e">
            <v>#N/A</v>
          </cell>
          <cell r="W555" t="e">
            <v>#N/A</v>
          </cell>
          <cell r="X555" t="e">
            <v>#N/A</v>
          </cell>
          <cell r="Y555" t="e">
            <v>#N/A</v>
          </cell>
          <cell r="Z555" t="e">
            <v>#N/A</v>
          </cell>
        </row>
        <row r="556">
          <cell r="A556" t="e">
            <v>#N/A</v>
          </cell>
          <cell r="B556" t="e">
            <v>#N/A</v>
          </cell>
          <cell r="C556" t="e">
            <v>#N/A</v>
          </cell>
          <cell r="O556" t="e">
            <v>#N/A</v>
          </cell>
          <cell r="P556" t="e">
            <v>#N/A</v>
          </cell>
          <cell r="Q556" t="e">
            <v>#N/A</v>
          </cell>
          <cell r="R556" t="e">
            <v>#N/A</v>
          </cell>
          <cell r="S556" t="e">
            <v>#N/A</v>
          </cell>
          <cell r="T556" t="e">
            <v>#N/A</v>
          </cell>
          <cell r="U556" t="e">
            <v>#N/A</v>
          </cell>
          <cell r="V556" t="e">
            <v>#N/A</v>
          </cell>
          <cell r="W556" t="e">
            <v>#N/A</v>
          </cell>
          <cell r="X556" t="e">
            <v>#N/A</v>
          </cell>
          <cell r="Y556" t="e">
            <v>#N/A</v>
          </cell>
          <cell r="Z556" t="e">
            <v>#N/A</v>
          </cell>
        </row>
        <row r="557">
          <cell r="A557" t="e">
            <v>#N/A</v>
          </cell>
          <cell r="B557" t="e">
            <v>#N/A</v>
          </cell>
          <cell r="C557" t="e">
            <v>#N/A</v>
          </cell>
          <cell r="O557" t="e">
            <v>#N/A</v>
          </cell>
          <cell r="P557" t="e">
            <v>#N/A</v>
          </cell>
          <cell r="Q557" t="e">
            <v>#N/A</v>
          </cell>
          <cell r="R557" t="e">
            <v>#N/A</v>
          </cell>
          <cell r="S557" t="e">
            <v>#N/A</v>
          </cell>
          <cell r="T557" t="e">
            <v>#N/A</v>
          </cell>
          <cell r="U557" t="e">
            <v>#N/A</v>
          </cell>
          <cell r="V557" t="e">
            <v>#N/A</v>
          </cell>
          <cell r="W557" t="e">
            <v>#N/A</v>
          </cell>
          <cell r="X557" t="e">
            <v>#N/A</v>
          </cell>
          <cell r="Y557" t="e">
            <v>#N/A</v>
          </cell>
          <cell r="Z557" t="e">
            <v>#N/A</v>
          </cell>
        </row>
        <row r="558">
          <cell r="A558" t="e">
            <v>#N/A</v>
          </cell>
          <cell r="B558" t="e">
            <v>#N/A</v>
          </cell>
          <cell r="C558" t="e">
            <v>#N/A</v>
          </cell>
          <cell r="O558" t="e">
            <v>#N/A</v>
          </cell>
          <cell r="P558" t="e">
            <v>#N/A</v>
          </cell>
          <cell r="Q558" t="e">
            <v>#N/A</v>
          </cell>
          <cell r="R558" t="e">
            <v>#N/A</v>
          </cell>
          <cell r="S558" t="e">
            <v>#N/A</v>
          </cell>
          <cell r="T558" t="e">
            <v>#N/A</v>
          </cell>
          <cell r="U558" t="e">
            <v>#N/A</v>
          </cell>
          <cell r="V558" t="e">
            <v>#N/A</v>
          </cell>
          <cell r="W558" t="e">
            <v>#N/A</v>
          </cell>
          <cell r="X558" t="e">
            <v>#N/A</v>
          </cell>
          <cell r="Y558" t="e">
            <v>#N/A</v>
          </cell>
          <cell r="Z558" t="e">
            <v>#N/A</v>
          </cell>
        </row>
        <row r="559">
          <cell r="A559" t="e">
            <v>#N/A</v>
          </cell>
          <cell r="B559" t="e">
            <v>#N/A</v>
          </cell>
          <cell r="C559" t="e">
            <v>#N/A</v>
          </cell>
          <cell r="O559" t="e">
            <v>#N/A</v>
          </cell>
          <cell r="P559" t="e">
            <v>#N/A</v>
          </cell>
          <cell r="Q559" t="e">
            <v>#N/A</v>
          </cell>
          <cell r="R559" t="e">
            <v>#N/A</v>
          </cell>
          <cell r="S559" t="e">
            <v>#N/A</v>
          </cell>
          <cell r="T559" t="e">
            <v>#N/A</v>
          </cell>
          <cell r="U559" t="e">
            <v>#N/A</v>
          </cell>
          <cell r="V559" t="e">
            <v>#N/A</v>
          </cell>
          <cell r="W559" t="e">
            <v>#N/A</v>
          </cell>
          <cell r="X559" t="e">
            <v>#N/A</v>
          </cell>
          <cell r="Y559" t="e">
            <v>#N/A</v>
          </cell>
          <cell r="Z559" t="e">
            <v>#N/A</v>
          </cell>
        </row>
        <row r="560">
          <cell r="A560" t="e">
            <v>#N/A</v>
          </cell>
          <cell r="B560" t="e">
            <v>#N/A</v>
          </cell>
          <cell r="C560" t="e">
            <v>#N/A</v>
          </cell>
          <cell r="O560" t="e">
            <v>#N/A</v>
          </cell>
          <cell r="P560" t="e">
            <v>#N/A</v>
          </cell>
          <cell r="Q560" t="e">
            <v>#N/A</v>
          </cell>
          <cell r="R560" t="e">
            <v>#N/A</v>
          </cell>
          <cell r="S560" t="e">
            <v>#N/A</v>
          </cell>
          <cell r="T560" t="e">
            <v>#N/A</v>
          </cell>
          <cell r="U560" t="e">
            <v>#N/A</v>
          </cell>
          <cell r="V560" t="e">
            <v>#N/A</v>
          </cell>
          <cell r="W560" t="e">
            <v>#N/A</v>
          </cell>
          <cell r="X560" t="e">
            <v>#N/A</v>
          </cell>
          <cell r="Y560" t="e">
            <v>#N/A</v>
          </cell>
          <cell r="Z560" t="e">
            <v>#N/A</v>
          </cell>
        </row>
        <row r="561">
          <cell r="A561" t="e">
            <v>#N/A</v>
          </cell>
          <cell r="B561" t="e">
            <v>#N/A</v>
          </cell>
          <cell r="C561" t="e">
            <v>#N/A</v>
          </cell>
          <cell r="O561" t="e">
            <v>#N/A</v>
          </cell>
          <cell r="P561" t="e">
            <v>#N/A</v>
          </cell>
          <cell r="Q561" t="e">
            <v>#N/A</v>
          </cell>
          <cell r="R561" t="e">
            <v>#N/A</v>
          </cell>
          <cell r="S561" t="e">
            <v>#N/A</v>
          </cell>
          <cell r="T561" t="e">
            <v>#N/A</v>
          </cell>
          <cell r="U561" t="e">
            <v>#N/A</v>
          </cell>
          <cell r="V561" t="e">
            <v>#N/A</v>
          </cell>
          <cell r="W561" t="e">
            <v>#N/A</v>
          </cell>
          <cell r="X561" t="e">
            <v>#N/A</v>
          </cell>
          <cell r="Y561" t="e">
            <v>#N/A</v>
          </cell>
          <cell r="Z561" t="e">
            <v>#N/A</v>
          </cell>
        </row>
        <row r="562">
          <cell r="A562" t="e">
            <v>#N/A</v>
          </cell>
          <cell r="B562" t="e">
            <v>#N/A</v>
          </cell>
          <cell r="C562" t="e">
            <v>#N/A</v>
          </cell>
          <cell r="O562" t="e">
            <v>#N/A</v>
          </cell>
          <cell r="P562" t="e">
            <v>#N/A</v>
          </cell>
          <cell r="Q562" t="e">
            <v>#N/A</v>
          </cell>
          <cell r="R562" t="e">
            <v>#N/A</v>
          </cell>
          <cell r="S562" t="e">
            <v>#N/A</v>
          </cell>
          <cell r="T562" t="e">
            <v>#N/A</v>
          </cell>
          <cell r="U562" t="e">
            <v>#N/A</v>
          </cell>
          <cell r="V562" t="e">
            <v>#N/A</v>
          </cell>
          <cell r="W562" t="e">
            <v>#N/A</v>
          </cell>
          <cell r="X562" t="e">
            <v>#N/A</v>
          </cell>
          <cell r="Y562" t="e">
            <v>#N/A</v>
          </cell>
          <cell r="Z562" t="e">
            <v>#N/A</v>
          </cell>
        </row>
        <row r="563">
          <cell r="A563" t="e">
            <v>#N/A</v>
          </cell>
          <cell r="B563" t="e">
            <v>#N/A</v>
          </cell>
          <cell r="C563" t="e">
            <v>#N/A</v>
          </cell>
          <cell r="O563" t="e">
            <v>#N/A</v>
          </cell>
          <cell r="P563" t="e">
            <v>#N/A</v>
          </cell>
          <cell r="Q563" t="e">
            <v>#N/A</v>
          </cell>
          <cell r="R563" t="e">
            <v>#N/A</v>
          </cell>
          <cell r="S563" t="e">
            <v>#N/A</v>
          </cell>
          <cell r="T563" t="e">
            <v>#N/A</v>
          </cell>
          <cell r="U563" t="e">
            <v>#N/A</v>
          </cell>
          <cell r="V563" t="e">
            <v>#N/A</v>
          </cell>
          <cell r="W563" t="e">
            <v>#N/A</v>
          </cell>
          <cell r="X563" t="e">
            <v>#N/A</v>
          </cell>
          <cell r="Y563" t="e">
            <v>#N/A</v>
          </cell>
          <cell r="Z563" t="e">
            <v>#N/A</v>
          </cell>
        </row>
        <row r="564">
          <cell r="A564" t="e">
            <v>#N/A</v>
          </cell>
          <cell r="B564" t="e">
            <v>#N/A</v>
          </cell>
          <cell r="C564" t="e">
            <v>#N/A</v>
          </cell>
          <cell r="O564" t="e">
            <v>#N/A</v>
          </cell>
          <cell r="P564" t="e">
            <v>#N/A</v>
          </cell>
          <cell r="Q564" t="e">
            <v>#N/A</v>
          </cell>
          <cell r="R564" t="e">
            <v>#N/A</v>
          </cell>
          <cell r="S564" t="e">
            <v>#N/A</v>
          </cell>
          <cell r="T564" t="e">
            <v>#N/A</v>
          </cell>
          <cell r="U564" t="e">
            <v>#N/A</v>
          </cell>
          <cell r="V564" t="e">
            <v>#N/A</v>
          </cell>
          <cell r="W564" t="e">
            <v>#N/A</v>
          </cell>
          <cell r="X564" t="e">
            <v>#N/A</v>
          </cell>
          <cell r="Y564" t="e">
            <v>#N/A</v>
          </cell>
          <cell r="Z564" t="e">
            <v>#N/A</v>
          </cell>
        </row>
        <row r="565">
          <cell r="A565" t="e">
            <v>#N/A</v>
          </cell>
          <cell r="B565" t="e">
            <v>#N/A</v>
          </cell>
          <cell r="C565" t="e">
            <v>#N/A</v>
          </cell>
          <cell r="O565" t="e">
            <v>#N/A</v>
          </cell>
          <cell r="P565" t="e">
            <v>#N/A</v>
          </cell>
          <cell r="Q565" t="e">
            <v>#N/A</v>
          </cell>
          <cell r="R565" t="e">
            <v>#N/A</v>
          </cell>
          <cell r="S565" t="e">
            <v>#N/A</v>
          </cell>
          <cell r="T565" t="e">
            <v>#N/A</v>
          </cell>
          <cell r="U565" t="e">
            <v>#N/A</v>
          </cell>
          <cell r="V565" t="e">
            <v>#N/A</v>
          </cell>
          <cell r="W565" t="e">
            <v>#N/A</v>
          </cell>
          <cell r="X565" t="e">
            <v>#N/A</v>
          </cell>
          <cell r="Y565" t="e">
            <v>#N/A</v>
          </cell>
          <cell r="Z565" t="e">
            <v>#N/A</v>
          </cell>
        </row>
        <row r="566">
          <cell r="A566" t="e">
            <v>#N/A</v>
          </cell>
          <cell r="B566" t="e">
            <v>#N/A</v>
          </cell>
          <cell r="C566" t="e">
            <v>#N/A</v>
          </cell>
          <cell r="O566" t="e">
            <v>#N/A</v>
          </cell>
          <cell r="P566" t="e">
            <v>#N/A</v>
          </cell>
          <cell r="Q566" t="e">
            <v>#N/A</v>
          </cell>
          <cell r="R566" t="e">
            <v>#N/A</v>
          </cell>
          <cell r="S566" t="e">
            <v>#N/A</v>
          </cell>
          <cell r="T566" t="e">
            <v>#N/A</v>
          </cell>
          <cell r="U566" t="e">
            <v>#N/A</v>
          </cell>
          <cell r="V566" t="e">
            <v>#N/A</v>
          </cell>
          <cell r="W566" t="e">
            <v>#N/A</v>
          </cell>
          <cell r="X566" t="e">
            <v>#N/A</v>
          </cell>
          <cell r="Y566" t="e">
            <v>#N/A</v>
          </cell>
          <cell r="Z566" t="e">
            <v>#N/A</v>
          </cell>
        </row>
        <row r="567">
          <cell r="A567" t="e">
            <v>#N/A</v>
          </cell>
          <cell r="B567" t="e">
            <v>#N/A</v>
          </cell>
          <cell r="C567" t="e">
            <v>#N/A</v>
          </cell>
          <cell r="O567" t="e">
            <v>#N/A</v>
          </cell>
          <cell r="P567" t="e">
            <v>#N/A</v>
          </cell>
          <cell r="Q567" t="e">
            <v>#N/A</v>
          </cell>
          <cell r="R567" t="e">
            <v>#N/A</v>
          </cell>
          <cell r="S567" t="e">
            <v>#N/A</v>
          </cell>
          <cell r="T567" t="e">
            <v>#N/A</v>
          </cell>
          <cell r="U567" t="e">
            <v>#N/A</v>
          </cell>
          <cell r="V567" t="e">
            <v>#N/A</v>
          </cell>
          <cell r="W567" t="e">
            <v>#N/A</v>
          </cell>
          <cell r="X567" t="e">
            <v>#N/A</v>
          </cell>
          <cell r="Y567" t="e">
            <v>#N/A</v>
          </cell>
          <cell r="Z567" t="e">
            <v>#N/A</v>
          </cell>
        </row>
        <row r="568">
          <cell r="A568" t="e">
            <v>#N/A</v>
          </cell>
          <cell r="B568" t="e">
            <v>#N/A</v>
          </cell>
          <cell r="C568" t="e">
            <v>#N/A</v>
          </cell>
          <cell r="O568" t="e">
            <v>#N/A</v>
          </cell>
          <cell r="P568" t="e">
            <v>#N/A</v>
          </cell>
          <cell r="Q568" t="e">
            <v>#N/A</v>
          </cell>
          <cell r="R568" t="e">
            <v>#N/A</v>
          </cell>
          <cell r="S568" t="e">
            <v>#N/A</v>
          </cell>
          <cell r="T568" t="e">
            <v>#N/A</v>
          </cell>
          <cell r="U568" t="e">
            <v>#N/A</v>
          </cell>
          <cell r="V568" t="e">
            <v>#N/A</v>
          </cell>
          <cell r="W568" t="e">
            <v>#N/A</v>
          </cell>
          <cell r="X568" t="e">
            <v>#N/A</v>
          </cell>
          <cell r="Y568" t="e">
            <v>#N/A</v>
          </cell>
          <cell r="Z568" t="e">
            <v>#N/A</v>
          </cell>
        </row>
        <row r="569">
          <cell r="A569" t="e">
            <v>#N/A</v>
          </cell>
          <cell r="B569" t="e">
            <v>#N/A</v>
          </cell>
          <cell r="C569" t="e">
            <v>#N/A</v>
          </cell>
          <cell r="O569" t="e">
            <v>#N/A</v>
          </cell>
          <cell r="P569" t="e">
            <v>#N/A</v>
          </cell>
          <cell r="Q569" t="e">
            <v>#N/A</v>
          </cell>
          <cell r="R569" t="e">
            <v>#N/A</v>
          </cell>
          <cell r="S569" t="e">
            <v>#N/A</v>
          </cell>
          <cell r="T569" t="e">
            <v>#N/A</v>
          </cell>
          <cell r="U569" t="e">
            <v>#N/A</v>
          </cell>
          <cell r="V569" t="e">
            <v>#N/A</v>
          </cell>
          <cell r="W569" t="e">
            <v>#N/A</v>
          </cell>
          <cell r="X569" t="e">
            <v>#N/A</v>
          </cell>
          <cell r="Y569" t="e">
            <v>#N/A</v>
          </cell>
          <cell r="Z569" t="e">
            <v>#N/A</v>
          </cell>
        </row>
        <row r="570">
          <cell r="A570" t="e">
            <v>#N/A</v>
          </cell>
          <cell r="B570" t="e">
            <v>#N/A</v>
          </cell>
          <cell r="C570" t="e">
            <v>#N/A</v>
          </cell>
          <cell r="O570" t="e">
            <v>#N/A</v>
          </cell>
          <cell r="P570" t="e">
            <v>#N/A</v>
          </cell>
          <cell r="Q570" t="e">
            <v>#N/A</v>
          </cell>
          <cell r="R570" t="e">
            <v>#N/A</v>
          </cell>
          <cell r="S570" t="e">
            <v>#N/A</v>
          </cell>
          <cell r="T570" t="e">
            <v>#N/A</v>
          </cell>
          <cell r="U570" t="e">
            <v>#N/A</v>
          </cell>
          <cell r="V570" t="e">
            <v>#N/A</v>
          </cell>
          <cell r="W570" t="e">
            <v>#N/A</v>
          </cell>
          <cell r="X570" t="e">
            <v>#N/A</v>
          </cell>
          <cell r="Y570" t="e">
            <v>#N/A</v>
          </cell>
          <cell r="Z570" t="e">
            <v>#N/A</v>
          </cell>
        </row>
        <row r="571">
          <cell r="A571" t="e">
            <v>#N/A</v>
          </cell>
          <cell r="B571" t="e">
            <v>#N/A</v>
          </cell>
          <cell r="C571" t="e">
            <v>#N/A</v>
          </cell>
          <cell r="O571" t="e">
            <v>#N/A</v>
          </cell>
          <cell r="P571" t="e">
            <v>#N/A</v>
          </cell>
          <cell r="Q571" t="e">
            <v>#N/A</v>
          </cell>
          <cell r="R571" t="e">
            <v>#N/A</v>
          </cell>
          <cell r="S571" t="e">
            <v>#N/A</v>
          </cell>
          <cell r="T571" t="e">
            <v>#N/A</v>
          </cell>
          <cell r="U571" t="e">
            <v>#N/A</v>
          </cell>
          <cell r="V571" t="e">
            <v>#N/A</v>
          </cell>
          <cell r="W571" t="e">
            <v>#N/A</v>
          </cell>
          <cell r="X571" t="e">
            <v>#N/A</v>
          </cell>
          <cell r="Y571" t="e">
            <v>#N/A</v>
          </cell>
          <cell r="Z571" t="e">
            <v>#N/A</v>
          </cell>
        </row>
        <row r="572">
          <cell r="A572" t="e">
            <v>#N/A</v>
          </cell>
          <cell r="B572" t="e">
            <v>#N/A</v>
          </cell>
          <cell r="C572" t="e">
            <v>#N/A</v>
          </cell>
          <cell r="O572" t="e">
            <v>#N/A</v>
          </cell>
          <cell r="P572" t="e">
            <v>#N/A</v>
          </cell>
          <cell r="Q572" t="e">
            <v>#N/A</v>
          </cell>
          <cell r="R572" t="e">
            <v>#N/A</v>
          </cell>
          <cell r="S572" t="e">
            <v>#N/A</v>
          </cell>
          <cell r="T572" t="e">
            <v>#N/A</v>
          </cell>
          <cell r="U572" t="e">
            <v>#N/A</v>
          </cell>
          <cell r="V572" t="e">
            <v>#N/A</v>
          </cell>
          <cell r="W572" t="e">
            <v>#N/A</v>
          </cell>
          <cell r="X572" t="e">
            <v>#N/A</v>
          </cell>
          <cell r="Y572" t="e">
            <v>#N/A</v>
          </cell>
          <cell r="Z572" t="e">
            <v>#N/A</v>
          </cell>
        </row>
        <row r="573">
          <cell r="A573" t="e">
            <v>#N/A</v>
          </cell>
          <cell r="B573" t="e">
            <v>#N/A</v>
          </cell>
          <cell r="C573" t="e">
            <v>#N/A</v>
          </cell>
          <cell r="O573" t="e">
            <v>#N/A</v>
          </cell>
          <cell r="P573" t="e">
            <v>#N/A</v>
          </cell>
          <cell r="Q573" t="e">
            <v>#N/A</v>
          </cell>
          <cell r="R573" t="e">
            <v>#N/A</v>
          </cell>
          <cell r="S573" t="e">
            <v>#N/A</v>
          </cell>
          <cell r="T573" t="e">
            <v>#N/A</v>
          </cell>
          <cell r="U573" t="e">
            <v>#N/A</v>
          </cell>
          <cell r="V573" t="e">
            <v>#N/A</v>
          </cell>
          <cell r="W573" t="e">
            <v>#N/A</v>
          </cell>
          <cell r="X573" t="e">
            <v>#N/A</v>
          </cell>
          <cell r="Y573" t="e">
            <v>#N/A</v>
          </cell>
          <cell r="Z573" t="e">
            <v>#N/A</v>
          </cell>
        </row>
        <row r="574">
          <cell r="A574" t="e">
            <v>#N/A</v>
          </cell>
          <cell r="B574" t="e">
            <v>#N/A</v>
          </cell>
          <cell r="C574" t="e">
            <v>#N/A</v>
          </cell>
          <cell r="O574" t="e">
            <v>#N/A</v>
          </cell>
          <cell r="P574" t="e">
            <v>#N/A</v>
          </cell>
          <cell r="Q574" t="e">
            <v>#N/A</v>
          </cell>
          <cell r="R574" t="e">
            <v>#N/A</v>
          </cell>
          <cell r="S574" t="e">
            <v>#N/A</v>
          </cell>
          <cell r="T574" t="e">
            <v>#N/A</v>
          </cell>
          <cell r="U574" t="e">
            <v>#N/A</v>
          </cell>
          <cell r="V574" t="e">
            <v>#N/A</v>
          </cell>
          <cell r="W574" t="e">
            <v>#N/A</v>
          </cell>
          <cell r="X574" t="e">
            <v>#N/A</v>
          </cell>
          <cell r="Y574" t="e">
            <v>#N/A</v>
          </cell>
          <cell r="Z574" t="e">
            <v>#N/A</v>
          </cell>
        </row>
        <row r="575">
          <cell r="A575" t="e">
            <v>#N/A</v>
          </cell>
          <cell r="B575" t="e">
            <v>#N/A</v>
          </cell>
          <cell r="C575" t="e">
            <v>#N/A</v>
          </cell>
          <cell r="O575" t="e">
            <v>#N/A</v>
          </cell>
          <cell r="P575" t="e">
            <v>#N/A</v>
          </cell>
          <cell r="Q575" t="e">
            <v>#N/A</v>
          </cell>
          <cell r="R575" t="e">
            <v>#N/A</v>
          </cell>
          <cell r="S575" t="e">
            <v>#N/A</v>
          </cell>
          <cell r="T575" t="e">
            <v>#N/A</v>
          </cell>
          <cell r="U575" t="e">
            <v>#N/A</v>
          </cell>
          <cell r="V575" t="e">
            <v>#N/A</v>
          </cell>
          <cell r="W575" t="e">
            <v>#N/A</v>
          </cell>
          <cell r="X575" t="e">
            <v>#N/A</v>
          </cell>
          <cell r="Y575" t="e">
            <v>#N/A</v>
          </cell>
          <cell r="Z575" t="e">
            <v>#N/A</v>
          </cell>
        </row>
        <row r="576">
          <cell r="A576" t="e">
            <v>#N/A</v>
          </cell>
          <cell r="B576" t="e">
            <v>#N/A</v>
          </cell>
          <cell r="C576" t="e">
            <v>#N/A</v>
          </cell>
          <cell r="O576" t="e">
            <v>#N/A</v>
          </cell>
          <cell r="P576" t="e">
            <v>#N/A</v>
          </cell>
          <cell r="Q576" t="e">
            <v>#N/A</v>
          </cell>
          <cell r="R576" t="e">
            <v>#N/A</v>
          </cell>
          <cell r="S576" t="e">
            <v>#N/A</v>
          </cell>
          <cell r="T576" t="e">
            <v>#N/A</v>
          </cell>
          <cell r="U576" t="e">
            <v>#N/A</v>
          </cell>
          <cell r="V576" t="e">
            <v>#N/A</v>
          </cell>
          <cell r="W576" t="e">
            <v>#N/A</v>
          </cell>
          <cell r="X576" t="e">
            <v>#N/A</v>
          </cell>
          <cell r="Y576" t="e">
            <v>#N/A</v>
          </cell>
          <cell r="Z576" t="e">
            <v>#N/A</v>
          </cell>
        </row>
        <row r="577">
          <cell r="A577" t="e">
            <v>#N/A</v>
          </cell>
          <cell r="B577" t="e">
            <v>#N/A</v>
          </cell>
          <cell r="C577" t="e">
            <v>#N/A</v>
          </cell>
          <cell r="O577" t="e">
            <v>#N/A</v>
          </cell>
          <cell r="P577" t="e">
            <v>#N/A</v>
          </cell>
          <cell r="Q577" t="e">
            <v>#N/A</v>
          </cell>
          <cell r="R577" t="e">
            <v>#N/A</v>
          </cell>
          <cell r="S577" t="e">
            <v>#N/A</v>
          </cell>
          <cell r="T577" t="e">
            <v>#N/A</v>
          </cell>
          <cell r="U577" t="e">
            <v>#N/A</v>
          </cell>
          <cell r="V577" t="e">
            <v>#N/A</v>
          </cell>
          <cell r="W577" t="e">
            <v>#N/A</v>
          </cell>
          <cell r="X577" t="e">
            <v>#N/A</v>
          </cell>
          <cell r="Y577" t="e">
            <v>#N/A</v>
          </cell>
          <cell r="Z577" t="e">
            <v>#N/A</v>
          </cell>
        </row>
        <row r="578">
          <cell r="A578" t="e">
            <v>#N/A</v>
          </cell>
          <cell r="B578" t="e">
            <v>#N/A</v>
          </cell>
          <cell r="C578" t="e">
            <v>#N/A</v>
          </cell>
          <cell r="O578" t="e">
            <v>#N/A</v>
          </cell>
          <cell r="P578" t="e">
            <v>#N/A</v>
          </cell>
          <cell r="Q578" t="e">
            <v>#N/A</v>
          </cell>
          <cell r="R578" t="e">
            <v>#N/A</v>
          </cell>
          <cell r="S578" t="e">
            <v>#N/A</v>
          </cell>
          <cell r="T578" t="e">
            <v>#N/A</v>
          </cell>
          <cell r="U578" t="e">
            <v>#N/A</v>
          </cell>
          <cell r="V578" t="e">
            <v>#N/A</v>
          </cell>
          <cell r="W578" t="e">
            <v>#N/A</v>
          </cell>
          <cell r="X578" t="e">
            <v>#N/A</v>
          </cell>
          <cell r="Y578" t="e">
            <v>#N/A</v>
          </cell>
          <cell r="Z578" t="e">
            <v>#N/A</v>
          </cell>
        </row>
        <row r="579">
          <cell r="A579" t="e">
            <v>#N/A</v>
          </cell>
          <cell r="B579" t="e">
            <v>#N/A</v>
          </cell>
          <cell r="C579" t="e">
            <v>#N/A</v>
          </cell>
          <cell r="O579" t="e">
            <v>#N/A</v>
          </cell>
          <cell r="P579" t="e">
            <v>#N/A</v>
          </cell>
          <cell r="Q579" t="e">
            <v>#N/A</v>
          </cell>
          <cell r="R579" t="e">
            <v>#N/A</v>
          </cell>
          <cell r="S579" t="e">
            <v>#N/A</v>
          </cell>
          <cell r="T579" t="e">
            <v>#N/A</v>
          </cell>
          <cell r="U579" t="e">
            <v>#N/A</v>
          </cell>
          <cell r="V579" t="e">
            <v>#N/A</v>
          </cell>
          <cell r="W579" t="e">
            <v>#N/A</v>
          </cell>
          <cell r="X579" t="e">
            <v>#N/A</v>
          </cell>
          <cell r="Y579" t="e">
            <v>#N/A</v>
          </cell>
          <cell r="Z579" t="e">
            <v>#N/A</v>
          </cell>
        </row>
        <row r="580">
          <cell r="A580" t="e">
            <v>#N/A</v>
          </cell>
          <cell r="B580" t="e">
            <v>#N/A</v>
          </cell>
          <cell r="C580" t="e">
            <v>#N/A</v>
          </cell>
          <cell r="O580" t="e">
            <v>#N/A</v>
          </cell>
          <cell r="P580" t="e">
            <v>#N/A</v>
          </cell>
          <cell r="Q580" t="e">
            <v>#N/A</v>
          </cell>
          <cell r="R580" t="e">
            <v>#N/A</v>
          </cell>
          <cell r="S580" t="e">
            <v>#N/A</v>
          </cell>
          <cell r="T580" t="e">
            <v>#N/A</v>
          </cell>
          <cell r="U580" t="e">
            <v>#N/A</v>
          </cell>
          <cell r="V580" t="e">
            <v>#N/A</v>
          </cell>
          <cell r="W580" t="e">
            <v>#N/A</v>
          </cell>
          <cell r="X580" t="e">
            <v>#N/A</v>
          </cell>
          <cell r="Y580" t="e">
            <v>#N/A</v>
          </cell>
          <cell r="Z580" t="e">
            <v>#N/A</v>
          </cell>
        </row>
        <row r="581">
          <cell r="A581" t="e">
            <v>#N/A</v>
          </cell>
          <cell r="B581" t="e">
            <v>#N/A</v>
          </cell>
          <cell r="C581" t="e">
            <v>#N/A</v>
          </cell>
          <cell r="O581" t="e">
            <v>#N/A</v>
          </cell>
          <cell r="P581" t="e">
            <v>#N/A</v>
          </cell>
          <cell r="Q581" t="e">
            <v>#N/A</v>
          </cell>
          <cell r="R581" t="e">
            <v>#N/A</v>
          </cell>
          <cell r="S581" t="e">
            <v>#N/A</v>
          </cell>
          <cell r="T581" t="e">
            <v>#N/A</v>
          </cell>
          <cell r="U581" t="e">
            <v>#N/A</v>
          </cell>
          <cell r="V581" t="e">
            <v>#N/A</v>
          </cell>
          <cell r="W581" t="e">
            <v>#N/A</v>
          </cell>
          <cell r="X581" t="e">
            <v>#N/A</v>
          </cell>
          <cell r="Y581" t="e">
            <v>#N/A</v>
          </cell>
          <cell r="Z581" t="e">
            <v>#N/A</v>
          </cell>
        </row>
        <row r="582">
          <cell r="A582" t="e">
            <v>#N/A</v>
          </cell>
          <cell r="B582" t="e">
            <v>#N/A</v>
          </cell>
          <cell r="C582" t="e">
            <v>#N/A</v>
          </cell>
          <cell r="O582" t="e">
            <v>#N/A</v>
          </cell>
          <cell r="P582" t="e">
            <v>#N/A</v>
          </cell>
          <cell r="Q582" t="e">
            <v>#N/A</v>
          </cell>
          <cell r="R582" t="e">
            <v>#N/A</v>
          </cell>
          <cell r="S582" t="e">
            <v>#N/A</v>
          </cell>
          <cell r="T582" t="e">
            <v>#N/A</v>
          </cell>
          <cell r="U582" t="e">
            <v>#N/A</v>
          </cell>
          <cell r="V582" t="e">
            <v>#N/A</v>
          </cell>
          <cell r="W582" t="e">
            <v>#N/A</v>
          </cell>
          <cell r="X582" t="e">
            <v>#N/A</v>
          </cell>
          <cell r="Y582" t="e">
            <v>#N/A</v>
          </cell>
          <cell r="Z582" t="e">
            <v>#N/A</v>
          </cell>
        </row>
        <row r="583">
          <cell r="A583" t="e">
            <v>#N/A</v>
          </cell>
          <cell r="B583" t="e">
            <v>#N/A</v>
          </cell>
          <cell r="C583" t="e">
            <v>#N/A</v>
          </cell>
          <cell r="O583" t="e">
            <v>#N/A</v>
          </cell>
          <cell r="P583" t="e">
            <v>#N/A</v>
          </cell>
          <cell r="Q583" t="e">
            <v>#N/A</v>
          </cell>
          <cell r="R583" t="e">
            <v>#N/A</v>
          </cell>
          <cell r="S583" t="e">
            <v>#N/A</v>
          </cell>
          <cell r="T583" t="e">
            <v>#N/A</v>
          </cell>
          <cell r="U583" t="e">
            <v>#N/A</v>
          </cell>
          <cell r="V583" t="e">
            <v>#N/A</v>
          </cell>
          <cell r="W583" t="e">
            <v>#N/A</v>
          </cell>
          <cell r="X583" t="e">
            <v>#N/A</v>
          </cell>
          <cell r="Y583" t="e">
            <v>#N/A</v>
          </cell>
          <cell r="Z583" t="e">
            <v>#N/A</v>
          </cell>
        </row>
        <row r="584">
          <cell r="A584" t="e">
            <v>#N/A</v>
          </cell>
          <cell r="B584" t="e">
            <v>#N/A</v>
          </cell>
          <cell r="C584" t="e">
            <v>#N/A</v>
          </cell>
          <cell r="O584" t="e">
            <v>#N/A</v>
          </cell>
          <cell r="P584" t="e">
            <v>#N/A</v>
          </cell>
          <cell r="Q584" t="e">
            <v>#N/A</v>
          </cell>
          <cell r="R584" t="e">
            <v>#N/A</v>
          </cell>
          <cell r="S584" t="e">
            <v>#N/A</v>
          </cell>
          <cell r="T584" t="e">
            <v>#N/A</v>
          </cell>
          <cell r="U584" t="e">
            <v>#N/A</v>
          </cell>
          <cell r="V584" t="e">
            <v>#N/A</v>
          </cell>
          <cell r="W584" t="e">
            <v>#N/A</v>
          </cell>
          <cell r="X584" t="e">
            <v>#N/A</v>
          </cell>
          <cell r="Y584" t="e">
            <v>#N/A</v>
          </cell>
          <cell r="Z584" t="e">
            <v>#N/A</v>
          </cell>
        </row>
        <row r="585">
          <cell r="A585" t="e">
            <v>#N/A</v>
          </cell>
          <cell r="B585" t="e">
            <v>#N/A</v>
          </cell>
          <cell r="C585" t="e">
            <v>#N/A</v>
          </cell>
          <cell r="O585" t="e">
            <v>#N/A</v>
          </cell>
          <cell r="P585" t="e">
            <v>#N/A</v>
          </cell>
          <cell r="Q585" t="e">
            <v>#N/A</v>
          </cell>
          <cell r="R585" t="e">
            <v>#N/A</v>
          </cell>
          <cell r="S585" t="e">
            <v>#N/A</v>
          </cell>
          <cell r="T585" t="e">
            <v>#N/A</v>
          </cell>
          <cell r="U585" t="e">
            <v>#N/A</v>
          </cell>
          <cell r="V585" t="e">
            <v>#N/A</v>
          </cell>
          <cell r="W585" t="e">
            <v>#N/A</v>
          </cell>
          <cell r="X585" t="e">
            <v>#N/A</v>
          </cell>
          <cell r="Y585" t="e">
            <v>#N/A</v>
          </cell>
          <cell r="Z585" t="e">
            <v>#N/A</v>
          </cell>
        </row>
        <row r="586">
          <cell r="A586" t="e">
            <v>#N/A</v>
          </cell>
          <cell r="B586" t="e">
            <v>#N/A</v>
          </cell>
          <cell r="C586" t="e">
            <v>#N/A</v>
          </cell>
          <cell r="O586" t="e">
            <v>#N/A</v>
          </cell>
          <cell r="P586" t="e">
            <v>#N/A</v>
          </cell>
          <cell r="Q586" t="e">
            <v>#N/A</v>
          </cell>
          <cell r="R586" t="e">
            <v>#N/A</v>
          </cell>
          <cell r="S586" t="e">
            <v>#N/A</v>
          </cell>
          <cell r="T586" t="e">
            <v>#N/A</v>
          </cell>
          <cell r="U586" t="e">
            <v>#N/A</v>
          </cell>
          <cell r="V586" t="e">
            <v>#N/A</v>
          </cell>
          <cell r="W586" t="e">
            <v>#N/A</v>
          </cell>
          <cell r="X586" t="e">
            <v>#N/A</v>
          </cell>
          <cell r="Y586" t="e">
            <v>#N/A</v>
          </cell>
          <cell r="Z586" t="e">
            <v>#N/A</v>
          </cell>
        </row>
        <row r="587">
          <cell r="A587" t="e">
            <v>#N/A</v>
          </cell>
          <cell r="B587" t="e">
            <v>#N/A</v>
          </cell>
          <cell r="C587" t="e">
            <v>#N/A</v>
          </cell>
          <cell r="O587" t="e">
            <v>#N/A</v>
          </cell>
          <cell r="P587" t="e">
            <v>#N/A</v>
          </cell>
          <cell r="Q587" t="e">
            <v>#N/A</v>
          </cell>
          <cell r="R587" t="e">
            <v>#N/A</v>
          </cell>
          <cell r="S587" t="e">
            <v>#N/A</v>
          </cell>
          <cell r="T587" t="e">
            <v>#N/A</v>
          </cell>
          <cell r="U587" t="e">
            <v>#N/A</v>
          </cell>
          <cell r="V587" t="e">
            <v>#N/A</v>
          </cell>
          <cell r="W587" t="e">
            <v>#N/A</v>
          </cell>
          <cell r="X587" t="e">
            <v>#N/A</v>
          </cell>
          <cell r="Y587" t="e">
            <v>#N/A</v>
          </cell>
          <cell r="Z587" t="e">
            <v>#N/A</v>
          </cell>
        </row>
        <row r="588">
          <cell r="A588" t="e">
            <v>#N/A</v>
          </cell>
          <cell r="B588" t="e">
            <v>#N/A</v>
          </cell>
          <cell r="C588" t="e">
            <v>#N/A</v>
          </cell>
          <cell r="O588" t="e">
            <v>#N/A</v>
          </cell>
          <cell r="P588" t="e">
            <v>#N/A</v>
          </cell>
          <cell r="Q588" t="e">
            <v>#N/A</v>
          </cell>
          <cell r="R588" t="e">
            <v>#N/A</v>
          </cell>
          <cell r="S588" t="e">
            <v>#N/A</v>
          </cell>
          <cell r="T588" t="e">
            <v>#N/A</v>
          </cell>
          <cell r="U588" t="e">
            <v>#N/A</v>
          </cell>
          <cell r="V588" t="e">
            <v>#N/A</v>
          </cell>
          <cell r="W588" t="e">
            <v>#N/A</v>
          </cell>
          <cell r="X588" t="e">
            <v>#N/A</v>
          </cell>
          <cell r="Y588" t="e">
            <v>#N/A</v>
          </cell>
          <cell r="Z588" t="e">
            <v>#N/A</v>
          </cell>
        </row>
        <row r="589">
          <cell r="A589" t="e">
            <v>#N/A</v>
          </cell>
          <cell r="B589" t="e">
            <v>#N/A</v>
          </cell>
          <cell r="C589" t="e">
            <v>#N/A</v>
          </cell>
          <cell r="O589" t="e">
            <v>#N/A</v>
          </cell>
          <cell r="P589" t="e">
            <v>#N/A</v>
          </cell>
          <cell r="Q589" t="e">
            <v>#N/A</v>
          </cell>
          <cell r="R589" t="e">
            <v>#N/A</v>
          </cell>
          <cell r="S589" t="e">
            <v>#N/A</v>
          </cell>
          <cell r="T589" t="e">
            <v>#N/A</v>
          </cell>
          <cell r="U589" t="e">
            <v>#N/A</v>
          </cell>
          <cell r="V589" t="e">
            <v>#N/A</v>
          </cell>
          <cell r="W589" t="e">
            <v>#N/A</v>
          </cell>
          <cell r="X589" t="e">
            <v>#N/A</v>
          </cell>
          <cell r="Y589" t="e">
            <v>#N/A</v>
          </cell>
          <cell r="Z589" t="e">
            <v>#N/A</v>
          </cell>
        </row>
        <row r="590">
          <cell r="A590" t="e">
            <v>#N/A</v>
          </cell>
          <cell r="B590" t="e">
            <v>#N/A</v>
          </cell>
          <cell r="C590" t="e">
            <v>#N/A</v>
          </cell>
          <cell r="O590" t="e">
            <v>#N/A</v>
          </cell>
          <cell r="P590" t="e">
            <v>#N/A</v>
          </cell>
          <cell r="Q590" t="e">
            <v>#N/A</v>
          </cell>
          <cell r="R590" t="e">
            <v>#N/A</v>
          </cell>
          <cell r="S590" t="e">
            <v>#N/A</v>
          </cell>
          <cell r="T590" t="e">
            <v>#N/A</v>
          </cell>
          <cell r="U590" t="e">
            <v>#N/A</v>
          </cell>
          <cell r="V590" t="e">
            <v>#N/A</v>
          </cell>
          <cell r="W590" t="e">
            <v>#N/A</v>
          </cell>
          <cell r="X590" t="e">
            <v>#N/A</v>
          </cell>
          <cell r="Y590" t="e">
            <v>#N/A</v>
          </cell>
          <cell r="Z590" t="e">
            <v>#N/A</v>
          </cell>
        </row>
        <row r="591">
          <cell r="A591" t="e">
            <v>#N/A</v>
          </cell>
          <cell r="B591" t="e">
            <v>#N/A</v>
          </cell>
          <cell r="C591" t="e">
            <v>#N/A</v>
          </cell>
          <cell r="O591" t="e">
            <v>#N/A</v>
          </cell>
          <cell r="P591" t="e">
            <v>#N/A</v>
          </cell>
          <cell r="Q591" t="e">
            <v>#N/A</v>
          </cell>
          <cell r="R591" t="e">
            <v>#N/A</v>
          </cell>
          <cell r="S591" t="e">
            <v>#N/A</v>
          </cell>
          <cell r="T591" t="e">
            <v>#N/A</v>
          </cell>
          <cell r="U591" t="e">
            <v>#N/A</v>
          </cell>
          <cell r="V591" t="e">
            <v>#N/A</v>
          </cell>
          <cell r="W591" t="e">
            <v>#N/A</v>
          </cell>
          <cell r="X591" t="e">
            <v>#N/A</v>
          </cell>
          <cell r="Y591" t="e">
            <v>#N/A</v>
          </cell>
          <cell r="Z591" t="e">
            <v>#N/A</v>
          </cell>
        </row>
        <row r="592">
          <cell r="A592" t="e">
            <v>#N/A</v>
          </cell>
          <cell r="B592" t="e">
            <v>#N/A</v>
          </cell>
          <cell r="C592" t="e">
            <v>#N/A</v>
          </cell>
          <cell r="O592" t="e">
            <v>#N/A</v>
          </cell>
          <cell r="P592" t="e">
            <v>#N/A</v>
          </cell>
          <cell r="Q592" t="e">
            <v>#N/A</v>
          </cell>
          <cell r="R592" t="e">
            <v>#N/A</v>
          </cell>
          <cell r="S592" t="e">
            <v>#N/A</v>
          </cell>
          <cell r="T592" t="e">
            <v>#N/A</v>
          </cell>
          <cell r="U592" t="e">
            <v>#N/A</v>
          </cell>
          <cell r="V592" t="e">
            <v>#N/A</v>
          </cell>
          <cell r="W592" t="e">
            <v>#N/A</v>
          </cell>
          <cell r="X592" t="e">
            <v>#N/A</v>
          </cell>
          <cell r="Y592" t="e">
            <v>#N/A</v>
          </cell>
          <cell r="Z592" t="e">
            <v>#N/A</v>
          </cell>
        </row>
        <row r="593">
          <cell r="A593" t="e">
            <v>#N/A</v>
          </cell>
          <cell r="B593" t="e">
            <v>#N/A</v>
          </cell>
          <cell r="C593" t="e">
            <v>#N/A</v>
          </cell>
          <cell r="O593" t="e">
            <v>#N/A</v>
          </cell>
          <cell r="P593" t="e">
            <v>#N/A</v>
          </cell>
          <cell r="Q593" t="e">
            <v>#N/A</v>
          </cell>
          <cell r="R593" t="e">
            <v>#N/A</v>
          </cell>
          <cell r="S593" t="e">
            <v>#N/A</v>
          </cell>
          <cell r="T593" t="e">
            <v>#N/A</v>
          </cell>
          <cell r="U593" t="e">
            <v>#N/A</v>
          </cell>
          <cell r="V593" t="e">
            <v>#N/A</v>
          </cell>
          <cell r="W593" t="e">
            <v>#N/A</v>
          </cell>
          <cell r="X593" t="e">
            <v>#N/A</v>
          </cell>
          <cell r="Y593" t="e">
            <v>#N/A</v>
          </cell>
          <cell r="Z593" t="e">
            <v>#N/A</v>
          </cell>
        </row>
        <row r="594">
          <cell r="A594" t="e">
            <v>#N/A</v>
          </cell>
          <cell r="B594" t="e">
            <v>#N/A</v>
          </cell>
          <cell r="C594" t="e">
            <v>#N/A</v>
          </cell>
          <cell r="O594" t="e">
            <v>#N/A</v>
          </cell>
          <cell r="P594" t="e">
            <v>#N/A</v>
          </cell>
          <cell r="Q594" t="e">
            <v>#N/A</v>
          </cell>
          <cell r="R594" t="e">
            <v>#N/A</v>
          </cell>
          <cell r="S594" t="e">
            <v>#N/A</v>
          </cell>
          <cell r="T594" t="e">
            <v>#N/A</v>
          </cell>
          <cell r="U594" t="e">
            <v>#N/A</v>
          </cell>
          <cell r="V594" t="e">
            <v>#N/A</v>
          </cell>
          <cell r="W594" t="e">
            <v>#N/A</v>
          </cell>
          <cell r="X594" t="e">
            <v>#N/A</v>
          </cell>
          <cell r="Y594" t="e">
            <v>#N/A</v>
          </cell>
          <cell r="Z594" t="e">
            <v>#N/A</v>
          </cell>
        </row>
        <row r="595">
          <cell r="A595" t="e">
            <v>#N/A</v>
          </cell>
          <cell r="B595" t="e">
            <v>#N/A</v>
          </cell>
          <cell r="C595" t="e">
            <v>#N/A</v>
          </cell>
          <cell r="O595" t="e">
            <v>#N/A</v>
          </cell>
          <cell r="P595" t="e">
            <v>#N/A</v>
          </cell>
          <cell r="Q595" t="e">
            <v>#N/A</v>
          </cell>
          <cell r="R595" t="e">
            <v>#N/A</v>
          </cell>
          <cell r="S595" t="e">
            <v>#N/A</v>
          </cell>
          <cell r="T595" t="e">
            <v>#N/A</v>
          </cell>
          <cell r="U595" t="e">
            <v>#N/A</v>
          </cell>
          <cell r="V595" t="e">
            <v>#N/A</v>
          </cell>
          <cell r="W595" t="e">
            <v>#N/A</v>
          </cell>
          <cell r="X595" t="e">
            <v>#N/A</v>
          </cell>
          <cell r="Y595" t="e">
            <v>#N/A</v>
          </cell>
          <cell r="Z595" t="e">
            <v>#N/A</v>
          </cell>
        </row>
        <row r="596">
          <cell r="A596" t="e">
            <v>#N/A</v>
          </cell>
          <cell r="B596" t="e">
            <v>#N/A</v>
          </cell>
          <cell r="C596" t="e">
            <v>#N/A</v>
          </cell>
          <cell r="O596" t="e">
            <v>#N/A</v>
          </cell>
          <cell r="P596" t="e">
            <v>#N/A</v>
          </cell>
          <cell r="Q596" t="e">
            <v>#N/A</v>
          </cell>
          <cell r="R596" t="e">
            <v>#N/A</v>
          </cell>
          <cell r="S596" t="e">
            <v>#N/A</v>
          </cell>
          <cell r="T596" t="e">
            <v>#N/A</v>
          </cell>
          <cell r="U596" t="e">
            <v>#N/A</v>
          </cell>
          <cell r="V596" t="e">
            <v>#N/A</v>
          </cell>
          <cell r="W596" t="e">
            <v>#N/A</v>
          </cell>
          <cell r="X596" t="e">
            <v>#N/A</v>
          </cell>
          <cell r="Y596" t="e">
            <v>#N/A</v>
          </cell>
          <cell r="Z596" t="e">
            <v>#N/A</v>
          </cell>
        </row>
        <row r="597">
          <cell r="A597" t="e">
            <v>#N/A</v>
          </cell>
          <cell r="B597" t="e">
            <v>#N/A</v>
          </cell>
          <cell r="C597" t="e">
            <v>#N/A</v>
          </cell>
          <cell r="O597" t="e">
            <v>#N/A</v>
          </cell>
          <cell r="P597" t="e">
            <v>#N/A</v>
          </cell>
          <cell r="Q597" t="e">
            <v>#N/A</v>
          </cell>
          <cell r="R597" t="e">
            <v>#N/A</v>
          </cell>
          <cell r="S597" t="e">
            <v>#N/A</v>
          </cell>
          <cell r="T597" t="e">
            <v>#N/A</v>
          </cell>
          <cell r="U597" t="e">
            <v>#N/A</v>
          </cell>
          <cell r="V597" t="e">
            <v>#N/A</v>
          </cell>
          <cell r="W597" t="e">
            <v>#N/A</v>
          </cell>
          <cell r="X597" t="e">
            <v>#N/A</v>
          </cell>
          <cell r="Y597" t="e">
            <v>#N/A</v>
          </cell>
          <cell r="Z597" t="e">
            <v>#N/A</v>
          </cell>
        </row>
        <row r="598">
          <cell r="A598" t="e">
            <v>#N/A</v>
          </cell>
          <cell r="B598" t="e">
            <v>#N/A</v>
          </cell>
          <cell r="C598" t="e">
            <v>#N/A</v>
          </cell>
          <cell r="O598" t="e">
            <v>#N/A</v>
          </cell>
          <cell r="P598" t="e">
            <v>#N/A</v>
          </cell>
          <cell r="Q598" t="e">
            <v>#N/A</v>
          </cell>
          <cell r="R598" t="e">
            <v>#N/A</v>
          </cell>
          <cell r="S598" t="e">
            <v>#N/A</v>
          </cell>
          <cell r="T598" t="e">
            <v>#N/A</v>
          </cell>
          <cell r="U598" t="e">
            <v>#N/A</v>
          </cell>
          <cell r="V598" t="e">
            <v>#N/A</v>
          </cell>
          <cell r="W598" t="e">
            <v>#N/A</v>
          </cell>
          <cell r="X598" t="e">
            <v>#N/A</v>
          </cell>
          <cell r="Y598" t="e">
            <v>#N/A</v>
          </cell>
          <cell r="Z598" t="e">
            <v>#N/A</v>
          </cell>
        </row>
        <row r="599">
          <cell r="A599" t="e">
            <v>#N/A</v>
          </cell>
          <cell r="B599" t="e">
            <v>#N/A</v>
          </cell>
          <cell r="C599" t="e">
            <v>#N/A</v>
          </cell>
          <cell r="O599" t="e">
            <v>#N/A</v>
          </cell>
          <cell r="P599" t="e">
            <v>#N/A</v>
          </cell>
          <cell r="Q599" t="e">
            <v>#N/A</v>
          </cell>
          <cell r="R599" t="e">
            <v>#N/A</v>
          </cell>
          <cell r="S599" t="e">
            <v>#N/A</v>
          </cell>
          <cell r="T599" t="e">
            <v>#N/A</v>
          </cell>
          <cell r="U599" t="e">
            <v>#N/A</v>
          </cell>
          <cell r="V599" t="e">
            <v>#N/A</v>
          </cell>
          <cell r="W599" t="e">
            <v>#N/A</v>
          </cell>
          <cell r="X599" t="e">
            <v>#N/A</v>
          </cell>
          <cell r="Y599" t="e">
            <v>#N/A</v>
          </cell>
          <cell r="Z599" t="e">
            <v>#N/A</v>
          </cell>
        </row>
        <row r="600">
          <cell r="A600" t="e">
            <v>#N/A</v>
          </cell>
          <cell r="B600" t="e">
            <v>#N/A</v>
          </cell>
          <cell r="C600" t="e">
            <v>#N/A</v>
          </cell>
          <cell r="O600" t="e">
            <v>#N/A</v>
          </cell>
          <cell r="P600" t="e">
            <v>#N/A</v>
          </cell>
          <cell r="Q600" t="e">
            <v>#N/A</v>
          </cell>
          <cell r="R600" t="e">
            <v>#N/A</v>
          </cell>
          <cell r="S600" t="e">
            <v>#N/A</v>
          </cell>
          <cell r="T600" t="e">
            <v>#N/A</v>
          </cell>
          <cell r="U600" t="e">
            <v>#N/A</v>
          </cell>
          <cell r="V600" t="e">
            <v>#N/A</v>
          </cell>
          <cell r="W600" t="e">
            <v>#N/A</v>
          </cell>
          <cell r="X600" t="e">
            <v>#N/A</v>
          </cell>
          <cell r="Y600" t="e">
            <v>#N/A</v>
          </cell>
          <cell r="Z600" t="e">
            <v>#N/A</v>
          </cell>
        </row>
        <row r="601">
          <cell r="A601" t="e">
            <v>#N/A</v>
          </cell>
          <cell r="B601" t="e">
            <v>#N/A</v>
          </cell>
          <cell r="C601" t="e">
            <v>#N/A</v>
          </cell>
          <cell r="O601" t="e">
            <v>#N/A</v>
          </cell>
          <cell r="P601" t="e">
            <v>#N/A</v>
          </cell>
          <cell r="Q601" t="e">
            <v>#N/A</v>
          </cell>
          <cell r="R601" t="e">
            <v>#N/A</v>
          </cell>
          <cell r="S601" t="e">
            <v>#N/A</v>
          </cell>
          <cell r="T601" t="e">
            <v>#N/A</v>
          </cell>
          <cell r="U601" t="e">
            <v>#N/A</v>
          </cell>
          <cell r="V601" t="e">
            <v>#N/A</v>
          </cell>
          <cell r="W601" t="e">
            <v>#N/A</v>
          </cell>
          <cell r="X601" t="e">
            <v>#N/A</v>
          </cell>
          <cell r="Y601" t="e">
            <v>#N/A</v>
          </cell>
          <cell r="Z601" t="e">
            <v>#N/A</v>
          </cell>
        </row>
        <row r="602">
          <cell r="A602" t="e">
            <v>#N/A</v>
          </cell>
          <cell r="B602" t="e">
            <v>#N/A</v>
          </cell>
          <cell r="C602" t="e">
            <v>#N/A</v>
          </cell>
          <cell r="O602" t="e">
            <v>#N/A</v>
          </cell>
          <cell r="P602" t="e">
            <v>#N/A</v>
          </cell>
          <cell r="Q602" t="e">
            <v>#N/A</v>
          </cell>
          <cell r="R602" t="e">
            <v>#N/A</v>
          </cell>
          <cell r="S602" t="e">
            <v>#N/A</v>
          </cell>
          <cell r="T602" t="e">
            <v>#N/A</v>
          </cell>
          <cell r="U602" t="e">
            <v>#N/A</v>
          </cell>
          <cell r="V602" t="e">
            <v>#N/A</v>
          </cell>
          <cell r="W602" t="e">
            <v>#N/A</v>
          </cell>
          <cell r="X602" t="e">
            <v>#N/A</v>
          </cell>
          <cell r="Y602" t="e">
            <v>#N/A</v>
          </cell>
          <cell r="Z602" t="e">
            <v>#N/A</v>
          </cell>
        </row>
        <row r="603">
          <cell r="A603" t="e">
            <v>#N/A</v>
          </cell>
          <cell r="B603" t="e">
            <v>#N/A</v>
          </cell>
          <cell r="C603" t="e">
            <v>#N/A</v>
          </cell>
          <cell r="O603" t="e">
            <v>#N/A</v>
          </cell>
          <cell r="P603" t="e">
            <v>#N/A</v>
          </cell>
          <cell r="Q603" t="e">
            <v>#N/A</v>
          </cell>
          <cell r="R603" t="e">
            <v>#N/A</v>
          </cell>
          <cell r="S603" t="e">
            <v>#N/A</v>
          </cell>
          <cell r="T603" t="e">
            <v>#N/A</v>
          </cell>
          <cell r="U603" t="e">
            <v>#N/A</v>
          </cell>
          <cell r="V603" t="e">
            <v>#N/A</v>
          </cell>
          <cell r="W603" t="e">
            <v>#N/A</v>
          </cell>
          <cell r="X603" t="e">
            <v>#N/A</v>
          </cell>
          <cell r="Y603" t="e">
            <v>#N/A</v>
          </cell>
          <cell r="Z603" t="e">
            <v>#N/A</v>
          </cell>
        </row>
        <row r="604">
          <cell r="A604" t="e">
            <v>#N/A</v>
          </cell>
          <cell r="B604" t="e">
            <v>#N/A</v>
          </cell>
          <cell r="C604" t="e">
            <v>#N/A</v>
          </cell>
          <cell r="O604" t="e">
            <v>#N/A</v>
          </cell>
          <cell r="P604" t="e">
            <v>#N/A</v>
          </cell>
          <cell r="Q604" t="e">
            <v>#N/A</v>
          </cell>
          <cell r="R604" t="e">
            <v>#N/A</v>
          </cell>
          <cell r="S604" t="e">
            <v>#N/A</v>
          </cell>
          <cell r="T604" t="e">
            <v>#N/A</v>
          </cell>
          <cell r="U604" t="e">
            <v>#N/A</v>
          </cell>
          <cell r="V604" t="e">
            <v>#N/A</v>
          </cell>
          <cell r="W604" t="e">
            <v>#N/A</v>
          </cell>
          <cell r="X604" t="e">
            <v>#N/A</v>
          </cell>
          <cell r="Y604" t="e">
            <v>#N/A</v>
          </cell>
          <cell r="Z604" t="e">
            <v>#N/A</v>
          </cell>
        </row>
        <row r="605">
          <cell r="A605" t="e">
            <v>#N/A</v>
          </cell>
          <cell r="B605" t="e">
            <v>#N/A</v>
          </cell>
          <cell r="C605" t="e">
            <v>#N/A</v>
          </cell>
          <cell r="O605" t="e">
            <v>#N/A</v>
          </cell>
          <cell r="P605" t="e">
            <v>#N/A</v>
          </cell>
          <cell r="Q605" t="e">
            <v>#N/A</v>
          </cell>
          <cell r="R605" t="e">
            <v>#N/A</v>
          </cell>
          <cell r="S605" t="e">
            <v>#N/A</v>
          </cell>
          <cell r="T605" t="e">
            <v>#N/A</v>
          </cell>
          <cell r="U605" t="e">
            <v>#N/A</v>
          </cell>
          <cell r="V605" t="e">
            <v>#N/A</v>
          </cell>
          <cell r="W605" t="e">
            <v>#N/A</v>
          </cell>
          <cell r="X605" t="e">
            <v>#N/A</v>
          </cell>
          <cell r="Y605" t="e">
            <v>#N/A</v>
          </cell>
          <cell r="Z605" t="e">
            <v>#N/A</v>
          </cell>
        </row>
        <row r="606">
          <cell r="A606" t="e">
            <v>#N/A</v>
          </cell>
          <cell r="B606" t="e">
            <v>#N/A</v>
          </cell>
          <cell r="C606" t="e">
            <v>#N/A</v>
          </cell>
          <cell r="O606" t="e">
            <v>#N/A</v>
          </cell>
          <cell r="P606" t="e">
            <v>#N/A</v>
          </cell>
          <cell r="Q606" t="e">
            <v>#N/A</v>
          </cell>
          <cell r="R606" t="e">
            <v>#N/A</v>
          </cell>
          <cell r="S606" t="e">
            <v>#N/A</v>
          </cell>
          <cell r="T606" t="e">
            <v>#N/A</v>
          </cell>
          <cell r="U606" t="e">
            <v>#N/A</v>
          </cell>
          <cell r="V606" t="e">
            <v>#N/A</v>
          </cell>
          <cell r="W606" t="e">
            <v>#N/A</v>
          </cell>
          <cell r="X606" t="e">
            <v>#N/A</v>
          </cell>
          <cell r="Y606" t="e">
            <v>#N/A</v>
          </cell>
          <cell r="Z606" t="e">
            <v>#N/A</v>
          </cell>
        </row>
        <row r="607">
          <cell r="A607" t="e">
            <v>#N/A</v>
          </cell>
          <cell r="B607" t="e">
            <v>#N/A</v>
          </cell>
          <cell r="C607" t="e">
            <v>#N/A</v>
          </cell>
          <cell r="O607" t="e">
            <v>#N/A</v>
          </cell>
          <cell r="P607" t="e">
            <v>#N/A</v>
          </cell>
          <cell r="Q607" t="e">
            <v>#N/A</v>
          </cell>
          <cell r="R607" t="e">
            <v>#N/A</v>
          </cell>
          <cell r="S607" t="e">
            <v>#N/A</v>
          </cell>
          <cell r="T607" t="e">
            <v>#N/A</v>
          </cell>
          <cell r="U607" t="e">
            <v>#N/A</v>
          </cell>
          <cell r="V607" t="e">
            <v>#N/A</v>
          </cell>
          <cell r="W607" t="e">
            <v>#N/A</v>
          </cell>
          <cell r="X607" t="e">
            <v>#N/A</v>
          </cell>
          <cell r="Y607" t="e">
            <v>#N/A</v>
          </cell>
          <cell r="Z607" t="e">
            <v>#N/A</v>
          </cell>
        </row>
        <row r="608">
          <cell r="A608" t="e">
            <v>#N/A</v>
          </cell>
          <cell r="B608" t="e">
            <v>#N/A</v>
          </cell>
          <cell r="C608" t="e">
            <v>#N/A</v>
          </cell>
          <cell r="O608" t="e">
            <v>#N/A</v>
          </cell>
          <cell r="P608" t="e">
            <v>#N/A</v>
          </cell>
          <cell r="Q608" t="e">
            <v>#N/A</v>
          </cell>
          <cell r="R608" t="e">
            <v>#N/A</v>
          </cell>
          <cell r="S608" t="e">
            <v>#N/A</v>
          </cell>
          <cell r="T608" t="e">
            <v>#N/A</v>
          </cell>
          <cell r="U608" t="e">
            <v>#N/A</v>
          </cell>
          <cell r="V608" t="e">
            <v>#N/A</v>
          </cell>
          <cell r="W608" t="e">
            <v>#N/A</v>
          </cell>
          <cell r="X608" t="e">
            <v>#N/A</v>
          </cell>
          <cell r="Y608" t="e">
            <v>#N/A</v>
          </cell>
          <cell r="Z608" t="e">
            <v>#N/A</v>
          </cell>
        </row>
        <row r="609">
          <cell r="A609" t="e">
            <v>#N/A</v>
          </cell>
          <cell r="B609" t="e">
            <v>#N/A</v>
          </cell>
          <cell r="C609" t="e">
            <v>#N/A</v>
          </cell>
          <cell r="O609" t="e">
            <v>#N/A</v>
          </cell>
          <cell r="P609" t="e">
            <v>#N/A</v>
          </cell>
          <cell r="Q609" t="e">
            <v>#N/A</v>
          </cell>
          <cell r="R609" t="e">
            <v>#N/A</v>
          </cell>
          <cell r="S609" t="e">
            <v>#N/A</v>
          </cell>
          <cell r="T609" t="e">
            <v>#N/A</v>
          </cell>
          <cell r="U609" t="e">
            <v>#N/A</v>
          </cell>
          <cell r="V609" t="e">
            <v>#N/A</v>
          </cell>
          <cell r="W609" t="e">
            <v>#N/A</v>
          </cell>
          <cell r="X609" t="e">
            <v>#N/A</v>
          </cell>
          <cell r="Y609" t="e">
            <v>#N/A</v>
          </cell>
          <cell r="Z609" t="e">
            <v>#N/A</v>
          </cell>
        </row>
        <row r="610">
          <cell r="A610" t="e">
            <v>#N/A</v>
          </cell>
          <cell r="B610" t="e">
            <v>#N/A</v>
          </cell>
          <cell r="C610" t="e">
            <v>#N/A</v>
          </cell>
          <cell r="O610" t="e">
            <v>#N/A</v>
          </cell>
          <cell r="P610" t="e">
            <v>#N/A</v>
          </cell>
          <cell r="Q610" t="e">
            <v>#N/A</v>
          </cell>
          <cell r="R610" t="e">
            <v>#N/A</v>
          </cell>
          <cell r="S610" t="e">
            <v>#N/A</v>
          </cell>
          <cell r="T610" t="e">
            <v>#N/A</v>
          </cell>
          <cell r="U610" t="e">
            <v>#N/A</v>
          </cell>
          <cell r="V610" t="e">
            <v>#N/A</v>
          </cell>
          <cell r="W610" t="e">
            <v>#N/A</v>
          </cell>
          <cell r="X610" t="e">
            <v>#N/A</v>
          </cell>
          <cell r="Y610" t="e">
            <v>#N/A</v>
          </cell>
          <cell r="Z610" t="e">
            <v>#N/A</v>
          </cell>
        </row>
        <row r="611">
          <cell r="A611" t="e">
            <v>#N/A</v>
          </cell>
          <cell r="B611" t="e">
            <v>#N/A</v>
          </cell>
          <cell r="C611" t="e">
            <v>#N/A</v>
          </cell>
          <cell r="O611" t="e">
            <v>#N/A</v>
          </cell>
          <cell r="P611" t="e">
            <v>#N/A</v>
          </cell>
          <cell r="Q611" t="e">
            <v>#N/A</v>
          </cell>
          <cell r="R611" t="e">
            <v>#N/A</v>
          </cell>
          <cell r="S611" t="e">
            <v>#N/A</v>
          </cell>
          <cell r="T611" t="e">
            <v>#N/A</v>
          </cell>
          <cell r="U611" t="e">
            <v>#N/A</v>
          </cell>
          <cell r="V611" t="e">
            <v>#N/A</v>
          </cell>
          <cell r="W611" t="e">
            <v>#N/A</v>
          </cell>
          <cell r="X611" t="e">
            <v>#N/A</v>
          </cell>
          <cell r="Y611" t="e">
            <v>#N/A</v>
          </cell>
          <cell r="Z611" t="e">
            <v>#N/A</v>
          </cell>
        </row>
        <row r="612">
          <cell r="A612" t="e">
            <v>#N/A</v>
          </cell>
          <cell r="B612" t="e">
            <v>#N/A</v>
          </cell>
          <cell r="C612" t="e">
            <v>#N/A</v>
          </cell>
          <cell r="O612" t="e">
            <v>#N/A</v>
          </cell>
          <cell r="P612" t="e">
            <v>#N/A</v>
          </cell>
          <cell r="Q612" t="e">
            <v>#N/A</v>
          </cell>
          <cell r="R612" t="e">
            <v>#N/A</v>
          </cell>
          <cell r="S612" t="e">
            <v>#N/A</v>
          </cell>
          <cell r="T612" t="e">
            <v>#N/A</v>
          </cell>
          <cell r="U612" t="e">
            <v>#N/A</v>
          </cell>
          <cell r="V612" t="e">
            <v>#N/A</v>
          </cell>
          <cell r="W612" t="e">
            <v>#N/A</v>
          </cell>
          <cell r="X612" t="e">
            <v>#N/A</v>
          </cell>
          <cell r="Y612" t="e">
            <v>#N/A</v>
          </cell>
          <cell r="Z612" t="e">
            <v>#N/A</v>
          </cell>
        </row>
        <row r="613">
          <cell r="A613" t="e">
            <v>#N/A</v>
          </cell>
          <cell r="B613" t="e">
            <v>#N/A</v>
          </cell>
          <cell r="C613" t="e">
            <v>#N/A</v>
          </cell>
          <cell r="O613" t="e">
            <v>#N/A</v>
          </cell>
          <cell r="P613" t="e">
            <v>#N/A</v>
          </cell>
          <cell r="Q613" t="e">
            <v>#N/A</v>
          </cell>
          <cell r="R613" t="e">
            <v>#N/A</v>
          </cell>
          <cell r="S613" t="e">
            <v>#N/A</v>
          </cell>
          <cell r="T613" t="e">
            <v>#N/A</v>
          </cell>
          <cell r="U613" t="e">
            <v>#N/A</v>
          </cell>
          <cell r="V613" t="e">
            <v>#N/A</v>
          </cell>
          <cell r="W613" t="e">
            <v>#N/A</v>
          </cell>
          <cell r="X613" t="e">
            <v>#N/A</v>
          </cell>
          <cell r="Y613" t="e">
            <v>#N/A</v>
          </cell>
          <cell r="Z613" t="e">
            <v>#N/A</v>
          </cell>
        </row>
        <row r="614">
          <cell r="A614" t="e">
            <v>#N/A</v>
          </cell>
          <cell r="B614" t="e">
            <v>#N/A</v>
          </cell>
          <cell r="C614" t="e">
            <v>#N/A</v>
          </cell>
          <cell r="O614" t="e">
            <v>#N/A</v>
          </cell>
          <cell r="P614" t="e">
            <v>#N/A</v>
          </cell>
          <cell r="Q614" t="e">
            <v>#N/A</v>
          </cell>
          <cell r="R614" t="e">
            <v>#N/A</v>
          </cell>
          <cell r="S614" t="e">
            <v>#N/A</v>
          </cell>
          <cell r="T614" t="e">
            <v>#N/A</v>
          </cell>
          <cell r="U614" t="e">
            <v>#N/A</v>
          </cell>
          <cell r="V614" t="e">
            <v>#N/A</v>
          </cell>
          <cell r="W614" t="e">
            <v>#N/A</v>
          </cell>
          <cell r="X614" t="e">
            <v>#N/A</v>
          </cell>
          <cell r="Y614" t="e">
            <v>#N/A</v>
          </cell>
          <cell r="Z614" t="e">
            <v>#N/A</v>
          </cell>
        </row>
        <row r="615">
          <cell r="A615" t="e">
            <v>#N/A</v>
          </cell>
          <cell r="B615" t="e">
            <v>#N/A</v>
          </cell>
          <cell r="C615" t="e">
            <v>#N/A</v>
          </cell>
          <cell r="O615" t="e">
            <v>#N/A</v>
          </cell>
          <cell r="P615" t="e">
            <v>#N/A</v>
          </cell>
          <cell r="Q615" t="e">
            <v>#N/A</v>
          </cell>
          <cell r="R615" t="e">
            <v>#N/A</v>
          </cell>
          <cell r="S615" t="e">
            <v>#N/A</v>
          </cell>
          <cell r="T615" t="e">
            <v>#N/A</v>
          </cell>
          <cell r="U615" t="e">
            <v>#N/A</v>
          </cell>
          <cell r="V615" t="e">
            <v>#N/A</v>
          </cell>
          <cell r="W615" t="e">
            <v>#N/A</v>
          </cell>
          <cell r="X615" t="e">
            <v>#N/A</v>
          </cell>
          <cell r="Y615" t="e">
            <v>#N/A</v>
          </cell>
          <cell r="Z615" t="e">
            <v>#N/A</v>
          </cell>
        </row>
        <row r="616">
          <cell r="A616" t="e">
            <v>#N/A</v>
          </cell>
          <cell r="B616" t="e">
            <v>#N/A</v>
          </cell>
          <cell r="C616" t="e">
            <v>#N/A</v>
          </cell>
          <cell r="O616" t="e">
            <v>#N/A</v>
          </cell>
          <cell r="P616" t="e">
            <v>#N/A</v>
          </cell>
          <cell r="Q616" t="e">
            <v>#N/A</v>
          </cell>
          <cell r="R616" t="e">
            <v>#N/A</v>
          </cell>
          <cell r="S616" t="e">
            <v>#N/A</v>
          </cell>
          <cell r="T616" t="e">
            <v>#N/A</v>
          </cell>
          <cell r="U616" t="e">
            <v>#N/A</v>
          </cell>
          <cell r="V616" t="e">
            <v>#N/A</v>
          </cell>
          <cell r="W616" t="e">
            <v>#N/A</v>
          </cell>
          <cell r="X616" t="e">
            <v>#N/A</v>
          </cell>
          <cell r="Y616" t="e">
            <v>#N/A</v>
          </cell>
          <cell r="Z616" t="e">
            <v>#N/A</v>
          </cell>
        </row>
        <row r="617">
          <cell r="A617" t="e">
            <v>#N/A</v>
          </cell>
          <cell r="B617" t="e">
            <v>#N/A</v>
          </cell>
          <cell r="C617" t="e">
            <v>#N/A</v>
          </cell>
          <cell r="O617" t="e">
            <v>#N/A</v>
          </cell>
          <cell r="P617" t="e">
            <v>#N/A</v>
          </cell>
          <cell r="Q617" t="e">
            <v>#N/A</v>
          </cell>
          <cell r="R617" t="e">
            <v>#N/A</v>
          </cell>
          <cell r="S617" t="e">
            <v>#N/A</v>
          </cell>
          <cell r="T617" t="e">
            <v>#N/A</v>
          </cell>
          <cell r="U617" t="e">
            <v>#N/A</v>
          </cell>
          <cell r="V617" t="e">
            <v>#N/A</v>
          </cell>
          <cell r="W617" t="e">
            <v>#N/A</v>
          </cell>
          <cell r="X617" t="e">
            <v>#N/A</v>
          </cell>
          <cell r="Y617" t="e">
            <v>#N/A</v>
          </cell>
          <cell r="Z617" t="e">
            <v>#N/A</v>
          </cell>
        </row>
        <row r="618">
          <cell r="A618" t="e">
            <v>#N/A</v>
          </cell>
          <cell r="B618" t="e">
            <v>#N/A</v>
          </cell>
          <cell r="C618" t="e">
            <v>#N/A</v>
          </cell>
          <cell r="O618" t="e">
            <v>#N/A</v>
          </cell>
          <cell r="P618" t="e">
            <v>#N/A</v>
          </cell>
          <cell r="Q618" t="e">
            <v>#N/A</v>
          </cell>
          <cell r="R618" t="e">
            <v>#N/A</v>
          </cell>
          <cell r="S618" t="e">
            <v>#N/A</v>
          </cell>
          <cell r="T618" t="e">
            <v>#N/A</v>
          </cell>
          <cell r="U618" t="e">
            <v>#N/A</v>
          </cell>
          <cell r="V618" t="e">
            <v>#N/A</v>
          </cell>
          <cell r="W618" t="e">
            <v>#N/A</v>
          </cell>
          <cell r="X618" t="e">
            <v>#N/A</v>
          </cell>
          <cell r="Y618" t="e">
            <v>#N/A</v>
          </cell>
          <cell r="Z618" t="e">
            <v>#N/A</v>
          </cell>
        </row>
        <row r="619">
          <cell r="A619" t="e">
            <v>#N/A</v>
          </cell>
          <cell r="B619" t="e">
            <v>#N/A</v>
          </cell>
          <cell r="C619" t="e">
            <v>#N/A</v>
          </cell>
          <cell r="O619" t="e">
            <v>#N/A</v>
          </cell>
          <cell r="P619" t="e">
            <v>#N/A</v>
          </cell>
          <cell r="Q619" t="e">
            <v>#N/A</v>
          </cell>
          <cell r="R619" t="e">
            <v>#N/A</v>
          </cell>
          <cell r="S619" t="e">
            <v>#N/A</v>
          </cell>
          <cell r="T619" t="e">
            <v>#N/A</v>
          </cell>
          <cell r="U619" t="e">
            <v>#N/A</v>
          </cell>
          <cell r="V619" t="e">
            <v>#N/A</v>
          </cell>
          <cell r="W619" t="e">
            <v>#N/A</v>
          </cell>
          <cell r="X619" t="e">
            <v>#N/A</v>
          </cell>
          <cell r="Y619" t="e">
            <v>#N/A</v>
          </cell>
          <cell r="Z619" t="e">
            <v>#N/A</v>
          </cell>
        </row>
        <row r="620">
          <cell r="A620" t="e">
            <v>#N/A</v>
          </cell>
          <cell r="B620" t="e">
            <v>#N/A</v>
          </cell>
          <cell r="C620" t="e">
            <v>#N/A</v>
          </cell>
          <cell r="O620" t="e">
            <v>#N/A</v>
          </cell>
          <cell r="P620" t="e">
            <v>#N/A</v>
          </cell>
          <cell r="Q620" t="e">
            <v>#N/A</v>
          </cell>
          <cell r="R620" t="e">
            <v>#N/A</v>
          </cell>
          <cell r="S620" t="e">
            <v>#N/A</v>
          </cell>
          <cell r="T620" t="e">
            <v>#N/A</v>
          </cell>
          <cell r="U620" t="e">
            <v>#N/A</v>
          </cell>
          <cell r="V620" t="e">
            <v>#N/A</v>
          </cell>
          <cell r="W620" t="e">
            <v>#N/A</v>
          </cell>
          <cell r="X620" t="e">
            <v>#N/A</v>
          </cell>
          <cell r="Y620" t="e">
            <v>#N/A</v>
          </cell>
          <cell r="Z620" t="e">
            <v>#N/A</v>
          </cell>
        </row>
        <row r="621">
          <cell r="A621" t="e">
            <v>#N/A</v>
          </cell>
          <cell r="B621" t="e">
            <v>#N/A</v>
          </cell>
          <cell r="C621" t="e">
            <v>#N/A</v>
          </cell>
          <cell r="O621" t="e">
            <v>#N/A</v>
          </cell>
          <cell r="P621" t="e">
            <v>#N/A</v>
          </cell>
          <cell r="Q621" t="e">
            <v>#N/A</v>
          </cell>
          <cell r="R621" t="e">
            <v>#N/A</v>
          </cell>
          <cell r="S621" t="e">
            <v>#N/A</v>
          </cell>
          <cell r="T621" t="e">
            <v>#N/A</v>
          </cell>
          <cell r="U621" t="e">
            <v>#N/A</v>
          </cell>
          <cell r="V621" t="e">
            <v>#N/A</v>
          </cell>
          <cell r="W621" t="e">
            <v>#N/A</v>
          </cell>
          <cell r="X621" t="e">
            <v>#N/A</v>
          </cell>
          <cell r="Y621" t="e">
            <v>#N/A</v>
          </cell>
          <cell r="Z621" t="e">
            <v>#N/A</v>
          </cell>
        </row>
        <row r="622">
          <cell r="A622" t="e">
            <v>#N/A</v>
          </cell>
          <cell r="B622" t="e">
            <v>#N/A</v>
          </cell>
          <cell r="C622" t="e">
            <v>#N/A</v>
          </cell>
          <cell r="O622" t="e">
            <v>#N/A</v>
          </cell>
          <cell r="P622" t="e">
            <v>#N/A</v>
          </cell>
          <cell r="Q622" t="e">
            <v>#N/A</v>
          </cell>
          <cell r="R622" t="e">
            <v>#N/A</v>
          </cell>
          <cell r="S622" t="e">
            <v>#N/A</v>
          </cell>
          <cell r="T622" t="e">
            <v>#N/A</v>
          </cell>
          <cell r="U622" t="e">
            <v>#N/A</v>
          </cell>
          <cell r="V622" t="e">
            <v>#N/A</v>
          </cell>
          <cell r="W622" t="e">
            <v>#N/A</v>
          </cell>
          <cell r="X622" t="e">
            <v>#N/A</v>
          </cell>
          <cell r="Y622" t="e">
            <v>#N/A</v>
          </cell>
          <cell r="Z622" t="e">
            <v>#N/A</v>
          </cell>
        </row>
        <row r="623">
          <cell r="A623" t="e">
            <v>#N/A</v>
          </cell>
          <cell r="B623" t="e">
            <v>#N/A</v>
          </cell>
          <cell r="C623" t="e">
            <v>#N/A</v>
          </cell>
          <cell r="O623" t="e">
            <v>#N/A</v>
          </cell>
          <cell r="P623" t="e">
            <v>#N/A</v>
          </cell>
          <cell r="Q623" t="e">
            <v>#N/A</v>
          </cell>
          <cell r="R623" t="e">
            <v>#N/A</v>
          </cell>
          <cell r="S623" t="e">
            <v>#N/A</v>
          </cell>
          <cell r="T623" t="e">
            <v>#N/A</v>
          </cell>
          <cell r="U623" t="e">
            <v>#N/A</v>
          </cell>
          <cell r="V623" t="e">
            <v>#N/A</v>
          </cell>
          <cell r="W623" t="e">
            <v>#N/A</v>
          </cell>
          <cell r="X623" t="e">
            <v>#N/A</v>
          </cell>
          <cell r="Y623" t="e">
            <v>#N/A</v>
          </cell>
          <cell r="Z623" t="e">
            <v>#N/A</v>
          </cell>
        </row>
        <row r="624">
          <cell r="A624" t="e">
            <v>#N/A</v>
          </cell>
          <cell r="B624" t="e">
            <v>#N/A</v>
          </cell>
          <cell r="C624" t="e">
            <v>#N/A</v>
          </cell>
          <cell r="O624" t="e">
            <v>#N/A</v>
          </cell>
          <cell r="P624" t="e">
            <v>#N/A</v>
          </cell>
          <cell r="Q624" t="e">
            <v>#N/A</v>
          </cell>
          <cell r="R624" t="e">
            <v>#N/A</v>
          </cell>
          <cell r="S624" t="e">
            <v>#N/A</v>
          </cell>
          <cell r="T624" t="e">
            <v>#N/A</v>
          </cell>
          <cell r="U624" t="e">
            <v>#N/A</v>
          </cell>
          <cell r="V624" t="e">
            <v>#N/A</v>
          </cell>
          <cell r="W624" t="e">
            <v>#N/A</v>
          </cell>
          <cell r="X624" t="e">
            <v>#N/A</v>
          </cell>
          <cell r="Y624" t="e">
            <v>#N/A</v>
          </cell>
          <cell r="Z624" t="e">
            <v>#N/A</v>
          </cell>
        </row>
        <row r="625">
          <cell r="A625" t="e">
            <v>#N/A</v>
          </cell>
          <cell r="B625" t="e">
            <v>#N/A</v>
          </cell>
          <cell r="C625" t="e">
            <v>#N/A</v>
          </cell>
          <cell r="O625" t="e">
            <v>#N/A</v>
          </cell>
          <cell r="P625" t="e">
            <v>#N/A</v>
          </cell>
          <cell r="Q625" t="e">
            <v>#N/A</v>
          </cell>
          <cell r="R625" t="e">
            <v>#N/A</v>
          </cell>
          <cell r="S625" t="e">
            <v>#N/A</v>
          </cell>
          <cell r="T625" t="e">
            <v>#N/A</v>
          </cell>
          <cell r="U625" t="e">
            <v>#N/A</v>
          </cell>
          <cell r="V625" t="e">
            <v>#N/A</v>
          </cell>
          <cell r="W625" t="e">
            <v>#N/A</v>
          </cell>
          <cell r="X625" t="e">
            <v>#N/A</v>
          </cell>
          <cell r="Y625" t="e">
            <v>#N/A</v>
          </cell>
          <cell r="Z625" t="e">
            <v>#N/A</v>
          </cell>
        </row>
        <row r="626">
          <cell r="A626" t="e">
            <v>#N/A</v>
          </cell>
          <cell r="B626" t="e">
            <v>#N/A</v>
          </cell>
          <cell r="C626" t="e">
            <v>#N/A</v>
          </cell>
          <cell r="O626" t="e">
            <v>#N/A</v>
          </cell>
          <cell r="P626" t="e">
            <v>#N/A</v>
          </cell>
          <cell r="Q626" t="e">
            <v>#N/A</v>
          </cell>
          <cell r="R626" t="e">
            <v>#N/A</v>
          </cell>
          <cell r="S626" t="e">
            <v>#N/A</v>
          </cell>
          <cell r="T626" t="e">
            <v>#N/A</v>
          </cell>
          <cell r="U626" t="e">
            <v>#N/A</v>
          </cell>
          <cell r="V626" t="e">
            <v>#N/A</v>
          </cell>
          <cell r="W626" t="e">
            <v>#N/A</v>
          </cell>
          <cell r="X626" t="e">
            <v>#N/A</v>
          </cell>
          <cell r="Y626" t="e">
            <v>#N/A</v>
          </cell>
          <cell r="Z626" t="e">
            <v>#N/A</v>
          </cell>
        </row>
        <row r="627">
          <cell r="A627" t="e">
            <v>#N/A</v>
          </cell>
          <cell r="B627" t="e">
            <v>#N/A</v>
          </cell>
          <cell r="C627" t="e">
            <v>#N/A</v>
          </cell>
          <cell r="O627" t="e">
            <v>#N/A</v>
          </cell>
          <cell r="P627" t="e">
            <v>#N/A</v>
          </cell>
          <cell r="Q627" t="e">
            <v>#N/A</v>
          </cell>
          <cell r="R627" t="e">
            <v>#N/A</v>
          </cell>
          <cell r="S627" t="e">
            <v>#N/A</v>
          </cell>
          <cell r="T627" t="e">
            <v>#N/A</v>
          </cell>
          <cell r="U627" t="e">
            <v>#N/A</v>
          </cell>
          <cell r="V627" t="e">
            <v>#N/A</v>
          </cell>
          <cell r="W627" t="e">
            <v>#N/A</v>
          </cell>
          <cell r="X627" t="e">
            <v>#N/A</v>
          </cell>
          <cell r="Y627" t="e">
            <v>#N/A</v>
          </cell>
          <cell r="Z627" t="e">
            <v>#N/A</v>
          </cell>
        </row>
        <row r="628">
          <cell r="A628" t="e">
            <v>#N/A</v>
          </cell>
          <cell r="B628" t="e">
            <v>#N/A</v>
          </cell>
          <cell r="C628" t="e">
            <v>#N/A</v>
          </cell>
          <cell r="O628" t="e">
            <v>#N/A</v>
          </cell>
          <cell r="P628" t="e">
            <v>#N/A</v>
          </cell>
          <cell r="Q628" t="e">
            <v>#N/A</v>
          </cell>
          <cell r="R628" t="e">
            <v>#N/A</v>
          </cell>
          <cell r="S628" t="e">
            <v>#N/A</v>
          </cell>
          <cell r="T628" t="e">
            <v>#N/A</v>
          </cell>
          <cell r="U628" t="e">
            <v>#N/A</v>
          </cell>
          <cell r="V628" t="e">
            <v>#N/A</v>
          </cell>
          <cell r="W628" t="e">
            <v>#N/A</v>
          </cell>
          <cell r="X628" t="e">
            <v>#N/A</v>
          </cell>
          <cell r="Y628" t="e">
            <v>#N/A</v>
          </cell>
          <cell r="Z628" t="e">
            <v>#N/A</v>
          </cell>
        </row>
        <row r="629">
          <cell r="A629" t="e">
            <v>#N/A</v>
          </cell>
          <cell r="B629" t="e">
            <v>#N/A</v>
          </cell>
          <cell r="C629" t="e">
            <v>#N/A</v>
          </cell>
          <cell r="O629" t="e">
            <v>#N/A</v>
          </cell>
          <cell r="P629" t="e">
            <v>#N/A</v>
          </cell>
          <cell r="Q629" t="e">
            <v>#N/A</v>
          </cell>
          <cell r="R629" t="e">
            <v>#N/A</v>
          </cell>
          <cell r="S629" t="e">
            <v>#N/A</v>
          </cell>
          <cell r="T629" t="e">
            <v>#N/A</v>
          </cell>
          <cell r="U629" t="e">
            <v>#N/A</v>
          </cell>
          <cell r="V629" t="e">
            <v>#N/A</v>
          </cell>
          <cell r="W629" t="e">
            <v>#N/A</v>
          </cell>
          <cell r="X629" t="e">
            <v>#N/A</v>
          </cell>
          <cell r="Y629" t="e">
            <v>#N/A</v>
          </cell>
          <cell r="Z629" t="e">
            <v>#N/A</v>
          </cell>
        </row>
        <row r="630">
          <cell r="A630" t="e">
            <v>#N/A</v>
          </cell>
          <cell r="B630" t="e">
            <v>#N/A</v>
          </cell>
          <cell r="C630" t="e">
            <v>#N/A</v>
          </cell>
          <cell r="O630" t="e">
            <v>#N/A</v>
          </cell>
          <cell r="P630" t="e">
            <v>#N/A</v>
          </cell>
          <cell r="Q630" t="e">
            <v>#N/A</v>
          </cell>
          <cell r="R630" t="e">
            <v>#N/A</v>
          </cell>
          <cell r="S630" t="e">
            <v>#N/A</v>
          </cell>
          <cell r="T630" t="e">
            <v>#N/A</v>
          </cell>
          <cell r="U630" t="e">
            <v>#N/A</v>
          </cell>
          <cell r="V630" t="e">
            <v>#N/A</v>
          </cell>
          <cell r="W630" t="e">
            <v>#N/A</v>
          </cell>
          <cell r="X630" t="e">
            <v>#N/A</v>
          </cell>
          <cell r="Y630" t="e">
            <v>#N/A</v>
          </cell>
          <cell r="Z630" t="e">
            <v>#N/A</v>
          </cell>
        </row>
        <row r="631">
          <cell r="A631" t="e">
            <v>#N/A</v>
          </cell>
          <cell r="B631" t="e">
            <v>#N/A</v>
          </cell>
          <cell r="C631" t="e">
            <v>#N/A</v>
          </cell>
          <cell r="O631" t="e">
            <v>#N/A</v>
          </cell>
          <cell r="P631" t="e">
            <v>#N/A</v>
          </cell>
          <cell r="Q631" t="e">
            <v>#N/A</v>
          </cell>
          <cell r="R631" t="e">
            <v>#N/A</v>
          </cell>
          <cell r="S631" t="e">
            <v>#N/A</v>
          </cell>
          <cell r="T631" t="e">
            <v>#N/A</v>
          </cell>
          <cell r="U631" t="e">
            <v>#N/A</v>
          </cell>
          <cell r="V631" t="e">
            <v>#N/A</v>
          </cell>
          <cell r="W631" t="e">
            <v>#N/A</v>
          </cell>
          <cell r="X631" t="e">
            <v>#N/A</v>
          </cell>
          <cell r="Y631" t="e">
            <v>#N/A</v>
          </cell>
          <cell r="Z631" t="e">
            <v>#N/A</v>
          </cell>
        </row>
        <row r="632">
          <cell r="A632" t="e">
            <v>#N/A</v>
          </cell>
          <cell r="B632" t="e">
            <v>#N/A</v>
          </cell>
          <cell r="C632" t="e">
            <v>#N/A</v>
          </cell>
          <cell r="O632" t="e">
            <v>#N/A</v>
          </cell>
          <cell r="P632" t="e">
            <v>#N/A</v>
          </cell>
          <cell r="Q632" t="e">
            <v>#N/A</v>
          </cell>
          <cell r="R632" t="e">
            <v>#N/A</v>
          </cell>
          <cell r="S632" t="e">
            <v>#N/A</v>
          </cell>
          <cell r="T632" t="e">
            <v>#N/A</v>
          </cell>
          <cell r="U632" t="e">
            <v>#N/A</v>
          </cell>
          <cell r="V632" t="e">
            <v>#N/A</v>
          </cell>
          <cell r="W632" t="e">
            <v>#N/A</v>
          </cell>
          <cell r="X632" t="e">
            <v>#N/A</v>
          </cell>
          <cell r="Y632" t="e">
            <v>#N/A</v>
          </cell>
          <cell r="Z632" t="e">
            <v>#N/A</v>
          </cell>
        </row>
        <row r="633">
          <cell r="A633" t="e">
            <v>#N/A</v>
          </cell>
          <cell r="B633" t="e">
            <v>#N/A</v>
          </cell>
          <cell r="C633" t="e">
            <v>#N/A</v>
          </cell>
          <cell r="O633" t="e">
            <v>#N/A</v>
          </cell>
          <cell r="P633" t="e">
            <v>#N/A</v>
          </cell>
          <cell r="Q633" t="e">
            <v>#N/A</v>
          </cell>
          <cell r="R633" t="e">
            <v>#N/A</v>
          </cell>
          <cell r="S633" t="e">
            <v>#N/A</v>
          </cell>
          <cell r="T633" t="e">
            <v>#N/A</v>
          </cell>
          <cell r="U633" t="e">
            <v>#N/A</v>
          </cell>
          <cell r="V633" t="e">
            <v>#N/A</v>
          </cell>
          <cell r="W633" t="e">
            <v>#N/A</v>
          </cell>
          <cell r="X633" t="e">
            <v>#N/A</v>
          </cell>
          <cell r="Y633" t="e">
            <v>#N/A</v>
          </cell>
          <cell r="Z633" t="e">
            <v>#N/A</v>
          </cell>
        </row>
        <row r="634">
          <cell r="A634" t="e">
            <v>#N/A</v>
          </cell>
          <cell r="B634" t="e">
            <v>#N/A</v>
          </cell>
          <cell r="C634" t="e">
            <v>#N/A</v>
          </cell>
          <cell r="O634" t="e">
            <v>#N/A</v>
          </cell>
          <cell r="P634" t="e">
            <v>#N/A</v>
          </cell>
          <cell r="Q634" t="e">
            <v>#N/A</v>
          </cell>
          <cell r="R634" t="e">
            <v>#N/A</v>
          </cell>
          <cell r="S634" t="e">
            <v>#N/A</v>
          </cell>
          <cell r="T634" t="e">
            <v>#N/A</v>
          </cell>
          <cell r="U634" t="e">
            <v>#N/A</v>
          </cell>
          <cell r="V634" t="e">
            <v>#N/A</v>
          </cell>
          <cell r="W634" t="e">
            <v>#N/A</v>
          </cell>
          <cell r="X634" t="e">
            <v>#N/A</v>
          </cell>
          <cell r="Y634" t="e">
            <v>#N/A</v>
          </cell>
          <cell r="Z634" t="e">
            <v>#N/A</v>
          </cell>
        </row>
        <row r="635">
          <cell r="A635" t="e">
            <v>#N/A</v>
          </cell>
          <cell r="B635" t="e">
            <v>#N/A</v>
          </cell>
          <cell r="C635" t="e">
            <v>#N/A</v>
          </cell>
          <cell r="O635" t="e">
            <v>#N/A</v>
          </cell>
          <cell r="P635" t="e">
            <v>#N/A</v>
          </cell>
          <cell r="Q635" t="e">
            <v>#N/A</v>
          </cell>
          <cell r="R635" t="e">
            <v>#N/A</v>
          </cell>
          <cell r="S635" t="e">
            <v>#N/A</v>
          </cell>
          <cell r="T635" t="e">
            <v>#N/A</v>
          </cell>
          <cell r="U635" t="e">
            <v>#N/A</v>
          </cell>
          <cell r="V635" t="e">
            <v>#N/A</v>
          </cell>
          <cell r="W635" t="e">
            <v>#N/A</v>
          </cell>
          <cell r="X635" t="e">
            <v>#N/A</v>
          </cell>
          <cell r="Y635" t="e">
            <v>#N/A</v>
          </cell>
          <cell r="Z635" t="e">
            <v>#N/A</v>
          </cell>
        </row>
        <row r="636">
          <cell r="A636" t="e">
            <v>#N/A</v>
          </cell>
          <cell r="B636" t="e">
            <v>#N/A</v>
          </cell>
          <cell r="C636" t="e">
            <v>#N/A</v>
          </cell>
          <cell r="O636" t="e">
            <v>#N/A</v>
          </cell>
          <cell r="P636" t="e">
            <v>#N/A</v>
          </cell>
          <cell r="Q636" t="e">
            <v>#N/A</v>
          </cell>
          <cell r="R636" t="e">
            <v>#N/A</v>
          </cell>
          <cell r="S636" t="e">
            <v>#N/A</v>
          </cell>
          <cell r="T636" t="e">
            <v>#N/A</v>
          </cell>
          <cell r="U636" t="e">
            <v>#N/A</v>
          </cell>
          <cell r="V636" t="e">
            <v>#N/A</v>
          </cell>
          <cell r="W636" t="e">
            <v>#N/A</v>
          </cell>
          <cell r="X636" t="e">
            <v>#N/A</v>
          </cell>
          <cell r="Y636" t="e">
            <v>#N/A</v>
          </cell>
          <cell r="Z636" t="e">
            <v>#N/A</v>
          </cell>
        </row>
        <row r="637">
          <cell r="A637" t="e">
            <v>#N/A</v>
          </cell>
          <cell r="B637" t="e">
            <v>#N/A</v>
          </cell>
          <cell r="C637" t="e">
            <v>#N/A</v>
          </cell>
          <cell r="O637" t="e">
            <v>#N/A</v>
          </cell>
          <cell r="P637" t="e">
            <v>#N/A</v>
          </cell>
          <cell r="Q637" t="e">
            <v>#N/A</v>
          </cell>
          <cell r="R637" t="e">
            <v>#N/A</v>
          </cell>
          <cell r="S637" t="e">
            <v>#N/A</v>
          </cell>
          <cell r="T637" t="e">
            <v>#N/A</v>
          </cell>
          <cell r="U637" t="e">
            <v>#N/A</v>
          </cell>
          <cell r="V637" t="e">
            <v>#N/A</v>
          </cell>
          <cell r="W637" t="e">
            <v>#N/A</v>
          </cell>
          <cell r="X637" t="e">
            <v>#N/A</v>
          </cell>
          <cell r="Y637" t="e">
            <v>#N/A</v>
          </cell>
          <cell r="Z637" t="e">
            <v>#N/A</v>
          </cell>
        </row>
        <row r="638">
          <cell r="A638" t="e">
            <v>#N/A</v>
          </cell>
          <cell r="B638" t="e">
            <v>#N/A</v>
          </cell>
          <cell r="C638" t="e">
            <v>#N/A</v>
          </cell>
          <cell r="O638" t="e">
            <v>#N/A</v>
          </cell>
          <cell r="P638" t="e">
            <v>#N/A</v>
          </cell>
          <cell r="Q638" t="e">
            <v>#N/A</v>
          </cell>
          <cell r="R638" t="e">
            <v>#N/A</v>
          </cell>
          <cell r="S638" t="e">
            <v>#N/A</v>
          </cell>
          <cell r="T638" t="e">
            <v>#N/A</v>
          </cell>
          <cell r="U638" t="e">
            <v>#N/A</v>
          </cell>
          <cell r="V638" t="e">
            <v>#N/A</v>
          </cell>
          <cell r="W638" t="e">
            <v>#N/A</v>
          </cell>
          <cell r="X638" t="e">
            <v>#N/A</v>
          </cell>
          <cell r="Y638" t="e">
            <v>#N/A</v>
          </cell>
          <cell r="Z638" t="e">
            <v>#N/A</v>
          </cell>
        </row>
        <row r="639">
          <cell r="A639" t="e">
            <v>#N/A</v>
          </cell>
          <cell r="B639" t="e">
            <v>#N/A</v>
          </cell>
          <cell r="C639" t="e">
            <v>#N/A</v>
          </cell>
          <cell r="O639" t="e">
            <v>#N/A</v>
          </cell>
          <cell r="P639" t="e">
            <v>#N/A</v>
          </cell>
          <cell r="Q639" t="e">
            <v>#N/A</v>
          </cell>
          <cell r="R639" t="e">
            <v>#N/A</v>
          </cell>
          <cell r="S639" t="e">
            <v>#N/A</v>
          </cell>
          <cell r="T639" t="e">
            <v>#N/A</v>
          </cell>
          <cell r="U639" t="e">
            <v>#N/A</v>
          </cell>
          <cell r="V639" t="e">
            <v>#N/A</v>
          </cell>
          <cell r="W639" t="e">
            <v>#N/A</v>
          </cell>
          <cell r="X639" t="e">
            <v>#N/A</v>
          </cell>
          <cell r="Y639" t="e">
            <v>#N/A</v>
          </cell>
          <cell r="Z639" t="e">
            <v>#N/A</v>
          </cell>
        </row>
        <row r="640">
          <cell r="A640" t="e">
            <v>#N/A</v>
          </cell>
          <cell r="B640" t="e">
            <v>#N/A</v>
          </cell>
          <cell r="C640" t="e">
            <v>#N/A</v>
          </cell>
          <cell r="O640" t="e">
            <v>#N/A</v>
          </cell>
          <cell r="P640" t="e">
            <v>#N/A</v>
          </cell>
          <cell r="Q640" t="e">
            <v>#N/A</v>
          </cell>
          <cell r="R640" t="e">
            <v>#N/A</v>
          </cell>
          <cell r="S640" t="e">
            <v>#N/A</v>
          </cell>
          <cell r="T640" t="e">
            <v>#N/A</v>
          </cell>
          <cell r="U640" t="e">
            <v>#N/A</v>
          </cell>
          <cell r="V640" t="e">
            <v>#N/A</v>
          </cell>
          <cell r="W640" t="e">
            <v>#N/A</v>
          </cell>
          <cell r="X640" t="e">
            <v>#N/A</v>
          </cell>
          <cell r="Y640" t="e">
            <v>#N/A</v>
          </cell>
          <cell r="Z640" t="e">
            <v>#N/A</v>
          </cell>
        </row>
        <row r="641">
          <cell r="A641" t="e">
            <v>#N/A</v>
          </cell>
          <cell r="B641" t="e">
            <v>#N/A</v>
          </cell>
          <cell r="C641" t="e">
            <v>#N/A</v>
          </cell>
          <cell r="O641" t="e">
            <v>#N/A</v>
          </cell>
          <cell r="P641" t="e">
            <v>#N/A</v>
          </cell>
          <cell r="Q641" t="e">
            <v>#N/A</v>
          </cell>
          <cell r="R641" t="e">
            <v>#N/A</v>
          </cell>
          <cell r="S641" t="e">
            <v>#N/A</v>
          </cell>
          <cell r="T641" t="e">
            <v>#N/A</v>
          </cell>
          <cell r="U641" t="e">
            <v>#N/A</v>
          </cell>
          <cell r="V641" t="e">
            <v>#N/A</v>
          </cell>
          <cell r="W641" t="e">
            <v>#N/A</v>
          </cell>
          <cell r="X641" t="e">
            <v>#N/A</v>
          </cell>
          <cell r="Y641" t="e">
            <v>#N/A</v>
          </cell>
          <cell r="Z641" t="e">
            <v>#N/A</v>
          </cell>
        </row>
        <row r="642">
          <cell r="A642" t="e">
            <v>#N/A</v>
          </cell>
          <cell r="B642" t="e">
            <v>#N/A</v>
          </cell>
          <cell r="C642" t="e">
            <v>#N/A</v>
          </cell>
          <cell r="O642" t="e">
            <v>#N/A</v>
          </cell>
          <cell r="P642" t="e">
            <v>#N/A</v>
          </cell>
          <cell r="Q642" t="e">
            <v>#N/A</v>
          </cell>
          <cell r="R642" t="e">
            <v>#N/A</v>
          </cell>
          <cell r="S642" t="e">
            <v>#N/A</v>
          </cell>
          <cell r="T642" t="e">
            <v>#N/A</v>
          </cell>
          <cell r="U642" t="e">
            <v>#N/A</v>
          </cell>
          <cell r="V642" t="e">
            <v>#N/A</v>
          </cell>
          <cell r="W642" t="e">
            <v>#N/A</v>
          </cell>
          <cell r="X642" t="e">
            <v>#N/A</v>
          </cell>
          <cell r="Y642" t="e">
            <v>#N/A</v>
          </cell>
          <cell r="Z642" t="e">
            <v>#N/A</v>
          </cell>
        </row>
        <row r="643">
          <cell r="A643" t="e">
            <v>#N/A</v>
          </cell>
          <cell r="B643" t="e">
            <v>#N/A</v>
          </cell>
          <cell r="C643" t="e">
            <v>#N/A</v>
          </cell>
          <cell r="O643" t="e">
            <v>#N/A</v>
          </cell>
          <cell r="P643" t="e">
            <v>#N/A</v>
          </cell>
          <cell r="Q643" t="e">
            <v>#N/A</v>
          </cell>
          <cell r="R643" t="e">
            <v>#N/A</v>
          </cell>
          <cell r="S643" t="e">
            <v>#N/A</v>
          </cell>
          <cell r="T643" t="e">
            <v>#N/A</v>
          </cell>
          <cell r="U643" t="e">
            <v>#N/A</v>
          </cell>
          <cell r="V643" t="e">
            <v>#N/A</v>
          </cell>
          <cell r="W643" t="e">
            <v>#N/A</v>
          </cell>
          <cell r="X643" t="e">
            <v>#N/A</v>
          </cell>
          <cell r="Y643" t="e">
            <v>#N/A</v>
          </cell>
          <cell r="Z643" t="e">
            <v>#N/A</v>
          </cell>
        </row>
        <row r="644">
          <cell r="A644" t="e">
            <v>#N/A</v>
          </cell>
          <cell r="B644" t="e">
            <v>#N/A</v>
          </cell>
          <cell r="C644" t="e">
            <v>#N/A</v>
          </cell>
          <cell r="O644" t="e">
            <v>#N/A</v>
          </cell>
          <cell r="P644" t="e">
            <v>#N/A</v>
          </cell>
          <cell r="Q644" t="e">
            <v>#N/A</v>
          </cell>
          <cell r="R644" t="e">
            <v>#N/A</v>
          </cell>
          <cell r="S644" t="e">
            <v>#N/A</v>
          </cell>
          <cell r="T644" t="e">
            <v>#N/A</v>
          </cell>
          <cell r="U644" t="e">
            <v>#N/A</v>
          </cell>
          <cell r="V644" t="e">
            <v>#N/A</v>
          </cell>
          <cell r="W644" t="e">
            <v>#N/A</v>
          </cell>
          <cell r="X644" t="e">
            <v>#N/A</v>
          </cell>
          <cell r="Y644" t="e">
            <v>#N/A</v>
          </cell>
          <cell r="Z644" t="e">
            <v>#N/A</v>
          </cell>
        </row>
        <row r="645">
          <cell r="A645" t="e">
            <v>#N/A</v>
          </cell>
          <cell r="B645" t="e">
            <v>#N/A</v>
          </cell>
          <cell r="C645" t="e">
            <v>#N/A</v>
          </cell>
          <cell r="O645" t="e">
            <v>#N/A</v>
          </cell>
          <cell r="P645" t="e">
            <v>#N/A</v>
          </cell>
          <cell r="Q645" t="e">
            <v>#N/A</v>
          </cell>
          <cell r="R645" t="e">
            <v>#N/A</v>
          </cell>
          <cell r="S645" t="e">
            <v>#N/A</v>
          </cell>
          <cell r="T645" t="e">
            <v>#N/A</v>
          </cell>
          <cell r="U645" t="e">
            <v>#N/A</v>
          </cell>
          <cell r="V645" t="e">
            <v>#N/A</v>
          </cell>
          <cell r="W645" t="e">
            <v>#N/A</v>
          </cell>
          <cell r="X645" t="e">
            <v>#N/A</v>
          </cell>
          <cell r="Y645" t="e">
            <v>#N/A</v>
          </cell>
          <cell r="Z645" t="e">
            <v>#N/A</v>
          </cell>
        </row>
        <row r="646">
          <cell r="A646" t="e">
            <v>#N/A</v>
          </cell>
          <cell r="B646" t="e">
            <v>#N/A</v>
          </cell>
          <cell r="C646" t="e">
            <v>#N/A</v>
          </cell>
          <cell r="O646" t="e">
            <v>#N/A</v>
          </cell>
          <cell r="P646" t="e">
            <v>#N/A</v>
          </cell>
          <cell r="Q646" t="e">
            <v>#N/A</v>
          </cell>
          <cell r="R646" t="e">
            <v>#N/A</v>
          </cell>
          <cell r="S646" t="e">
            <v>#N/A</v>
          </cell>
          <cell r="T646" t="e">
            <v>#N/A</v>
          </cell>
          <cell r="U646" t="e">
            <v>#N/A</v>
          </cell>
          <cell r="V646" t="e">
            <v>#N/A</v>
          </cell>
          <cell r="W646" t="e">
            <v>#N/A</v>
          </cell>
          <cell r="X646" t="e">
            <v>#N/A</v>
          </cell>
          <cell r="Y646" t="e">
            <v>#N/A</v>
          </cell>
          <cell r="Z646" t="e">
            <v>#N/A</v>
          </cell>
        </row>
        <row r="647">
          <cell r="A647" t="e">
            <v>#N/A</v>
          </cell>
          <cell r="B647" t="e">
            <v>#N/A</v>
          </cell>
          <cell r="C647" t="e">
            <v>#N/A</v>
          </cell>
          <cell r="O647" t="e">
            <v>#N/A</v>
          </cell>
          <cell r="P647" t="e">
            <v>#N/A</v>
          </cell>
          <cell r="Q647" t="e">
            <v>#N/A</v>
          </cell>
          <cell r="R647" t="e">
            <v>#N/A</v>
          </cell>
          <cell r="S647" t="e">
            <v>#N/A</v>
          </cell>
          <cell r="T647" t="e">
            <v>#N/A</v>
          </cell>
          <cell r="U647" t="e">
            <v>#N/A</v>
          </cell>
          <cell r="V647" t="e">
            <v>#N/A</v>
          </cell>
          <cell r="W647" t="e">
            <v>#N/A</v>
          </cell>
          <cell r="X647" t="e">
            <v>#N/A</v>
          </cell>
          <cell r="Y647" t="e">
            <v>#N/A</v>
          </cell>
          <cell r="Z647" t="e">
            <v>#N/A</v>
          </cell>
        </row>
        <row r="648">
          <cell r="A648" t="e">
            <v>#N/A</v>
          </cell>
          <cell r="B648" t="e">
            <v>#N/A</v>
          </cell>
          <cell r="C648" t="e">
            <v>#N/A</v>
          </cell>
          <cell r="O648" t="e">
            <v>#N/A</v>
          </cell>
          <cell r="P648" t="e">
            <v>#N/A</v>
          </cell>
          <cell r="Q648" t="e">
            <v>#N/A</v>
          </cell>
          <cell r="R648" t="e">
            <v>#N/A</v>
          </cell>
          <cell r="S648" t="e">
            <v>#N/A</v>
          </cell>
          <cell r="T648" t="e">
            <v>#N/A</v>
          </cell>
          <cell r="U648" t="e">
            <v>#N/A</v>
          </cell>
          <cell r="V648" t="e">
            <v>#N/A</v>
          </cell>
          <cell r="W648" t="e">
            <v>#N/A</v>
          </cell>
          <cell r="X648" t="e">
            <v>#N/A</v>
          </cell>
          <cell r="Y648" t="e">
            <v>#N/A</v>
          </cell>
          <cell r="Z648" t="e">
            <v>#N/A</v>
          </cell>
        </row>
        <row r="649">
          <cell r="A649" t="e">
            <v>#N/A</v>
          </cell>
          <cell r="B649" t="e">
            <v>#N/A</v>
          </cell>
          <cell r="C649" t="e">
            <v>#N/A</v>
          </cell>
          <cell r="O649" t="e">
            <v>#N/A</v>
          </cell>
          <cell r="P649" t="e">
            <v>#N/A</v>
          </cell>
          <cell r="Q649" t="e">
            <v>#N/A</v>
          </cell>
          <cell r="R649" t="e">
            <v>#N/A</v>
          </cell>
          <cell r="S649" t="e">
            <v>#N/A</v>
          </cell>
          <cell r="T649" t="e">
            <v>#N/A</v>
          </cell>
          <cell r="U649" t="e">
            <v>#N/A</v>
          </cell>
          <cell r="V649" t="e">
            <v>#N/A</v>
          </cell>
          <cell r="W649" t="e">
            <v>#N/A</v>
          </cell>
          <cell r="X649" t="e">
            <v>#N/A</v>
          </cell>
          <cell r="Y649" t="e">
            <v>#N/A</v>
          </cell>
          <cell r="Z649" t="e">
            <v>#N/A</v>
          </cell>
        </row>
        <row r="650">
          <cell r="A650" t="e">
            <v>#N/A</v>
          </cell>
          <cell r="B650" t="e">
            <v>#N/A</v>
          </cell>
          <cell r="C650" t="e">
            <v>#N/A</v>
          </cell>
          <cell r="O650" t="e">
            <v>#N/A</v>
          </cell>
          <cell r="P650" t="e">
            <v>#N/A</v>
          </cell>
          <cell r="Q650" t="e">
            <v>#N/A</v>
          </cell>
          <cell r="R650" t="e">
            <v>#N/A</v>
          </cell>
          <cell r="S650" t="e">
            <v>#N/A</v>
          </cell>
          <cell r="T650" t="e">
            <v>#N/A</v>
          </cell>
          <cell r="U650" t="e">
            <v>#N/A</v>
          </cell>
          <cell r="V650" t="e">
            <v>#N/A</v>
          </cell>
          <cell r="W650" t="e">
            <v>#N/A</v>
          </cell>
          <cell r="X650" t="e">
            <v>#N/A</v>
          </cell>
          <cell r="Y650" t="e">
            <v>#N/A</v>
          </cell>
          <cell r="Z650" t="e">
            <v>#N/A</v>
          </cell>
        </row>
        <row r="651">
          <cell r="A651" t="e">
            <v>#N/A</v>
          </cell>
          <cell r="B651" t="e">
            <v>#N/A</v>
          </cell>
          <cell r="C651" t="e">
            <v>#N/A</v>
          </cell>
          <cell r="O651" t="e">
            <v>#N/A</v>
          </cell>
          <cell r="P651" t="e">
            <v>#N/A</v>
          </cell>
          <cell r="Q651" t="e">
            <v>#N/A</v>
          </cell>
          <cell r="R651" t="e">
            <v>#N/A</v>
          </cell>
          <cell r="S651" t="e">
            <v>#N/A</v>
          </cell>
          <cell r="T651" t="e">
            <v>#N/A</v>
          </cell>
          <cell r="U651" t="e">
            <v>#N/A</v>
          </cell>
          <cell r="V651" t="e">
            <v>#N/A</v>
          </cell>
          <cell r="W651" t="e">
            <v>#N/A</v>
          </cell>
          <cell r="X651" t="e">
            <v>#N/A</v>
          </cell>
          <cell r="Y651" t="e">
            <v>#N/A</v>
          </cell>
          <cell r="Z651" t="e">
            <v>#N/A</v>
          </cell>
        </row>
        <row r="652">
          <cell r="A652" t="e">
            <v>#N/A</v>
          </cell>
          <cell r="B652" t="e">
            <v>#N/A</v>
          </cell>
          <cell r="C652" t="e">
            <v>#N/A</v>
          </cell>
          <cell r="O652" t="e">
            <v>#N/A</v>
          </cell>
          <cell r="P652" t="e">
            <v>#N/A</v>
          </cell>
          <cell r="Q652" t="e">
            <v>#N/A</v>
          </cell>
          <cell r="R652" t="e">
            <v>#N/A</v>
          </cell>
          <cell r="S652" t="e">
            <v>#N/A</v>
          </cell>
          <cell r="T652" t="e">
            <v>#N/A</v>
          </cell>
          <cell r="U652" t="e">
            <v>#N/A</v>
          </cell>
          <cell r="V652" t="e">
            <v>#N/A</v>
          </cell>
          <cell r="W652" t="e">
            <v>#N/A</v>
          </cell>
          <cell r="X652" t="e">
            <v>#N/A</v>
          </cell>
          <cell r="Y652" t="e">
            <v>#N/A</v>
          </cell>
          <cell r="Z652" t="e">
            <v>#N/A</v>
          </cell>
        </row>
        <row r="653">
          <cell r="A653" t="e">
            <v>#N/A</v>
          </cell>
          <cell r="B653" t="e">
            <v>#N/A</v>
          </cell>
          <cell r="C653" t="e">
            <v>#N/A</v>
          </cell>
          <cell r="O653" t="e">
            <v>#N/A</v>
          </cell>
          <cell r="P653" t="e">
            <v>#N/A</v>
          </cell>
          <cell r="Q653" t="e">
            <v>#N/A</v>
          </cell>
          <cell r="R653" t="e">
            <v>#N/A</v>
          </cell>
          <cell r="S653" t="e">
            <v>#N/A</v>
          </cell>
          <cell r="T653" t="e">
            <v>#N/A</v>
          </cell>
          <cell r="U653" t="e">
            <v>#N/A</v>
          </cell>
          <cell r="V653" t="e">
            <v>#N/A</v>
          </cell>
          <cell r="W653" t="e">
            <v>#N/A</v>
          </cell>
          <cell r="X653" t="e">
            <v>#N/A</v>
          </cell>
          <cell r="Y653" t="e">
            <v>#N/A</v>
          </cell>
          <cell r="Z653" t="e">
            <v>#N/A</v>
          </cell>
        </row>
        <row r="654">
          <cell r="A654" t="e">
            <v>#N/A</v>
          </cell>
          <cell r="B654" t="e">
            <v>#N/A</v>
          </cell>
          <cell r="C654" t="e">
            <v>#N/A</v>
          </cell>
          <cell r="O654" t="e">
            <v>#N/A</v>
          </cell>
          <cell r="P654" t="e">
            <v>#N/A</v>
          </cell>
          <cell r="Q654" t="e">
            <v>#N/A</v>
          </cell>
          <cell r="R654" t="e">
            <v>#N/A</v>
          </cell>
          <cell r="S654" t="e">
            <v>#N/A</v>
          </cell>
          <cell r="T654" t="e">
            <v>#N/A</v>
          </cell>
          <cell r="U654" t="e">
            <v>#N/A</v>
          </cell>
          <cell r="V654" t="e">
            <v>#N/A</v>
          </cell>
          <cell r="W654" t="e">
            <v>#N/A</v>
          </cell>
          <cell r="X654" t="e">
            <v>#N/A</v>
          </cell>
          <cell r="Y654" t="e">
            <v>#N/A</v>
          </cell>
          <cell r="Z654" t="e">
            <v>#N/A</v>
          </cell>
        </row>
        <row r="655">
          <cell r="A655" t="e">
            <v>#N/A</v>
          </cell>
          <cell r="B655" t="e">
            <v>#N/A</v>
          </cell>
          <cell r="C655" t="e">
            <v>#N/A</v>
          </cell>
          <cell r="O655" t="e">
            <v>#N/A</v>
          </cell>
          <cell r="P655" t="e">
            <v>#N/A</v>
          </cell>
          <cell r="Q655" t="e">
            <v>#N/A</v>
          </cell>
          <cell r="R655" t="e">
            <v>#N/A</v>
          </cell>
          <cell r="S655" t="e">
            <v>#N/A</v>
          </cell>
          <cell r="T655" t="e">
            <v>#N/A</v>
          </cell>
          <cell r="U655" t="e">
            <v>#N/A</v>
          </cell>
          <cell r="V655" t="e">
            <v>#N/A</v>
          </cell>
          <cell r="W655" t="e">
            <v>#N/A</v>
          </cell>
          <cell r="X655" t="e">
            <v>#N/A</v>
          </cell>
          <cell r="Y655" t="e">
            <v>#N/A</v>
          </cell>
          <cell r="Z655" t="e">
            <v>#N/A</v>
          </cell>
        </row>
        <row r="656">
          <cell r="A656" t="e">
            <v>#N/A</v>
          </cell>
          <cell r="B656" t="e">
            <v>#N/A</v>
          </cell>
          <cell r="C656" t="e">
            <v>#N/A</v>
          </cell>
          <cell r="O656" t="e">
            <v>#N/A</v>
          </cell>
          <cell r="P656" t="e">
            <v>#N/A</v>
          </cell>
          <cell r="Q656" t="e">
            <v>#N/A</v>
          </cell>
          <cell r="R656" t="e">
            <v>#N/A</v>
          </cell>
          <cell r="S656" t="e">
            <v>#N/A</v>
          </cell>
          <cell r="T656" t="e">
            <v>#N/A</v>
          </cell>
          <cell r="U656" t="e">
            <v>#N/A</v>
          </cell>
          <cell r="V656" t="e">
            <v>#N/A</v>
          </cell>
          <cell r="W656" t="e">
            <v>#N/A</v>
          </cell>
          <cell r="X656" t="e">
            <v>#N/A</v>
          </cell>
          <cell r="Y656" t="e">
            <v>#N/A</v>
          </cell>
          <cell r="Z656" t="e">
            <v>#N/A</v>
          </cell>
        </row>
        <row r="657">
          <cell r="A657" t="e">
            <v>#N/A</v>
          </cell>
          <cell r="B657" t="e">
            <v>#N/A</v>
          </cell>
          <cell r="C657" t="e">
            <v>#N/A</v>
          </cell>
          <cell r="O657" t="e">
            <v>#N/A</v>
          </cell>
          <cell r="P657" t="e">
            <v>#N/A</v>
          </cell>
          <cell r="Q657" t="e">
            <v>#N/A</v>
          </cell>
          <cell r="R657" t="e">
            <v>#N/A</v>
          </cell>
          <cell r="S657" t="e">
            <v>#N/A</v>
          </cell>
          <cell r="T657" t="e">
            <v>#N/A</v>
          </cell>
          <cell r="U657" t="e">
            <v>#N/A</v>
          </cell>
          <cell r="V657" t="e">
            <v>#N/A</v>
          </cell>
          <cell r="W657" t="e">
            <v>#N/A</v>
          </cell>
          <cell r="X657" t="e">
            <v>#N/A</v>
          </cell>
          <cell r="Y657" t="e">
            <v>#N/A</v>
          </cell>
          <cell r="Z657" t="e">
            <v>#N/A</v>
          </cell>
        </row>
        <row r="658">
          <cell r="A658" t="e">
            <v>#N/A</v>
          </cell>
          <cell r="B658" t="e">
            <v>#N/A</v>
          </cell>
          <cell r="C658" t="e">
            <v>#N/A</v>
          </cell>
          <cell r="O658" t="e">
            <v>#N/A</v>
          </cell>
          <cell r="P658" t="e">
            <v>#N/A</v>
          </cell>
          <cell r="Q658" t="e">
            <v>#N/A</v>
          </cell>
          <cell r="R658" t="e">
            <v>#N/A</v>
          </cell>
          <cell r="S658" t="e">
            <v>#N/A</v>
          </cell>
          <cell r="T658" t="e">
            <v>#N/A</v>
          </cell>
          <cell r="U658" t="e">
            <v>#N/A</v>
          </cell>
          <cell r="V658" t="e">
            <v>#N/A</v>
          </cell>
          <cell r="W658" t="e">
            <v>#N/A</v>
          </cell>
          <cell r="X658" t="e">
            <v>#N/A</v>
          </cell>
          <cell r="Y658" t="e">
            <v>#N/A</v>
          </cell>
          <cell r="Z658" t="e">
            <v>#N/A</v>
          </cell>
        </row>
        <row r="659">
          <cell r="A659" t="e">
            <v>#N/A</v>
          </cell>
          <cell r="B659" t="e">
            <v>#N/A</v>
          </cell>
          <cell r="C659" t="e">
            <v>#N/A</v>
          </cell>
          <cell r="O659" t="e">
            <v>#N/A</v>
          </cell>
          <cell r="P659" t="e">
            <v>#N/A</v>
          </cell>
          <cell r="Q659" t="e">
            <v>#N/A</v>
          </cell>
          <cell r="R659" t="e">
            <v>#N/A</v>
          </cell>
          <cell r="S659" t="e">
            <v>#N/A</v>
          </cell>
          <cell r="T659" t="e">
            <v>#N/A</v>
          </cell>
          <cell r="U659" t="e">
            <v>#N/A</v>
          </cell>
          <cell r="V659" t="e">
            <v>#N/A</v>
          </cell>
          <cell r="W659" t="e">
            <v>#N/A</v>
          </cell>
          <cell r="X659" t="e">
            <v>#N/A</v>
          </cell>
          <cell r="Y659" t="e">
            <v>#N/A</v>
          </cell>
          <cell r="Z659" t="e">
            <v>#N/A</v>
          </cell>
        </row>
        <row r="660">
          <cell r="A660" t="e">
            <v>#N/A</v>
          </cell>
          <cell r="B660" t="e">
            <v>#N/A</v>
          </cell>
          <cell r="C660" t="e">
            <v>#N/A</v>
          </cell>
          <cell r="O660" t="e">
            <v>#N/A</v>
          </cell>
          <cell r="P660" t="e">
            <v>#N/A</v>
          </cell>
          <cell r="Q660" t="e">
            <v>#N/A</v>
          </cell>
          <cell r="R660" t="e">
            <v>#N/A</v>
          </cell>
          <cell r="S660" t="e">
            <v>#N/A</v>
          </cell>
          <cell r="T660" t="e">
            <v>#N/A</v>
          </cell>
          <cell r="U660" t="e">
            <v>#N/A</v>
          </cell>
          <cell r="V660" t="e">
            <v>#N/A</v>
          </cell>
          <cell r="W660" t="e">
            <v>#N/A</v>
          </cell>
          <cell r="X660" t="e">
            <v>#N/A</v>
          </cell>
          <cell r="Y660" t="e">
            <v>#N/A</v>
          </cell>
          <cell r="Z660" t="e">
            <v>#N/A</v>
          </cell>
        </row>
        <row r="661">
          <cell r="A661" t="e">
            <v>#N/A</v>
          </cell>
          <cell r="B661" t="e">
            <v>#N/A</v>
          </cell>
          <cell r="C661" t="e">
            <v>#N/A</v>
          </cell>
          <cell r="O661" t="e">
            <v>#N/A</v>
          </cell>
          <cell r="P661" t="e">
            <v>#N/A</v>
          </cell>
          <cell r="Q661" t="e">
            <v>#N/A</v>
          </cell>
          <cell r="R661" t="e">
            <v>#N/A</v>
          </cell>
          <cell r="S661" t="e">
            <v>#N/A</v>
          </cell>
          <cell r="T661" t="e">
            <v>#N/A</v>
          </cell>
          <cell r="U661" t="e">
            <v>#N/A</v>
          </cell>
          <cell r="V661" t="e">
            <v>#N/A</v>
          </cell>
          <cell r="W661" t="e">
            <v>#N/A</v>
          </cell>
          <cell r="X661" t="e">
            <v>#N/A</v>
          </cell>
          <cell r="Y661" t="e">
            <v>#N/A</v>
          </cell>
          <cell r="Z661" t="e">
            <v>#N/A</v>
          </cell>
        </row>
        <row r="662">
          <cell r="A662" t="e">
            <v>#N/A</v>
          </cell>
          <cell r="B662" t="e">
            <v>#N/A</v>
          </cell>
          <cell r="C662" t="e">
            <v>#N/A</v>
          </cell>
          <cell r="O662" t="e">
            <v>#N/A</v>
          </cell>
          <cell r="P662" t="e">
            <v>#N/A</v>
          </cell>
          <cell r="Q662" t="e">
            <v>#N/A</v>
          </cell>
          <cell r="R662" t="e">
            <v>#N/A</v>
          </cell>
          <cell r="S662" t="e">
            <v>#N/A</v>
          </cell>
          <cell r="T662" t="e">
            <v>#N/A</v>
          </cell>
          <cell r="U662" t="e">
            <v>#N/A</v>
          </cell>
          <cell r="V662" t="e">
            <v>#N/A</v>
          </cell>
          <cell r="W662" t="e">
            <v>#N/A</v>
          </cell>
          <cell r="X662" t="e">
            <v>#N/A</v>
          </cell>
          <cell r="Y662" t="e">
            <v>#N/A</v>
          </cell>
          <cell r="Z662" t="e">
            <v>#N/A</v>
          </cell>
        </row>
        <row r="663">
          <cell r="A663" t="e">
            <v>#N/A</v>
          </cell>
          <cell r="B663" t="e">
            <v>#N/A</v>
          </cell>
          <cell r="C663" t="e">
            <v>#N/A</v>
          </cell>
          <cell r="O663" t="e">
            <v>#N/A</v>
          </cell>
          <cell r="P663" t="e">
            <v>#N/A</v>
          </cell>
          <cell r="Q663" t="e">
            <v>#N/A</v>
          </cell>
          <cell r="R663" t="e">
            <v>#N/A</v>
          </cell>
          <cell r="S663" t="e">
            <v>#N/A</v>
          </cell>
          <cell r="T663" t="e">
            <v>#N/A</v>
          </cell>
          <cell r="U663" t="e">
            <v>#N/A</v>
          </cell>
          <cell r="V663" t="e">
            <v>#N/A</v>
          </cell>
          <cell r="W663" t="e">
            <v>#N/A</v>
          </cell>
          <cell r="X663" t="e">
            <v>#N/A</v>
          </cell>
          <cell r="Y663" t="e">
            <v>#N/A</v>
          </cell>
          <cell r="Z663" t="e">
            <v>#N/A</v>
          </cell>
        </row>
        <row r="664">
          <cell r="A664" t="e">
            <v>#N/A</v>
          </cell>
          <cell r="B664" t="e">
            <v>#N/A</v>
          </cell>
          <cell r="C664" t="e">
            <v>#N/A</v>
          </cell>
          <cell r="O664" t="e">
            <v>#N/A</v>
          </cell>
          <cell r="P664" t="e">
            <v>#N/A</v>
          </cell>
          <cell r="Q664" t="e">
            <v>#N/A</v>
          </cell>
          <cell r="R664" t="e">
            <v>#N/A</v>
          </cell>
          <cell r="S664" t="e">
            <v>#N/A</v>
          </cell>
          <cell r="T664" t="e">
            <v>#N/A</v>
          </cell>
          <cell r="U664" t="e">
            <v>#N/A</v>
          </cell>
          <cell r="V664" t="e">
            <v>#N/A</v>
          </cell>
          <cell r="W664" t="e">
            <v>#N/A</v>
          </cell>
          <cell r="X664" t="e">
            <v>#N/A</v>
          </cell>
          <cell r="Y664" t="e">
            <v>#N/A</v>
          </cell>
          <cell r="Z664" t="e">
            <v>#N/A</v>
          </cell>
        </row>
        <row r="665">
          <cell r="A665" t="e">
            <v>#N/A</v>
          </cell>
          <cell r="B665" t="e">
            <v>#N/A</v>
          </cell>
          <cell r="C665" t="e">
            <v>#N/A</v>
          </cell>
          <cell r="O665" t="e">
            <v>#N/A</v>
          </cell>
          <cell r="P665" t="e">
            <v>#N/A</v>
          </cell>
          <cell r="Q665" t="e">
            <v>#N/A</v>
          </cell>
          <cell r="R665" t="e">
            <v>#N/A</v>
          </cell>
          <cell r="S665" t="e">
            <v>#N/A</v>
          </cell>
          <cell r="T665" t="e">
            <v>#N/A</v>
          </cell>
          <cell r="U665" t="e">
            <v>#N/A</v>
          </cell>
          <cell r="V665" t="e">
            <v>#N/A</v>
          </cell>
          <cell r="W665" t="e">
            <v>#N/A</v>
          </cell>
          <cell r="X665" t="e">
            <v>#N/A</v>
          </cell>
          <cell r="Y665" t="e">
            <v>#N/A</v>
          </cell>
          <cell r="Z665" t="e">
            <v>#N/A</v>
          </cell>
        </row>
        <row r="666">
          <cell r="A666" t="e">
            <v>#N/A</v>
          </cell>
          <cell r="B666" t="e">
            <v>#N/A</v>
          </cell>
          <cell r="C666" t="e">
            <v>#N/A</v>
          </cell>
          <cell r="O666" t="e">
            <v>#N/A</v>
          </cell>
          <cell r="P666" t="e">
            <v>#N/A</v>
          </cell>
          <cell r="Q666" t="e">
            <v>#N/A</v>
          </cell>
          <cell r="R666" t="e">
            <v>#N/A</v>
          </cell>
          <cell r="S666" t="e">
            <v>#N/A</v>
          </cell>
          <cell r="T666" t="e">
            <v>#N/A</v>
          </cell>
          <cell r="U666" t="e">
            <v>#N/A</v>
          </cell>
          <cell r="V666" t="e">
            <v>#N/A</v>
          </cell>
          <cell r="W666" t="e">
            <v>#N/A</v>
          </cell>
          <cell r="X666" t="e">
            <v>#N/A</v>
          </cell>
          <cell r="Y666" t="e">
            <v>#N/A</v>
          </cell>
          <cell r="Z666" t="e">
            <v>#N/A</v>
          </cell>
        </row>
        <row r="667">
          <cell r="A667" t="e">
            <v>#N/A</v>
          </cell>
          <cell r="B667" t="e">
            <v>#N/A</v>
          </cell>
          <cell r="C667" t="e">
            <v>#N/A</v>
          </cell>
          <cell r="O667" t="e">
            <v>#N/A</v>
          </cell>
          <cell r="P667" t="e">
            <v>#N/A</v>
          </cell>
          <cell r="Q667" t="e">
            <v>#N/A</v>
          </cell>
          <cell r="R667" t="e">
            <v>#N/A</v>
          </cell>
          <cell r="S667" t="e">
            <v>#N/A</v>
          </cell>
          <cell r="T667" t="e">
            <v>#N/A</v>
          </cell>
          <cell r="U667" t="e">
            <v>#N/A</v>
          </cell>
          <cell r="V667" t="e">
            <v>#N/A</v>
          </cell>
          <cell r="W667" t="e">
            <v>#N/A</v>
          </cell>
          <cell r="X667" t="e">
            <v>#N/A</v>
          </cell>
          <cell r="Y667" t="e">
            <v>#N/A</v>
          </cell>
          <cell r="Z667" t="e">
            <v>#N/A</v>
          </cell>
        </row>
        <row r="668">
          <cell r="A668" t="e">
            <v>#N/A</v>
          </cell>
          <cell r="B668" t="e">
            <v>#N/A</v>
          </cell>
          <cell r="C668" t="e">
            <v>#N/A</v>
          </cell>
          <cell r="O668" t="e">
            <v>#N/A</v>
          </cell>
          <cell r="P668" t="e">
            <v>#N/A</v>
          </cell>
          <cell r="Q668" t="e">
            <v>#N/A</v>
          </cell>
          <cell r="R668" t="e">
            <v>#N/A</v>
          </cell>
          <cell r="S668" t="e">
            <v>#N/A</v>
          </cell>
          <cell r="T668" t="e">
            <v>#N/A</v>
          </cell>
          <cell r="U668" t="e">
            <v>#N/A</v>
          </cell>
          <cell r="V668" t="e">
            <v>#N/A</v>
          </cell>
          <cell r="W668" t="e">
            <v>#N/A</v>
          </cell>
          <cell r="X668" t="e">
            <v>#N/A</v>
          </cell>
          <cell r="Y668" t="e">
            <v>#N/A</v>
          </cell>
          <cell r="Z668" t="e">
            <v>#N/A</v>
          </cell>
        </row>
        <row r="669">
          <cell r="A669" t="e">
            <v>#N/A</v>
          </cell>
          <cell r="B669" t="e">
            <v>#N/A</v>
          </cell>
          <cell r="C669" t="e">
            <v>#N/A</v>
          </cell>
          <cell r="O669" t="e">
            <v>#N/A</v>
          </cell>
          <cell r="P669" t="e">
            <v>#N/A</v>
          </cell>
          <cell r="Q669" t="e">
            <v>#N/A</v>
          </cell>
          <cell r="R669" t="e">
            <v>#N/A</v>
          </cell>
          <cell r="S669" t="e">
            <v>#N/A</v>
          </cell>
          <cell r="T669" t="e">
            <v>#N/A</v>
          </cell>
          <cell r="U669" t="e">
            <v>#N/A</v>
          </cell>
          <cell r="V669" t="e">
            <v>#N/A</v>
          </cell>
          <cell r="W669" t="e">
            <v>#N/A</v>
          </cell>
          <cell r="X669" t="e">
            <v>#N/A</v>
          </cell>
          <cell r="Y669" t="e">
            <v>#N/A</v>
          </cell>
          <cell r="Z669" t="e">
            <v>#N/A</v>
          </cell>
        </row>
        <row r="670">
          <cell r="A670" t="e">
            <v>#N/A</v>
          </cell>
          <cell r="B670" t="e">
            <v>#N/A</v>
          </cell>
          <cell r="C670" t="e">
            <v>#N/A</v>
          </cell>
          <cell r="O670" t="e">
            <v>#N/A</v>
          </cell>
          <cell r="P670" t="e">
            <v>#N/A</v>
          </cell>
          <cell r="Q670" t="e">
            <v>#N/A</v>
          </cell>
          <cell r="R670" t="e">
            <v>#N/A</v>
          </cell>
          <cell r="S670" t="e">
            <v>#N/A</v>
          </cell>
          <cell r="T670" t="e">
            <v>#N/A</v>
          </cell>
          <cell r="U670" t="e">
            <v>#N/A</v>
          </cell>
          <cell r="V670" t="e">
            <v>#N/A</v>
          </cell>
          <cell r="W670" t="e">
            <v>#N/A</v>
          </cell>
          <cell r="X670" t="e">
            <v>#N/A</v>
          </cell>
          <cell r="Y670" t="e">
            <v>#N/A</v>
          </cell>
          <cell r="Z670" t="e">
            <v>#N/A</v>
          </cell>
        </row>
        <row r="671">
          <cell r="A671" t="e">
            <v>#N/A</v>
          </cell>
          <cell r="B671" t="e">
            <v>#N/A</v>
          </cell>
          <cell r="C671" t="e">
            <v>#N/A</v>
          </cell>
          <cell r="O671" t="e">
            <v>#N/A</v>
          </cell>
          <cell r="P671" t="e">
            <v>#N/A</v>
          </cell>
          <cell r="Q671" t="e">
            <v>#N/A</v>
          </cell>
          <cell r="R671" t="e">
            <v>#N/A</v>
          </cell>
          <cell r="S671" t="e">
            <v>#N/A</v>
          </cell>
          <cell r="T671" t="e">
            <v>#N/A</v>
          </cell>
          <cell r="U671" t="e">
            <v>#N/A</v>
          </cell>
          <cell r="V671" t="e">
            <v>#N/A</v>
          </cell>
          <cell r="W671" t="e">
            <v>#N/A</v>
          </cell>
          <cell r="X671" t="e">
            <v>#N/A</v>
          </cell>
          <cell r="Y671" t="e">
            <v>#N/A</v>
          </cell>
          <cell r="Z671" t="e">
            <v>#N/A</v>
          </cell>
        </row>
        <row r="672">
          <cell r="A672" t="e">
            <v>#N/A</v>
          </cell>
          <cell r="B672" t="e">
            <v>#N/A</v>
          </cell>
          <cell r="C672" t="e">
            <v>#N/A</v>
          </cell>
          <cell r="O672" t="e">
            <v>#N/A</v>
          </cell>
          <cell r="P672" t="e">
            <v>#N/A</v>
          </cell>
          <cell r="Q672" t="e">
            <v>#N/A</v>
          </cell>
          <cell r="R672" t="e">
            <v>#N/A</v>
          </cell>
          <cell r="S672" t="e">
            <v>#N/A</v>
          </cell>
          <cell r="T672" t="e">
            <v>#N/A</v>
          </cell>
          <cell r="U672" t="e">
            <v>#N/A</v>
          </cell>
          <cell r="V672" t="e">
            <v>#N/A</v>
          </cell>
          <cell r="W672" t="e">
            <v>#N/A</v>
          </cell>
          <cell r="X672" t="e">
            <v>#N/A</v>
          </cell>
          <cell r="Y672" t="e">
            <v>#N/A</v>
          </cell>
          <cell r="Z672" t="e">
            <v>#N/A</v>
          </cell>
        </row>
        <row r="673">
          <cell r="A673" t="e">
            <v>#N/A</v>
          </cell>
          <cell r="B673" t="e">
            <v>#N/A</v>
          </cell>
          <cell r="C673" t="e">
            <v>#N/A</v>
          </cell>
          <cell r="O673" t="e">
            <v>#N/A</v>
          </cell>
          <cell r="P673" t="e">
            <v>#N/A</v>
          </cell>
          <cell r="Q673" t="e">
            <v>#N/A</v>
          </cell>
          <cell r="R673" t="e">
            <v>#N/A</v>
          </cell>
          <cell r="S673" t="e">
            <v>#N/A</v>
          </cell>
          <cell r="T673" t="e">
            <v>#N/A</v>
          </cell>
          <cell r="U673" t="e">
            <v>#N/A</v>
          </cell>
          <cell r="V673" t="e">
            <v>#N/A</v>
          </cell>
          <cell r="W673" t="e">
            <v>#N/A</v>
          </cell>
          <cell r="X673" t="e">
            <v>#N/A</v>
          </cell>
          <cell r="Y673" t="e">
            <v>#N/A</v>
          </cell>
          <cell r="Z673" t="e">
            <v>#N/A</v>
          </cell>
        </row>
        <row r="674">
          <cell r="A674" t="e">
            <v>#N/A</v>
          </cell>
          <cell r="B674" t="e">
            <v>#N/A</v>
          </cell>
          <cell r="C674" t="e">
            <v>#N/A</v>
          </cell>
          <cell r="O674" t="e">
            <v>#N/A</v>
          </cell>
          <cell r="P674" t="e">
            <v>#N/A</v>
          </cell>
          <cell r="Q674" t="e">
            <v>#N/A</v>
          </cell>
          <cell r="R674" t="e">
            <v>#N/A</v>
          </cell>
          <cell r="S674" t="e">
            <v>#N/A</v>
          </cell>
          <cell r="T674" t="e">
            <v>#N/A</v>
          </cell>
          <cell r="U674" t="e">
            <v>#N/A</v>
          </cell>
          <cell r="V674" t="e">
            <v>#N/A</v>
          </cell>
          <cell r="W674" t="e">
            <v>#N/A</v>
          </cell>
          <cell r="X674" t="e">
            <v>#N/A</v>
          </cell>
          <cell r="Y674" t="e">
            <v>#N/A</v>
          </cell>
          <cell r="Z674" t="e">
            <v>#N/A</v>
          </cell>
        </row>
        <row r="675">
          <cell r="A675" t="e">
            <v>#N/A</v>
          </cell>
          <cell r="B675" t="e">
            <v>#N/A</v>
          </cell>
          <cell r="C675" t="e">
            <v>#N/A</v>
          </cell>
          <cell r="O675" t="e">
            <v>#N/A</v>
          </cell>
          <cell r="P675" t="e">
            <v>#N/A</v>
          </cell>
          <cell r="Q675" t="e">
            <v>#N/A</v>
          </cell>
          <cell r="R675" t="e">
            <v>#N/A</v>
          </cell>
          <cell r="S675" t="e">
            <v>#N/A</v>
          </cell>
          <cell r="T675" t="e">
            <v>#N/A</v>
          </cell>
          <cell r="U675" t="e">
            <v>#N/A</v>
          </cell>
          <cell r="V675" t="e">
            <v>#N/A</v>
          </cell>
          <cell r="W675" t="e">
            <v>#N/A</v>
          </cell>
          <cell r="X675" t="e">
            <v>#N/A</v>
          </cell>
          <cell r="Y675" t="e">
            <v>#N/A</v>
          </cell>
          <cell r="Z675" t="e">
            <v>#N/A</v>
          </cell>
        </row>
        <row r="676">
          <cell r="A676" t="e">
            <v>#N/A</v>
          </cell>
          <cell r="B676" t="e">
            <v>#N/A</v>
          </cell>
          <cell r="C676" t="e">
            <v>#N/A</v>
          </cell>
          <cell r="O676" t="e">
            <v>#N/A</v>
          </cell>
          <cell r="P676" t="e">
            <v>#N/A</v>
          </cell>
          <cell r="Q676" t="e">
            <v>#N/A</v>
          </cell>
          <cell r="R676" t="e">
            <v>#N/A</v>
          </cell>
          <cell r="S676" t="e">
            <v>#N/A</v>
          </cell>
          <cell r="T676" t="e">
            <v>#N/A</v>
          </cell>
          <cell r="U676" t="e">
            <v>#N/A</v>
          </cell>
          <cell r="V676" t="e">
            <v>#N/A</v>
          </cell>
          <cell r="W676" t="e">
            <v>#N/A</v>
          </cell>
          <cell r="X676" t="e">
            <v>#N/A</v>
          </cell>
          <cell r="Y676" t="e">
            <v>#N/A</v>
          </cell>
          <cell r="Z676" t="e">
            <v>#N/A</v>
          </cell>
        </row>
        <row r="677">
          <cell r="A677" t="e">
            <v>#N/A</v>
          </cell>
          <cell r="B677" t="e">
            <v>#N/A</v>
          </cell>
          <cell r="C677" t="e">
            <v>#N/A</v>
          </cell>
          <cell r="O677" t="e">
            <v>#N/A</v>
          </cell>
          <cell r="P677" t="e">
            <v>#N/A</v>
          </cell>
          <cell r="Q677" t="e">
            <v>#N/A</v>
          </cell>
          <cell r="R677" t="e">
            <v>#N/A</v>
          </cell>
          <cell r="S677" t="e">
            <v>#N/A</v>
          </cell>
          <cell r="T677" t="e">
            <v>#N/A</v>
          </cell>
          <cell r="U677" t="e">
            <v>#N/A</v>
          </cell>
          <cell r="V677" t="e">
            <v>#N/A</v>
          </cell>
          <cell r="W677" t="e">
            <v>#N/A</v>
          </cell>
          <cell r="X677" t="e">
            <v>#N/A</v>
          </cell>
          <cell r="Y677" t="e">
            <v>#N/A</v>
          </cell>
          <cell r="Z677" t="e">
            <v>#N/A</v>
          </cell>
        </row>
        <row r="678">
          <cell r="A678" t="e">
            <v>#N/A</v>
          </cell>
          <cell r="B678" t="e">
            <v>#N/A</v>
          </cell>
          <cell r="C678" t="e">
            <v>#N/A</v>
          </cell>
          <cell r="O678" t="e">
            <v>#N/A</v>
          </cell>
          <cell r="P678" t="e">
            <v>#N/A</v>
          </cell>
          <cell r="Q678" t="e">
            <v>#N/A</v>
          </cell>
          <cell r="R678" t="e">
            <v>#N/A</v>
          </cell>
          <cell r="S678" t="e">
            <v>#N/A</v>
          </cell>
          <cell r="T678" t="e">
            <v>#N/A</v>
          </cell>
          <cell r="U678" t="e">
            <v>#N/A</v>
          </cell>
          <cell r="V678" t="e">
            <v>#N/A</v>
          </cell>
          <cell r="W678" t="e">
            <v>#N/A</v>
          </cell>
          <cell r="X678" t="e">
            <v>#N/A</v>
          </cell>
          <cell r="Y678" t="e">
            <v>#N/A</v>
          </cell>
          <cell r="Z678" t="e">
            <v>#N/A</v>
          </cell>
        </row>
        <row r="679">
          <cell r="A679" t="e">
            <v>#N/A</v>
          </cell>
          <cell r="B679" t="e">
            <v>#N/A</v>
          </cell>
          <cell r="C679" t="e">
            <v>#N/A</v>
          </cell>
          <cell r="O679" t="e">
            <v>#N/A</v>
          </cell>
          <cell r="P679" t="e">
            <v>#N/A</v>
          </cell>
          <cell r="Q679" t="e">
            <v>#N/A</v>
          </cell>
          <cell r="R679" t="e">
            <v>#N/A</v>
          </cell>
          <cell r="S679" t="e">
            <v>#N/A</v>
          </cell>
          <cell r="T679" t="e">
            <v>#N/A</v>
          </cell>
          <cell r="U679" t="e">
            <v>#N/A</v>
          </cell>
          <cell r="V679" t="e">
            <v>#N/A</v>
          </cell>
          <cell r="W679" t="e">
            <v>#N/A</v>
          </cell>
          <cell r="X679" t="e">
            <v>#N/A</v>
          </cell>
          <cell r="Y679" t="e">
            <v>#N/A</v>
          </cell>
          <cell r="Z679" t="e">
            <v>#N/A</v>
          </cell>
        </row>
        <row r="680">
          <cell r="A680" t="e">
            <v>#N/A</v>
          </cell>
          <cell r="B680" t="e">
            <v>#N/A</v>
          </cell>
          <cell r="C680" t="e">
            <v>#N/A</v>
          </cell>
          <cell r="O680" t="e">
            <v>#N/A</v>
          </cell>
          <cell r="P680" t="e">
            <v>#N/A</v>
          </cell>
          <cell r="Q680" t="e">
            <v>#N/A</v>
          </cell>
          <cell r="R680" t="e">
            <v>#N/A</v>
          </cell>
          <cell r="S680" t="e">
            <v>#N/A</v>
          </cell>
          <cell r="T680" t="e">
            <v>#N/A</v>
          </cell>
          <cell r="U680" t="e">
            <v>#N/A</v>
          </cell>
          <cell r="V680" t="e">
            <v>#N/A</v>
          </cell>
          <cell r="W680" t="e">
            <v>#N/A</v>
          </cell>
          <cell r="X680" t="e">
            <v>#N/A</v>
          </cell>
          <cell r="Y680" t="e">
            <v>#N/A</v>
          </cell>
          <cell r="Z680" t="e">
            <v>#N/A</v>
          </cell>
        </row>
        <row r="681">
          <cell r="A681" t="e">
            <v>#N/A</v>
          </cell>
          <cell r="B681" t="e">
            <v>#N/A</v>
          </cell>
          <cell r="C681" t="e">
            <v>#N/A</v>
          </cell>
          <cell r="O681" t="e">
            <v>#N/A</v>
          </cell>
          <cell r="P681" t="e">
            <v>#N/A</v>
          </cell>
          <cell r="Q681" t="e">
            <v>#N/A</v>
          </cell>
          <cell r="R681" t="e">
            <v>#N/A</v>
          </cell>
          <cell r="S681" t="e">
            <v>#N/A</v>
          </cell>
          <cell r="T681" t="e">
            <v>#N/A</v>
          </cell>
          <cell r="U681" t="e">
            <v>#N/A</v>
          </cell>
          <cell r="V681" t="e">
            <v>#N/A</v>
          </cell>
          <cell r="W681" t="e">
            <v>#N/A</v>
          </cell>
          <cell r="X681" t="e">
            <v>#N/A</v>
          </cell>
          <cell r="Y681" t="e">
            <v>#N/A</v>
          </cell>
          <cell r="Z681" t="e">
            <v>#N/A</v>
          </cell>
        </row>
        <row r="682">
          <cell r="A682" t="e">
            <v>#N/A</v>
          </cell>
          <cell r="B682" t="e">
            <v>#N/A</v>
          </cell>
          <cell r="C682" t="e">
            <v>#N/A</v>
          </cell>
          <cell r="O682" t="e">
            <v>#N/A</v>
          </cell>
          <cell r="P682" t="e">
            <v>#N/A</v>
          </cell>
          <cell r="Q682" t="e">
            <v>#N/A</v>
          </cell>
          <cell r="R682" t="e">
            <v>#N/A</v>
          </cell>
          <cell r="S682" t="e">
            <v>#N/A</v>
          </cell>
          <cell r="T682" t="e">
            <v>#N/A</v>
          </cell>
          <cell r="U682" t="e">
            <v>#N/A</v>
          </cell>
          <cell r="V682" t="e">
            <v>#N/A</v>
          </cell>
          <cell r="W682" t="e">
            <v>#N/A</v>
          </cell>
          <cell r="X682" t="e">
            <v>#N/A</v>
          </cell>
          <cell r="Y682" t="e">
            <v>#N/A</v>
          </cell>
          <cell r="Z682" t="e">
            <v>#N/A</v>
          </cell>
        </row>
        <row r="683">
          <cell r="A683" t="e">
            <v>#N/A</v>
          </cell>
          <cell r="B683" t="e">
            <v>#N/A</v>
          </cell>
          <cell r="C683" t="e">
            <v>#N/A</v>
          </cell>
          <cell r="O683" t="e">
            <v>#N/A</v>
          </cell>
          <cell r="P683" t="e">
            <v>#N/A</v>
          </cell>
          <cell r="Q683" t="e">
            <v>#N/A</v>
          </cell>
          <cell r="R683" t="e">
            <v>#N/A</v>
          </cell>
          <cell r="S683" t="e">
            <v>#N/A</v>
          </cell>
          <cell r="T683" t="e">
            <v>#N/A</v>
          </cell>
          <cell r="U683" t="e">
            <v>#N/A</v>
          </cell>
          <cell r="V683" t="e">
            <v>#N/A</v>
          </cell>
          <cell r="W683" t="e">
            <v>#N/A</v>
          </cell>
          <cell r="X683" t="e">
            <v>#N/A</v>
          </cell>
          <cell r="Y683" t="e">
            <v>#N/A</v>
          </cell>
          <cell r="Z683" t="e">
            <v>#N/A</v>
          </cell>
        </row>
        <row r="684">
          <cell r="A684" t="e">
            <v>#N/A</v>
          </cell>
          <cell r="B684" t="e">
            <v>#N/A</v>
          </cell>
          <cell r="C684" t="e">
            <v>#N/A</v>
          </cell>
          <cell r="O684" t="e">
            <v>#N/A</v>
          </cell>
          <cell r="P684" t="e">
            <v>#N/A</v>
          </cell>
          <cell r="Q684" t="e">
            <v>#N/A</v>
          </cell>
          <cell r="R684" t="e">
            <v>#N/A</v>
          </cell>
          <cell r="S684" t="e">
            <v>#N/A</v>
          </cell>
          <cell r="T684" t="e">
            <v>#N/A</v>
          </cell>
          <cell r="U684" t="e">
            <v>#N/A</v>
          </cell>
          <cell r="V684" t="e">
            <v>#N/A</v>
          </cell>
          <cell r="W684" t="e">
            <v>#N/A</v>
          </cell>
          <cell r="X684" t="e">
            <v>#N/A</v>
          </cell>
          <cell r="Y684" t="e">
            <v>#N/A</v>
          </cell>
          <cell r="Z684" t="e">
            <v>#N/A</v>
          </cell>
        </row>
        <row r="685">
          <cell r="A685" t="e">
            <v>#N/A</v>
          </cell>
          <cell r="B685" t="e">
            <v>#N/A</v>
          </cell>
          <cell r="C685" t="e">
            <v>#N/A</v>
          </cell>
          <cell r="O685" t="e">
            <v>#N/A</v>
          </cell>
          <cell r="P685" t="e">
            <v>#N/A</v>
          </cell>
          <cell r="Q685" t="e">
            <v>#N/A</v>
          </cell>
          <cell r="R685" t="e">
            <v>#N/A</v>
          </cell>
          <cell r="S685" t="e">
            <v>#N/A</v>
          </cell>
          <cell r="T685" t="e">
            <v>#N/A</v>
          </cell>
          <cell r="U685" t="e">
            <v>#N/A</v>
          </cell>
          <cell r="V685" t="e">
            <v>#N/A</v>
          </cell>
          <cell r="W685" t="e">
            <v>#N/A</v>
          </cell>
          <cell r="X685" t="e">
            <v>#N/A</v>
          </cell>
          <cell r="Y685" t="e">
            <v>#N/A</v>
          </cell>
          <cell r="Z685" t="e">
            <v>#N/A</v>
          </cell>
        </row>
        <row r="686">
          <cell r="A686" t="e">
            <v>#N/A</v>
          </cell>
          <cell r="B686" t="e">
            <v>#N/A</v>
          </cell>
          <cell r="C686" t="e">
            <v>#N/A</v>
          </cell>
          <cell r="O686" t="e">
            <v>#N/A</v>
          </cell>
          <cell r="P686" t="e">
            <v>#N/A</v>
          </cell>
          <cell r="Q686" t="e">
            <v>#N/A</v>
          </cell>
          <cell r="R686" t="e">
            <v>#N/A</v>
          </cell>
          <cell r="S686" t="e">
            <v>#N/A</v>
          </cell>
          <cell r="T686" t="e">
            <v>#N/A</v>
          </cell>
          <cell r="U686" t="e">
            <v>#N/A</v>
          </cell>
          <cell r="V686" t="e">
            <v>#N/A</v>
          </cell>
          <cell r="W686" t="e">
            <v>#N/A</v>
          </cell>
          <cell r="X686" t="e">
            <v>#N/A</v>
          </cell>
          <cell r="Y686" t="e">
            <v>#N/A</v>
          </cell>
          <cell r="Z686" t="e">
            <v>#N/A</v>
          </cell>
        </row>
        <row r="687">
          <cell r="A687" t="e">
            <v>#N/A</v>
          </cell>
          <cell r="B687" t="e">
            <v>#N/A</v>
          </cell>
          <cell r="C687" t="e">
            <v>#N/A</v>
          </cell>
          <cell r="O687" t="e">
            <v>#N/A</v>
          </cell>
          <cell r="P687" t="e">
            <v>#N/A</v>
          </cell>
          <cell r="Q687" t="e">
            <v>#N/A</v>
          </cell>
          <cell r="R687" t="e">
            <v>#N/A</v>
          </cell>
          <cell r="S687" t="e">
            <v>#N/A</v>
          </cell>
          <cell r="T687" t="e">
            <v>#N/A</v>
          </cell>
          <cell r="U687" t="e">
            <v>#N/A</v>
          </cell>
          <cell r="V687" t="e">
            <v>#N/A</v>
          </cell>
          <cell r="W687" t="e">
            <v>#N/A</v>
          </cell>
          <cell r="X687" t="e">
            <v>#N/A</v>
          </cell>
          <cell r="Y687" t="e">
            <v>#N/A</v>
          </cell>
          <cell r="Z687" t="e">
            <v>#N/A</v>
          </cell>
        </row>
        <row r="688">
          <cell r="A688" t="e">
            <v>#N/A</v>
          </cell>
          <cell r="B688" t="e">
            <v>#N/A</v>
          </cell>
          <cell r="C688" t="e">
            <v>#N/A</v>
          </cell>
          <cell r="O688" t="e">
            <v>#N/A</v>
          </cell>
          <cell r="P688" t="e">
            <v>#N/A</v>
          </cell>
          <cell r="Q688" t="e">
            <v>#N/A</v>
          </cell>
          <cell r="R688" t="e">
            <v>#N/A</v>
          </cell>
          <cell r="S688" t="e">
            <v>#N/A</v>
          </cell>
          <cell r="T688" t="e">
            <v>#N/A</v>
          </cell>
          <cell r="U688" t="e">
            <v>#N/A</v>
          </cell>
          <cell r="V688" t="e">
            <v>#N/A</v>
          </cell>
          <cell r="W688" t="e">
            <v>#N/A</v>
          </cell>
          <cell r="X688" t="e">
            <v>#N/A</v>
          </cell>
          <cell r="Y688" t="e">
            <v>#N/A</v>
          </cell>
          <cell r="Z688" t="e">
            <v>#N/A</v>
          </cell>
        </row>
        <row r="689">
          <cell r="A689" t="e">
            <v>#N/A</v>
          </cell>
          <cell r="B689" t="e">
            <v>#N/A</v>
          </cell>
          <cell r="C689" t="e">
            <v>#N/A</v>
          </cell>
          <cell r="O689" t="e">
            <v>#N/A</v>
          </cell>
          <cell r="P689" t="e">
            <v>#N/A</v>
          </cell>
          <cell r="Q689" t="e">
            <v>#N/A</v>
          </cell>
          <cell r="R689" t="e">
            <v>#N/A</v>
          </cell>
          <cell r="S689" t="e">
            <v>#N/A</v>
          </cell>
          <cell r="T689" t="e">
            <v>#N/A</v>
          </cell>
          <cell r="U689" t="e">
            <v>#N/A</v>
          </cell>
          <cell r="V689" t="e">
            <v>#N/A</v>
          </cell>
          <cell r="W689" t="e">
            <v>#N/A</v>
          </cell>
          <cell r="X689" t="e">
            <v>#N/A</v>
          </cell>
          <cell r="Y689" t="e">
            <v>#N/A</v>
          </cell>
          <cell r="Z689" t="e">
            <v>#N/A</v>
          </cell>
        </row>
        <row r="690">
          <cell r="A690" t="e">
            <v>#N/A</v>
          </cell>
          <cell r="B690" t="e">
            <v>#N/A</v>
          </cell>
          <cell r="C690" t="e">
            <v>#N/A</v>
          </cell>
          <cell r="O690" t="e">
            <v>#N/A</v>
          </cell>
          <cell r="P690" t="e">
            <v>#N/A</v>
          </cell>
          <cell r="Q690" t="e">
            <v>#N/A</v>
          </cell>
          <cell r="R690" t="e">
            <v>#N/A</v>
          </cell>
          <cell r="S690" t="e">
            <v>#N/A</v>
          </cell>
          <cell r="T690" t="e">
            <v>#N/A</v>
          </cell>
          <cell r="U690" t="e">
            <v>#N/A</v>
          </cell>
          <cell r="V690" t="e">
            <v>#N/A</v>
          </cell>
          <cell r="W690" t="e">
            <v>#N/A</v>
          </cell>
          <cell r="X690" t="e">
            <v>#N/A</v>
          </cell>
          <cell r="Y690" t="e">
            <v>#N/A</v>
          </cell>
          <cell r="Z690" t="e">
            <v>#N/A</v>
          </cell>
        </row>
        <row r="691">
          <cell r="A691" t="e">
            <v>#N/A</v>
          </cell>
          <cell r="B691" t="e">
            <v>#N/A</v>
          </cell>
          <cell r="C691" t="e">
            <v>#N/A</v>
          </cell>
          <cell r="O691" t="e">
            <v>#N/A</v>
          </cell>
          <cell r="P691" t="e">
            <v>#N/A</v>
          </cell>
          <cell r="Q691" t="e">
            <v>#N/A</v>
          </cell>
          <cell r="R691" t="e">
            <v>#N/A</v>
          </cell>
          <cell r="S691" t="e">
            <v>#N/A</v>
          </cell>
          <cell r="T691" t="e">
            <v>#N/A</v>
          </cell>
          <cell r="U691" t="e">
            <v>#N/A</v>
          </cell>
          <cell r="V691" t="e">
            <v>#N/A</v>
          </cell>
          <cell r="W691" t="e">
            <v>#N/A</v>
          </cell>
          <cell r="X691" t="e">
            <v>#N/A</v>
          </cell>
          <cell r="Y691" t="e">
            <v>#N/A</v>
          </cell>
          <cell r="Z691" t="e">
            <v>#N/A</v>
          </cell>
        </row>
        <row r="692">
          <cell r="A692" t="e">
            <v>#N/A</v>
          </cell>
          <cell r="B692" t="e">
            <v>#N/A</v>
          </cell>
          <cell r="C692" t="e">
            <v>#N/A</v>
          </cell>
          <cell r="O692" t="e">
            <v>#N/A</v>
          </cell>
          <cell r="P692" t="e">
            <v>#N/A</v>
          </cell>
          <cell r="Q692" t="e">
            <v>#N/A</v>
          </cell>
          <cell r="R692" t="e">
            <v>#N/A</v>
          </cell>
          <cell r="S692" t="e">
            <v>#N/A</v>
          </cell>
          <cell r="T692" t="e">
            <v>#N/A</v>
          </cell>
          <cell r="U692" t="e">
            <v>#N/A</v>
          </cell>
          <cell r="V692" t="e">
            <v>#N/A</v>
          </cell>
          <cell r="W692" t="e">
            <v>#N/A</v>
          </cell>
          <cell r="X692" t="e">
            <v>#N/A</v>
          </cell>
          <cell r="Y692" t="e">
            <v>#N/A</v>
          </cell>
          <cell r="Z692" t="e">
            <v>#N/A</v>
          </cell>
        </row>
        <row r="693">
          <cell r="A693" t="e">
            <v>#N/A</v>
          </cell>
          <cell r="B693" t="e">
            <v>#N/A</v>
          </cell>
          <cell r="C693" t="e">
            <v>#N/A</v>
          </cell>
          <cell r="O693" t="e">
            <v>#N/A</v>
          </cell>
          <cell r="P693" t="e">
            <v>#N/A</v>
          </cell>
          <cell r="Q693" t="e">
            <v>#N/A</v>
          </cell>
          <cell r="R693" t="e">
            <v>#N/A</v>
          </cell>
          <cell r="S693" t="e">
            <v>#N/A</v>
          </cell>
          <cell r="T693" t="e">
            <v>#N/A</v>
          </cell>
          <cell r="U693" t="e">
            <v>#N/A</v>
          </cell>
          <cell r="V693" t="e">
            <v>#N/A</v>
          </cell>
          <cell r="W693" t="e">
            <v>#N/A</v>
          </cell>
          <cell r="X693" t="e">
            <v>#N/A</v>
          </cell>
          <cell r="Y693" t="e">
            <v>#N/A</v>
          </cell>
          <cell r="Z693" t="e">
            <v>#N/A</v>
          </cell>
        </row>
        <row r="694">
          <cell r="A694" t="e">
            <v>#N/A</v>
          </cell>
          <cell r="B694" t="e">
            <v>#N/A</v>
          </cell>
          <cell r="C694" t="e">
            <v>#N/A</v>
          </cell>
          <cell r="O694" t="e">
            <v>#N/A</v>
          </cell>
          <cell r="P694" t="e">
            <v>#N/A</v>
          </cell>
          <cell r="Q694" t="e">
            <v>#N/A</v>
          </cell>
          <cell r="R694" t="e">
            <v>#N/A</v>
          </cell>
          <cell r="S694" t="e">
            <v>#N/A</v>
          </cell>
          <cell r="T694" t="e">
            <v>#N/A</v>
          </cell>
          <cell r="U694" t="e">
            <v>#N/A</v>
          </cell>
          <cell r="V694" t="e">
            <v>#N/A</v>
          </cell>
          <cell r="W694" t="e">
            <v>#N/A</v>
          </cell>
          <cell r="X694" t="e">
            <v>#N/A</v>
          </cell>
          <cell r="Y694" t="e">
            <v>#N/A</v>
          </cell>
          <cell r="Z694" t="e">
            <v>#N/A</v>
          </cell>
        </row>
        <row r="695">
          <cell r="A695" t="e">
            <v>#N/A</v>
          </cell>
          <cell r="B695" t="e">
            <v>#N/A</v>
          </cell>
          <cell r="C695" t="e">
            <v>#N/A</v>
          </cell>
          <cell r="O695" t="e">
            <v>#N/A</v>
          </cell>
          <cell r="P695" t="e">
            <v>#N/A</v>
          </cell>
          <cell r="Q695" t="e">
            <v>#N/A</v>
          </cell>
          <cell r="R695" t="e">
            <v>#N/A</v>
          </cell>
          <cell r="S695" t="e">
            <v>#N/A</v>
          </cell>
          <cell r="T695" t="e">
            <v>#N/A</v>
          </cell>
          <cell r="U695" t="e">
            <v>#N/A</v>
          </cell>
          <cell r="V695" t="e">
            <v>#N/A</v>
          </cell>
          <cell r="W695" t="e">
            <v>#N/A</v>
          </cell>
          <cell r="X695" t="e">
            <v>#N/A</v>
          </cell>
          <cell r="Y695" t="e">
            <v>#N/A</v>
          </cell>
          <cell r="Z695" t="e">
            <v>#N/A</v>
          </cell>
        </row>
        <row r="696">
          <cell r="A696" t="e">
            <v>#N/A</v>
          </cell>
          <cell r="B696" t="e">
            <v>#N/A</v>
          </cell>
          <cell r="C696" t="e">
            <v>#N/A</v>
          </cell>
          <cell r="O696" t="e">
            <v>#N/A</v>
          </cell>
          <cell r="P696" t="e">
            <v>#N/A</v>
          </cell>
          <cell r="Q696" t="e">
            <v>#N/A</v>
          </cell>
          <cell r="R696" t="e">
            <v>#N/A</v>
          </cell>
          <cell r="S696" t="e">
            <v>#N/A</v>
          </cell>
          <cell r="T696" t="e">
            <v>#N/A</v>
          </cell>
          <cell r="U696" t="e">
            <v>#N/A</v>
          </cell>
          <cell r="V696" t="e">
            <v>#N/A</v>
          </cell>
          <cell r="W696" t="e">
            <v>#N/A</v>
          </cell>
          <cell r="X696" t="e">
            <v>#N/A</v>
          </cell>
          <cell r="Y696" t="e">
            <v>#N/A</v>
          </cell>
          <cell r="Z696" t="e">
            <v>#N/A</v>
          </cell>
        </row>
        <row r="697">
          <cell r="A697" t="e">
            <v>#N/A</v>
          </cell>
          <cell r="B697" t="e">
            <v>#N/A</v>
          </cell>
          <cell r="C697" t="e">
            <v>#N/A</v>
          </cell>
          <cell r="O697" t="e">
            <v>#N/A</v>
          </cell>
          <cell r="P697" t="e">
            <v>#N/A</v>
          </cell>
          <cell r="Q697" t="e">
            <v>#N/A</v>
          </cell>
          <cell r="R697" t="e">
            <v>#N/A</v>
          </cell>
          <cell r="S697" t="e">
            <v>#N/A</v>
          </cell>
          <cell r="T697" t="e">
            <v>#N/A</v>
          </cell>
          <cell r="U697" t="e">
            <v>#N/A</v>
          </cell>
          <cell r="V697" t="e">
            <v>#N/A</v>
          </cell>
          <cell r="W697" t="e">
            <v>#N/A</v>
          </cell>
          <cell r="X697" t="e">
            <v>#N/A</v>
          </cell>
          <cell r="Y697" t="e">
            <v>#N/A</v>
          </cell>
          <cell r="Z697" t="e">
            <v>#N/A</v>
          </cell>
        </row>
        <row r="698">
          <cell r="A698" t="e">
            <v>#N/A</v>
          </cell>
          <cell r="B698" t="e">
            <v>#N/A</v>
          </cell>
          <cell r="C698" t="e">
            <v>#N/A</v>
          </cell>
          <cell r="O698" t="e">
            <v>#N/A</v>
          </cell>
          <cell r="P698" t="e">
            <v>#N/A</v>
          </cell>
          <cell r="Q698" t="e">
            <v>#N/A</v>
          </cell>
          <cell r="R698" t="e">
            <v>#N/A</v>
          </cell>
          <cell r="S698" t="e">
            <v>#N/A</v>
          </cell>
          <cell r="T698" t="e">
            <v>#N/A</v>
          </cell>
          <cell r="U698" t="e">
            <v>#N/A</v>
          </cell>
          <cell r="V698" t="e">
            <v>#N/A</v>
          </cell>
          <cell r="W698" t="e">
            <v>#N/A</v>
          </cell>
          <cell r="X698" t="e">
            <v>#N/A</v>
          </cell>
          <cell r="Y698" t="e">
            <v>#N/A</v>
          </cell>
          <cell r="Z698" t="e">
            <v>#N/A</v>
          </cell>
        </row>
        <row r="699">
          <cell r="A699" t="e">
            <v>#N/A</v>
          </cell>
          <cell r="B699" t="e">
            <v>#N/A</v>
          </cell>
          <cell r="C699" t="e">
            <v>#N/A</v>
          </cell>
          <cell r="O699" t="e">
            <v>#N/A</v>
          </cell>
          <cell r="P699" t="e">
            <v>#N/A</v>
          </cell>
          <cell r="Q699" t="e">
            <v>#N/A</v>
          </cell>
          <cell r="R699" t="e">
            <v>#N/A</v>
          </cell>
          <cell r="S699" t="e">
            <v>#N/A</v>
          </cell>
          <cell r="T699" t="e">
            <v>#N/A</v>
          </cell>
          <cell r="U699" t="e">
            <v>#N/A</v>
          </cell>
          <cell r="V699" t="e">
            <v>#N/A</v>
          </cell>
          <cell r="W699" t="e">
            <v>#N/A</v>
          </cell>
          <cell r="X699" t="e">
            <v>#N/A</v>
          </cell>
          <cell r="Y699" t="e">
            <v>#N/A</v>
          </cell>
          <cell r="Z699" t="e">
            <v>#N/A</v>
          </cell>
        </row>
        <row r="700">
          <cell r="A700" t="e">
            <v>#N/A</v>
          </cell>
          <cell r="B700" t="e">
            <v>#N/A</v>
          </cell>
          <cell r="C700" t="e">
            <v>#N/A</v>
          </cell>
          <cell r="O700" t="e">
            <v>#N/A</v>
          </cell>
          <cell r="P700" t="e">
            <v>#N/A</v>
          </cell>
          <cell r="Q700" t="e">
            <v>#N/A</v>
          </cell>
          <cell r="R700" t="e">
            <v>#N/A</v>
          </cell>
          <cell r="S700" t="e">
            <v>#N/A</v>
          </cell>
          <cell r="T700" t="e">
            <v>#N/A</v>
          </cell>
          <cell r="U700" t="e">
            <v>#N/A</v>
          </cell>
          <cell r="V700" t="e">
            <v>#N/A</v>
          </cell>
          <cell r="W700" t="e">
            <v>#N/A</v>
          </cell>
          <cell r="X700" t="e">
            <v>#N/A</v>
          </cell>
          <cell r="Y700" t="e">
            <v>#N/A</v>
          </cell>
          <cell r="Z700" t="e">
            <v>#N/A</v>
          </cell>
        </row>
        <row r="701">
          <cell r="A701" t="e">
            <v>#N/A</v>
          </cell>
          <cell r="B701" t="e">
            <v>#N/A</v>
          </cell>
          <cell r="C701" t="e">
            <v>#N/A</v>
          </cell>
          <cell r="O701" t="e">
            <v>#N/A</v>
          </cell>
          <cell r="P701" t="e">
            <v>#N/A</v>
          </cell>
          <cell r="Q701" t="e">
            <v>#N/A</v>
          </cell>
          <cell r="R701" t="e">
            <v>#N/A</v>
          </cell>
          <cell r="S701" t="e">
            <v>#N/A</v>
          </cell>
          <cell r="T701" t="e">
            <v>#N/A</v>
          </cell>
          <cell r="U701" t="e">
            <v>#N/A</v>
          </cell>
          <cell r="V701" t="e">
            <v>#N/A</v>
          </cell>
          <cell r="W701" t="e">
            <v>#N/A</v>
          </cell>
          <cell r="X701" t="e">
            <v>#N/A</v>
          </cell>
          <cell r="Y701" t="e">
            <v>#N/A</v>
          </cell>
          <cell r="Z701" t="e">
            <v>#N/A</v>
          </cell>
        </row>
        <row r="702">
          <cell r="A702" t="e">
            <v>#N/A</v>
          </cell>
          <cell r="B702" t="e">
            <v>#N/A</v>
          </cell>
          <cell r="C702" t="e">
            <v>#N/A</v>
          </cell>
          <cell r="O702" t="e">
            <v>#N/A</v>
          </cell>
          <cell r="P702" t="e">
            <v>#N/A</v>
          </cell>
          <cell r="Q702" t="e">
            <v>#N/A</v>
          </cell>
          <cell r="R702" t="e">
            <v>#N/A</v>
          </cell>
          <cell r="S702" t="e">
            <v>#N/A</v>
          </cell>
          <cell r="T702" t="e">
            <v>#N/A</v>
          </cell>
          <cell r="U702" t="e">
            <v>#N/A</v>
          </cell>
          <cell r="V702" t="e">
            <v>#N/A</v>
          </cell>
          <cell r="W702" t="e">
            <v>#N/A</v>
          </cell>
          <cell r="X702" t="e">
            <v>#N/A</v>
          </cell>
          <cell r="Y702" t="e">
            <v>#N/A</v>
          </cell>
          <cell r="Z702" t="e">
            <v>#N/A</v>
          </cell>
        </row>
        <row r="703">
          <cell r="A703" t="e">
            <v>#N/A</v>
          </cell>
          <cell r="B703" t="e">
            <v>#N/A</v>
          </cell>
          <cell r="C703" t="e">
            <v>#N/A</v>
          </cell>
          <cell r="O703" t="e">
            <v>#N/A</v>
          </cell>
          <cell r="P703" t="e">
            <v>#N/A</v>
          </cell>
          <cell r="Q703" t="e">
            <v>#N/A</v>
          </cell>
          <cell r="R703" t="e">
            <v>#N/A</v>
          </cell>
          <cell r="S703" t="e">
            <v>#N/A</v>
          </cell>
          <cell r="T703" t="e">
            <v>#N/A</v>
          </cell>
          <cell r="U703" t="e">
            <v>#N/A</v>
          </cell>
          <cell r="V703" t="e">
            <v>#N/A</v>
          </cell>
          <cell r="W703" t="e">
            <v>#N/A</v>
          </cell>
          <cell r="X703" t="e">
            <v>#N/A</v>
          </cell>
          <cell r="Y703" t="e">
            <v>#N/A</v>
          </cell>
          <cell r="Z703" t="e">
            <v>#N/A</v>
          </cell>
        </row>
        <row r="704">
          <cell r="A704" t="e">
            <v>#N/A</v>
          </cell>
          <cell r="B704" t="e">
            <v>#N/A</v>
          </cell>
          <cell r="C704" t="e">
            <v>#N/A</v>
          </cell>
          <cell r="O704" t="e">
            <v>#N/A</v>
          </cell>
          <cell r="P704" t="e">
            <v>#N/A</v>
          </cell>
          <cell r="Q704" t="e">
            <v>#N/A</v>
          </cell>
          <cell r="R704" t="e">
            <v>#N/A</v>
          </cell>
          <cell r="S704" t="e">
            <v>#N/A</v>
          </cell>
          <cell r="T704" t="e">
            <v>#N/A</v>
          </cell>
          <cell r="U704" t="e">
            <v>#N/A</v>
          </cell>
          <cell r="V704" t="e">
            <v>#N/A</v>
          </cell>
          <cell r="W704" t="e">
            <v>#N/A</v>
          </cell>
          <cell r="X704" t="e">
            <v>#N/A</v>
          </cell>
          <cell r="Y704" t="e">
            <v>#N/A</v>
          </cell>
          <cell r="Z704" t="e">
            <v>#N/A</v>
          </cell>
        </row>
        <row r="705">
          <cell r="A705" t="e">
            <v>#N/A</v>
          </cell>
          <cell r="B705" t="e">
            <v>#N/A</v>
          </cell>
          <cell r="C705" t="e">
            <v>#N/A</v>
          </cell>
          <cell r="O705" t="e">
            <v>#N/A</v>
          </cell>
          <cell r="P705" t="e">
            <v>#N/A</v>
          </cell>
          <cell r="Q705" t="e">
            <v>#N/A</v>
          </cell>
          <cell r="R705" t="e">
            <v>#N/A</v>
          </cell>
          <cell r="S705" t="e">
            <v>#N/A</v>
          </cell>
          <cell r="T705" t="e">
            <v>#N/A</v>
          </cell>
          <cell r="U705" t="e">
            <v>#N/A</v>
          </cell>
          <cell r="V705" t="e">
            <v>#N/A</v>
          </cell>
          <cell r="W705" t="e">
            <v>#N/A</v>
          </cell>
          <cell r="X705" t="e">
            <v>#N/A</v>
          </cell>
          <cell r="Y705" t="e">
            <v>#N/A</v>
          </cell>
          <cell r="Z705" t="e">
            <v>#N/A</v>
          </cell>
        </row>
        <row r="706">
          <cell r="A706" t="e">
            <v>#N/A</v>
          </cell>
          <cell r="B706" t="e">
            <v>#N/A</v>
          </cell>
          <cell r="C706" t="e">
            <v>#N/A</v>
          </cell>
          <cell r="O706" t="e">
            <v>#N/A</v>
          </cell>
          <cell r="P706" t="e">
            <v>#N/A</v>
          </cell>
          <cell r="Q706" t="e">
            <v>#N/A</v>
          </cell>
          <cell r="R706" t="e">
            <v>#N/A</v>
          </cell>
          <cell r="S706" t="e">
            <v>#N/A</v>
          </cell>
          <cell r="T706" t="e">
            <v>#N/A</v>
          </cell>
          <cell r="U706" t="e">
            <v>#N/A</v>
          </cell>
          <cell r="V706" t="e">
            <v>#N/A</v>
          </cell>
          <cell r="W706" t="e">
            <v>#N/A</v>
          </cell>
          <cell r="X706" t="e">
            <v>#N/A</v>
          </cell>
          <cell r="Y706" t="e">
            <v>#N/A</v>
          </cell>
          <cell r="Z706" t="e">
            <v>#N/A</v>
          </cell>
        </row>
        <row r="707">
          <cell r="A707" t="e">
            <v>#N/A</v>
          </cell>
          <cell r="B707" t="e">
            <v>#N/A</v>
          </cell>
          <cell r="C707" t="e">
            <v>#N/A</v>
          </cell>
          <cell r="O707" t="e">
            <v>#N/A</v>
          </cell>
          <cell r="P707" t="e">
            <v>#N/A</v>
          </cell>
          <cell r="Q707" t="e">
            <v>#N/A</v>
          </cell>
          <cell r="R707" t="e">
            <v>#N/A</v>
          </cell>
          <cell r="S707" t="e">
            <v>#N/A</v>
          </cell>
          <cell r="T707" t="e">
            <v>#N/A</v>
          </cell>
          <cell r="U707" t="e">
            <v>#N/A</v>
          </cell>
          <cell r="V707" t="e">
            <v>#N/A</v>
          </cell>
          <cell r="W707" t="e">
            <v>#N/A</v>
          </cell>
          <cell r="X707" t="e">
            <v>#N/A</v>
          </cell>
          <cell r="Y707" t="e">
            <v>#N/A</v>
          </cell>
          <cell r="Z707" t="e">
            <v>#N/A</v>
          </cell>
        </row>
        <row r="708">
          <cell r="A708" t="e">
            <v>#N/A</v>
          </cell>
          <cell r="B708" t="e">
            <v>#N/A</v>
          </cell>
          <cell r="C708" t="e">
            <v>#N/A</v>
          </cell>
          <cell r="O708" t="e">
            <v>#N/A</v>
          </cell>
          <cell r="P708" t="e">
            <v>#N/A</v>
          </cell>
          <cell r="Q708" t="e">
            <v>#N/A</v>
          </cell>
          <cell r="R708" t="e">
            <v>#N/A</v>
          </cell>
          <cell r="S708" t="e">
            <v>#N/A</v>
          </cell>
          <cell r="T708" t="e">
            <v>#N/A</v>
          </cell>
          <cell r="U708" t="e">
            <v>#N/A</v>
          </cell>
          <cell r="V708" t="e">
            <v>#N/A</v>
          </cell>
          <cell r="W708" t="e">
            <v>#N/A</v>
          </cell>
          <cell r="X708" t="e">
            <v>#N/A</v>
          </cell>
          <cell r="Y708" t="e">
            <v>#N/A</v>
          </cell>
          <cell r="Z708" t="e">
            <v>#N/A</v>
          </cell>
        </row>
        <row r="709">
          <cell r="A709" t="e">
            <v>#N/A</v>
          </cell>
          <cell r="B709" t="e">
            <v>#N/A</v>
          </cell>
          <cell r="C709" t="e">
            <v>#N/A</v>
          </cell>
          <cell r="O709" t="e">
            <v>#N/A</v>
          </cell>
          <cell r="P709" t="e">
            <v>#N/A</v>
          </cell>
          <cell r="Q709" t="e">
            <v>#N/A</v>
          </cell>
          <cell r="R709" t="e">
            <v>#N/A</v>
          </cell>
          <cell r="S709" t="e">
            <v>#N/A</v>
          </cell>
          <cell r="T709" t="e">
            <v>#N/A</v>
          </cell>
          <cell r="U709" t="e">
            <v>#N/A</v>
          </cell>
          <cell r="V709" t="e">
            <v>#N/A</v>
          </cell>
          <cell r="W709" t="e">
            <v>#N/A</v>
          </cell>
          <cell r="X709" t="e">
            <v>#N/A</v>
          </cell>
          <cell r="Y709" t="e">
            <v>#N/A</v>
          </cell>
          <cell r="Z709" t="e">
            <v>#N/A</v>
          </cell>
        </row>
        <row r="710">
          <cell r="A710" t="e">
            <v>#N/A</v>
          </cell>
          <cell r="B710" t="e">
            <v>#N/A</v>
          </cell>
          <cell r="C710" t="e">
            <v>#N/A</v>
          </cell>
          <cell r="O710" t="e">
            <v>#N/A</v>
          </cell>
          <cell r="P710" t="e">
            <v>#N/A</v>
          </cell>
          <cell r="Q710" t="e">
            <v>#N/A</v>
          </cell>
          <cell r="R710" t="e">
            <v>#N/A</v>
          </cell>
          <cell r="S710" t="e">
            <v>#N/A</v>
          </cell>
          <cell r="T710" t="e">
            <v>#N/A</v>
          </cell>
          <cell r="U710" t="e">
            <v>#N/A</v>
          </cell>
          <cell r="V710" t="e">
            <v>#N/A</v>
          </cell>
          <cell r="W710" t="e">
            <v>#N/A</v>
          </cell>
          <cell r="X710" t="e">
            <v>#N/A</v>
          </cell>
          <cell r="Y710" t="e">
            <v>#N/A</v>
          </cell>
          <cell r="Z710" t="e">
            <v>#N/A</v>
          </cell>
        </row>
        <row r="711">
          <cell r="A711" t="e">
            <v>#N/A</v>
          </cell>
          <cell r="B711" t="e">
            <v>#N/A</v>
          </cell>
          <cell r="C711" t="e">
            <v>#N/A</v>
          </cell>
          <cell r="O711" t="e">
            <v>#N/A</v>
          </cell>
          <cell r="P711" t="e">
            <v>#N/A</v>
          </cell>
          <cell r="Q711" t="e">
            <v>#N/A</v>
          </cell>
          <cell r="R711" t="e">
            <v>#N/A</v>
          </cell>
          <cell r="S711" t="e">
            <v>#N/A</v>
          </cell>
          <cell r="T711" t="e">
            <v>#N/A</v>
          </cell>
          <cell r="U711" t="e">
            <v>#N/A</v>
          </cell>
          <cell r="V711" t="e">
            <v>#N/A</v>
          </cell>
          <cell r="W711" t="e">
            <v>#N/A</v>
          </cell>
          <cell r="X711" t="e">
            <v>#N/A</v>
          </cell>
          <cell r="Y711" t="e">
            <v>#N/A</v>
          </cell>
          <cell r="Z711" t="e">
            <v>#N/A</v>
          </cell>
        </row>
        <row r="712">
          <cell r="A712" t="e">
            <v>#N/A</v>
          </cell>
          <cell r="B712" t="e">
            <v>#N/A</v>
          </cell>
          <cell r="C712" t="e">
            <v>#N/A</v>
          </cell>
          <cell r="O712" t="e">
            <v>#N/A</v>
          </cell>
          <cell r="P712" t="e">
            <v>#N/A</v>
          </cell>
          <cell r="Q712" t="e">
            <v>#N/A</v>
          </cell>
          <cell r="R712" t="e">
            <v>#N/A</v>
          </cell>
          <cell r="S712" t="e">
            <v>#N/A</v>
          </cell>
          <cell r="T712" t="e">
            <v>#N/A</v>
          </cell>
          <cell r="U712" t="e">
            <v>#N/A</v>
          </cell>
          <cell r="V712" t="e">
            <v>#N/A</v>
          </cell>
          <cell r="W712" t="e">
            <v>#N/A</v>
          </cell>
          <cell r="X712" t="e">
            <v>#N/A</v>
          </cell>
          <cell r="Y712" t="e">
            <v>#N/A</v>
          </cell>
          <cell r="Z712" t="e">
            <v>#N/A</v>
          </cell>
        </row>
        <row r="713">
          <cell r="A713" t="e">
            <v>#N/A</v>
          </cell>
          <cell r="B713" t="e">
            <v>#N/A</v>
          </cell>
          <cell r="C713" t="e">
            <v>#N/A</v>
          </cell>
          <cell r="O713" t="e">
            <v>#N/A</v>
          </cell>
          <cell r="P713" t="e">
            <v>#N/A</v>
          </cell>
          <cell r="Q713" t="e">
            <v>#N/A</v>
          </cell>
          <cell r="R713" t="e">
            <v>#N/A</v>
          </cell>
          <cell r="S713" t="e">
            <v>#N/A</v>
          </cell>
          <cell r="T713" t="e">
            <v>#N/A</v>
          </cell>
          <cell r="U713" t="e">
            <v>#N/A</v>
          </cell>
          <cell r="V713" t="e">
            <v>#N/A</v>
          </cell>
          <cell r="W713" t="e">
            <v>#N/A</v>
          </cell>
          <cell r="X713" t="e">
            <v>#N/A</v>
          </cell>
          <cell r="Y713" t="e">
            <v>#N/A</v>
          </cell>
          <cell r="Z713" t="e">
            <v>#N/A</v>
          </cell>
        </row>
        <row r="714">
          <cell r="A714" t="e">
            <v>#N/A</v>
          </cell>
          <cell r="B714" t="e">
            <v>#N/A</v>
          </cell>
          <cell r="C714" t="e">
            <v>#N/A</v>
          </cell>
          <cell r="O714" t="e">
            <v>#N/A</v>
          </cell>
          <cell r="P714" t="e">
            <v>#N/A</v>
          </cell>
          <cell r="Q714" t="e">
            <v>#N/A</v>
          </cell>
          <cell r="R714" t="e">
            <v>#N/A</v>
          </cell>
          <cell r="S714" t="e">
            <v>#N/A</v>
          </cell>
          <cell r="T714" t="e">
            <v>#N/A</v>
          </cell>
          <cell r="U714" t="e">
            <v>#N/A</v>
          </cell>
          <cell r="V714" t="e">
            <v>#N/A</v>
          </cell>
          <cell r="W714" t="e">
            <v>#N/A</v>
          </cell>
          <cell r="X714" t="e">
            <v>#N/A</v>
          </cell>
          <cell r="Y714" t="e">
            <v>#N/A</v>
          </cell>
          <cell r="Z714" t="e">
            <v>#N/A</v>
          </cell>
        </row>
        <row r="715">
          <cell r="A715" t="e">
            <v>#N/A</v>
          </cell>
          <cell r="B715" t="e">
            <v>#N/A</v>
          </cell>
          <cell r="C715" t="e">
            <v>#N/A</v>
          </cell>
          <cell r="O715" t="e">
            <v>#N/A</v>
          </cell>
          <cell r="P715" t="e">
            <v>#N/A</v>
          </cell>
          <cell r="Q715" t="e">
            <v>#N/A</v>
          </cell>
          <cell r="R715" t="e">
            <v>#N/A</v>
          </cell>
          <cell r="S715" t="e">
            <v>#N/A</v>
          </cell>
          <cell r="T715" t="e">
            <v>#N/A</v>
          </cell>
          <cell r="U715" t="e">
            <v>#N/A</v>
          </cell>
          <cell r="V715" t="e">
            <v>#N/A</v>
          </cell>
          <cell r="W715" t="e">
            <v>#N/A</v>
          </cell>
          <cell r="X715" t="e">
            <v>#N/A</v>
          </cell>
          <cell r="Y715" t="e">
            <v>#N/A</v>
          </cell>
          <cell r="Z715" t="e">
            <v>#N/A</v>
          </cell>
        </row>
        <row r="716">
          <cell r="A716" t="e">
            <v>#N/A</v>
          </cell>
          <cell r="B716" t="e">
            <v>#N/A</v>
          </cell>
          <cell r="C716" t="e">
            <v>#N/A</v>
          </cell>
          <cell r="O716" t="e">
            <v>#N/A</v>
          </cell>
          <cell r="P716" t="e">
            <v>#N/A</v>
          </cell>
          <cell r="Q716" t="e">
            <v>#N/A</v>
          </cell>
          <cell r="R716" t="e">
            <v>#N/A</v>
          </cell>
          <cell r="S716" t="e">
            <v>#N/A</v>
          </cell>
          <cell r="T716" t="e">
            <v>#N/A</v>
          </cell>
          <cell r="U716" t="e">
            <v>#N/A</v>
          </cell>
          <cell r="V716" t="e">
            <v>#N/A</v>
          </cell>
          <cell r="W716" t="e">
            <v>#N/A</v>
          </cell>
          <cell r="X716" t="e">
            <v>#N/A</v>
          </cell>
          <cell r="Y716" t="e">
            <v>#N/A</v>
          </cell>
          <cell r="Z716" t="e">
            <v>#N/A</v>
          </cell>
        </row>
        <row r="717">
          <cell r="A717" t="e">
            <v>#N/A</v>
          </cell>
          <cell r="B717" t="e">
            <v>#N/A</v>
          </cell>
          <cell r="C717" t="e">
            <v>#N/A</v>
          </cell>
          <cell r="O717" t="e">
            <v>#N/A</v>
          </cell>
          <cell r="P717" t="e">
            <v>#N/A</v>
          </cell>
          <cell r="Q717" t="e">
            <v>#N/A</v>
          </cell>
          <cell r="R717" t="e">
            <v>#N/A</v>
          </cell>
          <cell r="S717" t="e">
            <v>#N/A</v>
          </cell>
          <cell r="T717" t="e">
            <v>#N/A</v>
          </cell>
          <cell r="U717" t="e">
            <v>#N/A</v>
          </cell>
          <cell r="V717" t="e">
            <v>#N/A</v>
          </cell>
          <cell r="W717" t="e">
            <v>#N/A</v>
          </cell>
          <cell r="X717" t="e">
            <v>#N/A</v>
          </cell>
          <cell r="Y717" t="e">
            <v>#N/A</v>
          </cell>
          <cell r="Z717" t="e">
            <v>#N/A</v>
          </cell>
        </row>
        <row r="718">
          <cell r="A718" t="e">
            <v>#N/A</v>
          </cell>
          <cell r="B718" t="e">
            <v>#N/A</v>
          </cell>
          <cell r="C718" t="e">
            <v>#N/A</v>
          </cell>
          <cell r="O718" t="e">
            <v>#N/A</v>
          </cell>
          <cell r="P718" t="e">
            <v>#N/A</v>
          </cell>
          <cell r="Q718" t="e">
            <v>#N/A</v>
          </cell>
          <cell r="R718" t="e">
            <v>#N/A</v>
          </cell>
          <cell r="S718" t="e">
            <v>#N/A</v>
          </cell>
          <cell r="T718" t="e">
            <v>#N/A</v>
          </cell>
          <cell r="U718" t="e">
            <v>#N/A</v>
          </cell>
          <cell r="V718" t="e">
            <v>#N/A</v>
          </cell>
          <cell r="W718" t="e">
            <v>#N/A</v>
          </cell>
          <cell r="X718" t="e">
            <v>#N/A</v>
          </cell>
          <cell r="Y718" t="e">
            <v>#N/A</v>
          </cell>
          <cell r="Z718" t="e">
            <v>#N/A</v>
          </cell>
        </row>
        <row r="719">
          <cell r="A719" t="e">
            <v>#N/A</v>
          </cell>
          <cell r="B719" t="e">
            <v>#N/A</v>
          </cell>
          <cell r="C719" t="e">
            <v>#N/A</v>
          </cell>
          <cell r="O719" t="e">
            <v>#N/A</v>
          </cell>
          <cell r="P719" t="e">
            <v>#N/A</v>
          </cell>
          <cell r="Q719" t="e">
            <v>#N/A</v>
          </cell>
          <cell r="R719" t="e">
            <v>#N/A</v>
          </cell>
          <cell r="S719" t="e">
            <v>#N/A</v>
          </cell>
          <cell r="T719" t="e">
            <v>#N/A</v>
          </cell>
          <cell r="U719" t="e">
            <v>#N/A</v>
          </cell>
          <cell r="V719" t="e">
            <v>#N/A</v>
          </cell>
          <cell r="W719" t="e">
            <v>#N/A</v>
          </cell>
          <cell r="X719" t="e">
            <v>#N/A</v>
          </cell>
          <cell r="Y719" t="e">
            <v>#N/A</v>
          </cell>
          <cell r="Z719" t="e">
            <v>#N/A</v>
          </cell>
        </row>
        <row r="720">
          <cell r="A720" t="e">
            <v>#N/A</v>
          </cell>
          <cell r="B720" t="e">
            <v>#N/A</v>
          </cell>
          <cell r="C720" t="e">
            <v>#N/A</v>
          </cell>
          <cell r="O720" t="e">
            <v>#N/A</v>
          </cell>
          <cell r="P720" t="e">
            <v>#N/A</v>
          </cell>
          <cell r="Q720" t="e">
            <v>#N/A</v>
          </cell>
          <cell r="R720" t="e">
            <v>#N/A</v>
          </cell>
          <cell r="S720" t="e">
            <v>#N/A</v>
          </cell>
          <cell r="T720" t="e">
            <v>#N/A</v>
          </cell>
          <cell r="U720" t="e">
            <v>#N/A</v>
          </cell>
          <cell r="V720" t="e">
            <v>#N/A</v>
          </cell>
          <cell r="W720" t="e">
            <v>#N/A</v>
          </cell>
          <cell r="X720" t="e">
            <v>#N/A</v>
          </cell>
          <cell r="Y720" t="e">
            <v>#N/A</v>
          </cell>
          <cell r="Z720" t="e">
            <v>#N/A</v>
          </cell>
        </row>
        <row r="721">
          <cell r="A721" t="e">
            <v>#N/A</v>
          </cell>
          <cell r="B721" t="e">
            <v>#N/A</v>
          </cell>
          <cell r="C721" t="e">
            <v>#N/A</v>
          </cell>
          <cell r="O721" t="e">
            <v>#N/A</v>
          </cell>
          <cell r="P721" t="e">
            <v>#N/A</v>
          </cell>
          <cell r="Q721" t="e">
            <v>#N/A</v>
          </cell>
          <cell r="R721" t="e">
            <v>#N/A</v>
          </cell>
          <cell r="S721" t="e">
            <v>#N/A</v>
          </cell>
          <cell r="T721" t="e">
            <v>#N/A</v>
          </cell>
          <cell r="U721" t="e">
            <v>#N/A</v>
          </cell>
          <cell r="V721" t="e">
            <v>#N/A</v>
          </cell>
          <cell r="W721" t="e">
            <v>#N/A</v>
          </cell>
          <cell r="X721" t="e">
            <v>#N/A</v>
          </cell>
          <cell r="Y721" t="e">
            <v>#N/A</v>
          </cell>
          <cell r="Z721" t="e">
            <v>#N/A</v>
          </cell>
        </row>
        <row r="722">
          <cell r="A722" t="e">
            <v>#N/A</v>
          </cell>
          <cell r="B722" t="e">
            <v>#N/A</v>
          </cell>
          <cell r="C722" t="e">
            <v>#N/A</v>
          </cell>
          <cell r="O722" t="e">
            <v>#N/A</v>
          </cell>
          <cell r="P722" t="e">
            <v>#N/A</v>
          </cell>
          <cell r="Q722" t="e">
            <v>#N/A</v>
          </cell>
          <cell r="R722" t="e">
            <v>#N/A</v>
          </cell>
          <cell r="S722" t="e">
            <v>#N/A</v>
          </cell>
          <cell r="T722" t="e">
            <v>#N/A</v>
          </cell>
          <cell r="U722" t="e">
            <v>#N/A</v>
          </cell>
          <cell r="V722" t="e">
            <v>#N/A</v>
          </cell>
          <cell r="W722" t="e">
            <v>#N/A</v>
          </cell>
          <cell r="X722" t="e">
            <v>#N/A</v>
          </cell>
          <cell r="Y722" t="e">
            <v>#N/A</v>
          </cell>
          <cell r="Z722" t="e">
            <v>#N/A</v>
          </cell>
        </row>
        <row r="723">
          <cell r="A723" t="e">
            <v>#N/A</v>
          </cell>
          <cell r="B723" t="e">
            <v>#N/A</v>
          </cell>
          <cell r="C723" t="e">
            <v>#N/A</v>
          </cell>
          <cell r="O723" t="e">
            <v>#N/A</v>
          </cell>
          <cell r="P723" t="e">
            <v>#N/A</v>
          </cell>
          <cell r="Q723" t="e">
            <v>#N/A</v>
          </cell>
          <cell r="R723" t="e">
            <v>#N/A</v>
          </cell>
          <cell r="S723" t="e">
            <v>#N/A</v>
          </cell>
          <cell r="T723" t="e">
            <v>#N/A</v>
          </cell>
          <cell r="U723" t="e">
            <v>#N/A</v>
          </cell>
          <cell r="V723" t="e">
            <v>#N/A</v>
          </cell>
          <cell r="W723" t="e">
            <v>#N/A</v>
          </cell>
          <cell r="X723" t="e">
            <v>#N/A</v>
          </cell>
          <cell r="Y723" t="e">
            <v>#N/A</v>
          </cell>
          <cell r="Z723" t="e">
            <v>#N/A</v>
          </cell>
        </row>
        <row r="724">
          <cell r="A724" t="e">
            <v>#N/A</v>
          </cell>
          <cell r="B724" t="e">
            <v>#N/A</v>
          </cell>
          <cell r="C724" t="e">
            <v>#N/A</v>
          </cell>
          <cell r="O724" t="e">
            <v>#N/A</v>
          </cell>
          <cell r="P724" t="e">
            <v>#N/A</v>
          </cell>
          <cell r="Q724" t="e">
            <v>#N/A</v>
          </cell>
          <cell r="R724" t="e">
            <v>#N/A</v>
          </cell>
          <cell r="S724" t="e">
            <v>#N/A</v>
          </cell>
          <cell r="T724" t="e">
            <v>#N/A</v>
          </cell>
          <cell r="U724" t="e">
            <v>#N/A</v>
          </cell>
          <cell r="V724" t="e">
            <v>#N/A</v>
          </cell>
          <cell r="W724" t="e">
            <v>#N/A</v>
          </cell>
          <cell r="X724" t="e">
            <v>#N/A</v>
          </cell>
          <cell r="Y724" t="e">
            <v>#N/A</v>
          </cell>
          <cell r="Z724" t="e">
            <v>#N/A</v>
          </cell>
        </row>
        <row r="725">
          <cell r="A725" t="e">
            <v>#N/A</v>
          </cell>
          <cell r="B725" t="e">
            <v>#N/A</v>
          </cell>
          <cell r="C725" t="e">
            <v>#N/A</v>
          </cell>
          <cell r="O725" t="e">
            <v>#N/A</v>
          </cell>
          <cell r="P725" t="e">
            <v>#N/A</v>
          </cell>
          <cell r="Q725" t="e">
            <v>#N/A</v>
          </cell>
          <cell r="R725" t="e">
            <v>#N/A</v>
          </cell>
          <cell r="S725" t="e">
            <v>#N/A</v>
          </cell>
          <cell r="T725" t="e">
            <v>#N/A</v>
          </cell>
          <cell r="U725" t="e">
            <v>#N/A</v>
          </cell>
          <cell r="V725" t="e">
            <v>#N/A</v>
          </cell>
          <cell r="W725" t="e">
            <v>#N/A</v>
          </cell>
          <cell r="X725" t="e">
            <v>#N/A</v>
          </cell>
          <cell r="Y725" t="e">
            <v>#N/A</v>
          </cell>
          <cell r="Z725" t="e">
            <v>#N/A</v>
          </cell>
        </row>
        <row r="726">
          <cell r="A726" t="e">
            <v>#N/A</v>
          </cell>
          <cell r="B726" t="e">
            <v>#N/A</v>
          </cell>
          <cell r="C726" t="e">
            <v>#N/A</v>
          </cell>
          <cell r="O726" t="e">
            <v>#N/A</v>
          </cell>
          <cell r="P726" t="e">
            <v>#N/A</v>
          </cell>
          <cell r="Q726" t="e">
            <v>#N/A</v>
          </cell>
          <cell r="R726" t="e">
            <v>#N/A</v>
          </cell>
          <cell r="S726" t="e">
            <v>#N/A</v>
          </cell>
          <cell r="T726" t="e">
            <v>#N/A</v>
          </cell>
          <cell r="U726" t="e">
            <v>#N/A</v>
          </cell>
          <cell r="V726" t="e">
            <v>#N/A</v>
          </cell>
          <cell r="W726" t="e">
            <v>#N/A</v>
          </cell>
          <cell r="X726" t="e">
            <v>#N/A</v>
          </cell>
          <cell r="Y726" t="e">
            <v>#N/A</v>
          </cell>
          <cell r="Z726" t="e">
            <v>#N/A</v>
          </cell>
        </row>
        <row r="727">
          <cell r="A727" t="e">
            <v>#N/A</v>
          </cell>
          <cell r="B727" t="e">
            <v>#N/A</v>
          </cell>
          <cell r="C727" t="e">
            <v>#N/A</v>
          </cell>
          <cell r="O727" t="e">
            <v>#N/A</v>
          </cell>
          <cell r="P727" t="e">
            <v>#N/A</v>
          </cell>
          <cell r="Q727" t="e">
            <v>#N/A</v>
          </cell>
          <cell r="R727" t="e">
            <v>#N/A</v>
          </cell>
          <cell r="S727" t="e">
            <v>#N/A</v>
          </cell>
          <cell r="T727" t="e">
            <v>#N/A</v>
          </cell>
          <cell r="U727" t="e">
            <v>#N/A</v>
          </cell>
          <cell r="V727" t="e">
            <v>#N/A</v>
          </cell>
          <cell r="W727" t="e">
            <v>#N/A</v>
          </cell>
          <cell r="X727" t="e">
            <v>#N/A</v>
          </cell>
          <cell r="Y727" t="e">
            <v>#N/A</v>
          </cell>
          <cell r="Z727" t="e">
            <v>#N/A</v>
          </cell>
        </row>
        <row r="728">
          <cell r="A728" t="e">
            <v>#N/A</v>
          </cell>
          <cell r="B728" t="e">
            <v>#N/A</v>
          </cell>
          <cell r="C728" t="e">
            <v>#N/A</v>
          </cell>
          <cell r="O728" t="e">
            <v>#N/A</v>
          </cell>
          <cell r="P728" t="e">
            <v>#N/A</v>
          </cell>
          <cell r="Q728" t="e">
            <v>#N/A</v>
          </cell>
          <cell r="R728" t="e">
            <v>#N/A</v>
          </cell>
          <cell r="S728" t="e">
            <v>#N/A</v>
          </cell>
          <cell r="T728" t="e">
            <v>#N/A</v>
          </cell>
          <cell r="U728" t="e">
            <v>#N/A</v>
          </cell>
          <cell r="V728" t="e">
            <v>#N/A</v>
          </cell>
          <cell r="W728" t="e">
            <v>#N/A</v>
          </cell>
          <cell r="X728" t="e">
            <v>#N/A</v>
          </cell>
          <cell r="Y728" t="e">
            <v>#N/A</v>
          </cell>
          <cell r="Z728" t="e">
            <v>#N/A</v>
          </cell>
        </row>
        <row r="729">
          <cell r="A729" t="e">
            <v>#N/A</v>
          </cell>
          <cell r="B729" t="e">
            <v>#N/A</v>
          </cell>
          <cell r="C729" t="e">
            <v>#N/A</v>
          </cell>
          <cell r="O729" t="e">
            <v>#N/A</v>
          </cell>
          <cell r="P729" t="e">
            <v>#N/A</v>
          </cell>
          <cell r="Q729" t="e">
            <v>#N/A</v>
          </cell>
          <cell r="R729" t="e">
            <v>#N/A</v>
          </cell>
          <cell r="S729" t="e">
            <v>#N/A</v>
          </cell>
          <cell r="T729" t="e">
            <v>#N/A</v>
          </cell>
          <cell r="U729" t="e">
            <v>#N/A</v>
          </cell>
          <cell r="V729" t="e">
            <v>#N/A</v>
          </cell>
          <cell r="W729" t="e">
            <v>#N/A</v>
          </cell>
          <cell r="X729" t="e">
            <v>#N/A</v>
          </cell>
          <cell r="Y729" t="e">
            <v>#N/A</v>
          </cell>
          <cell r="Z729" t="e">
            <v>#N/A</v>
          </cell>
        </row>
        <row r="730">
          <cell r="A730" t="e">
            <v>#N/A</v>
          </cell>
          <cell r="B730" t="e">
            <v>#N/A</v>
          </cell>
          <cell r="C730" t="e">
            <v>#N/A</v>
          </cell>
          <cell r="O730" t="e">
            <v>#N/A</v>
          </cell>
          <cell r="P730" t="e">
            <v>#N/A</v>
          </cell>
          <cell r="Q730" t="e">
            <v>#N/A</v>
          </cell>
          <cell r="R730" t="e">
            <v>#N/A</v>
          </cell>
          <cell r="S730" t="e">
            <v>#N/A</v>
          </cell>
          <cell r="T730" t="e">
            <v>#N/A</v>
          </cell>
          <cell r="U730" t="e">
            <v>#N/A</v>
          </cell>
          <cell r="V730" t="e">
            <v>#N/A</v>
          </cell>
          <cell r="W730" t="e">
            <v>#N/A</v>
          </cell>
          <cell r="X730" t="e">
            <v>#N/A</v>
          </cell>
          <cell r="Y730" t="e">
            <v>#N/A</v>
          </cell>
          <cell r="Z730" t="e">
            <v>#N/A</v>
          </cell>
        </row>
        <row r="731">
          <cell r="A731" t="e">
            <v>#N/A</v>
          </cell>
          <cell r="B731" t="e">
            <v>#N/A</v>
          </cell>
          <cell r="C731" t="e">
            <v>#N/A</v>
          </cell>
          <cell r="O731" t="e">
            <v>#N/A</v>
          </cell>
          <cell r="P731" t="e">
            <v>#N/A</v>
          </cell>
          <cell r="Q731" t="e">
            <v>#N/A</v>
          </cell>
          <cell r="R731" t="e">
            <v>#N/A</v>
          </cell>
          <cell r="S731" t="e">
            <v>#N/A</v>
          </cell>
          <cell r="T731" t="e">
            <v>#N/A</v>
          </cell>
          <cell r="U731" t="e">
            <v>#N/A</v>
          </cell>
          <cell r="V731" t="e">
            <v>#N/A</v>
          </cell>
          <cell r="W731" t="e">
            <v>#N/A</v>
          </cell>
          <cell r="X731" t="e">
            <v>#N/A</v>
          </cell>
          <cell r="Y731" t="e">
            <v>#N/A</v>
          </cell>
          <cell r="Z731" t="e">
            <v>#N/A</v>
          </cell>
        </row>
        <row r="732">
          <cell r="A732" t="e">
            <v>#N/A</v>
          </cell>
          <cell r="B732" t="e">
            <v>#N/A</v>
          </cell>
          <cell r="C732" t="e">
            <v>#N/A</v>
          </cell>
          <cell r="O732" t="e">
            <v>#N/A</v>
          </cell>
          <cell r="P732" t="e">
            <v>#N/A</v>
          </cell>
          <cell r="Q732" t="e">
            <v>#N/A</v>
          </cell>
          <cell r="R732" t="e">
            <v>#N/A</v>
          </cell>
          <cell r="S732" t="e">
            <v>#N/A</v>
          </cell>
          <cell r="T732" t="e">
            <v>#N/A</v>
          </cell>
          <cell r="U732" t="e">
            <v>#N/A</v>
          </cell>
          <cell r="V732" t="e">
            <v>#N/A</v>
          </cell>
          <cell r="W732" t="e">
            <v>#N/A</v>
          </cell>
          <cell r="X732" t="e">
            <v>#N/A</v>
          </cell>
          <cell r="Y732" t="e">
            <v>#N/A</v>
          </cell>
          <cell r="Z732" t="e">
            <v>#N/A</v>
          </cell>
        </row>
        <row r="733">
          <cell r="A733" t="e">
            <v>#N/A</v>
          </cell>
          <cell r="B733" t="e">
            <v>#N/A</v>
          </cell>
          <cell r="C733" t="e">
            <v>#N/A</v>
          </cell>
          <cell r="O733" t="e">
            <v>#N/A</v>
          </cell>
          <cell r="P733" t="e">
            <v>#N/A</v>
          </cell>
          <cell r="Q733" t="e">
            <v>#N/A</v>
          </cell>
          <cell r="R733" t="e">
            <v>#N/A</v>
          </cell>
          <cell r="S733" t="e">
            <v>#N/A</v>
          </cell>
          <cell r="T733" t="e">
            <v>#N/A</v>
          </cell>
          <cell r="U733" t="e">
            <v>#N/A</v>
          </cell>
          <cell r="V733" t="e">
            <v>#N/A</v>
          </cell>
          <cell r="W733" t="e">
            <v>#N/A</v>
          </cell>
          <cell r="X733" t="e">
            <v>#N/A</v>
          </cell>
          <cell r="Y733" t="e">
            <v>#N/A</v>
          </cell>
          <cell r="Z733" t="e">
            <v>#N/A</v>
          </cell>
        </row>
        <row r="734">
          <cell r="A734" t="e">
            <v>#N/A</v>
          </cell>
          <cell r="B734" t="e">
            <v>#N/A</v>
          </cell>
          <cell r="C734" t="e">
            <v>#N/A</v>
          </cell>
          <cell r="O734" t="e">
            <v>#N/A</v>
          </cell>
          <cell r="P734" t="e">
            <v>#N/A</v>
          </cell>
          <cell r="Q734" t="e">
            <v>#N/A</v>
          </cell>
          <cell r="R734" t="e">
            <v>#N/A</v>
          </cell>
          <cell r="S734" t="e">
            <v>#N/A</v>
          </cell>
          <cell r="T734" t="e">
            <v>#N/A</v>
          </cell>
          <cell r="U734" t="e">
            <v>#N/A</v>
          </cell>
          <cell r="V734" t="e">
            <v>#N/A</v>
          </cell>
          <cell r="W734" t="e">
            <v>#N/A</v>
          </cell>
          <cell r="X734" t="e">
            <v>#N/A</v>
          </cell>
          <cell r="Y734" t="e">
            <v>#N/A</v>
          </cell>
          <cell r="Z734" t="e">
            <v>#N/A</v>
          </cell>
        </row>
        <row r="735">
          <cell r="A735" t="e">
            <v>#N/A</v>
          </cell>
          <cell r="B735" t="e">
            <v>#N/A</v>
          </cell>
          <cell r="C735" t="e">
            <v>#N/A</v>
          </cell>
          <cell r="O735" t="e">
            <v>#N/A</v>
          </cell>
          <cell r="P735" t="e">
            <v>#N/A</v>
          </cell>
          <cell r="Q735" t="e">
            <v>#N/A</v>
          </cell>
          <cell r="R735" t="e">
            <v>#N/A</v>
          </cell>
          <cell r="S735" t="e">
            <v>#N/A</v>
          </cell>
          <cell r="T735" t="e">
            <v>#N/A</v>
          </cell>
          <cell r="U735" t="e">
            <v>#N/A</v>
          </cell>
          <cell r="V735" t="e">
            <v>#N/A</v>
          </cell>
          <cell r="W735" t="e">
            <v>#N/A</v>
          </cell>
          <cell r="X735" t="e">
            <v>#N/A</v>
          </cell>
          <cell r="Y735" t="e">
            <v>#N/A</v>
          </cell>
          <cell r="Z735" t="e">
            <v>#N/A</v>
          </cell>
        </row>
        <row r="736">
          <cell r="A736" t="e">
            <v>#N/A</v>
          </cell>
          <cell r="B736" t="e">
            <v>#N/A</v>
          </cell>
          <cell r="C736" t="e">
            <v>#N/A</v>
          </cell>
          <cell r="O736" t="e">
            <v>#N/A</v>
          </cell>
          <cell r="P736" t="e">
            <v>#N/A</v>
          </cell>
          <cell r="Q736" t="e">
            <v>#N/A</v>
          </cell>
          <cell r="R736" t="e">
            <v>#N/A</v>
          </cell>
          <cell r="S736" t="e">
            <v>#N/A</v>
          </cell>
          <cell r="T736" t="e">
            <v>#N/A</v>
          </cell>
          <cell r="U736" t="e">
            <v>#N/A</v>
          </cell>
          <cell r="V736" t="e">
            <v>#N/A</v>
          </cell>
          <cell r="W736" t="e">
            <v>#N/A</v>
          </cell>
          <cell r="X736" t="e">
            <v>#N/A</v>
          </cell>
          <cell r="Y736" t="e">
            <v>#N/A</v>
          </cell>
          <cell r="Z736" t="e">
            <v>#N/A</v>
          </cell>
        </row>
        <row r="737">
          <cell r="A737" t="e">
            <v>#N/A</v>
          </cell>
          <cell r="B737" t="e">
            <v>#N/A</v>
          </cell>
          <cell r="C737" t="e">
            <v>#N/A</v>
          </cell>
          <cell r="O737" t="e">
            <v>#N/A</v>
          </cell>
          <cell r="P737" t="e">
            <v>#N/A</v>
          </cell>
          <cell r="Q737" t="e">
            <v>#N/A</v>
          </cell>
          <cell r="R737" t="e">
            <v>#N/A</v>
          </cell>
          <cell r="S737" t="e">
            <v>#N/A</v>
          </cell>
          <cell r="T737" t="e">
            <v>#N/A</v>
          </cell>
          <cell r="U737" t="e">
            <v>#N/A</v>
          </cell>
          <cell r="V737" t="e">
            <v>#N/A</v>
          </cell>
          <cell r="W737" t="e">
            <v>#N/A</v>
          </cell>
          <cell r="X737" t="e">
            <v>#N/A</v>
          </cell>
          <cell r="Y737" t="e">
            <v>#N/A</v>
          </cell>
          <cell r="Z737" t="e">
            <v>#N/A</v>
          </cell>
        </row>
        <row r="738">
          <cell r="A738" t="e">
            <v>#N/A</v>
          </cell>
          <cell r="B738" t="e">
            <v>#N/A</v>
          </cell>
          <cell r="C738" t="e">
            <v>#N/A</v>
          </cell>
          <cell r="O738" t="e">
            <v>#N/A</v>
          </cell>
          <cell r="P738" t="e">
            <v>#N/A</v>
          </cell>
          <cell r="Q738" t="e">
            <v>#N/A</v>
          </cell>
          <cell r="R738" t="e">
            <v>#N/A</v>
          </cell>
          <cell r="S738" t="e">
            <v>#N/A</v>
          </cell>
          <cell r="T738" t="e">
            <v>#N/A</v>
          </cell>
          <cell r="U738" t="e">
            <v>#N/A</v>
          </cell>
          <cell r="V738" t="e">
            <v>#N/A</v>
          </cell>
          <cell r="W738" t="e">
            <v>#N/A</v>
          </cell>
          <cell r="X738" t="e">
            <v>#N/A</v>
          </cell>
          <cell r="Y738" t="e">
            <v>#N/A</v>
          </cell>
          <cell r="Z738" t="e">
            <v>#N/A</v>
          </cell>
        </row>
        <row r="739">
          <cell r="A739" t="e">
            <v>#N/A</v>
          </cell>
          <cell r="B739" t="e">
            <v>#N/A</v>
          </cell>
          <cell r="C739" t="e">
            <v>#N/A</v>
          </cell>
          <cell r="O739" t="e">
            <v>#N/A</v>
          </cell>
          <cell r="P739" t="e">
            <v>#N/A</v>
          </cell>
          <cell r="Q739" t="e">
            <v>#N/A</v>
          </cell>
          <cell r="R739" t="e">
            <v>#N/A</v>
          </cell>
          <cell r="S739" t="e">
            <v>#N/A</v>
          </cell>
          <cell r="T739" t="e">
            <v>#N/A</v>
          </cell>
          <cell r="U739" t="e">
            <v>#N/A</v>
          </cell>
          <cell r="V739" t="e">
            <v>#N/A</v>
          </cell>
          <cell r="W739" t="e">
            <v>#N/A</v>
          </cell>
          <cell r="X739" t="e">
            <v>#N/A</v>
          </cell>
          <cell r="Y739" t="e">
            <v>#N/A</v>
          </cell>
          <cell r="Z739" t="e">
            <v>#N/A</v>
          </cell>
        </row>
        <row r="740">
          <cell r="A740" t="e">
            <v>#N/A</v>
          </cell>
          <cell r="B740" t="e">
            <v>#N/A</v>
          </cell>
          <cell r="C740" t="e">
            <v>#N/A</v>
          </cell>
          <cell r="O740" t="e">
            <v>#N/A</v>
          </cell>
          <cell r="P740" t="e">
            <v>#N/A</v>
          </cell>
          <cell r="Q740" t="e">
            <v>#N/A</v>
          </cell>
          <cell r="R740" t="e">
            <v>#N/A</v>
          </cell>
          <cell r="S740" t="e">
            <v>#N/A</v>
          </cell>
          <cell r="T740" t="e">
            <v>#N/A</v>
          </cell>
          <cell r="U740" t="e">
            <v>#N/A</v>
          </cell>
          <cell r="V740" t="e">
            <v>#N/A</v>
          </cell>
          <cell r="W740" t="e">
            <v>#N/A</v>
          </cell>
          <cell r="X740" t="e">
            <v>#N/A</v>
          </cell>
          <cell r="Y740" t="e">
            <v>#N/A</v>
          </cell>
          <cell r="Z740" t="e">
            <v>#N/A</v>
          </cell>
        </row>
        <row r="741">
          <cell r="A741" t="e">
            <v>#N/A</v>
          </cell>
          <cell r="B741" t="e">
            <v>#N/A</v>
          </cell>
          <cell r="C741" t="e">
            <v>#N/A</v>
          </cell>
          <cell r="O741" t="e">
            <v>#N/A</v>
          </cell>
          <cell r="P741" t="e">
            <v>#N/A</v>
          </cell>
          <cell r="Q741" t="e">
            <v>#N/A</v>
          </cell>
          <cell r="R741" t="e">
            <v>#N/A</v>
          </cell>
          <cell r="S741" t="e">
            <v>#N/A</v>
          </cell>
          <cell r="T741" t="e">
            <v>#N/A</v>
          </cell>
          <cell r="U741" t="e">
            <v>#N/A</v>
          </cell>
          <cell r="V741" t="e">
            <v>#N/A</v>
          </cell>
          <cell r="W741" t="e">
            <v>#N/A</v>
          </cell>
          <cell r="X741" t="e">
            <v>#N/A</v>
          </cell>
          <cell r="Y741" t="e">
            <v>#N/A</v>
          </cell>
          <cell r="Z741" t="e">
            <v>#N/A</v>
          </cell>
        </row>
        <row r="742">
          <cell r="A742" t="e">
            <v>#N/A</v>
          </cell>
          <cell r="B742" t="e">
            <v>#N/A</v>
          </cell>
          <cell r="C742" t="e">
            <v>#N/A</v>
          </cell>
          <cell r="O742" t="e">
            <v>#N/A</v>
          </cell>
          <cell r="P742" t="e">
            <v>#N/A</v>
          </cell>
          <cell r="Q742" t="e">
            <v>#N/A</v>
          </cell>
          <cell r="R742" t="e">
            <v>#N/A</v>
          </cell>
          <cell r="S742" t="e">
            <v>#N/A</v>
          </cell>
          <cell r="T742" t="e">
            <v>#N/A</v>
          </cell>
          <cell r="U742" t="e">
            <v>#N/A</v>
          </cell>
          <cell r="V742" t="e">
            <v>#N/A</v>
          </cell>
          <cell r="W742" t="e">
            <v>#N/A</v>
          </cell>
          <cell r="X742" t="e">
            <v>#N/A</v>
          </cell>
          <cell r="Y742" t="e">
            <v>#N/A</v>
          </cell>
          <cell r="Z742" t="e">
            <v>#N/A</v>
          </cell>
        </row>
        <row r="743">
          <cell r="A743" t="e">
            <v>#N/A</v>
          </cell>
          <cell r="B743" t="e">
            <v>#N/A</v>
          </cell>
          <cell r="C743" t="e">
            <v>#N/A</v>
          </cell>
          <cell r="O743" t="e">
            <v>#N/A</v>
          </cell>
          <cell r="P743" t="e">
            <v>#N/A</v>
          </cell>
          <cell r="Q743" t="e">
            <v>#N/A</v>
          </cell>
          <cell r="R743" t="e">
            <v>#N/A</v>
          </cell>
          <cell r="S743" t="e">
            <v>#N/A</v>
          </cell>
          <cell r="T743" t="e">
            <v>#N/A</v>
          </cell>
          <cell r="U743" t="e">
            <v>#N/A</v>
          </cell>
          <cell r="V743" t="e">
            <v>#N/A</v>
          </cell>
          <cell r="W743" t="e">
            <v>#N/A</v>
          </cell>
          <cell r="X743" t="e">
            <v>#N/A</v>
          </cell>
          <cell r="Y743" t="e">
            <v>#N/A</v>
          </cell>
          <cell r="Z743" t="e">
            <v>#N/A</v>
          </cell>
        </row>
        <row r="744">
          <cell r="A744" t="e">
            <v>#N/A</v>
          </cell>
          <cell r="B744" t="e">
            <v>#N/A</v>
          </cell>
          <cell r="C744" t="e">
            <v>#N/A</v>
          </cell>
          <cell r="O744" t="e">
            <v>#N/A</v>
          </cell>
          <cell r="P744" t="e">
            <v>#N/A</v>
          </cell>
          <cell r="Q744" t="e">
            <v>#N/A</v>
          </cell>
          <cell r="R744" t="e">
            <v>#N/A</v>
          </cell>
          <cell r="S744" t="e">
            <v>#N/A</v>
          </cell>
          <cell r="T744" t="e">
            <v>#N/A</v>
          </cell>
          <cell r="U744" t="e">
            <v>#N/A</v>
          </cell>
          <cell r="V744" t="e">
            <v>#N/A</v>
          </cell>
          <cell r="W744" t="e">
            <v>#N/A</v>
          </cell>
          <cell r="X744" t="e">
            <v>#N/A</v>
          </cell>
          <cell r="Y744" t="e">
            <v>#N/A</v>
          </cell>
          <cell r="Z744" t="e">
            <v>#N/A</v>
          </cell>
        </row>
        <row r="745">
          <cell r="A745" t="e">
            <v>#N/A</v>
          </cell>
          <cell r="B745" t="e">
            <v>#N/A</v>
          </cell>
          <cell r="C745" t="e">
            <v>#N/A</v>
          </cell>
          <cell r="O745" t="e">
            <v>#N/A</v>
          </cell>
          <cell r="P745" t="e">
            <v>#N/A</v>
          </cell>
          <cell r="Q745" t="e">
            <v>#N/A</v>
          </cell>
          <cell r="R745" t="e">
            <v>#N/A</v>
          </cell>
          <cell r="S745" t="e">
            <v>#N/A</v>
          </cell>
          <cell r="T745" t="e">
            <v>#N/A</v>
          </cell>
          <cell r="U745" t="e">
            <v>#N/A</v>
          </cell>
          <cell r="V745" t="e">
            <v>#N/A</v>
          </cell>
          <cell r="W745" t="e">
            <v>#N/A</v>
          </cell>
          <cell r="X745" t="e">
            <v>#N/A</v>
          </cell>
          <cell r="Y745" t="e">
            <v>#N/A</v>
          </cell>
          <cell r="Z745" t="e">
            <v>#N/A</v>
          </cell>
        </row>
        <row r="746">
          <cell r="A746" t="e">
            <v>#N/A</v>
          </cell>
          <cell r="B746" t="e">
            <v>#N/A</v>
          </cell>
          <cell r="C746" t="e">
            <v>#N/A</v>
          </cell>
          <cell r="O746" t="e">
            <v>#N/A</v>
          </cell>
          <cell r="P746" t="e">
            <v>#N/A</v>
          </cell>
          <cell r="Q746" t="e">
            <v>#N/A</v>
          </cell>
          <cell r="R746" t="e">
            <v>#N/A</v>
          </cell>
          <cell r="S746" t="e">
            <v>#N/A</v>
          </cell>
          <cell r="T746" t="e">
            <v>#N/A</v>
          </cell>
          <cell r="U746" t="e">
            <v>#N/A</v>
          </cell>
          <cell r="V746" t="e">
            <v>#N/A</v>
          </cell>
          <cell r="W746" t="e">
            <v>#N/A</v>
          </cell>
          <cell r="X746" t="e">
            <v>#N/A</v>
          </cell>
          <cell r="Y746" t="e">
            <v>#N/A</v>
          </cell>
          <cell r="Z746" t="e">
            <v>#N/A</v>
          </cell>
        </row>
        <row r="747">
          <cell r="A747" t="e">
            <v>#N/A</v>
          </cell>
          <cell r="B747" t="e">
            <v>#N/A</v>
          </cell>
          <cell r="C747" t="e">
            <v>#N/A</v>
          </cell>
          <cell r="O747" t="e">
            <v>#N/A</v>
          </cell>
          <cell r="P747" t="e">
            <v>#N/A</v>
          </cell>
          <cell r="Q747" t="e">
            <v>#N/A</v>
          </cell>
          <cell r="R747" t="e">
            <v>#N/A</v>
          </cell>
          <cell r="S747" t="e">
            <v>#N/A</v>
          </cell>
          <cell r="T747" t="e">
            <v>#N/A</v>
          </cell>
          <cell r="U747" t="e">
            <v>#N/A</v>
          </cell>
          <cell r="V747" t="e">
            <v>#N/A</v>
          </cell>
          <cell r="W747" t="e">
            <v>#N/A</v>
          </cell>
          <cell r="X747" t="e">
            <v>#N/A</v>
          </cell>
          <cell r="Y747" t="e">
            <v>#N/A</v>
          </cell>
          <cell r="Z747" t="e">
            <v>#N/A</v>
          </cell>
        </row>
        <row r="748">
          <cell r="A748" t="e">
            <v>#N/A</v>
          </cell>
          <cell r="B748" t="e">
            <v>#N/A</v>
          </cell>
          <cell r="C748" t="e">
            <v>#N/A</v>
          </cell>
          <cell r="O748" t="e">
            <v>#N/A</v>
          </cell>
          <cell r="P748" t="e">
            <v>#N/A</v>
          </cell>
          <cell r="Q748" t="e">
            <v>#N/A</v>
          </cell>
          <cell r="R748" t="e">
            <v>#N/A</v>
          </cell>
          <cell r="S748" t="e">
            <v>#N/A</v>
          </cell>
          <cell r="T748" t="e">
            <v>#N/A</v>
          </cell>
          <cell r="U748" t="e">
            <v>#N/A</v>
          </cell>
          <cell r="V748" t="e">
            <v>#N/A</v>
          </cell>
          <cell r="W748" t="e">
            <v>#N/A</v>
          </cell>
          <cell r="X748" t="e">
            <v>#N/A</v>
          </cell>
          <cell r="Y748" t="e">
            <v>#N/A</v>
          </cell>
          <cell r="Z748" t="e">
            <v>#N/A</v>
          </cell>
        </row>
        <row r="749">
          <cell r="A749" t="e">
            <v>#N/A</v>
          </cell>
          <cell r="B749" t="e">
            <v>#N/A</v>
          </cell>
          <cell r="C749" t="e">
            <v>#N/A</v>
          </cell>
          <cell r="O749" t="e">
            <v>#N/A</v>
          </cell>
          <cell r="P749" t="e">
            <v>#N/A</v>
          </cell>
          <cell r="Q749" t="e">
            <v>#N/A</v>
          </cell>
          <cell r="R749" t="e">
            <v>#N/A</v>
          </cell>
          <cell r="S749" t="e">
            <v>#N/A</v>
          </cell>
          <cell r="T749" t="e">
            <v>#N/A</v>
          </cell>
          <cell r="U749" t="e">
            <v>#N/A</v>
          </cell>
          <cell r="V749" t="e">
            <v>#N/A</v>
          </cell>
          <cell r="W749" t="e">
            <v>#N/A</v>
          </cell>
          <cell r="X749" t="e">
            <v>#N/A</v>
          </cell>
          <cell r="Y749" t="e">
            <v>#N/A</v>
          </cell>
          <cell r="Z749" t="e">
            <v>#N/A</v>
          </cell>
        </row>
        <row r="750">
          <cell r="A750" t="e">
            <v>#N/A</v>
          </cell>
          <cell r="B750" t="e">
            <v>#N/A</v>
          </cell>
          <cell r="C750" t="e">
            <v>#N/A</v>
          </cell>
          <cell r="O750" t="e">
            <v>#N/A</v>
          </cell>
          <cell r="P750" t="e">
            <v>#N/A</v>
          </cell>
          <cell r="Q750" t="e">
            <v>#N/A</v>
          </cell>
          <cell r="R750" t="e">
            <v>#N/A</v>
          </cell>
          <cell r="S750" t="e">
            <v>#N/A</v>
          </cell>
          <cell r="T750" t="e">
            <v>#N/A</v>
          </cell>
          <cell r="U750" t="e">
            <v>#N/A</v>
          </cell>
          <cell r="V750" t="e">
            <v>#N/A</v>
          </cell>
          <cell r="W750" t="e">
            <v>#N/A</v>
          </cell>
          <cell r="X750" t="e">
            <v>#N/A</v>
          </cell>
          <cell r="Y750" t="e">
            <v>#N/A</v>
          </cell>
          <cell r="Z750" t="e">
            <v>#N/A</v>
          </cell>
        </row>
        <row r="751">
          <cell r="A751" t="e">
            <v>#N/A</v>
          </cell>
          <cell r="B751" t="e">
            <v>#N/A</v>
          </cell>
          <cell r="C751" t="e">
            <v>#N/A</v>
          </cell>
          <cell r="O751" t="e">
            <v>#N/A</v>
          </cell>
          <cell r="P751" t="e">
            <v>#N/A</v>
          </cell>
          <cell r="Q751" t="e">
            <v>#N/A</v>
          </cell>
          <cell r="R751" t="e">
            <v>#N/A</v>
          </cell>
          <cell r="S751" t="e">
            <v>#N/A</v>
          </cell>
          <cell r="T751" t="e">
            <v>#N/A</v>
          </cell>
          <cell r="U751" t="e">
            <v>#N/A</v>
          </cell>
          <cell r="V751" t="e">
            <v>#N/A</v>
          </cell>
          <cell r="W751" t="e">
            <v>#N/A</v>
          </cell>
          <cell r="X751" t="e">
            <v>#N/A</v>
          </cell>
          <cell r="Y751" t="e">
            <v>#N/A</v>
          </cell>
          <cell r="Z751" t="e">
            <v>#N/A</v>
          </cell>
        </row>
        <row r="752">
          <cell r="A752" t="e">
            <v>#N/A</v>
          </cell>
          <cell r="B752" t="e">
            <v>#N/A</v>
          </cell>
          <cell r="C752" t="e">
            <v>#N/A</v>
          </cell>
          <cell r="O752" t="e">
            <v>#N/A</v>
          </cell>
          <cell r="P752" t="e">
            <v>#N/A</v>
          </cell>
          <cell r="Q752" t="e">
            <v>#N/A</v>
          </cell>
          <cell r="R752" t="e">
            <v>#N/A</v>
          </cell>
          <cell r="S752" t="e">
            <v>#N/A</v>
          </cell>
          <cell r="T752" t="e">
            <v>#N/A</v>
          </cell>
          <cell r="U752" t="e">
            <v>#N/A</v>
          </cell>
          <cell r="V752" t="e">
            <v>#N/A</v>
          </cell>
          <cell r="W752" t="e">
            <v>#N/A</v>
          </cell>
          <cell r="X752" t="e">
            <v>#N/A</v>
          </cell>
          <cell r="Y752" t="e">
            <v>#N/A</v>
          </cell>
          <cell r="Z752" t="e">
            <v>#N/A</v>
          </cell>
        </row>
        <row r="753">
          <cell r="A753" t="e">
            <v>#N/A</v>
          </cell>
          <cell r="B753" t="e">
            <v>#N/A</v>
          </cell>
          <cell r="C753" t="e">
            <v>#N/A</v>
          </cell>
          <cell r="O753" t="e">
            <v>#N/A</v>
          </cell>
          <cell r="P753" t="e">
            <v>#N/A</v>
          </cell>
          <cell r="Q753" t="e">
            <v>#N/A</v>
          </cell>
          <cell r="R753" t="e">
            <v>#N/A</v>
          </cell>
          <cell r="S753" t="e">
            <v>#N/A</v>
          </cell>
          <cell r="T753" t="e">
            <v>#N/A</v>
          </cell>
          <cell r="U753" t="e">
            <v>#N/A</v>
          </cell>
          <cell r="V753" t="e">
            <v>#N/A</v>
          </cell>
          <cell r="W753" t="e">
            <v>#N/A</v>
          </cell>
          <cell r="X753" t="e">
            <v>#N/A</v>
          </cell>
          <cell r="Y753" t="e">
            <v>#N/A</v>
          </cell>
          <cell r="Z753" t="e">
            <v>#N/A</v>
          </cell>
        </row>
        <row r="754">
          <cell r="A754" t="e">
            <v>#N/A</v>
          </cell>
          <cell r="B754" t="e">
            <v>#N/A</v>
          </cell>
          <cell r="C754" t="e">
            <v>#N/A</v>
          </cell>
          <cell r="O754" t="e">
            <v>#N/A</v>
          </cell>
          <cell r="P754" t="e">
            <v>#N/A</v>
          </cell>
          <cell r="Q754" t="e">
            <v>#N/A</v>
          </cell>
          <cell r="R754" t="e">
            <v>#N/A</v>
          </cell>
          <cell r="S754" t="e">
            <v>#N/A</v>
          </cell>
          <cell r="T754" t="e">
            <v>#N/A</v>
          </cell>
          <cell r="U754" t="e">
            <v>#N/A</v>
          </cell>
          <cell r="V754" t="e">
            <v>#N/A</v>
          </cell>
          <cell r="W754" t="e">
            <v>#N/A</v>
          </cell>
          <cell r="X754" t="e">
            <v>#N/A</v>
          </cell>
          <cell r="Y754" t="e">
            <v>#N/A</v>
          </cell>
          <cell r="Z754" t="e">
            <v>#N/A</v>
          </cell>
        </row>
        <row r="755">
          <cell r="A755" t="e">
            <v>#N/A</v>
          </cell>
          <cell r="B755" t="e">
            <v>#N/A</v>
          </cell>
          <cell r="C755" t="e">
            <v>#N/A</v>
          </cell>
          <cell r="O755" t="e">
            <v>#N/A</v>
          </cell>
          <cell r="P755" t="e">
            <v>#N/A</v>
          </cell>
          <cell r="Q755" t="e">
            <v>#N/A</v>
          </cell>
          <cell r="R755" t="e">
            <v>#N/A</v>
          </cell>
          <cell r="S755" t="e">
            <v>#N/A</v>
          </cell>
          <cell r="T755" t="e">
            <v>#N/A</v>
          </cell>
          <cell r="U755" t="e">
            <v>#N/A</v>
          </cell>
          <cell r="V755" t="e">
            <v>#N/A</v>
          </cell>
          <cell r="W755" t="e">
            <v>#N/A</v>
          </cell>
          <cell r="X755" t="e">
            <v>#N/A</v>
          </cell>
          <cell r="Y755" t="e">
            <v>#N/A</v>
          </cell>
          <cell r="Z755" t="e">
            <v>#N/A</v>
          </cell>
        </row>
        <row r="756">
          <cell r="A756" t="e">
            <v>#N/A</v>
          </cell>
          <cell r="B756" t="e">
            <v>#N/A</v>
          </cell>
          <cell r="C756" t="e">
            <v>#N/A</v>
          </cell>
          <cell r="O756" t="e">
            <v>#N/A</v>
          </cell>
          <cell r="P756" t="e">
            <v>#N/A</v>
          </cell>
          <cell r="Q756" t="e">
            <v>#N/A</v>
          </cell>
          <cell r="R756" t="e">
            <v>#N/A</v>
          </cell>
          <cell r="S756" t="e">
            <v>#N/A</v>
          </cell>
          <cell r="T756" t="e">
            <v>#N/A</v>
          </cell>
          <cell r="U756" t="e">
            <v>#N/A</v>
          </cell>
          <cell r="V756" t="e">
            <v>#N/A</v>
          </cell>
          <cell r="W756" t="e">
            <v>#N/A</v>
          </cell>
          <cell r="X756" t="e">
            <v>#N/A</v>
          </cell>
          <cell r="Y756" t="e">
            <v>#N/A</v>
          </cell>
          <cell r="Z756" t="e">
            <v>#N/A</v>
          </cell>
        </row>
        <row r="757">
          <cell r="A757" t="e">
            <v>#N/A</v>
          </cell>
          <cell r="B757" t="e">
            <v>#N/A</v>
          </cell>
          <cell r="C757" t="e">
            <v>#N/A</v>
          </cell>
          <cell r="O757" t="e">
            <v>#N/A</v>
          </cell>
          <cell r="P757" t="e">
            <v>#N/A</v>
          </cell>
          <cell r="Q757" t="e">
            <v>#N/A</v>
          </cell>
          <cell r="R757" t="e">
            <v>#N/A</v>
          </cell>
          <cell r="S757" t="e">
            <v>#N/A</v>
          </cell>
          <cell r="T757" t="e">
            <v>#N/A</v>
          </cell>
          <cell r="U757" t="e">
            <v>#N/A</v>
          </cell>
          <cell r="V757" t="e">
            <v>#N/A</v>
          </cell>
          <cell r="W757" t="e">
            <v>#N/A</v>
          </cell>
          <cell r="X757" t="e">
            <v>#N/A</v>
          </cell>
          <cell r="Y757" t="e">
            <v>#N/A</v>
          </cell>
          <cell r="Z757" t="e">
            <v>#N/A</v>
          </cell>
        </row>
        <row r="758">
          <cell r="A758" t="e">
            <v>#N/A</v>
          </cell>
          <cell r="B758" t="e">
            <v>#N/A</v>
          </cell>
          <cell r="C758" t="e">
            <v>#N/A</v>
          </cell>
          <cell r="O758" t="e">
            <v>#N/A</v>
          </cell>
          <cell r="P758" t="e">
            <v>#N/A</v>
          </cell>
          <cell r="Q758" t="e">
            <v>#N/A</v>
          </cell>
          <cell r="R758" t="e">
            <v>#N/A</v>
          </cell>
          <cell r="S758" t="e">
            <v>#N/A</v>
          </cell>
          <cell r="T758" t="e">
            <v>#N/A</v>
          </cell>
          <cell r="U758" t="e">
            <v>#N/A</v>
          </cell>
          <cell r="V758" t="e">
            <v>#N/A</v>
          </cell>
          <cell r="W758" t="e">
            <v>#N/A</v>
          </cell>
          <cell r="X758" t="e">
            <v>#N/A</v>
          </cell>
          <cell r="Y758" t="e">
            <v>#N/A</v>
          </cell>
          <cell r="Z758" t="e">
            <v>#N/A</v>
          </cell>
        </row>
        <row r="759">
          <cell r="A759" t="e">
            <v>#N/A</v>
          </cell>
          <cell r="B759" t="e">
            <v>#N/A</v>
          </cell>
          <cell r="C759" t="e">
            <v>#N/A</v>
          </cell>
          <cell r="O759" t="e">
            <v>#N/A</v>
          </cell>
          <cell r="P759" t="e">
            <v>#N/A</v>
          </cell>
          <cell r="Q759" t="e">
            <v>#N/A</v>
          </cell>
          <cell r="R759" t="e">
            <v>#N/A</v>
          </cell>
          <cell r="S759" t="e">
            <v>#N/A</v>
          </cell>
          <cell r="T759" t="e">
            <v>#N/A</v>
          </cell>
          <cell r="U759" t="e">
            <v>#N/A</v>
          </cell>
          <cell r="V759" t="e">
            <v>#N/A</v>
          </cell>
          <cell r="W759" t="e">
            <v>#N/A</v>
          </cell>
          <cell r="X759" t="e">
            <v>#N/A</v>
          </cell>
          <cell r="Y759" t="e">
            <v>#N/A</v>
          </cell>
          <cell r="Z759" t="e">
            <v>#N/A</v>
          </cell>
        </row>
        <row r="760">
          <cell r="A760" t="e">
            <v>#N/A</v>
          </cell>
          <cell r="B760" t="e">
            <v>#N/A</v>
          </cell>
          <cell r="C760" t="e">
            <v>#N/A</v>
          </cell>
          <cell r="O760" t="e">
            <v>#N/A</v>
          </cell>
          <cell r="P760" t="e">
            <v>#N/A</v>
          </cell>
          <cell r="Q760" t="e">
            <v>#N/A</v>
          </cell>
          <cell r="R760" t="e">
            <v>#N/A</v>
          </cell>
          <cell r="S760" t="e">
            <v>#N/A</v>
          </cell>
          <cell r="T760" t="e">
            <v>#N/A</v>
          </cell>
          <cell r="U760" t="e">
            <v>#N/A</v>
          </cell>
          <cell r="V760" t="e">
            <v>#N/A</v>
          </cell>
          <cell r="W760" t="e">
            <v>#N/A</v>
          </cell>
          <cell r="X760" t="e">
            <v>#N/A</v>
          </cell>
          <cell r="Y760" t="e">
            <v>#N/A</v>
          </cell>
          <cell r="Z760" t="e">
            <v>#N/A</v>
          </cell>
        </row>
        <row r="761">
          <cell r="A761" t="e">
            <v>#N/A</v>
          </cell>
          <cell r="B761" t="e">
            <v>#N/A</v>
          </cell>
          <cell r="C761" t="e">
            <v>#N/A</v>
          </cell>
          <cell r="O761" t="e">
            <v>#N/A</v>
          </cell>
          <cell r="P761" t="e">
            <v>#N/A</v>
          </cell>
          <cell r="Q761" t="e">
            <v>#N/A</v>
          </cell>
          <cell r="R761" t="e">
            <v>#N/A</v>
          </cell>
          <cell r="S761" t="e">
            <v>#N/A</v>
          </cell>
          <cell r="T761" t="e">
            <v>#N/A</v>
          </cell>
          <cell r="U761" t="e">
            <v>#N/A</v>
          </cell>
          <cell r="V761" t="e">
            <v>#N/A</v>
          </cell>
          <cell r="W761" t="e">
            <v>#N/A</v>
          </cell>
          <cell r="X761" t="e">
            <v>#N/A</v>
          </cell>
          <cell r="Y761" t="e">
            <v>#N/A</v>
          </cell>
          <cell r="Z761" t="e">
            <v>#N/A</v>
          </cell>
        </row>
        <row r="762">
          <cell r="A762" t="e">
            <v>#N/A</v>
          </cell>
          <cell r="B762" t="e">
            <v>#N/A</v>
          </cell>
          <cell r="C762" t="e">
            <v>#N/A</v>
          </cell>
          <cell r="O762" t="e">
            <v>#N/A</v>
          </cell>
          <cell r="P762" t="e">
            <v>#N/A</v>
          </cell>
          <cell r="Q762" t="e">
            <v>#N/A</v>
          </cell>
          <cell r="R762" t="e">
            <v>#N/A</v>
          </cell>
          <cell r="S762" t="e">
            <v>#N/A</v>
          </cell>
          <cell r="T762" t="e">
            <v>#N/A</v>
          </cell>
          <cell r="U762" t="e">
            <v>#N/A</v>
          </cell>
          <cell r="V762" t="e">
            <v>#N/A</v>
          </cell>
          <cell r="W762" t="e">
            <v>#N/A</v>
          </cell>
          <cell r="X762" t="e">
            <v>#N/A</v>
          </cell>
          <cell r="Y762" t="e">
            <v>#N/A</v>
          </cell>
          <cell r="Z762" t="e">
            <v>#N/A</v>
          </cell>
        </row>
        <row r="763">
          <cell r="A763" t="e">
            <v>#N/A</v>
          </cell>
          <cell r="B763" t="e">
            <v>#N/A</v>
          </cell>
          <cell r="C763" t="e">
            <v>#N/A</v>
          </cell>
          <cell r="O763" t="e">
            <v>#N/A</v>
          </cell>
          <cell r="P763" t="e">
            <v>#N/A</v>
          </cell>
          <cell r="Q763" t="e">
            <v>#N/A</v>
          </cell>
          <cell r="R763" t="e">
            <v>#N/A</v>
          </cell>
          <cell r="S763" t="e">
            <v>#N/A</v>
          </cell>
          <cell r="T763" t="e">
            <v>#N/A</v>
          </cell>
          <cell r="U763" t="e">
            <v>#N/A</v>
          </cell>
          <cell r="V763" t="e">
            <v>#N/A</v>
          </cell>
          <cell r="W763" t="e">
            <v>#N/A</v>
          </cell>
          <cell r="X763" t="e">
            <v>#N/A</v>
          </cell>
          <cell r="Y763" t="e">
            <v>#N/A</v>
          </cell>
          <cell r="Z763" t="e">
            <v>#N/A</v>
          </cell>
        </row>
        <row r="764">
          <cell r="A764" t="e">
            <v>#N/A</v>
          </cell>
          <cell r="B764" t="e">
            <v>#N/A</v>
          </cell>
          <cell r="C764" t="e">
            <v>#N/A</v>
          </cell>
          <cell r="O764" t="e">
            <v>#N/A</v>
          </cell>
          <cell r="P764" t="e">
            <v>#N/A</v>
          </cell>
          <cell r="Q764" t="e">
            <v>#N/A</v>
          </cell>
          <cell r="R764" t="e">
            <v>#N/A</v>
          </cell>
          <cell r="S764" t="e">
            <v>#N/A</v>
          </cell>
          <cell r="T764" t="e">
            <v>#N/A</v>
          </cell>
          <cell r="U764" t="e">
            <v>#N/A</v>
          </cell>
          <cell r="V764" t="e">
            <v>#N/A</v>
          </cell>
          <cell r="W764" t="e">
            <v>#N/A</v>
          </cell>
          <cell r="X764" t="e">
            <v>#N/A</v>
          </cell>
          <cell r="Y764" t="e">
            <v>#N/A</v>
          </cell>
          <cell r="Z764" t="e">
            <v>#N/A</v>
          </cell>
        </row>
        <row r="765">
          <cell r="A765" t="e">
            <v>#N/A</v>
          </cell>
          <cell r="B765" t="e">
            <v>#N/A</v>
          </cell>
          <cell r="C765" t="e">
            <v>#N/A</v>
          </cell>
          <cell r="O765" t="e">
            <v>#N/A</v>
          </cell>
          <cell r="P765" t="e">
            <v>#N/A</v>
          </cell>
          <cell r="Q765" t="e">
            <v>#N/A</v>
          </cell>
          <cell r="R765" t="e">
            <v>#N/A</v>
          </cell>
          <cell r="S765" t="e">
            <v>#N/A</v>
          </cell>
          <cell r="T765" t="e">
            <v>#N/A</v>
          </cell>
          <cell r="U765" t="e">
            <v>#N/A</v>
          </cell>
          <cell r="V765" t="e">
            <v>#N/A</v>
          </cell>
          <cell r="W765" t="e">
            <v>#N/A</v>
          </cell>
          <cell r="X765" t="e">
            <v>#N/A</v>
          </cell>
          <cell r="Y765" t="e">
            <v>#N/A</v>
          </cell>
          <cell r="Z765" t="e">
            <v>#N/A</v>
          </cell>
        </row>
        <row r="766">
          <cell r="A766" t="e">
            <v>#N/A</v>
          </cell>
          <cell r="B766" t="e">
            <v>#N/A</v>
          </cell>
          <cell r="C766" t="e">
            <v>#N/A</v>
          </cell>
          <cell r="O766" t="e">
            <v>#N/A</v>
          </cell>
          <cell r="P766" t="e">
            <v>#N/A</v>
          </cell>
          <cell r="Q766" t="e">
            <v>#N/A</v>
          </cell>
          <cell r="R766" t="e">
            <v>#N/A</v>
          </cell>
          <cell r="S766" t="e">
            <v>#N/A</v>
          </cell>
          <cell r="T766" t="e">
            <v>#N/A</v>
          </cell>
          <cell r="U766" t="e">
            <v>#N/A</v>
          </cell>
          <cell r="V766" t="e">
            <v>#N/A</v>
          </cell>
          <cell r="W766" t="e">
            <v>#N/A</v>
          </cell>
          <cell r="X766" t="e">
            <v>#N/A</v>
          </cell>
          <cell r="Y766" t="e">
            <v>#N/A</v>
          </cell>
          <cell r="Z766" t="e">
            <v>#N/A</v>
          </cell>
        </row>
        <row r="767">
          <cell r="A767" t="e">
            <v>#N/A</v>
          </cell>
          <cell r="B767" t="e">
            <v>#N/A</v>
          </cell>
          <cell r="C767" t="e">
            <v>#N/A</v>
          </cell>
          <cell r="O767" t="e">
            <v>#N/A</v>
          </cell>
          <cell r="P767" t="e">
            <v>#N/A</v>
          </cell>
          <cell r="Q767" t="e">
            <v>#N/A</v>
          </cell>
          <cell r="R767" t="e">
            <v>#N/A</v>
          </cell>
          <cell r="S767" t="e">
            <v>#N/A</v>
          </cell>
          <cell r="T767" t="e">
            <v>#N/A</v>
          </cell>
          <cell r="U767" t="e">
            <v>#N/A</v>
          </cell>
          <cell r="V767" t="e">
            <v>#N/A</v>
          </cell>
          <cell r="W767" t="e">
            <v>#N/A</v>
          </cell>
          <cell r="X767" t="e">
            <v>#N/A</v>
          </cell>
          <cell r="Y767" t="e">
            <v>#N/A</v>
          </cell>
          <cell r="Z767" t="e">
            <v>#N/A</v>
          </cell>
        </row>
        <row r="768">
          <cell r="A768" t="e">
            <v>#N/A</v>
          </cell>
          <cell r="B768" t="e">
            <v>#N/A</v>
          </cell>
          <cell r="C768" t="e">
            <v>#N/A</v>
          </cell>
          <cell r="O768" t="e">
            <v>#N/A</v>
          </cell>
          <cell r="P768" t="e">
            <v>#N/A</v>
          </cell>
          <cell r="Q768" t="e">
            <v>#N/A</v>
          </cell>
          <cell r="R768" t="e">
            <v>#N/A</v>
          </cell>
          <cell r="S768" t="e">
            <v>#N/A</v>
          </cell>
          <cell r="T768" t="e">
            <v>#N/A</v>
          </cell>
          <cell r="U768" t="e">
            <v>#N/A</v>
          </cell>
          <cell r="V768" t="e">
            <v>#N/A</v>
          </cell>
          <cell r="W768" t="e">
            <v>#N/A</v>
          </cell>
          <cell r="X768" t="e">
            <v>#N/A</v>
          </cell>
          <cell r="Y768" t="e">
            <v>#N/A</v>
          </cell>
          <cell r="Z768" t="e">
            <v>#N/A</v>
          </cell>
        </row>
        <row r="769">
          <cell r="A769" t="e">
            <v>#N/A</v>
          </cell>
          <cell r="B769" t="e">
            <v>#N/A</v>
          </cell>
          <cell r="C769" t="e">
            <v>#N/A</v>
          </cell>
          <cell r="O769" t="e">
            <v>#N/A</v>
          </cell>
          <cell r="P769" t="e">
            <v>#N/A</v>
          </cell>
          <cell r="Q769" t="e">
            <v>#N/A</v>
          </cell>
          <cell r="R769" t="e">
            <v>#N/A</v>
          </cell>
          <cell r="S769" t="e">
            <v>#N/A</v>
          </cell>
          <cell r="T769" t="e">
            <v>#N/A</v>
          </cell>
          <cell r="U769" t="e">
            <v>#N/A</v>
          </cell>
          <cell r="V769" t="e">
            <v>#N/A</v>
          </cell>
          <cell r="W769" t="e">
            <v>#N/A</v>
          </cell>
          <cell r="X769" t="e">
            <v>#N/A</v>
          </cell>
          <cell r="Y769" t="e">
            <v>#N/A</v>
          </cell>
          <cell r="Z769" t="e">
            <v>#N/A</v>
          </cell>
        </row>
        <row r="770">
          <cell r="A770" t="e">
            <v>#N/A</v>
          </cell>
          <cell r="B770" t="e">
            <v>#N/A</v>
          </cell>
          <cell r="C770" t="e">
            <v>#N/A</v>
          </cell>
          <cell r="O770" t="e">
            <v>#N/A</v>
          </cell>
          <cell r="P770" t="e">
            <v>#N/A</v>
          </cell>
          <cell r="Q770" t="e">
            <v>#N/A</v>
          </cell>
          <cell r="R770" t="e">
            <v>#N/A</v>
          </cell>
          <cell r="S770" t="e">
            <v>#N/A</v>
          </cell>
          <cell r="T770" t="e">
            <v>#N/A</v>
          </cell>
          <cell r="U770" t="e">
            <v>#N/A</v>
          </cell>
          <cell r="V770" t="e">
            <v>#N/A</v>
          </cell>
          <cell r="W770" t="e">
            <v>#N/A</v>
          </cell>
          <cell r="X770" t="e">
            <v>#N/A</v>
          </cell>
          <cell r="Y770" t="e">
            <v>#N/A</v>
          </cell>
          <cell r="Z770" t="e">
            <v>#N/A</v>
          </cell>
        </row>
        <row r="771">
          <cell r="A771" t="e">
            <v>#N/A</v>
          </cell>
          <cell r="B771" t="e">
            <v>#N/A</v>
          </cell>
          <cell r="C771" t="e">
            <v>#N/A</v>
          </cell>
          <cell r="O771" t="e">
            <v>#N/A</v>
          </cell>
          <cell r="P771" t="e">
            <v>#N/A</v>
          </cell>
          <cell r="Q771" t="e">
            <v>#N/A</v>
          </cell>
          <cell r="R771" t="e">
            <v>#N/A</v>
          </cell>
          <cell r="S771" t="e">
            <v>#N/A</v>
          </cell>
          <cell r="T771" t="e">
            <v>#N/A</v>
          </cell>
          <cell r="U771" t="e">
            <v>#N/A</v>
          </cell>
          <cell r="V771" t="e">
            <v>#N/A</v>
          </cell>
          <cell r="W771" t="e">
            <v>#N/A</v>
          </cell>
          <cell r="X771" t="e">
            <v>#N/A</v>
          </cell>
          <cell r="Y771" t="e">
            <v>#N/A</v>
          </cell>
          <cell r="Z771" t="e">
            <v>#N/A</v>
          </cell>
        </row>
        <row r="772">
          <cell r="A772" t="e">
            <v>#N/A</v>
          </cell>
          <cell r="B772" t="e">
            <v>#N/A</v>
          </cell>
          <cell r="C772" t="e">
            <v>#N/A</v>
          </cell>
          <cell r="O772" t="e">
            <v>#N/A</v>
          </cell>
          <cell r="P772" t="e">
            <v>#N/A</v>
          </cell>
          <cell r="Q772" t="e">
            <v>#N/A</v>
          </cell>
          <cell r="R772" t="e">
            <v>#N/A</v>
          </cell>
          <cell r="S772" t="e">
            <v>#N/A</v>
          </cell>
          <cell r="T772" t="e">
            <v>#N/A</v>
          </cell>
          <cell r="U772" t="e">
            <v>#N/A</v>
          </cell>
          <cell r="V772" t="e">
            <v>#N/A</v>
          </cell>
          <cell r="W772" t="e">
            <v>#N/A</v>
          </cell>
          <cell r="X772" t="e">
            <v>#N/A</v>
          </cell>
          <cell r="Y772" t="e">
            <v>#N/A</v>
          </cell>
          <cell r="Z772" t="e">
            <v>#N/A</v>
          </cell>
        </row>
        <row r="773">
          <cell r="A773" t="e">
            <v>#N/A</v>
          </cell>
          <cell r="B773" t="e">
            <v>#N/A</v>
          </cell>
          <cell r="C773" t="e">
            <v>#N/A</v>
          </cell>
          <cell r="O773" t="e">
            <v>#N/A</v>
          </cell>
          <cell r="P773" t="e">
            <v>#N/A</v>
          </cell>
          <cell r="Q773" t="e">
            <v>#N/A</v>
          </cell>
          <cell r="R773" t="e">
            <v>#N/A</v>
          </cell>
          <cell r="S773" t="e">
            <v>#N/A</v>
          </cell>
          <cell r="T773" t="e">
            <v>#N/A</v>
          </cell>
          <cell r="U773" t="e">
            <v>#N/A</v>
          </cell>
          <cell r="V773" t="e">
            <v>#N/A</v>
          </cell>
          <cell r="W773" t="e">
            <v>#N/A</v>
          </cell>
          <cell r="X773" t="e">
            <v>#N/A</v>
          </cell>
          <cell r="Y773" t="e">
            <v>#N/A</v>
          </cell>
          <cell r="Z773" t="e">
            <v>#N/A</v>
          </cell>
        </row>
        <row r="774">
          <cell r="A774" t="e">
            <v>#N/A</v>
          </cell>
          <cell r="B774" t="e">
            <v>#N/A</v>
          </cell>
          <cell r="C774" t="e">
            <v>#N/A</v>
          </cell>
          <cell r="O774" t="e">
            <v>#N/A</v>
          </cell>
          <cell r="P774" t="e">
            <v>#N/A</v>
          </cell>
          <cell r="Q774" t="e">
            <v>#N/A</v>
          </cell>
          <cell r="R774" t="e">
            <v>#N/A</v>
          </cell>
          <cell r="S774" t="e">
            <v>#N/A</v>
          </cell>
          <cell r="T774" t="e">
            <v>#N/A</v>
          </cell>
          <cell r="U774" t="e">
            <v>#N/A</v>
          </cell>
          <cell r="V774" t="e">
            <v>#N/A</v>
          </cell>
          <cell r="W774" t="e">
            <v>#N/A</v>
          </cell>
          <cell r="X774" t="e">
            <v>#N/A</v>
          </cell>
          <cell r="Y774" t="e">
            <v>#N/A</v>
          </cell>
          <cell r="Z774" t="e">
            <v>#N/A</v>
          </cell>
        </row>
        <row r="775">
          <cell r="A775" t="e">
            <v>#N/A</v>
          </cell>
          <cell r="B775" t="e">
            <v>#N/A</v>
          </cell>
          <cell r="C775" t="e">
            <v>#N/A</v>
          </cell>
          <cell r="O775" t="e">
            <v>#N/A</v>
          </cell>
          <cell r="P775" t="e">
            <v>#N/A</v>
          </cell>
          <cell r="Q775" t="e">
            <v>#N/A</v>
          </cell>
          <cell r="R775" t="e">
            <v>#N/A</v>
          </cell>
          <cell r="S775" t="e">
            <v>#N/A</v>
          </cell>
          <cell r="T775" t="e">
            <v>#N/A</v>
          </cell>
          <cell r="U775" t="e">
            <v>#N/A</v>
          </cell>
          <cell r="V775" t="e">
            <v>#N/A</v>
          </cell>
          <cell r="W775" t="e">
            <v>#N/A</v>
          </cell>
          <cell r="X775" t="e">
            <v>#N/A</v>
          </cell>
          <cell r="Y775" t="e">
            <v>#N/A</v>
          </cell>
          <cell r="Z775" t="e">
            <v>#N/A</v>
          </cell>
        </row>
        <row r="776">
          <cell r="A776" t="e">
            <v>#N/A</v>
          </cell>
          <cell r="B776" t="e">
            <v>#N/A</v>
          </cell>
          <cell r="C776" t="e">
            <v>#N/A</v>
          </cell>
          <cell r="O776" t="e">
            <v>#N/A</v>
          </cell>
          <cell r="P776" t="e">
            <v>#N/A</v>
          </cell>
          <cell r="Q776" t="e">
            <v>#N/A</v>
          </cell>
          <cell r="R776" t="e">
            <v>#N/A</v>
          </cell>
          <cell r="S776" t="e">
            <v>#N/A</v>
          </cell>
          <cell r="T776" t="e">
            <v>#N/A</v>
          </cell>
          <cell r="U776" t="e">
            <v>#N/A</v>
          </cell>
          <cell r="V776" t="e">
            <v>#N/A</v>
          </cell>
          <cell r="W776" t="e">
            <v>#N/A</v>
          </cell>
          <cell r="X776" t="e">
            <v>#N/A</v>
          </cell>
          <cell r="Y776" t="e">
            <v>#N/A</v>
          </cell>
          <cell r="Z776" t="e">
            <v>#N/A</v>
          </cell>
        </row>
        <row r="777">
          <cell r="A777" t="e">
            <v>#N/A</v>
          </cell>
          <cell r="B777" t="e">
            <v>#N/A</v>
          </cell>
          <cell r="C777" t="e">
            <v>#N/A</v>
          </cell>
          <cell r="O777" t="e">
            <v>#N/A</v>
          </cell>
          <cell r="P777" t="e">
            <v>#N/A</v>
          </cell>
          <cell r="Q777" t="e">
            <v>#N/A</v>
          </cell>
          <cell r="R777" t="e">
            <v>#N/A</v>
          </cell>
          <cell r="S777" t="e">
            <v>#N/A</v>
          </cell>
          <cell r="T777" t="e">
            <v>#N/A</v>
          </cell>
          <cell r="U777" t="e">
            <v>#N/A</v>
          </cell>
          <cell r="V777" t="e">
            <v>#N/A</v>
          </cell>
          <cell r="W777" t="e">
            <v>#N/A</v>
          </cell>
          <cell r="X777" t="e">
            <v>#N/A</v>
          </cell>
          <cell r="Y777" t="e">
            <v>#N/A</v>
          </cell>
          <cell r="Z777" t="e">
            <v>#N/A</v>
          </cell>
        </row>
        <row r="778">
          <cell r="A778" t="e">
            <v>#N/A</v>
          </cell>
          <cell r="B778" t="e">
            <v>#N/A</v>
          </cell>
          <cell r="C778" t="e">
            <v>#N/A</v>
          </cell>
          <cell r="O778" t="e">
            <v>#N/A</v>
          </cell>
          <cell r="P778" t="e">
            <v>#N/A</v>
          </cell>
          <cell r="Q778" t="e">
            <v>#N/A</v>
          </cell>
          <cell r="R778" t="e">
            <v>#N/A</v>
          </cell>
          <cell r="S778" t="e">
            <v>#N/A</v>
          </cell>
          <cell r="T778" t="e">
            <v>#N/A</v>
          </cell>
          <cell r="U778" t="e">
            <v>#N/A</v>
          </cell>
          <cell r="V778" t="e">
            <v>#N/A</v>
          </cell>
          <cell r="W778" t="e">
            <v>#N/A</v>
          </cell>
          <cell r="X778" t="e">
            <v>#N/A</v>
          </cell>
          <cell r="Y778" t="e">
            <v>#N/A</v>
          </cell>
          <cell r="Z778" t="e">
            <v>#N/A</v>
          </cell>
        </row>
        <row r="779">
          <cell r="A779" t="e">
            <v>#N/A</v>
          </cell>
          <cell r="B779" t="e">
            <v>#N/A</v>
          </cell>
          <cell r="C779" t="e">
            <v>#N/A</v>
          </cell>
          <cell r="O779" t="e">
            <v>#N/A</v>
          </cell>
          <cell r="P779" t="e">
            <v>#N/A</v>
          </cell>
          <cell r="Q779" t="e">
            <v>#N/A</v>
          </cell>
          <cell r="R779" t="e">
            <v>#N/A</v>
          </cell>
          <cell r="S779" t="e">
            <v>#N/A</v>
          </cell>
          <cell r="T779" t="e">
            <v>#N/A</v>
          </cell>
          <cell r="U779" t="e">
            <v>#N/A</v>
          </cell>
          <cell r="V779" t="e">
            <v>#N/A</v>
          </cell>
          <cell r="W779" t="e">
            <v>#N/A</v>
          </cell>
          <cell r="X779" t="e">
            <v>#N/A</v>
          </cell>
          <cell r="Y779" t="e">
            <v>#N/A</v>
          </cell>
          <cell r="Z779" t="e">
            <v>#N/A</v>
          </cell>
        </row>
        <row r="780">
          <cell r="A780" t="e">
            <v>#N/A</v>
          </cell>
          <cell r="B780" t="e">
            <v>#N/A</v>
          </cell>
          <cell r="C780" t="e">
            <v>#N/A</v>
          </cell>
          <cell r="O780" t="e">
            <v>#N/A</v>
          </cell>
          <cell r="P780" t="e">
            <v>#N/A</v>
          </cell>
          <cell r="Q780" t="e">
            <v>#N/A</v>
          </cell>
          <cell r="R780" t="e">
            <v>#N/A</v>
          </cell>
          <cell r="S780" t="e">
            <v>#N/A</v>
          </cell>
          <cell r="T780" t="e">
            <v>#N/A</v>
          </cell>
          <cell r="U780" t="e">
            <v>#N/A</v>
          </cell>
          <cell r="V780" t="e">
            <v>#N/A</v>
          </cell>
          <cell r="W780" t="e">
            <v>#N/A</v>
          </cell>
          <cell r="X780" t="e">
            <v>#N/A</v>
          </cell>
          <cell r="Y780" t="e">
            <v>#N/A</v>
          </cell>
          <cell r="Z780" t="e">
            <v>#N/A</v>
          </cell>
        </row>
        <row r="781">
          <cell r="A781" t="e">
            <v>#N/A</v>
          </cell>
          <cell r="B781" t="e">
            <v>#N/A</v>
          </cell>
          <cell r="C781" t="e">
            <v>#N/A</v>
          </cell>
          <cell r="O781" t="e">
            <v>#N/A</v>
          </cell>
          <cell r="P781" t="e">
            <v>#N/A</v>
          </cell>
          <cell r="Q781" t="e">
            <v>#N/A</v>
          </cell>
          <cell r="R781" t="e">
            <v>#N/A</v>
          </cell>
          <cell r="S781" t="e">
            <v>#N/A</v>
          </cell>
          <cell r="T781" t="e">
            <v>#N/A</v>
          </cell>
          <cell r="U781" t="e">
            <v>#N/A</v>
          </cell>
          <cell r="V781" t="e">
            <v>#N/A</v>
          </cell>
          <cell r="W781" t="e">
            <v>#N/A</v>
          </cell>
          <cell r="X781" t="e">
            <v>#N/A</v>
          </cell>
          <cell r="Y781" t="e">
            <v>#N/A</v>
          </cell>
          <cell r="Z781" t="e">
            <v>#N/A</v>
          </cell>
        </row>
        <row r="782">
          <cell r="A782" t="e">
            <v>#N/A</v>
          </cell>
          <cell r="B782" t="e">
            <v>#N/A</v>
          </cell>
          <cell r="C782" t="e">
            <v>#N/A</v>
          </cell>
          <cell r="O782" t="e">
            <v>#N/A</v>
          </cell>
          <cell r="P782" t="e">
            <v>#N/A</v>
          </cell>
          <cell r="Q782" t="e">
            <v>#N/A</v>
          </cell>
          <cell r="R782" t="e">
            <v>#N/A</v>
          </cell>
          <cell r="S782" t="e">
            <v>#N/A</v>
          </cell>
          <cell r="T782" t="e">
            <v>#N/A</v>
          </cell>
          <cell r="U782" t="e">
            <v>#N/A</v>
          </cell>
          <cell r="V782" t="e">
            <v>#N/A</v>
          </cell>
          <cell r="W782" t="e">
            <v>#N/A</v>
          </cell>
          <cell r="X782" t="e">
            <v>#N/A</v>
          </cell>
          <cell r="Y782" t="e">
            <v>#N/A</v>
          </cell>
          <cell r="Z782" t="e">
            <v>#N/A</v>
          </cell>
        </row>
        <row r="783">
          <cell r="A783" t="e">
            <v>#N/A</v>
          </cell>
          <cell r="B783" t="e">
            <v>#N/A</v>
          </cell>
          <cell r="C783" t="e">
            <v>#N/A</v>
          </cell>
          <cell r="O783" t="e">
            <v>#N/A</v>
          </cell>
          <cell r="P783" t="e">
            <v>#N/A</v>
          </cell>
          <cell r="Q783" t="e">
            <v>#N/A</v>
          </cell>
          <cell r="R783" t="e">
            <v>#N/A</v>
          </cell>
          <cell r="S783" t="e">
            <v>#N/A</v>
          </cell>
          <cell r="T783" t="e">
            <v>#N/A</v>
          </cell>
          <cell r="U783" t="e">
            <v>#N/A</v>
          </cell>
          <cell r="V783" t="e">
            <v>#N/A</v>
          </cell>
          <cell r="W783" t="e">
            <v>#N/A</v>
          </cell>
          <cell r="X783" t="e">
            <v>#N/A</v>
          </cell>
          <cell r="Y783" t="e">
            <v>#N/A</v>
          </cell>
          <cell r="Z783" t="e">
            <v>#N/A</v>
          </cell>
        </row>
        <row r="784">
          <cell r="A784" t="e">
            <v>#N/A</v>
          </cell>
          <cell r="B784" t="e">
            <v>#N/A</v>
          </cell>
          <cell r="C784" t="e">
            <v>#N/A</v>
          </cell>
          <cell r="O784" t="e">
            <v>#N/A</v>
          </cell>
          <cell r="P784" t="e">
            <v>#N/A</v>
          </cell>
          <cell r="Q784" t="e">
            <v>#N/A</v>
          </cell>
          <cell r="R784" t="e">
            <v>#N/A</v>
          </cell>
          <cell r="S784" t="e">
            <v>#N/A</v>
          </cell>
          <cell r="T784" t="e">
            <v>#N/A</v>
          </cell>
          <cell r="U784" t="e">
            <v>#N/A</v>
          </cell>
          <cell r="V784" t="e">
            <v>#N/A</v>
          </cell>
          <cell r="W784" t="e">
            <v>#N/A</v>
          </cell>
          <cell r="X784" t="e">
            <v>#N/A</v>
          </cell>
          <cell r="Y784" t="e">
            <v>#N/A</v>
          </cell>
          <cell r="Z784" t="e">
            <v>#N/A</v>
          </cell>
        </row>
        <row r="785">
          <cell r="A785" t="e">
            <v>#N/A</v>
          </cell>
          <cell r="B785" t="e">
            <v>#N/A</v>
          </cell>
          <cell r="C785" t="e">
            <v>#N/A</v>
          </cell>
          <cell r="O785" t="e">
            <v>#N/A</v>
          </cell>
          <cell r="P785" t="e">
            <v>#N/A</v>
          </cell>
          <cell r="Q785" t="e">
            <v>#N/A</v>
          </cell>
          <cell r="R785" t="e">
            <v>#N/A</v>
          </cell>
          <cell r="S785" t="e">
            <v>#N/A</v>
          </cell>
          <cell r="T785" t="e">
            <v>#N/A</v>
          </cell>
          <cell r="U785" t="e">
            <v>#N/A</v>
          </cell>
          <cell r="V785" t="e">
            <v>#N/A</v>
          </cell>
          <cell r="W785" t="e">
            <v>#N/A</v>
          </cell>
          <cell r="X785" t="e">
            <v>#N/A</v>
          </cell>
          <cell r="Y785" t="e">
            <v>#N/A</v>
          </cell>
          <cell r="Z785" t="e">
            <v>#N/A</v>
          </cell>
        </row>
        <row r="786">
          <cell r="A786" t="e">
            <v>#N/A</v>
          </cell>
          <cell r="B786" t="e">
            <v>#N/A</v>
          </cell>
          <cell r="C786" t="e">
            <v>#N/A</v>
          </cell>
          <cell r="O786" t="e">
            <v>#N/A</v>
          </cell>
          <cell r="P786" t="e">
            <v>#N/A</v>
          </cell>
          <cell r="Q786" t="e">
            <v>#N/A</v>
          </cell>
          <cell r="R786" t="e">
            <v>#N/A</v>
          </cell>
          <cell r="S786" t="e">
            <v>#N/A</v>
          </cell>
          <cell r="T786" t="e">
            <v>#N/A</v>
          </cell>
          <cell r="U786" t="e">
            <v>#N/A</v>
          </cell>
          <cell r="V786" t="e">
            <v>#N/A</v>
          </cell>
          <cell r="W786" t="e">
            <v>#N/A</v>
          </cell>
          <cell r="X786" t="e">
            <v>#N/A</v>
          </cell>
          <cell r="Y786" t="e">
            <v>#N/A</v>
          </cell>
          <cell r="Z786" t="e">
            <v>#N/A</v>
          </cell>
        </row>
        <row r="787">
          <cell r="A787" t="e">
            <v>#N/A</v>
          </cell>
          <cell r="B787" t="e">
            <v>#N/A</v>
          </cell>
          <cell r="C787" t="e">
            <v>#N/A</v>
          </cell>
          <cell r="O787" t="e">
            <v>#N/A</v>
          </cell>
          <cell r="P787" t="e">
            <v>#N/A</v>
          </cell>
          <cell r="Q787" t="e">
            <v>#N/A</v>
          </cell>
          <cell r="R787" t="e">
            <v>#N/A</v>
          </cell>
          <cell r="S787" t="e">
            <v>#N/A</v>
          </cell>
          <cell r="T787" t="e">
            <v>#N/A</v>
          </cell>
          <cell r="U787" t="e">
            <v>#N/A</v>
          </cell>
          <cell r="V787" t="e">
            <v>#N/A</v>
          </cell>
          <cell r="W787" t="e">
            <v>#N/A</v>
          </cell>
          <cell r="X787" t="e">
            <v>#N/A</v>
          </cell>
          <cell r="Y787" t="e">
            <v>#N/A</v>
          </cell>
          <cell r="Z787" t="e">
            <v>#N/A</v>
          </cell>
        </row>
        <row r="788">
          <cell r="A788" t="e">
            <v>#N/A</v>
          </cell>
          <cell r="B788" t="e">
            <v>#N/A</v>
          </cell>
          <cell r="C788" t="e">
            <v>#N/A</v>
          </cell>
          <cell r="O788" t="e">
            <v>#N/A</v>
          </cell>
          <cell r="P788" t="e">
            <v>#N/A</v>
          </cell>
          <cell r="Q788" t="e">
            <v>#N/A</v>
          </cell>
          <cell r="R788" t="e">
            <v>#N/A</v>
          </cell>
          <cell r="S788" t="e">
            <v>#N/A</v>
          </cell>
          <cell r="T788" t="e">
            <v>#N/A</v>
          </cell>
          <cell r="U788" t="e">
            <v>#N/A</v>
          </cell>
          <cell r="V788" t="e">
            <v>#N/A</v>
          </cell>
          <cell r="W788" t="e">
            <v>#N/A</v>
          </cell>
          <cell r="X788" t="e">
            <v>#N/A</v>
          </cell>
          <cell r="Y788" t="e">
            <v>#N/A</v>
          </cell>
          <cell r="Z788" t="e">
            <v>#N/A</v>
          </cell>
        </row>
        <row r="789">
          <cell r="A789" t="e">
            <v>#N/A</v>
          </cell>
          <cell r="B789" t="e">
            <v>#N/A</v>
          </cell>
          <cell r="C789" t="e">
            <v>#N/A</v>
          </cell>
          <cell r="O789" t="e">
            <v>#N/A</v>
          </cell>
          <cell r="P789" t="e">
            <v>#N/A</v>
          </cell>
          <cell r="Q789" t="e">
            <v>#N/A</v>
          </cell>
          <cell r="R789" t="e">
            <v>#N/A</v>
          </cell>
          <cell r="S789" t="e">
            <v>#N/A</v>
          </cell>
          <cell r="T789" t="e">
            <v>#N/A</v>
          </cell>
          <cell r="U789" t="e">
            <v>#N/A</v>
          </cell>
          <cell r="V789" t="e">
            <v>#N/A</v>
          </cell>
          <cell r="W789" t="e">
            <v>#N/A</v>
          </cell>
          <cell r="X789" t="e">
            <v>#N/A</v>
          </cell>
          <cell r="Y789" t="e">
            <v>#N/A</v>
          </cell>
          <cell r="Z789" t="e">
            <v>#N/A</v>
          </cell>
        </row>
        <row r="790">
          <cell r="A790" t="e">
            <v>#N/A</v>
          </cell>
          <cell r="B790" t="e">
            <v>#N/A</v>
          </cell>
          <cell r="C790" t="e">
            <v>#N/A</v>
          </cell>
          <cell r="O790" t="e">
            <v>#N/A</v>
          </cell>
          <cell r="P790" t="e">
            <v>#N/A</v>
          </cell>
          <cell r="Q790" t="e">
            <v>#N/A</v>
          </cell>
          <cell r="R790" t="e">
            <v>#N/A</v>
          </cell>
          <cell r="S790" t="e">
            <v>#N/A</v>
          </cell>
          <cell r="T790" t="e">
            <v>#N/A</v>
          </cell>
          <cell r="U790" t="e">
            <v>#N/A</v>
          </cell>
          <cell r="V790" t="e">
            <v>#N/A</v>
          </cell>
          <cell r="W790" t="e">
            <v>#N/A</v>
          </cell>
          <cell r="X790" t="e">
            <v>#N/A</v>
          </cell>
          <cell r="Y790" t="e">
            <v>#N/A</v>
          </cell>
          <cell r="Z790" t="e">
            <v>#N/A</v>
          </cell>
        </row>
        <row r="791">
          <cell r="A791" t="e">
            <v>#N/A</v>
          </cell>
          <cell r="B791" t="e">
            <v>#N/A</v>
          </cell>
          <cell r="C791" t="e">
            <v>#N/A</v>
          </cell>
          <cell r="O791" t="e">
            <v>#N/A</v>
          </cell>
          <cell r="P791" t="e">
            <v>#N/A</v>
          </cell>
          <cell r="Q791" t="e">
            <v>#N/A</v>
          </cell>
          <cell r="R791" t="e">
            <v>#N/A</v>
          </cell>
          <cell r="S791" t="e">
            <v>#N/A</v>
          </cell>
          <cell r="T791" t="e">
            <v>#N/A</v>
          </cell>
          <cell r="U791" t="e">
            <v>#N/A</v>
          </cell>
          <cell r="V791" t="e">
            <v>#N/A</v>
          </cell>
          <cell r="W791" t="e">
            <v>#N/A</v>
          </cell>
          <cell r="X791" t="e">
            <v>#N/A</v>
          </cell>
          <cell r="Y791" t="e">
            <v>#N/A</v>
          </cell>
          <cell r="Z791" t="e">
            <v>#N/A</v>
          </cell>
        </row>
        <row r="792">
          <cell r="A792" t="e">
            <v>#N/A</v>
          </cell>
          <cell r="B792" t="e">
            <v>#N/A</v>
          </cell>
          <cell r="C792" t="e">
            <v>#N/A</v>
          </cell>
          <cell r="O792" t="e">
            <v>#N/A</v>
          </cell>
          <cell r="P792" t="e">
            <v>#N/A</v>
          </cell>
          <cell r="Q792" t="e">
            <v>#N/A</v>
          </cell>
          <cell r="R792" t="e">
            <v>#N/A</v>
          </cell>
          <cell r="S792" t="e">
            <v>#N/A</v>
          </cell>
          <cell r="T792" t="e">
            <v>#N/A</v>
          </cell>
          <cell r="U792" t="e">
            <v>#N/A</v>
          </cell>
          <cell r="V792" t="e">
            <v>#N/A</v>
          </cell>
          <cell r="W792" t="e">
            <v>#N/A</v>
          </cell>
          <cell r="X792" t="e">
            <v>#N/A</v>
          </cell>
          <cell r="Y792" t="e">
            <v>#N/A</v>
          </cell>
          <cell r="Z792" t="e">
            <v>#N/A</v>
          </cell>
        </row>
        <row r="793">
          <cell r="A793" t="e">
            <v>#N/A</v>
          </cell>
          <cell r="B793" t="e">
            <v>#N/A</v>
          </cell>
          <cell r="C793" t="e">
            <v>#N/A</v>
          </cell>
          <cell r="O793" t="e">
            <v>#N/A</v>
          </cell>
          <cell r="P793" t="e">
            <v>#N/A</v>
          </cell>
          <cell r="Q793" t="e">
            <v>#N/A</v>
          </cell>
          <cell r="R793" t="e">
            <v>#N/A</v>
          </cell>
          <cell r="S793" t="e">
            <v>#N/A</v>
          </cell>
          <cell r="T793" t="e">
            <v>#N/A</v>
          </cell>
          <cell r="U793" t="e">
            <v>#N/A</v>
          </cell>
          <cell r="V793" t="e">
            <v>#N/A</v>
          </cell>
          <cell r="W793" t="e">
            <v>#N/A</v>
          </cell>
          <cell r="X793" t="e">
            <v>#N/A</v>
          </cell>
          <cell r="Y793" t="e">
            <v>#N/A</v>
          </cell>
          <cell r="Z793" t="e">
            <v>#N/A</v>
          </cell>
        </row>
        <row r="794">
          <cell r="A794" t="e">
            <v>#N/A</v>
          </cell>
          <cell r="B794" t="e">
            <v>#N/A</v>
          </cell>
          <cell r="C794" t="e">
            <v>#N/A</v>
          </cell>
          <cell r="O794" t="e">
            <v>#N/A</v>
          </cell>
          <cell r="P794" t="e">
            <v>#N/A</v>
          </cell>
          <cell r="Q794" t="e">
            <v>#N/A</v>
          </cell>
          <cell r="R794" t="e">
            <v>#N/A</v>
          </cell>
          <cell r="S794" t="e">
            <v>#N/A</v>
          </cell>
          <cell r="T794" t="e">
            <v>#N/A</v>
          </cell>
          <cell r="U794" t="e">
            <v>#N/A</v>
          </cell>
          <cell r="V794" t="e">
            <v>#N/A</v>
          </cell>
          <cell r="W794" t="e">
            <v>#N/A</v>
          </cell>
          <cell r="X794" t="e">
            <v>#N/A</v>
          </cell>
          <cell r="Y794" t="e">
            <v>#N/A</v>
          </cell>
          <cell r="Z794" t="e">
            <v>#N/A</v>
          </cell>
        </row>
        <row r="795">
          <cell r="A795" t="e">
            <v>#N/A</v>
          </cell>
          <cell r="B795" t="e">
            <v>#N/A</v>
          </cell>
          <cell r="C795" t="e">
            <v>#N/A</v>
          </cell>
          <cell r="O795" t="e">
            <v>#N/A</v>
          </cell>
          <cell r="P795" t="e">
            <v>#N/A</v>
          </cell>
          <cell r="Q795" t="e">
            <v>#N/A</v>
          </cell>
          <cell r="R795" t="e">
            <v>#N/A</v>
          </cell>
          <cell r="S795" t="e">
            <v>#N/A</v>
          </cell>
          <cell r="T795" t="e">
            <v>#N/A</v>
          </cell>
          <cell r="U795" t="e">
            <v>#N/A</v>
          </cell>
          <cell r="V795" t="e">
            <v>#N/A</v>
          </cell>
          <cell r="W795" t="e">
            <v>#N/A</v>
          </cell>
          <cell r="X795" t="e">
            <v>#N/A</v>
          </cell>
          <cell r="Y795" t="e">
            <v>#N/A</v>
          </cell>
          <cell r="Z795" t="e">
            <v>#N/A</v>
          </cell>
        </row>
        <row r="796">
          <cell r="A796" t="e">
            <v>#N/A</v>
          </cell>
          <cell r="B796" t="e">
            <v>#N/A</v>
          </cell>
          <cell r="C796" t="e">
            <v>#N/A</v>
          </cell>
          <cell r="O796" t="e">
            <v>#N/A</v>
          </cell>
          <cell r="P796" t="e">
            <v>#N/A</v>
          </cell>
          <cell r="Q796" t="e">
            <v>#N/A</v>
          </cell>
          <cell r="R796" t="e">
            <v>#N/A</v>
          </cell>
          <cell r="S796" t="e">
            <v>#N/A</v>
          </cell>
          <cell r="T796" t="e">
            <v>#N/A</v>
          </cell>
          <cell r="U796" t="e">
            <v>#N/A</v>
          </cell>
          <cell r="V796" t="e">
            <v>#N/A</v>
          </cell>
          <cell r="W796" t="e">
            <v>#N/A</v>
          </cell>
          <cell r="X796" t="e">
            <v>#N/A</v>
          </cell>
          <cell r="Y796" t="e">
            <v>#N/A</v>
          </cell>
          <cell r="Z796" t="e">
            <v>#N/A</v>
          </cell>
        </row>
        <row r="797">
          <cell r="A797" t="e">
            <v>#N/A</v>
          </cell>
          <cell r="B797" t="e">
            <v>#N/A</v>
          </cell>
          <cell r="C797" t="e">
            <v>#N/A</v>
          </cell>
          <cell r="O797" t="e">
            <v>#N/A</v>
          </cell>
          <cell r="P797" t="e">
            <v>#N/A</v>
          </cell>
          <cell r="Q797" t="e">
            <v>#N/A</v>
          </cell>
          <cell r="R797" t="e">
            <v>#N/A</v>
          </cell>
          <cell r="S797" t="e">
            <v>#N/A</v>
          </cell>
          <cell r="T797" t="e">
            <v>#N/A</v>
          </cell>
          <cell r="U797" t="e">
            <v>#N/A</v>
          </cell>
          <cell r="V797" t="e">
            <v>#N/A</v>
          </cell>
          <cell r="W797" t="e">
            <v>#N/A</v>
          </cell>
          <cell r="X797" t="e">
            <v>#N/A</v>
          </cell>
          <cell r="Y797" t="e">
            <v>#N/A</v>
          </cell>
          <cell r="Z797" t="e">
            <v>#N/A</v>
          </cell>
        </row>
        <row r="798">
          <cell r="A798" t="e">
            <v>#N/A</v>
          </cell>
          <cell r="B798" t="e">
            <v>#N/A</v>
          </cell>
          <cell r="C798" t="e">
            <v>#N/A</v>
          </cell>
          <cell r="O798" t="e">
            <v>#N/A</v>
          </cell>
          <cell r="P798" t="e">
            <v>#N/A</v>
          </cell>
          <cell r="Q798" t="e">
            <v>#N/A</v>
          </cell>
          <cell r="R798" t="e">
            <v>#N/A</v>
          </cell>
          <cell r="S798" t="e">
            <v>#N/A</v>
          </cell>
          <cell r="T798" t="e">
            <v>#N/A</v>
          </cell>
          <cell r="U798" t="e">
            <v>#N/A</v>
          </cell>
          <cell r="V798" t="e">
            <v>#N/A</v>
          </cell>
          <cell r="W798" t="e">
            <v>#N/A</v>
          </cell>
          <cell r="X798" t="e">
            <v>#N/A</v>
          </cell>
          <cell r="Y798" t="e">
            <v>#N/A</v>
          </cell>
          <cell r="Z798" t="e">
            <v>#N/A</v>
          </cell>
        </row>
        <row r="799">
          <cell r="A799" t="e">
            <v>#N/A</v>
          </cell>
          <cell r="B799" t="e">
            <v>#N/A</v>
          </cell>
          <cell r="C799" t="e">
            <v>#N/A</v>
          </cell>
          <cell r="O799" t="e">
            <v>#N/A</v>
          </cell>
          <cell r="P799" t="e">
            <v>#N/A</v>
          </cell>
          <cell r="Q799" t="e">
            <v>#N/A</v>
          </cell>
          <cell r="R799" t="e">
            <v>#N/A</v>
          </cell>
          <cell r="S799" t="e">
            <v>#N/A</v>
          </cell>
          <cell r="T799" t="e">
            <v>#N/A</v>
          </cell>
          <cell r="U799" t="e">
            <v>#N/A</v>
          </cell>
          <cell r="V799" t="e">
            <v>#N/A</v>
          </cell>
          <cell r="W799" t="e">
            <v>#N/A</v>
          </cell>
          <cell r="X799" t="e">
            <v>#N/A</v>
          </cell>
          <cell r="Y799" t="e">
            <v>#N/A</v>
          </cell>
          <cell r="Z799" t="e">
            <v>#N/A</v>
          </cell>
        </row>
        <row r="800">
          <cell r="A800" t="e">
            <v>#N/A</v>
          </cell>
          <cell r="B800" t="e">
            <v>#N/A</v>
          </cell>
          <cell r="C800" t="e">
            <v>#N/A</v>
          </cell>
          <cell r="O800" t="e">
            <v>#N/A</v>
          </cell>
          <cell r="P800" t="e">
            <v>#N/A</v>
          </cell>
          <cell r="Q800" t="e">
            <v>#N/A</v>
          </cell>
          <cell r="R800" t="e">
            <v>#N/A</v>
          </cell>
          <cell r="S800" t="e">
            <v>#N/A</v>
          </cell>
          <cell r="T800" t="e">
            <v>#N/A</v>
          </cell>
          <cell r="U800" t="e">
            <v>#N/A</v>
          </cell>
          <cell r="V800" t="e">
            <v>#N/A</v>
          </cell>
          <cell r="W800" t="e">
            <v>#N/A</v>
          </cell>
          <cell r="X800" t="e">
            <v>#N/A</v>
          </cell>
          <cell r="Y800" t="e">
            <v>#N/A</v>
          </cell>
          <cell r="Z800" t="e">
            <v>#N/A</v>
          </cell>
        </row>
        <row r="801">
          <cell r="A801" t="e">
            <v>#N/A</v>
          </cell>
          <cell r="B801" t="e">
            <v>#N/A</v>
          </cell>
          <cell r="C801" t="e">
            <v>#N/A</v>
          </cell>
          <cell r="O801" t="e">
            <v>#N/A</v>
          </cell>
          <cell r="P801" t="e">
            <v>#N/A</v>
          </cell>
          <cell r="Q801" t="e">
            <v>#N/A</v>
          </cell>
          <cell r="R801" t="e">
            <v>#N/A</v>
          </cell>
          <cell r="S801" t="e">
            <v>#N/A</v>
          </cell>
          <cell r="T801" t="e">
            <v>#N/A</v>
          </cell>
          <cell r="U801" t="e">
            <v>#N/A</v>
          </cell>
          <cell r="V801" t="e">
            <v>#N/A</v>
          </cell>
          <cell r="W801" t="e">
            <v>#N/A</v>
          </cell>
          <cell r="X801" t="e">
            <v>#N/A</v>
          </cell>
          <cell r="Y801" t="e">
            <v>#N/A</v>
          </cell>
          <cell r="Z801" t="e">
            <v>#N/A</v>
          </cell>
        </row>
        <row r="802">
          <cell r="A802" t="e">
            <v>#N/A</v>
          </cell>
          <cell r="B802" t="e">
            <v>#N/A</v>
          </cell>
          <cell r="C802" t="e">
            <v>#N/A</v>
          </cell>
          <cell r="O802" t="e">
            <v>#N/A</v>
          </cell>
          <cell r="P802" t="e">
            <v>#N/A</v>
          </cell>
          <cell r="Q802" t="e">
            <v>#N/A</v>
          </cell>
          <cell r="R802" t="e">
            <v>#N/A</v>
          </cell>
          <cell r="S802" t="e">
            <v>#N/A</v>
          </cell>
          <cell r="T802" t="e">
            <v>#N/A</v>
          </cell>
          <cell r="U802" t="e">
            <v>#N/A</v>
          </cell>
          <cell r="V802" t="e">
            <v>#N/A</v>
          </cell>
          <cell r="W802" t="e">
            <v>#N/A</v>
          </cell>
          <cell r="X802" t="e">
            <v>#N/A</v>
          </cell>
          <cell r="Y802" t="e">
            <v>#N/A</v>
          </cell>
          <cell r="Z802" t="e">
            <v>#N/A</v>
          </cell>
        </row>
        <row r="803">
          <cell r="A803" t="e">
            <v>#N/A</v>
          </cell>
          <cell r="B803" t="e">
            <v>#N/A</v>
          </cell>
          <cell r="C803" t="e">
            <v>#N/A</v>
          </cell>
          <cell r="O803" t="e">
            <v>#N/A</v>
          </cell>
          <cell r="P803" t="e">
            <v>#N/A</v>
          </cell>
          <cell r="Q803" t="e">
            <v>#N/A</v>
          </cell>
          <cell r="R803" t="e">
            <v>#N/A</v>
          </cell>
          <cell r="S803" t="e">
            <v>#N/A</v>
          </cell>
          <cell r="T803" t="e">
            <v>#N/A</v>
          </cell>
          <cell r="U803" t="e">
            <v>#N/A</v>
          </cell>
          <cell r="V803" t="e">
            <v>#N/A</v>
          </cell>
          <cell r="W803" t="e">
            <v>#N/A</v>
          </cell>
          <cell r="X803" t="e">
            <v>#N/A</v>
          </cell>
          <cell r="Y803" t="e">
            <v>#N/A</v>
          </cell>
          <cell r="Z803" t="e">
            <v>#N/A</v>
          </cell>
        </row>
        <row r="804">
          <cell r="A804" t="e">
            <v>#N/A</v>
          </cell>
          <cell r="B804" t="e">
            <v>#N/A</v>
          </cell>
          <cell r="C804" t="e">
            <v>#N/A</v>
          </cell>
          <cell r="O804" t="e">
            <v>#N/A</v>
          </cell>
          <cell r="P804" t="e">
            <v>#N/A</v>
          </cell>
          <cell r="Q804" t="e">
            <v>#N/A</v>
          </cell>
          <cell r="R804" t="e">
            <v>#N/A</v>
          </cell>
          <cell r="S804" t="e">
            <v>#N/A</v>
          </cell>
          <cell r="T804" t="e">
            <v>#N/A</v>
          </cell>
          <cell r="U804" t="e">
            <v>#N/A</v>
          </cell>
          <cell r="V804" t="e">
            <v>#N/A</v>
          </cell>
          <cell r="W804" t="e">
            <v>#N/A</v>
          </cell>
          <cell r="X804" t="e">
            <v>#N/A</v>
          </cell>
          <cell r="Y804" t="e">
            <v>#N/A</v>
          </cell>
          <cell r="Z804" t="e">
            <v>#N/A</v>
          </cell>
        </row>
        <row r="805">
          <cell r="A805" t="e">
            <v>#N/A</v>
          </cell>
          <cell r="B805" t="e">
            <v>#N/A</v>
          </cell>
          <cell r="C805" t="e">
            <v>#N/A</v>
          </cell>
          <cell r="O805" t="e">
            <v>#N/A</v>
          </cell>
          <cell r="P805" t="e">
            <v>#N/A</v>
          </cell>
          <cell r="Q805" t="e">
            <v>#N/A</v>
          </cell>
          <cell r="R805" t="e">
            <v>#N/A</v>
          </cell>
          <cell r="S805" t="e">
            <v>#N/A</v>
          </cell>
          <cell r="T805" t="e">
            <v>#N/A</v>
          </cell>
          <cell r="U805" t="e">
            <v>#N/A</v>
          </cell>
          <cell r="V805" t="e">
            <v>#N/A</v>
          </cell>
          <cell r="W805" t="e">
            <v>#N/A</v>
          </cell>
          <cell r="X805" t="e">
            <v>#N/A</v>
          </cell>
          <cell r="Y805" t="e">
            <v>#N/A</v>
          </cell>
          <cell r="Z805" t="e">
            <v>#N/A</v>
          </cell>
        </row>
        <row r="806">
          <cell r="A806" t="e">
            <v>#N/A</v>
          </cell>
          <cell r="B806" t="e">
            <v>#N/A</v>
          </cell>
          <cell r="C806" t="e">
            <v>#N/A</v>
          </cell>
          <cell r="O806" t="e">
            <v>#N/A</v>
          </cell>
          <cell r="P806" t="e">
            <v>#N/A</v>
          </cell>
          <cell r="Q806" t="e">
            <v>#N/A</v>
          </cell>
          <cell r="R806" t="e">
            <v>#N/A</v>
          </cell>
          <cell r="S806" t="e">
            <v>#N/A</v>
          </cell>
          <cell r="T806" t="e">
            <v>#N/A</v>
          </cell>
          <cell r="U806" t="e">
            <v>#N/A</v>
          </cell>
          <cell r="V806" t="e">
            <v>#N/A</v>
          </cell>
          <cell r="W806" t="e">
            <v>#N/A</v>
          </cell>
          <cell r="X806" t="e">
            <v>#N/A</v>
          </cell>
          <cell r="Y806" t="e">
            <v>#N/A</v>
          </cell>
          <cell r="Z806" t="e">
            <v>#N/A</v>
          </cell>
        </row>
        <row r="807">
          <cell r="A807" t="e">
            <v>#N/A</v>
          </cell>
          <cell r="B807" t="e">
            <v>#N/A</v>
          </cell>
          <cell r="C807" t="e">
            <v>#N/A</v>
          </cell>
          <cell r="O807" t="e">
            <v>#N/A</v>
          </cell>
          <cell r="P807" t="e">
            <v>#N/A</v>
          </cell>
          <cell r="Q807" t="e">
            <v>#N/A</v>
          </cell>
          <cell r="R807" t="e">
            <v>#N/A</v>
          </cell>
          <cell r="S807" t="e">
            <v>#N/A</v>
          </cell>
          <cell r="T807" t="e">
            <v>#N/A</v>
          </cell>
          <cell r="U807" t="e">
            <v>#N/A</v>
          </cell>
          <cell r="V807" t="e">
            <v>#N/A</v>
          </cell>
          <cell r="W807" t="e">
            <v>#N/A</v>
          </cell>
          <cell r="X807" t="e">
            <v>#N/A</v>
          </cell>
          <cell r="Y807" t="e">
            <v>#N/A</v>
          </cell>
          <cell r="Z807" t="e">
            <v>#N/A</v>
          </cell>
        </row>
        <row r="808">
          <cell r="A808" t="e">
            <v>#N/A</v>
          </cell>
          <cell r="B808" t="e">
            <v>#N/A</v>
          </cell>
          <cell r="C808" t="e">
            <v>#N/A</v>
          </cell>
          <cell r="O808" t="e">
            <v>#N/A</v>
          </cell>
          <cell r="P808" t="e">
            <v>#N/A</v>
          </cell>
          <cell r="Q808" t="e">
            <v>#N/A</v>
          </cell>
          <cell r="R808" t="e">
            <v>#N/A</v>
          </cell>
          <cell r="S808" t="e">
            <v>#N/A</v>
          </cell>
          <cell r="T808" t="e">
            <v>#N/A</v>
          </cell>
          <cell r="U808" t="e">
            <v>#N/A</v>
          </cell>
          <cell r="V808" t="e">
            <v>#N/A</v>
          </cell>
          <cell r="W808" t="e">
            <v>#N/A</v>
          </cell>
          <cell r="X808" t="e">
            <v>#N/A</v>
          </cell>
          <cell r="Y808" t="e">
            <v>#N/A</v>
          </cell>
          <cell r="Z808" t="e">
            <v>#N/A</v>
          </cell>
        </row>
        <row r="809">
          <cell r="A809" t="e">
            <v>#N/A</v>
          </cell>
          <cell r="B809" t="e">
            <v>#N/A</v>
          </cell>
          <cell r="C809" t="e">
            <v>#N/A</v>
          </cell>
          <cell r="O809" t="e">
            <v>#N/A</v>
          </cell>
          <cell r="P809" t="e">
            <v>#N/A</v>
          </cell>
          <cell r="Q809" t="e">
            <v>#N/A</v>
          </cell>
          <cell r="R809" t="e">
            <v>#N/A</v>
          </cell>
          <cell r="S809" t="e">
            <v>#N/A</v>
          </cell>
          <cell r="T809" t="e">
            <v>#N/A</v>
          </cell>
          <cell r="U809" t="e">
            <v>#N/A</v>
          </cell>
          <cell r="V809" t="e">
            <v>#N/A</v>
          </cell>
          <cell r="W809" t="e">
            <v>#N/A</v>
          </cell>
          <cell r="X809" t="e">
            <v>#N/A</v>
          </cell>
          <cell r="Y809" t="e">
            <v>#N/A</v>
          </cell>
          <cell r="Z809" t="e">
            <v>#N/A</v>
          </cell>
        </row>
        <row r="810">
          <cell r="A810" t="e">
            <v>#N/A</v>
          </cell>
          <cell r="B810" t="e">
            <v>#N/A</v>
          </cell>
          <cell r="C810" t="e">
            <v>#N/A</v>
          </cell>
          <cell r="O810" t="e">
            <v>#N/A</v>
          </cell>
          <cell r="P810" t="e">
            <v>#N/A</v>
          </cell>
          <cell r="Q810" t="e">
            <v>#N/A</v>
          </cell>
          <cell r="R810" t="e">
            <v>#N/A</v>
          </cell>
          <cell r="S810" t="e">
            <v>#N/A</v>
          </cell>
          <cell r="T810" t="e">
            <v>#N/A</v>
          </cell>
          <cell r="U810" t="e">
            <v>#N/A</v>
          </cell>
          <cell r="V810" t="e">
            <v>#N/A</v>
          </cell>
          <cell r="W810" t="e">
            <v>#N/A</v>
          </cell>
          <cell r="X810" t="e">
            <v>#N/A</v>
          </cell>
          <cell r="Y810" t="e">
            <v>#N/A</v>
          </cell>
          <cell r="Z810" t="e">
            <v>#N/A</v>
          </cell>
        </row>
        <row r="811">
          <cell r="A811" t="e">
            <v>#N/A</v>
          </cell>
          <cell r="B811" t="e">
            <v>#N/A</v>
          </cell>
          <cell r="C811" t="e">
            <v>#N/A</v>
          </cell>
          <cell r="O811" t="e">
            <v>#N/A</v>
          </cell>
          <cell r="P811" t="e">
            <v>#N/A</v>
          </cell>
          <cell r="Q811" t="e">
            <v>#N/A</v>
          </cell>
          <cell r="R811" t="e">
            <v>#N/A</v>
          </cell>
          <cell r="S811" t="e">
            <v>#N/A</v>
          </cell>
          <cell r="T811" t="e">
            <v>#N/A</v>
          </cell>
          <cell r="U811" t="e">
            <v>#N/A</v>
          </cell>
          <cell r="V811" t="e">
            <v>#N/A</v>
          </cell>
          <cell r="W811" t="e">
            <v>#N/A</v>
          </cell>
          <cell r="X811" t="e">
            <v>#N/A</v>
          </cell>
          <cell r="Y811" t="e">
            <v>#N/A</v>
          </cell>
          <cell r="Z811" t="e">
            <v>#N/A</v>
          </cell>
        </row>
        <row r="812">
          <cell r="A812" t="e">
            <v>#N/A</v>
          </cell>
          <cell r="B812" t="e">
            <v>#N/A</v>
          </cell>
          <cell r="C812" t="e">
            <v>#N/A</v>
          </cell>
          <cell r="O812" t="e">
            <v>#N/A</v>
          </cell>
          <cell r="P812" t="e">
            <v>#N/A</v>
          </cell>
          <cell r="Q812" t="e">
            <v>#N/A</v>
          </cell>
          <cell r="R812" t="e">
            <v>#N/A</v>
          </cell>
          <cell r="S812" t="e">
            <v>#N/A</v>
          </cell>
          <cell r="T812" t="e">
            <v>#N/A</v>
          </cell>
          <cell r="U812" t="e">
            <v>#N/A</v>
          </cell>
          <cell r="V812" t="e">
            <v>#N/A</v>
          </cell>
          <cell r="W812" t="e">
            <v>#N/A</v>
          </cell>
          <cell r="X812" t="e">
            <v>#N/A</v>
          </cell>
          <cell r="Y812" t="e">
            <v>#N/A</v>
          </cell>
          <cell r="Z812" t="e">
            <v>#N/A</v>
          </cell>
        </row>
        <row r="813">
          <cell r="A813" t="e">
            <v>#N/A</v>
          </cell>
          <cell r="B813" t="e">
            <v>#N/A</v>
          </cell>
          <cell r="C813" t="e">
            <v>#N/A</v>
          </cell>
          <cell r="O813" t="e">
            <v>#N/A</v>
          </cell>
          <cell r="P813" t="e">
            <v>#N/A</v>
          </cell>
          <cell r="Q813" t="e">
            <v>#N/A</v>
          </cell>
          <cell r="R813" t="e">
            <v>#N/A</v>
          </cell>
          <cell r="S813" t="e">
            <v>#N/A</v>
          </cell>
          <cell r="T813" t="e">
            <v>#N/A</v>
          </cell>
          <cell r="U813" t="e">
            <v>#N/A</v>
          </cell>
          <cell r="V813" t="e">
            <v>#N/A</v>
          </cell>
          <cell r="W813" t="e">
            <v>#N/A</v>
          </cell>
          <cell r="X813" t="e">
            <v>#N/A</v>
          </cell>
          <cell r="Y813" t="e">
            <v>#N/A</v>
          </cell>
          <cell r="Z813" t="e">
            <v>#N/A</v>
          </cell>
        </row>
        <row r="814">
          <cell r="A814" t="e">
            <v>#N/A</v>
          </cell>
          <cell r="B814" t="e">
            <v>#N/A</v>
          </cell>
          <cell r="C814" t="e">
            <v>#N/A</v>
          </cell>
          <cell r="O814" t="e">
            <v>#N/A</v>
          </cell>
          <cell r="P814" t="e">
            <v>#N/A</v>
          </cell>
          <cell r="Q814" t="e">
            <v>#N/A</v>
          </cell>
          <cell r="R814" t="e">
            <v>#N/A</v>
          </cell>
          <cell r="S814" t="e">
            <v>#N/A</v>
          </cell>
          <cell r="T814" t="e">
            <v>#N/A</v>
          </cell>
          <cell r="U814" t="e">
            <v>#N/A</v>
          </cell>
          <cell r="V814" t="e">
            <v>#N/A</v>
          </cell>
          <cell r="W814" t="e">
            <v>#N/A</v>
          </cell>
          <cell r="X814" t="e">
            <v>#N/A</v>
          </cell>
          <cell r="Y814" t="e">
            <v>#N/A</v>
          </cell>
          <cell r="Z814" t="e">
            <v>#N/A</v>
          </cell>
        </row>
        <row r="815">
          <cell r="A815" t="e">
            <v>#N/A</v>
          </cell>
          <cell r="B815" t="e">
            <v>#N/A</v>
          </cell>
          <cell r="C815" t="e">
            <v>#N/A</v>
          </cell>
          <cell r="O815" t="e">
            <v>#N/A</v>
          </cell>
          <cell r="P815" t="e">
            <v>#N/A</v>
          </cell>
          <cell r="Q815" t="e">
            <v>#N/A</v>
          </cell>
          <cell r="R815" t="e">
            <v>#N/A</v>
          </cell>
          <cell r="S815" t="e">
            <v>#N/A</v>
          </cell>
          <cell r="T815" t="e">
            <v>#N/A</v>
          </cell>
          <cell r="U815" t="e">
            <v>#N/A</v>
          </cell>
          <cell r="V815" t="e">
            <v>#N/A</v>
          </cell>
          <cell r="W815" t="e">
            <v>#N/A</v>
          </cell>
          <cell r="X815" t="e">
            <v>#N/A</v>
          </cell>
          <cell r="Y815" t="e">
            <v>#N/A</v>
          </cell>
          <cell r="Z815" t="e">
            <v>#N/A</v>
          </cell>
        </row>
        <row r="816">
          <cell r="A816" t="e">
            <v>#N/A</v>
          </cell>
          <cell r="B816" t="e">
            <v>#N/A</v>
          </cell>
          <cell r="C816" t="e">
            <v>#N/A</v>
          </cell>
          <cell r="O816" t="e">
            <v>#N/A</v>
          </cell>
          <cell r="P816" t="e">
            <v>#N/A</v>
          </cell>
          <cell r="Q816" t="e">
            <v>#N/A</v>
          </cell>
          <cell r="R816" t="e">
            <v>#N/A</v>
          </cell>
          <cell r="S816" t="e">
            <v>#N/A</v>
          </cell>
          <cell r="T816" t="e">
            <v>#N/A</v>
          </cell>
          <cell r="U816" t="e">
            <v>#N/A</v>
          </cell>
          <cell r="V816" t="e">
            <v>#N/A</v>
          </cell>
          <cell r="W816" t="e">
            <v>#N/A</v>
          </cell>
          <cell r="X816" t="e">
            <v>#N/A</v>
          </cell>
          <cell r="Y816" t="e">
            <v>#N/A</v>
          </cell>
          <cell r="Z816" t="e">
            <v>#N/A</v>
          </cell>
        </row>
        <row r="817">
          <cell r="A817" t="e">
            <v>#N/A</v>
          </cell>
          <cell r="B817" t="e">
            <v>#N/A</v>
          </cell>
          <cell r="C817" t="e">
            <v>#N/A</v>
          </cell>
          <cell r="O817" t="e">
            <v>#N/A</v>
          </cell>
          <cell r="P817" t="e">
            <v>#N/A</v>
          </cell>
          <cell r="Q817" t="e">
            <v>#N/A</v>
          </cell>
          <cell r="R817" t="e">
            <v>#N/A</v>
          </cell>
          <cell r="S817" t="e">
            <v>#N/A</v>
          </cell>
          <cell r="T817" t="e">
            <v>#N/A</v>
          </cell>
          <cell r="U817" t="e">
            <v>#N/A</v>
          </cell>
          <cell r="V817" t="e">
            <v>#N/A</v>
          </cell>
          <cell r="W817" t="e">
            <v>#N/A</v>
          </cell>
          <cell r="X817" t="e">
            <v>#N/A</v>
          </cell>
          <cell r="Y817" t="e">
            <v>#N/A</v>
          </cell>
          <cell r="Z817" t="e">
            <v>#N/A</v>
          </cell>
        </row>
        <row r="818">
          <cell r="A818" t="e">
            <v>#N/A</v>
          </cell>
          <cell r="B818" t="e">
            <v>#N/A</v>
          </cell>
          <cell r="C818" t="e">
            <v>#N/A</v>
          </cell>
          <cell r="O818" t="e">
            <v>#N/A</v>
          </cell>
          <cell r="P818" t="e">
            <v>#N/A</v>
          </cell>
          <cell r="Q818" t="e">
            <v>#N/A</v>
          </cell>
          <cell r="R818" t="e">
            <v>#N/A</v>
          </cell>
          <cell r="S818" t="e">
            <v>#N/A</v>
          </cell>
          <cell r="T818" t="e">
            <v>#N/A</v>
          </cell>
          <cell r="U818" t="e">
            <v>#N/A</v>
          </cell>
          <cell r="V818" t="e">
            <v>#N/A</v>
          </cell>
          <cell r="W818" t="e">
            <v>#N/A</v>
          </cell>
          <cell r="X818" t="e">
            <v>#N/A</v>
          </cell>
          <cell r="Y818" t="e">
            <v>#N/A</v>
          </cell>
          <cell r="Z818" t="e">
            <v>#N/A</v>
          </cell>
        </row>
        <row r="819">
          <cell r="A819" t="e">
            <v>#N/A</v>
          </cell>
          <cell r="B819" t="e">
            <v>#N/A</v>
          </cell>
          <cell r="C819" t="e">
            <v>#N/A</v>
          </cell>
          <cell r="O819" t="e">
            <v>#N/A</v>
          </cell>
          <cell r="P819" t="e">
            <v>#N/A</v>
          </cell>
          <cell r="Q819" t="e">
            <v>#N/A</v>
          </cell>
          <cell r="R819" t="e">
            <v>#N/A</v>
          </cell>
          <cell r="S819" t="e">
            <v>#N/A</v>
          </cell>
          <cell r="T819" t="e">
            <v>#N/A</v>
          </cell>
          <cell r="U819" t="e">
            <v>#N/A</v>
          </cell>
          <cell r="V819" t="e">
            <v>#N/A</v>
          </cell>
          <cell r="W819" t="e">
            <v>#N/A</v>
          </cell>
          <cell r="X819" t="e">
            <v>#N/A</v>
          </cell>
          <cell r="Y819" t="e">
            <v>#N/A</v>
          </cell>
          <cell r="Z819" t="e">
            <v>#N/A</v>
          </cell>
        </row>
        <row r="820">
          <cell r="A820" t="e">
            <v>#N/A</v>
          </cell>
          <cell r="B820" t="e">
            <v>#N/A</v>
          </cell>
          <cell r="C820" t="e">
            <v>#N/A</v>
          </cell>
          <cell r="O820" t="e">
            <v>#N/A</v>
          </cell>
          <cell r="P820" t="e">
            <v>#N/A</v>
          </cell>
          <cell r="Q820" t="e">
            <v>#N/A</v>
          </cell>
          <cell r="R820" t="e">
            <v>#N/A</v>
          </cell>
          <cell r="S820" t="e">
            <v>#N/A</v>
          </cell>
          <cell r="T820" t="e">
            <v>#N/A</v>
          </cell>
          <cell r="U820" t="e">
            <v>#N/A</v>
          </cell>
          <cell r="V820" t="e">
            <v>#N/A</v>
          </cell>
          <cell r="W820" t="e">
            <v>#N/A</v>
          </cell>
          <cell r="X820" t="e">
            <v>#N/A</v>
          </cell>
          <cell r="Y820" t="e">
            <v>#N/A</v>
          </cell>
          <cell r="Z820" t="e">
            <v>#N/A</v>
          </cell>
        </row>
        <row r="821">
          <cell r="A821" t="e">
            <v>#N/A</v>
          </cell>
          <cell r="B821" t="e">
            <v>#N/A</v>
          </cell>
          <cell r="C821" t="e">
            <v>#N/A</v>
          </cell>
          <cell r="O821" t="e">
            <v>#N/A</v>
          </cell>
          <cell r="P821" t="e">
            <v>#N/A</v>
          </cell>
          <cell r="Q821" t="e">
            <v>#N/A</v>
          </cell>
          <cell r="R821" t="e">
            <v>#N/A</v>
          </cell>
          <cell r="S821" t="e">
            <v>#N/A</v>
          </cell>
          <cell r="T821" t="e">
            <v>#N/A</v>
          </cell>
          <cell r="U821" t="e">
            <v>#N/A</v>
          </cell>
          <cell r="V821" t="e">
            <v>#N/A</v>
          </cell>
          <cell r="W821" t="e">
            <v>#N/A</v>
          </cell>
          <cell r="X821" t="e">
            <v>#N/A</v>
          </cell>
          <cell r="Y821" t="e">
            <v>#N/A</v>
          </cell>
          <cell r="Z821" t="e">
            <v>#N/A</v>
          </cell>
        </row>
        <row r="822">
          <cell r="A822" t="e">
            <v>#N/A</v>
          </cell>
          <cell r="B822" t="e">
            <v>#N/A</v>
          </cell>
          <cell r="C822" t="e">
            <v>#N/A</v>
          </cell>
          <cell r="O822" t="e">
            <v>#N/A</v>
          </cell>
          <cell r="P822" t="e">
            <v>#N/A</v>
          </cell>
          <cell r="Q822" t="e">
            <v>#N/A</v>
          </cell>
          <cell r="R822" t="e">
            <v>#N/A</v>
          </cell>
          <cell r="S822" t="e">
            <v>#N/A</v>
          </cell>
          <cell r="T822" t="e">
            <v>#N/A</v>
          </cell>
          <cell r="U822" t="e">
            <v>#N/A</v>
          </cell>
          <cell r="V822" t="e">
            <v>#N/A</v>
          </cell>
          <cell r="W822" t="e">
            <v>#N/A</v>
          </cell>
          <cell r="X822" t="e">
            <v>#N/A</v>
          </cell>
          <cell r="Y822" t="e">
            <v>#N/A</v>
          </cell>
          <cell r="Z822" t="e">
            <v>#N/A</v>
          </cell>
        </row>
        <row r="823">
          <cell r="A823" t="e">
            <v>#N/A</v>
          </cell>
          <cell r="B823" t="e">
            <v>#N/A</v>
          </cell>
          <cell r="C823" t="e">
            <v>#N/A</v>
          </cell>
          <cell r="O823" t="e">
            <v>#N/A</v>
          </cell>
          <cell r="P823" t="e">
            <v>#N/A</v>
          </cell>
          <cell r="Q823" t="e">
            <v>#N/A</v>
          </cell>
          <cell r="R823" t="e">
            <v>#N/A</v>
          </cell>
          <cell r="S823" t="e">
            <v>#N/A</v>
          </cell>
          <cell r="T823" t="e">
            <v>#N/A</v>
          </cell>
          <cell r="U823" t="e">
            <v>#N/A</v>
          </cell>
          <cell r="V823" t="e">
            <v>#N/A</v>
          </cell>
          <cell r="W823" t="e">
            <v>#N/A</v>
          </cell>
          <cell r="X823" t="e">
            <v>#N/A</v>
          </cell>
          <cell r="Y823" t="e">
            <v>#N/A</v>
          </cell>
          <cell r="Z823" t="e">
            <v>#N/A</v>
          </cell>
        </row>
        <row r="824">
          <cell r="A824" t="e">
            <v>#N/A</v>
          </cell>
          <cell r="B824" t="e">
            <v>#N/A</v>
          </cell>
          <cell r="C824" t="e">
            <v>#N/A</v>
          </cell>
          <cell r="O824" t="e">
            <v>#N/A</v>
          </cell>
          <cell r="P824" t="e">
            <v>#N/A</v>
          </cell>
          <cell r="Q824" t="e">
            <v>#N/A</v>
          </cell>
          <cell r="R824" t="e">
            <v>#N/A</v>
          </cell>
          <cell r="S824" t="e">
            <v>#N/A</v>
          </cell>
          <cell r="T824" t="e">
            <v>#N/A</v>
          </cell>
          <cell r="U824" t="e">
            <v>#N/A</v>
          </cell>
          <cell r="V824" t="e">
            <v>#N/A</v>
          </cell>
          <cell r="W824" t="e">
            <v>#N/A</v>
          </cell>
          <cell r="X824" t="e">
            <v>#N/A</v>
          </cell>
          <cell r="Y824" t="e">
            <v>#N/A</v>
          </cell>
          <cell r="Z824" t="e">
            <v>#N/A</v>
          </cell>
        </row>
        <row r="825">
          <cell r="A825" t="e">
            <v>#N/A</v>
          </cell>
          <cell r="B825" t="e">
            <v>#N/A</v>
          </cell>
          <cell r="C825" t="e">
            <v>#N/A</v>
          </cell>
          <cell r="O825" t="e">
            <v>#N/A</v>
          </cell>
          <cell r="P825" t="e">
            <v>#N/A</v>
          </cell>
          <cell r="Q825" t="e">
            <v>#N/A</v>
          </cell>
          <cell r="R825" t="e">
            <v>#N/A</v>
          </cell>
          <cell r="S825" t="e">
            <v>#N/A</v>
          </cell>
          <cell r="T825" t="e">
            <v>#N/A</v>
          </cell>
          <cell r="U825" t="e">
            <v>#N/A</v>
          </cell>
          <cell r="V825" t="e">
            <v>#N/A</v>
          </cell>
          <cell r="W825" t="e">
            <v>#N/A</v>
          </cell>
          <cell r="X825" t="e">
            <v>#N/A</v>
          </cell>
          <cell r="Y825" t="e">
            <v>#N/A</v>
          </cell>
          <cell r="Z825" t="e">
            <v>#N/A</v>
          </cell>
        </row>
        <row r="826">
          <cell r="A826" t="e">
            <v>#N/A</v>
          </cell>
          <cell r="B826" t="e">
            <v>#N/A</v>
          </cell>
          <cell r="C826" t="e">
            <v>#N/A</v>
          </cell>
          <cell r="O826" t="e">
            <v>#N/A</v>
          </cell>
          <cell r="P826" t="e">
            <v>#N/A</v>
          </cell>
          <cell r="Q826" t="e">
            <v>#N/A</v>
          </cell>
          <cell r="R826" t="e">
            <v>#N/A</v>
          </cell>
          <cell r="S826" t="e">
            <v>#N/A</v>
          </cell>
          <cell r="T826" t="e">
            <v>#N/A</v>
          </cell>
          <cell r="U826" t="e">
            <v>#N/A</v>
          </cell>
          <cell r="V826" t="e">
            <v>#N/A</v>
          </cell>
          <cell r="W826" t="e">
            <v>#N/A</v>
          </cell>
          <cell r="X826" t="e">
            <v>#N/A</v>
          </cell>
          <cell r="Y826" t="e">
            <v>#N/A</v>
          </cell>
          <cell r="Z826" t="e">
            <v>#N/A</v>
          </cell>
        </row>
        <row r="827">
          <cell r="A827" t="e">
            <v>#N/A</v>
          </cell>
          <cell r="B827" t="e">
            <v>#N/A</v>
          </cell>
          <cell r="C827" t="e">
            <v>#N/A</v>
          </cell>
          <cell r="O827" t="e">
            <v>#N/A</v>
          </cell>
          <cell r="P827" t="e">
            <v>#N/A</v>
          </cell>
          <cell r="Q827" t="e">
            <v>#N/A</v>
          </cell>
          <cell r="R827" t="e">
            <v>#N/A</v>
          </cell>
          <cell r="S827" t="e">
            <v>#N/A</v>
          </cell>
          <cell r="T827" t="e">
            <v>#N/A</v>
          </cell>
          <cell r="U827" t="e">
            <v>#N/A</v>
          </cell>
          <cell r="V827" t="e">
            <v>#N/A</v>
          </cell>
          <cell r="W827" t="e">
            <v>#N/A</v>
          </cell>
          <cell r="X827" t="e">
            <v>#N/A</v>
          </cell>
          <cell r="Y827" t="e">
            <v>#N/A</v>
          </cell>
          <cell r="Z827" t="e">
            <v>#N/A</v>
          </cell>
        </row>
        <row r="828">
          <cell r="A828" t="e">
            <v>#N/A</v>
          </cell>
          <cell r="B828" t="e">
            <v>#N/A</v>
          </cell>
          <cell r="C828" t="e">
            <v>#N/A</v>
          </cell>
          <cell r="O828" t="e">
            <v>#N/A</v>
          </cell>
          <cell r="P828" t="e">
            <v>#N/A</v>
          </cell>
          <cell r="Q828" t="e">
            <v>#N/A</v>
          </cell>
          <cell r="R828" t="e">
            <v>#N/A</v>
          </cell>
          <cell r="S828" t="e">
            <v>#N/A</v>
          </cell>
          <cell r="T828" t="e">
            <v>#N/A</v>
          </cell>
          <cell r="U828" t="e">
            <v>#N/A</v>
          </cell>
          <cell r="V828" t="e">
            <v>#N/A</v>
          </cell>
          <cell r="W828" t="e">
            <v>#N/A</v>
          </cell>
          <cell r="X828" t="e">
            <v>#N/A</v>
          </cell>
          <cell r="Y828" t="e">
            <v>#N/A</v>
          </cell>
          <cell r="Z828" t="e">
            <v>#N/A</v>
          </cell>
        </row>
        <row r="829">
          <cell r="A829" t="e">
            <v>#N/A</v>
          </cell>
          <cell r="B829" t="e">
            <v>#N/A</v>
          </cell>
          <cell r="C829" t="e">
            <v>#N/A</v>
          </cell>
          <cell r="O829" t="e">
            <v>#N/A</v>
          </cell>
          <cell r="P829" t="e">
            <v>#N/A</v>
          </cell>
          <cell r="Q829" t="e">
            <v>#N/A</v>
          </cell>
          <cell r="R829" t="e">
            <v>#N/A</v>
          </cell>
          <cell r="S829" t="e">
            <v>#N/A</v>
          </cell>
          <cell r="T829" t="e">
            <v>#N/A</v>
          </cell>
          <cell r="U829" t="e">
            <v>#N/A</v>
          </cell>
          <cell r="V829" t="e">
            <v>#N/A</v>
          </cell>
          <cell r="W829" t="e">
            <v>#N/A</v>
          </cell>
          <cell r="X829" t="e">
            <v>#N/A</v>
          </cell>
          <cell r="Y829" t="e">
            <v>#N/A</v>
          </cell>
          <cell r="Z829" t="e">
            <v>#N/A</v>
          </cell>
        </row>
        <row r="830">
          <cell r="A830" t="e">
            <v>#N/A</v>
          </cell>
          <cell r="B830" t="e">
            <v>#N/A</v>
          </cell>
          <cell r="C830" t="e">
            <v>#N/A</v>
          </cell>
          <cell r="O830" t="e">
            <v>#N/A</v>
          </cell>
          <cell r="P830" t="e">
            <v>#N/A</v>
          </cell>
          <cell r="Q830" t="e">
            <v>#N/A</v>
          </cell>
          <cell r="R830" t="e">
            <v>#N/A</v>
          </cell>
          <cell r="S830" t="e">
            <v>#N/A</v>
          </cell>
          <cell r="T830" t="e">
            <v>#N/A</v>
          </cell>
          <cell r="U830" t="e">
            <v>#N/A</v>
          </cell>
          <cell r="V830" t="e">
            <v>#N/A</v>
          </cell>
          <cell r="W830" t="e">
            <v>#N/A</v>
          </cell>
          <cell r="X830" t="e">
            <v>#N/A</v>
          </cell>
          <cell r="Y830" t="e">
            <v>#N/A</v>
          </cell>
          <cell r="Z830" t="e">
            <v>#N/A</v>
          </cell>
        </row>
        <row r="831">
          <cell r="A831" t="e">
            <v>#N/A</v>
          </cell>
          <cell r="B831" t="e">
            <v>#N/A</v>
          </cell>
          <cell r="C831" t="e">
            <v>#N/A</v>
          </cell>
          <cell r="O831" t="e">
            <v>#N/A</v>
          </cell>
          <cell r="P831" t="e">
            <v>#N/A</v>
          </cell>
          <cell r="Q831" t="e">
            <v>#N/A</v>
          </cell>
          <cell r="R831" t="e">
            <v>#N/A</v>
          </cell>
          <cell r="S831" t="e">
            <v>#N/A</v>
          </cell>
          <cell r="T831" t="e">
            <v>#N/A</v>
          </cell>
          <cell r="U831" t="e">
            <v>#N/A</v>
          </cell>
          <cell r="V831" t="e">
            <v>#N/A</v>
          </cell>
          <cell r="W831" t="e">
            <v>#N/A</v>
          </cell>
          <cell r="X831" t="e">
            <v>#N/A</v>
          </cell>
          <cell r="Y831" t="e">
            <v>#N/A</v>
          </cell>
          <cell r="Z831" t="e">
            <v>#N/A</v>
          </cell>
        </row>
        <row r="832">
          <cell r="A832" t="e">
            <v>#N/A</v>
          </cell>
          <cell r="B832" t="e">
            <v>#N/A</v>
          </cell>
          <cell r="C832" t="e">
            <v>#N/A</v>
          </cell>
          <cell r="O832" t="e">
            <v>#N/A</v>
          </cell>
          <cell r="P832" t="e">
            <v>#N/A</v>
          </cell>
          <cell r="Q832" t="e">
            <v>#N/A</v>
          </cell>
          <cell r="R832" t="e">
            <v>#N/A</v>
          </cell>
          <cell r="S832" t="e">
            <v>#N/A</v>
          </cell>
          <cell r="T832" t="e">
            <v>#N/A</v>
          </cell>
          <cell r="U832" t="e">
            <v>#N/A</v>
          </cell>
          <cell r="V832" t="e">
            <v>#N/A</v>
          </cell>
          <cell r="W832" t="e">
            <v>#N/A</v>
          </cell>
          <cell r="X832" t="e">
            <v>#N/A</v>
          </cell>
          <cell r="Y832" t="e">
            <v>#N/A</v>
          </cell>
          <cell r="Z832" t="e">
            <v>#N/A</v>
          </cell>
        </row>
        <row r="833">
          <cell r="A833" t="e">
            <v>#N/A</v>
          </cell>
          <cell r="B833" t="e">
            <v>#N/A</v>
          </cell>
          <cell r="C833" t="e">
            <v>#N/A</v>
          </cell>
          <cell r="O833" t="e">
            <v>#N/A</v>
          </cell>
          <cell r="P833" t="e">
            <v>#N/A</v>
          </cell>
          <cell r="Q833" t="e">
            <v>#N/A</v>
          </cell>
          <cell r="R833" t="e">
            <v>#N/A</v>
          </cell>
          <cell r="S833" t="e">
            <v>#N/A</v>
          </cell>
          <cell r="T833" t="e">
            <v>#N/A</v>
          </cell>
          <cell r="U833" t="e">
            <v>#N/A</v>
          </cell>
          <cell r="V833" t="e">
            <v>#N/A</v>
          </cell>
          <cell r="W833" t="e">
            <v>#N/A</v>
          </cell>
          <cell r="X833" t="e">
            <v>#N/A</v>
          </cell>
          <cell r="Y833" t="e">
            <v>#N/A</v>
          </cell>
          <cell r="Z833" t="e">
            <v>#N/A</v>
          </cell>
        </row>
        <row r="834">
          <cell r="A834" t="e">
            <v>#N/A</v>
          </cell>
          <cell r="B834" t="e">
            <v>#N/A</v>
          </cell>
          <cell r="C834" t="e">
            <v>#N/A</v>
          </cell>
          <cell r="O834" t="e">
            <v>#N/A</v>
          </cell>
          <cell r="P834" t="e">
            <v>#N/A</v>
          </cell>
          <cell r="Q834" t="e">
            <v>#N/A</v>
          </cell>
          <cell r="R834" t="e">
            <v>#N/A</v>
          </cell>
          <cell r="S834" t="e">
            <v>#N/A</v>
          </cell>
          <cell r="T834" t="e">
            <v>#N/A</v>
          </cell>
          <cell r="U834" t="e">
            <v>#N/A</v>
          </cell>
          <cell r="V834" t="e">
            <v>#N/A</v>
          </cell>
          <cell r="W834" t="e">
            <v>#N/A</v>
          </cell>
          <cell r="X834" t="e">
            <v>#N/A</v>
          </cell>
          <cell r="Y834" t="e">
            <v>#N/A</v>
          </cell>
          <cell r="Z834" t="e">
            <v>#N/A</v>
          </cell>
        </row>
        <row r="835">
          <cell r="A835" t="e">
            <v>#N/A</v>
          </cell>
          <cell r="B835" t="e">
            <v>#N/A</v>
          </cell>
          <cell r="C835" t="e">
            <v>#N/A</v>
          </cell>
          <cell r="O835" t="e">
            <v>#N/A</v>
          </cell>
          <cell r="P835" t="e">
            <v>#N/A</v>
          </cell>
          <cell r="Q835" t="e">
            <v>#N/A</v>
          </cell>
          <cell r="R835" t="e">
            <v>#N/A</v>
          </cell>
          <cell r="S835" t="e">
            <v>#N/A</v>
          </cell>
          <cell r="T835" t="e">
            <v>#N/A</v>
          </cell>
          <cell r="U835" t="e">
            <v>#N/A</v>
          </cell>
          <cell r="V835" t="e">
            <v>#N/A</v>
          </cell>
          <cell r="W835" t="e">
            <v>#N/A</v>
          </cell>
          <cell r="X835" t="e">
            <v>#N/A</v>
          </cell>
          <cell r="Y835" t="e">
            <v>#N/A</v>
          </cell>
          <cell r="Z835" t="e">
            <v>#N/A</v>
          </cell>
        </row>
        <row r="836">
          <cell r="A836" t="e">
            <v>#N/A</v>
          </cell>
          <cell r="B836" t="e">
            <v>#N/A</v>
          </cell>
          <cell r="C836" t="e">
            <v>#N/A</v>
          </cell>
          <cell r="O836" t="e">
            <v>#N/A</v>
          </cell>
          <cell r="P836" t="e">
            <v>#N/A</v>
          </cell>
          <cell r="Q836" t="e">
            <v>#N/A</v>
          </cell>
          <cell r="R836" t="e">
            <v>#N/A</v>
          </cell>
          <cell r="S836" t="e">
            <v>#N/A</v>
          </cell>
          <cell r="T836" t="e">
            <v>#N/A</v>
          </cell>
          <cell r="U836" t="e">
            <v>#N/A</v>
          </cell>
          <cell r="V836" t="e">
            <v>#N/A</v>
          </cell>
          <cell r="W836" t="e">
            <v>#N/A</v>
          </cell>
          <cell r="X836" t="e">
            <v>#N/A</v>
          </cell>
          <cell r="Y836" t="e">
            <v>#N/A</v>
          </cell>
          <cell r="Z836" t="e">
            <v>#N/A</v>
          </cell>
        </row>
        <row r="837">
          <cell r="A837" t="e">
            <v>#N/A</v>
          </cell>
          <cell r="B837" t="e">
            <v>#N/A</v>
          </cell>
          <cell r="C837" t="e">
            <v>#N/A</v>
          </cell>
          <cell r="O837" t="e">
            <v>#N/A</v>
          </cell>
          <cell r="P837" t="e">
            <v>#N/A</v>
          </cell>
          <cell r="Q837" t="e">
            <v>#N/A</v>
          </cell>
          <cell r="R837" t="e">
            <v>#N/A</v>
          </cell>
          <cell r="S837" t="e">
            <v>#N/A</v>
          </cell>
          <cell r="T837" t="e">
            <v>#N/A</v>
          </cell>
          <cell r="U837" t="e">
            <v>#N/A</v>
          </cell>
          <cell r="V837" t="e">
            <v>#N/A</v>
          </cell>
          <cell r="W837" t="e">
            <v>#N/A</v>
          </cell>
          <cell r="X837" t="e">
            <v>#N/A</v>
          </cell>
          <cell r="Y837" t="e">
            <v>#N/A</v>
          </cell>
          <cell r="Z837" t="e">
            <v>#N/A</v>
          </cell>
        </row>
        <row r="838">
          <cell r="A838" t="e">
            <v>#N/A</v>
          </cell>
          <cell r="B838" t="e">
            <v>#N/A</v>
          </cell>
          <cell r="C838" t="e">
            <v>#N/A</v>
          </cell>
          <cell r="O838" t="e">
            <v>#N/A</v>
          </cell>
          <cell r="P838" t="e">
            <v>#N/A</v>
          </cell>
          <cell r="Q838" t="e">
            <v>#N/A</v>
          </cell>
          <cell r="R838" t="e">
            <v>#N/A</v>
          </cell>
          <cell r="S838" t="e">
            <v>#N/A</v>
          </cell>
          <cell r="T838" t="e">
            <v>#N/A</v>
          </cell>
          <cell r="U838" t="e">
            <v>#N/A</v>
          </cell>
          <cell r="V838" t="e">
            <v>#N/A</v>
          </cell>
          <cell r="W838" t="e">
            <v>#N/A</v>
          </cell>
          <cell r="X838" t="e">
            <v>#N/A</v>
          </cell>
          <cell r="Y838" t="e">
            <v>#N/A</v>
          </cell>
          <cell r="Z838" t="e">
            <v>#N/A</v>
          </cell>
        </row>
        <row r="839">
          <cell r="A839" t="e">
            <v>#N/A</v>
          </cell>
          <cell r="B839" t="e">
            <v>#N/A</v>
          </cell>
          <cell r="C839" t="e">
            <v>#N/A</v>
          </cell>
          <cell r="O839" t="e">
            <v>#N/A</v>
          </cell>
          <cell r="P839" t="e">
            <v>#N/A</v>
          </cell>
          <cell r="Q839" t="e">
            <v>#N/A</v>
          </cell>
          <cell r="R839" t="e">
            <v>#N/A</v>
          </cell>
          <cell r="S839" t="e">
            <v>#N/A</v>
          </cell>
          <cell r="T839" t="e">
            <v>#N/A</v>
          </cell>
          <cell r="U839" t="e">
            <v>#N/A</v>
          </cell>
          <cell r="V839" t="e">
            <v>#N/A</v>
          </cell>
          <cell r="W839" t="e">
            <v>#N/A</v>
          </cell>
          <cell r="X839" t="e">
            <v>#N/A</v>
          </cell>
          <cell r="Y839" t="e">
            <v>#N/A</v>
          </cell>
          <cell r="Z839" t="e">
            <v>#N/A</v>
          </cell>
        </row>
        <row r="840">
          <cell r="A840" t="e">
            <v>#N/A</v>
          </cell>
          <cell r="B840" t="e">
            <v>#N/A</v>
          </cell>
          <cell r="C840" t="e">
            <v>#N/A</v>
          </cell>
          <cell r="O840" t="e">
            <v>#N/A</v>
          </cell>
          <cell r="P840" t="e">
            <v>#N/A</v>
          </cell>
          <cell r="Q840" t="e">
            <v>#N/A</v>
          </cell>
          <cell r="R840" t="e">
            <v>#N/A</v>
          </cell>
          <cell r="S840" t="e">
            <v>#N/A</v>
          </cell>
          <cell r="T840" t="e">
            <v>#N/A</v>
          </cell>
          <cell r="U840" t="e">
            <v>#N/A</v>
          </cell>
          <cell r="V840" t="e">
            <v>#N/A</v>
          </cell>
          <cell r="W840" t="e">
            <v>#N/A</v>
          </cell>
          <cell r="X840" t="e">
            <v>#N/A</v>
          </cell>
          <cell r="Y840" t="e">
            <v>#N/A</v>
          </cell>
          <cell r="Z840" t="e">
            <v>#N/A</v>
          </cell>
        </row>
        <row r="841">
          <cell r="A841" t="e">
            <v>#N/A</v>
          </cell>
          <cell r="B841" t="e">
            <v>#N/A</v>
          </cell>
          <cell r="C841" t="e">
            <v>#N/A</v>
          </cell>
          <cell r="O841" t="e">
            <v>#N/A</v>
          </cell>
          <cell r="P841" t="e">
            <v>#N/A</v>
          </cell>
          <cell r="Q841" t="e">
            <v>#N/A</v>
          </cell>
          <cell r="R841" t="e">
            <v>#N/A</v>
          </cell>
          <cell r="S841" t="e">
            <v>#N/A</v>
          </cell>
          <cell r="T841" t="e">
            <v>#N/A</v>
          </cell>
          <cell r="U841" t="e">
            <v>#N/A</v>
          </cell>
          <cell r="V841" t="e">
            <v>#N/A</v>
          </cell>
          <cell r="W841" t="e">
            <v>#N/A</v>
          </cell>
          <cell r="X841" t="e">
            <v>#N/A</v>
          </cell>
          <cell r="Y841" t="e">
            <v>#N/A</v>
          </cell>
          <cell r="Z841" t="e">
            <v>#N/A</v>
          </cell>
        </row>
        <row r="842">
          <cell r="A842" t="e">
            <v>#N/A</v>
          </cell>
          <cell r="B842" t="e">
            <v>#N/A</v>
          </cell>
          <cell r="C842" t="e">
            <v>#N/A</v>
          </cell>
          <cell r="O842" t="e">
            <v>#N/A</v>
          </cell>
          <cell r="P842" t="e">
            <v>#N/A</v>
          </cell>
          <cell r="Q842" t="e">
            <v>#N/A</v>
          </cell>
          <cell r="R842" t="e">
            <v>#N/A</v>
          </cell>
          <cell r="S842" t="e">
            <v>#N/A</v>
          </cell>
          <cell r="T842" t="e">
            <v>#N/A</v>
          </cell>
          <cell r="U842" t="e">
            <v>#N/A</v>
          </cell>
          <cell r="V842" t="e">
            <v>#N/A</v>
          </cell>
          <cell r="W842" t="e">
            <v>#N/A</v>
          </cell>
          <cell r="X842" t="e">
            <v>#N/A</v>
          </cell>
          <cell r="Y842" t="e">
            <v>#N/A</v>
          </cell>
          <cell r="Z842" t="e">
            <v>#N/A</v>
          </cell>
        </row>
        <row r="843">
          <cell r="A843" t="e">
            <v>#N/A</v>
          </cell>
          <cell r="B843" t="e">
            <v>#N/A</v>
          </cell>
          <cell r="C843" t="e">
            <v>#N/A</v>
          </cell>
          <cell r="O843" t="e">
            <v>#N/A</v>
          </cell>
          <cell r="P843" t="e">
            <v>#N/A</v>
          </cell>
          <cell r="Q843" t="e">
            <v>#N/A</v>
          </cell>
          <cell r="R843" t="e">
            <v>#N/A</v>
          </cell>
          <cell r="S843" t="e">
            <v>#N/A</v>
          </cell>
          <cell r="T843" t="e">
            <v>#N/A</v>
          </cell>
          <cell r="U843" t="e">
            <v>#N/A</v>
          </cell>
          <cell r="V843" t="e">
            <v>#N/A</v>
          </cell>
          <cell r="W843" t="e">
            <v>#N/A</v>
          </cell>
          <cell r="X843" t="e">
            <v>#N/A</v>
          </cell>
          <cell r="Y843" t="e">
            <v>#N/A</v>
          </cell>
          <cell r="Z843" t="e">
            <v>#N/A</v>
          </cell>
        </row>
        <row r="844">
          <cell r="A844" t="e">
            <v>#N/A</v>
          </cell>
          <cell r="B844" t="e">
            <v>#N/A</v>
          </cell>
          <cell r="C844" t="e">
            <v>#N/A</v>
          </cell>
          <cell r="O844" t="e">
            <v>#N/A</v>
          </cell>
          <cell r="P844" t="e">
            <v>#N/A</v>
          </cell>
          <cell r="Q844" t="e">
            <v>#N/A</v>
          </cell>
          <cell r="R844" t="e">
            <v>#N/A</v>
          </cell>
          <cell r="S844" t="e">
            <v>#N/A</v>
          </cell>
          <cell r="T844" t="e">
            <v>#N/A</v>
          </cell>
          <cell r="U844" t="e">
            <v>#N/A</v>
          </cell>
          <cell r="V844" t="e">
            <v>#N/A</v>
          </cell>
          <cell r="W844" t="e">
            <v>#N/A</v>
          </cell>
          <cell r="X844" t="e">
            <v>#N/A</v>
          </cell>
          <cell r="Y844" t="e">
            <v>#N/A</v>
          </cell>
          <cell r="Z844" t="e">
            <v>#N/A</v>
          </cell>
        </row>
        <row r="845">
          <cell r="A845" t="e">
            <v>#N/A</v>
          </cell>
          <cell r="B845" t="e">
            <v>#N/A</v>
          </cell>
          <cell r="C845" t="e">
            <v>#N/A</v>
          </cell>
          <cell r="O845" t="e">
            <v>#N/A</v>
          </cell>
          <cell r="P845" t="e">
            <v>#N/A</v>
          </cell>
          <cell r="Q845" t="e">
            <v>#N/A</v>
          </cell>
          <cell r="R845" t="e">
            <v>#N/A</v>
          </cell>
          <cell r="S845" t="e">
            <v>#N/A</v>
          </cell>
          <cell r="T845" t="e">
            <v>#N/A</v>
          </cell>
          <cell r="U845" t="e">
            <v>#N/A</v>
          </cell>
          <cell r="V845" t="e">
            <v>#N/A</v>
          </cell>
          <cell r="W845" t="e">
            <v>#N/A</v>
          </cell>
          <cell r="X845" t="e">
            <v>#N/A</v>
          </cell>
          <cell r="Y845" t="e">
            <v>#N/A</v>
          </cell>
          <cell r="Z845" t="e">
            <v>#N/A</v>
          </cell>
        </row>
        <row r="846">
          <cell r="A846" t="e">
            <v>#N/A</v>
          </cell>
          <cell r="B846" t="e">
            <v>#N/A</v>
          </cell>
          <cell r="C846" t="e">
            <v>#N/A</v>
          </cell>
          <cell r="O846" t="e">
            <v>#N/A</v>
          </cell>
          <cell r="P846" t="e">
            <v>#N/A</v>
          </cell>
          <cell r="Q846" t="e">
            <v>#N/A</v>
          </cell>
          <cell r="R846" t="e">
            <v>#N/A</v>
          </cell>
          <cell r="S846" t="e">
            <v>#N/A</v>
          </cell>
          <cell r="T846" t="e">
            <v>#N/A</v>
          </cell>
          <cell r="U846" t="e">
            <v>#N/A</v>
          </cell>
          <cell r="V846" t="e">
            <v>#N/A</v>
          </cell>
          <cell r="W846" t="e">
            <v>#N/A</v>
          </cell>
          <cell r="X846" t="e">
            <v>#N/A</v>
          </cell>
          <cell r="Y846" t="e">
            <v>#N/A</v>
          </cell>
          <cell r="Z846" t="e">
            <v>#N/A</v>
          </cell>
        </row>
        <row r="847">
          <cell r="A847" t="e">
            <v>#N/A</v>
          </cell>
          <cell r="B847" t="e">
            <v>#N/A</v>
          </cell>
          <cell r="C847" t="e">
            <v>#N/A</v>
          </cell>
          <cell r="O847" t="e">
            <v>#N/A</v>
          </cell>
          <cell r="P847" t="e">
            <v>#N/A</v>
          </cell>
          <cell r="Q847" t="e">
            <v>#N/A</v>
          </cell>
          <cell r="R847" t="e">
            <v>#N/A</v>
          </cell>
          <cell r="S847" t="e">
            <v>#N/A</v>
          </cell>
          <cell r="T847" t="e">
            <v>#N/A</v>
          </cell>
          <cell r="U847" t="e">
            <v>#N/A</v>
          </cell>
          <cell r="V847" t="e">
            <v>#N/A</v>
          </cell>
          <cell r="W847" t="e">
            <v>#N/A</v>
          </cell>
          <cell r="X847" t="e">
            <v>#N/A</v>
          </cell>
          <cell r="Y847" t="e">
            <v>#N/A</v>
          </cell>
          <cell r="Z847" t="e">
            <v>#N/A</v>
          </cell>
        </row>
        <row r="848">
          <cell r="A848" t="e">
            <v>#N/A</v>
          </cell>
          <cell r="B848" t="e">
            <v>#N/A</v>
          </cell>
          <cell r="C848" t="e">
            <v>#N/A</v>
          </cell>
          <cell r="O848" t="e">
            <v>#N/A</v>
          </cell>
          <cell r="P848" t="e">
            <v>#N/A</v>
          </cell>
          <cell r="Q848" t="e">
            <v>#N/A</v>
          </cell>
          <cell r="R848" t="e">
            <v>#N/A</v>
          </cell>
          <cell r="S848" t="e">
            <v>#N/A</v>
          </cell>
          <cell r="T848" t="e">
            <v>#N/A</v>
          </cell>
          <cell r="U848" t="e">
            <v>#N/A</v>
          </cell>
          <cell r="V848" t="e">
            <v>#N/A</v>
          </cell>
          <cell r="W848" t="e">
            <v>#N/A</v>
          </cell>
          <cell r="X848" t="e">
            <v>#N/A</v>
          </cell>
          <cell r="Y848" t="e">
            <v>#N/A</v>
          </cell>
          <cell r="Z848" t="e">
            <v>#N/A</v>
          </cell>
        </row>
        <row r="849">
          <cell r="A849" t="e">
            <v>#N/A</v>
          </cell>
          <cell r="B849" t="e">
            <v>#N/A</v>
          </cell>
          <cell r="C849" t="e">
            <v>#N/A</v>
          </cell>
          <cell r="O849" t="e">
            <v>#N/A</v>
          </cell>
          <cell r="P849" t="e">
            <v>#N/A</v>
          </cell>
          <cell r="Q849" t="e">
            <v>#N/A</v>
          </cell>
          <cell r="R849" t="e">
            <v>#N/A</v>
          </cell>
          <cell r="S849" t="e">
            <v>#N/A</v>
          </cell>
          <cell r="T849" t="e">
            <v>#N/A</v>
          </cell>
          <cell r="U849" t="e">
            <v>#N/A</v>
          </cell>
          <cell r="V849" t="e">
            <v>#N/A</v>
          </cell>
          <cell r="W849" t="e">
            <v>#N/A</v>
          </cell>
          <cell r="X849" t="e">
            <v>#N/A</v>
          </cell>
          <cell r="Y849" t="e">
            <v>#N/A</v>
          </cell>
          <cell r="Z849" t="e">
            <v>#N/A</v>
          </cell>
        </row>
        <row r="850">
          <cell r="A850" t="e">
            <v>#N/A</v>
          </cell>
          <cell r="B850" t="e">
            <v>#N/A</v>
          </cell>
          <cell r="C850" t="e">
            <v>#N/A</v>
          </cell>
          <cell r="O850" t="e">
            <v>#N/A</v>
          </cell>
          <cell r="P850" t="e">
            <v>#N/A</v>
          </cell>
          <cell r="Q850" t="e">
            <v>#N/A</v>
          </cell>
          <cell r="R850" t="e">
            <v>#N/A</v>
          </cell>
          <cell r="S850" t="e">
            <v>#N/A</v>
          </cell>
          <cell r="T850" t="e">
            <v>#N/A</v>
          </cell>
          <cell r="U850" t="e">
            <v>#N/A</v>
          </cell>
          <cell r="V850" t="e">
            <v>#N/A</v>
          </cell>
          <cell r="W850" t="e">
            <v>#N/A</v>
          </cell>
          <cell r="X850" t="e">
            <v>#N/A</v>
          </cell>
          <cell r="Y850" t="e">
            <v>#N/A</v>
          </cell>
          <cell r="Z850" t="e">
            <v>#N/A</v>
          </cell>
        </row>
      </sheetData>
      <sheetData sheetId="2">
        <row r="2">
          <cell r="AG2" t="str">
            <v>Недобуренные</v>
          </cell>
          <cell r="AH2" t="str">
            <v>Перебуренные</v>
          </cell>
          <cell r="AI2" t="str">
            <v>Проектные</v>
          </cell>
        </row>
        <row r="4">
          <cell r="AF4" t="str">
            <v>Total</v>
          </cell>
          <cell r="AG4">
            <v>0</v>
          </cell>
          <cell r="AH4">
            <v>0</v>
          </cell>
          <cell r="AI4">
            <v>237</v>
          </cell>
        </row>
        <row r="5">
          <cell r="AF5" t="str">
            <v>%</v>
          </cell>
          <cell r="AG5">
            <v>0</v>
          </cell>
          <cell r="AH5">
            <v>0</v>
          </cell>
          <cell r="AI5">
            <v>1</v>
          </cell>
        </row>
        <row r="29">
          <cell r="AC29" t="str">
            <v>Below Tolerance</v>
          </cell>
          <cell r="AF29" t="str">
            <v>Above Tolerance</v>
          </cell>
        </row>
        <row r="31">
          <cell r="AD31">
            <v>0</v>
          </cell>
          <cell r="AE31">
            <v>-1</v>
          </cell>
          <cell r="AG31" t="str">
            <v/>
          </cell>
        </row>
        <row r="32">
          <cell r="AD32">
            <v>0</v>
          </cell>
          <cell r="AE32">
            <v>-0.9</v>
          </cell>
          <cell r="AG32" t="str">
            <v/>
          </cell>
        </row>
        <row r="33">
          <cell r="AD33">
            <v>0</v>
          </cell>
          <cell r="AE33">
            <v>-0.8</v>
          </cell>
          <cell r="AG33" t="str">
            <v/>
          </cell>
        </row>
        <row r="34">
          <cell r="AD34">
            <v>0</v>
          </cell>
          <cell r="AE34">
            <v>-0.7</v>
          </cell>
          <cell r="AG34" t="str">
            <v/>
          </cell>
        </row>
        <row r="35">
          <cell r="AD35">
            <v>0</v>
          </cell>
          <cell r="AE35">
            <v>-0.6</v>
          </cell>
          <cell r="AG35" t="str">
            <v/>
          </cell>
        </row>
        <row r="36">
          <cell r="AD36">
            <v>0</v>
          </cell>
          <cell r="AE36">
            <v>-0.5</v>
          </cell>
          <cell r="AG36" t="str">
            <v/>
          </cell>
        </row>
        <row r="37">
          <cell r="AD37">
            <v>0</v>
          </cell>
          <cell r="AE37">
            <v>-0.4</v>
          </cell>
          <cell r="AG37" t="str">
            <v/>
          </cell>
        </row>
        <row r="38">
          <cell r="AD38">
            <v>0</v>
          </cell>
          <cell r="AE38">
            <v>-0.3</v>
          </cell>
          <cell r="AG38" t="str">
            <v/>
          </cell>
        </row>
        <row r="39">
          <cell r="AD39">
            <v>0</v>
          </cell>
          <cell r="AE39">
            <v>-0.2</v>
          </cell>
          <cell r="AG39" t="str">
            <v/>
          </cell>
        </row>
        <row r="40">
          <cell r="AD40">
            <v>0</v>
          </cell>
          <cell r="AE40">
            <v>-0.1</v>
          </cell>
          <cell r="AG40" t="str">
            <v/>
          </cell>
        </row>
        <row r="41">
          <cell r="AD41">
            <v>237</v>
          </cell>
          <cell r="AE41">
            <v>0</v>
          </cell>
          <cell r="AG41" t="str">
            <v/>
          </cell>
        </row>
        <row r="42">
          <cell r="AD42">
            <v>0</v>
          </cell>
          <cell r="AE42">
            <v>0.1</v>
          </cell>
          <cell r="AG42" t="str">
            <v/>
          </cell>
        </row>
        <row r="43">
          <cell r="AD43">
            <v>0</v>
          </cell>
          <cell r="AE43">
            <v>0.2</v>
          </cell>
          <cell r="AG43" t="str">
            <v/>
          </cell>
        </row>
        <row r="44">
          <cell r="AD44">
            <v>0</v>
          </cell>
          <cell r="AE44">
            <v>0.3</v>
          </cell>
          <cell r="AG44" t="str">
            <v/>
          </cell>
        </row>
        <row r="45">
          <cell r="AD45">
            <v>0</v>
          </cell>
          <cell r="AE45">
            <v>0.4</v>
          </cell>
          <cell r="AG45" t="str">
            <v/>
          </cell>
        </row>
        <row r="46">
          <cell r="AD46">
            <v>0</v>
          </cell>
          <cell r="AE46">
            <v>0.5</v>
          </cell>
          <cell r="AG46" t="str">
            <v/>
          </cell>
        </row>
        <row r="47">
          <cell r="AD47" t="str">
            <v/>
          </cell>
          <cell r="AE47">
            <v>0.6</v>
          </cell>
          <cell r="AG47">
            <v>0</v>
          </cell>
        </row>
        <row r="48">
          <cell r="AD48" t="str">
            <v/>
          </cell>
          <cell r="AE48">
            <v>0.7</v>
          </cell>
          <cell r="AG48">
            <v>0</v>
          </cell>
        </row>
        <row r="49">
          <cell r="AD49" t="str">
            <v/>
          </cell>
          <cell r="AE49">
            <v>0.8</v>
          </cell>
          <cell r="AG49">
            <v>0</v>
          </cell>
        </row>
        <row r="50">
          <cell r="AD50" t="str">
            <v/>
          </cell>
          <cell r="AE50">
            <v>0.9</v>
          </cell>
          <cell r="AG50">
            <v>0</v>
          </cell>
        </row>
        <row r="51">
          <cell r="AD51" t="str">
            <v/>
          </cell>
          <cell r="AE51">
            <v>1</v>
          </cell>
          <cell r="AG51">
            <v>0</v>
          </cell>
        </row>
        <row r="52">
          <cell r="AD52" t="str">
            <v/>
          </cell>
          <cell r="AE52">
            <v>1.1000000000000001</v>
          </cell>
          <cell r="AG52">
            <v>0</v>
          </cell>
        </row>
        <row r="53">
          <cell r="AD53" t="str">
            <v/>
          </cell>
          <cell r="AE53">
            <v>1.2</v>
          </cell>
          <cell r="AG53">
            <v>0</v>
          </cell>
        </row>
        <row r="54">
          <cell r="AD54" t="str">
            <v/>
          </cell>
          <cell r="AE54">
            <v>1.3</v>
          </cell>
          <cell r="AG54">
            <v>0</v>
          </cell>
        </row>
        <row r="55">
          <cell r="AD55" t="str">
            <v/>
          </cell>
          <cell r="AE55">
            <v>1.4</v>
          </cell>
          <cell r="AG55">
            <v>0</v>
          </cell>
        </row>
        <row r="56">
          <cell r="AD56" t="str">
            <v/>
          </cell>
          <cell r="AE56">
            <v>1.5</v>
          </cell>
          <cell r="AG56">
            <v>0</v>
          </cell>
        </row>
        <row r="57">
          <cell r="AD57" t="str">
            <v/>
          </cell>
          <cell r="AE57">
            <v>1.6</v>
          </cell>
          <cell r="AG57">
            <v>0</v>
          </cell>
        </row>
        <row r="58">
          <cell r="AD58" t="str">
            <v/>
          </cell>
          <cell r="AE58">
            <v>1.7</v>
          </cell>
          <cell r="AG58">
            <v>0</v>
          </cell>
        </row>
        <row r="59">
          <cell r="AD59" t="str">
            <v/>
          </cell>
          <cell r="AE59">
            <v>1.8</v>
          </cell>
          <cell r="AG59">
            <v>0</v>
          </cell>
        </row>
        <row r="60">
          <cell r="AD60" t="str">
            <v/>
          </cell>
          <cell r="AE60">
            <v>1.9</v>
          </cell>
          <cell r="AG60">
            <v>0</v>
          </cell>
        </row>
        <row r="61">
          <cell r="AD61" t="str">
            <v/>
          </cell>
          <cell r="AE61">
            <v>2</v>
          </cell>
          <cell r="AG61">
            <v>0</v>
          </cell>
        </row>
        <row r="62">
          <cell r="AD62" t="str">
            <v/>
          </cell>
          <cell r="AE62">
            <v>2.1</v>
          </cell>
          <cell r="AG62">
            <v>0</v>
          </cell>
        </row>
        <row r="63">
          <cell r="AD63" t="str">
            <v/>
          </cell>
          <cell r="AE63">
            <v>2.2000000000000002</v>
          </cell>
          <cell r="AG63">
            <v>0</v>
          </cell>
        </row>
        <row r="64">
          <cell r="AD64" t="str">
            <v/>
          </cell>
          <cell r="AE64">
            <v>2.2999999999999998</v>
          </cell>
          <cell r="AG64">
            <v>0</v>
          </cell>
        </row>
        <row r="65">
          <cell r="AD65" t="str">
            <v/>
          </cell>
          <cell r="AE65">
            <v>2.4</v>
          </cell>
          <cell r="AG65">
            <v>0</v>
          </cell>
        </row>
        <row r="66">
          <cell r="AD66" t="str">
            <v/>
          </cell>
          <cell r="AE66">
            <v>2.5</v>
          </cell>
          <cell r="AG66">
            <v>0</v>
          </cell>
        </row>
        <row r="67">
          <cell r="AD67" t="str">
            <v/>
          </cell>
          <cell r="AE67">
            <v>2.6</v>
          </cell>
          <cell r="AG67">
            <v>0</v>
          </cell>
        </row>
        <row r="68">
          <cell r="AD68" t="str">
            <v/>
          </cell>
          <cell r="AE68">
            <v>2.7</v>
          </cell>
          <cell r="AG68">
            <v>0</v>
          </cell>
        </row>
        <row r="69">
          <cell r="AD69" t="str">
            <v/>
          </cell>
          <cell r="AE69">
            <v>2.8</v>
          </cell>
          <cell r="AG69">
            <v>0</v>
          </cell>
        </row>
        <row r="70">
          <cell r="AD70" t="str">
            <v/>
          </cell>
          <cell r="AE70">
            <v>2.9</v>
          </cell>
          <cell r="AG70">
            <v>0</v>
          </cell>
        </row>
        <row r="71">
          <cell r="AD71" t="str">
            <v/>
          </cell>
          <cell r="AE71">
            <v>3</v>
          </cell>
          <cell r="AG71">
            <v>0</v>
          </cell>
        </row>
      </sheetData>
      <sheetData sheetId="3">
        <row r="2">
          <cell r="AG2" t="str">
            <v>Недозаряженные</v>
          </cell>
          <cell r="AH2" t="str">
            <v>Перезаряженные</v>
          </cell>
          <cell r="AI2" t="str">
            <v>Проектные</v>
          </cell>
        </row>
        <row r="4">
          <cell r="AF4" t="str">
            <v>Total</v>
          </cell>
          <cell r="AG4">
            <v>0</v>
          </cell>
          <cell r="AH4">
            <v>16</v>
          </cell>
          <cell r="AI4">
            <v>221</v>
          </cell>
        </row>
        <row r="5">
          <cell r="AF5" t="str">
            <v>%</v>
          </cell>
          <cell r="AG5">
            <v>0</v>
          </cell>
          <cell r="AH5">
            <v>6.7510548523206745E-2</v>
          </cell>
          <cell r="AI5">
            <v>0.9324894514767933</v>
          </cell>
        </row>
        <row r="29">
          <cell r="AC29" t="str">
            <v>Below Tolerance</v>
          </cell>
          <cell r="AF29" t="str">
            <v>Above Tolerance</v>
          </cell>
        </row>
        <row r="31">
          <cell r="AD31">
            <v>0</v>
          </cell>
          <cell r="AE31">
            <v>-100</v>
          </cell>
          <cell r="AG31" t="str">
            <v/>
          </cell>
        </row>
        <row r="32">
          <cell r="AD32">
            <v>0</v>
          </cell>
          <cell r="AE32">
            <v>-95</v>
          </cell>
          <cell r="AG32" t="str">
            <v/>
          </cell>
        </row>
        <row r="33">
          <cell r="AD33">
            <v>0</v>
          </cell>
          <cell r="AE33">
            <v>-90</v>
          </cell>
          <cell r="AG33" t="str">
            <v/>
          </cell>
        </row>
        <row r="34">
          <cell r="AD34">
            <v>0</v>
          </cell>
          <cell r="AE34">
            <v>-85</v>
          </cell>
          <cell r="AG34" t="str">
            <v/>
          </cell>
        </row>
        <row r="35">
          <cell r="AD35">
            <v>0</v>
          </cell>
          <cell r="AE35">
            <v>-80</v>
          </cell>
          <cell r="AG35" t="str">
            <v/>
          </cell>
        </row>
        <row r="36">
          <cell r="AD36">
            <v>0</v>
          </cell>
          <cell r="AE36">
            <v>-75</v>
          </cell>
          <cell r="AG36" t="str">
            <v/>
          </cell>
        </row>
        <row r="37">
          <cell r="AD37">
            <v>0</v>
          </cell>
          <cell r="AE37">
            <v>-70</v>
          </cell>
          <cell r="AG37" t="str">
            <v/>
          </cell>
        </row>
        <row r="38">
          <cell r="AD38">
            <v>0</v>
          </cell>
          <cell r="AE38">
            <v>-65</v>
          </cell>
          <cell r="AG38" t="str">
            <v/>
          </cell>
        </row>
        <row r="39">
          <cell r="AD39">
            <v>0</v>
          </cell>
          <cell r="AE39">
            <v>-60</v>
          </cell>
          <cell r="AG39" t="str">
            <v/>
          </cell>
        </row>
        <row r="40">
          <cell r="AD40">
            <v>0</v>
          </cell>
          <cell r="AE40">
            <v>-55</v>
          </cell>
          <cell r="AG40" t="str">
            <v/>
          </cell>
        </row>
        <row r="41">
          <cell r="AD41">
            <v>0</v>
          </cell>
          <cell r="AE41">
            <v>-50</v>
          </cell>
          <cell r="AG41" t="str">
            <v/>
          </cell>
        </row>
        <row r="42">
          <cell r="AD42">
            <v>0</v>
          </cell>
          <cell r="AE42">
            <v>-45</v>
          </cell>
          <cell r="AG42" t="str">
            <v/>
          </cell>
        </row>
        <row r="43">
          <cell r="AD43">
            <v>0</v>
          </cell>
          <cell r="AE43">
            <v>-40</v>
          </cell>
          <cell r="AG43" t="str">
            <v/>
          </cell>
        </row>
        <row r="44">
          <cell r="AD44">
            <v>0</v>
          </cell>
          <cell r="AE44">
            <v>-35</v>
          </cell>
          <cell r="AG44" t="str">
            <v/>
          </cell>
        </row>
        <row r="45">
          <cell r="AD45">
            <v>0</v>
          </cell>
          <cell r="AE45">
            <v>-30</v>
          </cell>
          <cell r="AG45" t="str">
            <v/>
          </cell>
        </row>
        <row r="46">
          <cell r="AD46">
            <v>0</v>
          </cell>
          <cell r="AE46">
            <v>-25</v>
          </cell>
          <cell r="AG46" t="str">
            <v/>
          </cell>
        </row>
        <row r="47">
          <cell r="AD47">
            <v>0</v>
          </cell>
          <cell r="AE47">
            <v>-20</v>
          </cell>
          <cell r="AG47" t="str">
            <v/>
          </cell>
        </row>
        <row r="48">
          <cell r="AD48">
            <v>11</v>
          </cell>
          <cell r="AE48">
            <v>-15</v>
          </cell>
          <cell r="AG48" t="str">
            <v/>
          </cell>
        </row>
        <row r="49">
          <cell r="AD49">
            <v>47</v>
          </cell>
          <cell r="AE49">
            <v>-10</v>
          </cell>
          <cell r="AG49" t="str">
            <v/>
          </cell>
        </row>
        <row r="50">
          <cell r="AD50">
            <v>128</v>
          </cell>
          <cell r="AE50">
            <v>-5</v>
          </cell>
          <cell r="AG50" t="str">
            <v/>
          </cell>
        </row>
        <row r="51">
          <cell r="AD51">
            <v>13</v>
          </cell>
          <cell r="AE51">
            <v>0</v>
          </cell>
          <cell r="AG51" t="str">
            <v/>
          </cell>
        </row>
        <row r="52">
          <cell r="AD52">
            <v>0</v>
          </cell>
          <cell r="AE52">
            <v>5</v>
          </cell>
          <cell r="AG52" t="str">
            <v/>
          </cell>
        </row>
        <row r="53">
          <cell r="AD53">
            <v>0</v>
          </cell>
          <cell r="AE53">
            <v>10</v>
          </cell>
          <cell r="AG53" t="str">
            <v/>
          </cell>
        </row>
        <row r="54">
          <cell r="AD54">
            <v>2</v>
          </cell>
          <cell r="AE54">
            <v>15</v>
          </cell>
          <cell r="AG54" t="str">
            <v/>
          </cell>
        </row>
        <row r="55">
          <cell r="AD55">
            <v>4</v>
          </cell>
          <cell r="AE55">
            <v>20</v>
          </cell>
          <cell r="AG55" t="str">
            <v/>
          </cell>
        </row>
        <row r="56">
          <cell r="AD56">
            <v>6</v>
          </cell>
          <cell r="AE56">
            <v>25</v>
          </cell>
          <cell r="AG56" t="str">
            <v/>
          </cell>
        </row>
        <row r="57">
          <cell r="AD57">
            <v>2</v>
          </cell>
          <cell r="AE57">
            <v>30</v>
          </cell>
          <cell r="AG57" t="str">
            <v/>
          </cell>
        </row>
        <row r="58">
          <cell r="AD58">
            <v>1</v>
          </cell>
          <cell r="AE58">
            <v>35</v>
          </cell>
          <cell r="AG58" t="str">
            <v/>
          </cell>
        </row>
        <row r="59">
          <cell r="AD59">
            <v>4</v>
          </cell>
          <cell r="AE59">
            <v>40</v>
          </cell>
          <cell r="AG59" t="str">
            <v/>
          </cell>
        </row>
        <row r="60">
          <cell r="AD60">
            <v>3</v>
          </cell>
          <cell r="AE60">
            <v>45</v>
          </cell>
          <cell r="AG60" t="str">
            <v/>
          </cell>
        </row>
        <row r="61">
          <cell r="AD61">
            <v>2</v>
          </cell>
          <cell r="AE61">
            <v>50</v>
          </cell>
          <cell r="AG61" t="str">
            <v/>
          </cell>
        </row>
        <row r="62">
          <cell r="AD62" t="str">
            <v/>
          </cell>
          <cell r="AE62">
            <v>55</v>
          </cell>
          <cell r="AG62">
            <v>4</v>
          </cell>
        </row>
        <row r="63">
          <cell r="AD63" t="str">
            <v/>
          </cell>
          <cell r="AE63">
            <v>60</v>
          </cell>
          <cell r="AG63">
            <v>1</v>
          </cell>
        </row>
        <row r="64">
          <cell r="AD64" t="str">
            <v/>
          </cell>
          <cell r="AE64">
            <v>65</v>
          </cell>
          <cell r="AG64">
            <v>1</v>
          </cell>
        </row>
        <row r="65">
          <cell r="AD65" t="str">
            <v/>
          </cell>
          <cell r="AE65">
            <v>70</v>
          </cell>
          <cell r="AG65">
            <v>0</v>
          </cell>
        </row>
        <row r="66">
          <cell r="AD66" t="str">
            <v/>
          </cell>
          <cell r="AE66">
            <v>75</v>
          </cell>
          <cell r="AG66">
            <v>0</v>
          </cell>
        </row>
        <row r="67">
          <cell r="AD67" t="str">
            <v/>
          </cell>
          <cell r="AE67">
            <v>80</v>
          </cell>
          <cell r="AG67">
            <v>0</v>
          </cell>
        </row>
        <row r="68">
          <cell r="AD68" t="str">
            <v/>
          </cell>
          <cell r="AE68">
            <v>85</v>
          </cell>
          <cell r="AG68">
            <v>1</v>
          </cell>
        </row>
        <row r="69">
          <cell r="AD69" t="str">
            <v/>
          </cell>
          <cell r="AE69">
            <v>90</v>
          </cell>
          <cell r="AG69">
            <v>2</v>
          </cell>
        </row>
        <row r="70">
          <cell r="AD70" t="str">
            <v/>
          </cell>
          <cell r="AE70">
            <v>95</v>
          </cell>
          <cell r="AG70">
            <v>3</v>
          </cell>
        </row>
        <row r="71">
          <cell r="AD71" t="str">
            <v/>
          </cell>
          <cell r="AE71">
            <v>100</v>
          </cell>
          <cell r="AG71">
            <v>0</v>
          </cell>
        </row>
      </sheetData>
      <sheetData sheetId="4">
        <row r="2">
          <cell r="AG2" t="str">
            <v>Длина недозаряда &lt; проектного</v>
          </cell>
          <cell r="AH2" t="str">
            <v>Длина недозаряда &gt; проектного</v>
          </cell>
          <cell r="AI2" t="str">
            <v>Проектная</v>
          </cell>
        </row>
        <row r="4">
          <cell r="AF4" t="str">
            <v>Total</v>
          </cell>
          <cell r="AG4">
            <v>2</v>
          </cell>
          <cell r="AH4">
            <v>2</v>
          </cell>
          <cell r="AI4">
            <v>233</v>
          </cell>
        </row>
        <row r="5">
          <cell r="AF5" t="str">
            <v>%</v>
          </cell>
          <cell r="AG5">
            <v>8.4388185654008432E-3</v>
          </cell>
          <cell r="AH5">
            <v>8.4388185654008432E-3</v>
          </cell>
          <cell r="AI5">
            <v>0.9831223628691983</v>
          </cell>
        </row>
        <row r="29">
          <cell r="AC29" t="str">
            <v>Below Tolerance</v>
          </cell>
          <cell r="AF29" t="str">
            <v>Above Tolerance</v>
          </cell>
        </row>
        <row r="31">
          <cell r="AD31">
            <v>0</v>
          </cell>
          <cell r="AE31">
            <v>-3</v>
          </cell>
          <cell r="AG31" t="str">
            <v/>
          </cell>
        </row>
        <row r="32">
          <cell r="AD32">
            <v>0</v>
          </cell>
          <cell r="AE32">
            <v>-2.9</v>
          </cell>
          <cell r="AG32" t="str">
            <v/>
          </cell>
        </row>
        <row r="33">
          <cell r="AD33">
            <v>0</v>
          </cell>
          <cell r="AE33">
            <v>-2.8</v>
          </cell>
          <cell r="AG33" t="str">
            <v/>
          </cell>
        </row>
        <row r="34">
          <cell r="AD34">
            <v>0</v>
          </cell>
          <cell r="AE34">
            <v>-2.7</v>
          </cell>
          <cell r="AG34" t="str">
            <v/>
          </cell>
        </row>
        <row r="35">
          <cell r="AD35">
            <v>0</v>
          </cell>
          <cell r="AE35">
            <v>-2.6</v>
          </cell>
          <cell r="AG35" t="str">
            <v/>
          </cell>
        </row>
        <row r="36">
          <cell r="AD36">
            <v>0</v>
          </cell>
          <cell r="AE36">
            <v>-2.5</v>
          </cell>
          <cell r="AG36" t="str">
            <v/>
          </cell>
        </row>
        <row r="37">
          <cell r="AD37">
            <v>0</v>
          </cell>
          <cell r="AE37">
            <v>-2.4</v>
          </cell>
          <cell r="AG37" t="str">
            <v/>
          </cell>
        </row>
        <row r="38">
          <cell r="AD38">
            <v>0</v>
          </cell>
          <cell r="AE38">
            <v>-2.2999999999999998</v>
          </cell>
          <cell r="AG38" t="str">
            <v/>
          </cell>
        </row>
        <row r="39">
          <cell r="AD39">
            <v>0</v>
          </cell>
          <cell r="AE39">
            <v>-2.2000000000000002</v>
          </cell>
          <cell r="AG39" t="str">
            <v/>
          </cell>
        </row>
        <row r="40">
          <cell r="AD40">
            <v>0</v>
          </cell>
          <cell r="AE40">
            <v>-2.1</v>
          </cell>
          <cell r="AG40" t="str">
            <v/>
          </cell>
        </row>
        <row r="41">
          <cell r="AD41">
            <v>0</v>
          </cell>
          <cell r="AE41">
            <v>-2</v>
          </cell>
          <cell r="AG41" t="str">
            <v/>
          </cell>
        </row>
        <row r="42">
          <cell r="AD42">
            <v>0</v>
          </cell>
          <cell r="AE42">
            <v>-1.9</v>
          </cell>
          <cell r="AG42" t="str">
            <v/>
          </cell>
        </row>
        <row r="43">
          <cell r="AD43">
            <v>0</v>
          </cell>
          <cell r="AE43">
            <v>-1.8</v>
          </cell>
          <cell r="AG43" t="str">
            <v/>
          </cell>
        </row>
        <row r="44">
          <cell r="AD44">
            <v>0</v>
          </cell>
          <cell r="AE44">
            <v>-1.7</v>
          </cell>
          <cell r="AG44" t="str">
            <v/>
          </cell>
        </row>
        <row r="45">
          <cell r="AD45">
            <v>0</v>
          </cell>
          <cell r="AE45">
            <v>-1.6</v>
          </cell>
          <cell r="AG45" t="str">
            <v/>
          </cell>
        </row>
        <row r="46">
          <cell r="AD46">
            <v>1</v>
          </cell>
          <cell r="AE46">
            <v>-1.5</v>
          </cell>
          <cell r="AG46" t="str">
            <v/>
          </cell>
        </row>
        <row r="47">
          <cell r="AD47">
            <v>0</v>
          </cell>
          <cell r="AE47">
            <v>-1.4</v>
          </cell>
          <cell r="AG47" t="str">
            <v/>
          </cell>
        </row>
        <row r="48">
          <cell r="AD48">
            <v>0</v>
          </cell>
          <cell r="AE48">
            <v>-1.3</v>
          </cell>
          <cell r="AG48" t="str">
            <v/>
          </cell>
        </row>
        <row r="49">
          <cell r="AD49">
            <v>0</v>
          </cell>
          <cell r="AE49">
            <v>-1.2</v>
          </cell>
          <cell r="AG49" t="str">
            <v/>
          </cell>
        </row>
        <row r="50">
          <cell r="AD50">
            <v>0</v>
          </cell>
          <cell r="AE50">
            <v>-1.1000000000000001</v>
          </cell>
          <cell r="AG50" t="str">
            <v/>
          </cell>
        </row>
        <row r="51">
          <cell r="AD51">
            <v>0</v>
          </cell>
          <cell r="AE51">
            <v>-1</v>
          </cell>
          <cell r="AG51" t="str">
            <v/>
          </cell>
        </row>
        <row r="52">
          <cell r="AD52">
            <v>0</v>
          </cell>
          <cell r="AE52">
            <v>-0.9</v>
          </cell>
          <cell r="AG52" t="str">
            <v/>
          </cell>
        </row>
        <row r="53">
          <cell r="AD53">
            <v>0</v>
          </cell>
          <cell r="AE53">
            <v>-0.8</v>
          </cell>
          <cell r="AG53" t="str">
            <v/>
          </cell>
        </row>
        <row r="54">
          <cell r="AD54">
            <v>0</v>
          </cell>
          <cell r="AE54">
            <v>-0.7</v>
          </cell>
          <cell r="AG54" t="str">
            <v/>
          </cell>
        </row>
        <row r="55">
          <cell r="AD55">
            <v>1</v>
          </cell>
          <cell r="AE55">
            <v>-0.6</v>
          </cell>
          <cell r="AG55" t="str">
            <v/>
          </cell>
        </row>
        <row r="56">
          <cell r="AD56">
            <v>0</v>
          </cell>
          <cell r="AE56">
            <v>-0.5</v>
          </cell>
          <cell r="AG56" t="str">
            <v/>
          </cell>
        </row>
        <row r="57">
          <cell r="AD57">
            <v>0</v>
          </cell>
          <cell r="AE57">
            <v>-0.4</v>
          </cell>
          <cell r="AG57" t="str">
            <v/>
          </cell>
        </row>
        <row r="58">
          <cell r="AD58">
            <v>0</v>
          </cell>
          <cell r="AE58">
            <v>-0.3</v>
          </cell>
          <cell r="AG58" t="str">
            <v/>
          </cell>
        </row>
        <row r="59">
          <cell r="AD59">
            <v>2</v>
          </cell>
          <cell r="AE59">
            <v>-0.2</v>
          </cell>
          <cell r="AG59" t="str">
            <v/>
          </cell>
        </row>
        <row r="60">
          <cell r="AD60">
            <v>10</v>
          </cell>
          <cell r="AE60">
            <v>-0.1</v>
          </cell>
          <cell r="AG60" t="str">
            <v/>
          </cell>
        </row>
        <row r="61">
          <cell r="AD61">
            <v>100</v>
          </cell>
          <cell r="AE61">
            <v>0</v>
          </cell>
          <cell r="AG61" t="str">
            <v/>
          </cell>
        </row>
        <row r="62">
          <cell r="AD62">
            <v>7</v>
          </cell>
          <cell r="AE62">
            <v>0.1</v>
          </cell>
          <cell r="AG62" t="str">
            <v/>
          </cell>
        </row>
        <row r="63">
          <cell r="AD63">
            <v>66</v>
          </cell>
          <cell r="AE63">
            <v>0.2</v>
          </cell>
          <cell r="AG63" t="str">
            <v/>
          </cell>
        </row>
        <row r="64">
          <cell r="AD64">
            <v>43</v>
          </cell>
          <cell r="AE64">
            <v>0.3</v>
          </cell>
          <cell r="AG64" t="str">
            <v/>
          </cell>
        </row>
        <row r="65">
          <cell r="AD65">
            <v>5</v>
          </cell>
          <cell r="AE65">
            <v>0.4</v>
          </cell>
          <cell r="AG65" t="str">
            <v/>
          </cell>
        </row>
        <row r="66">
          <cell r="AD66">
            <v>1</v>
          </cell>
          <cell r="AE66">
            <v>0.5</v>
          </cell>
          <cell r="AG66" t="str">
            <v/>
          </cell>
        </row>
        <row r="67">
          <cell r="AD67" t="str">
            <v/>
          </cell>
          <cell r="AE67">
            <v>0.6</v>
          </cell>
          <cell r="AG67">
            <v>0</v>
          </cell>
        </row>
        <row r="68">
          <cell r="AD68" t="str">
            <v/>
          </cell>
          <cell r="AE68">
            <v>0.7</v>
          </cell>
          <cell r="AG68">
            <v>1</v>
          </cell>
        </row>
        <row r="69">
          <cell r="AD69" t="str">
            <v/>
          </cell>
          <cell r="AE69">
            <v>0.8</v>
          </cell>
          <cell r="AG69">
            <v>0</v>
          </cell>
        </row>
        <row r="70">
          <cell r="AD70" t="str">
            <v/>
          </cell>
          <cell r="AE70">
            <v>0.9</v>
          </cell>
          <cell r="AG70">
            <v>0</v>
          </cell>
        </row>
        <row r="71">
          <cell r="AD71" t="str">
            <v/>
          </cell>
          <cell r="AE71">
            <v>1</v>
          </cell>
          <cell r="AG71">
            <v>0</v>
          </cell>
        </row>
        <row r="72">
          <cell r="AD72" t="str">
            <v/>
          </cell>
          <cell r="AE72">
            <v>1.1000000000000001</v>
          </cell>
          <cell r="AG72">
            <v>0</v>
          </cell>
        </row>
        <row r="73">
          <cell r="AD73" t="str">
            <v/>
          </cell>
          <cell r="AE73">
            <v>1.2</v>
          </cell>
          <cell r="AG73">
            <v>0</v>
          </cell>
        </row>
        <row r="74">
          <cell r="AD74" t="str">
            <v/>
          </cell>
          <cell r="AE74">
            <v>1.3</v>
          </cell>
          <cell r="AG74">
            <v>0</v>
          </cell>
        </row>
        <row r="75">
          <cell r="AD75" t="str">
            <v/>
          </cell>
          <cell r="AE75">
            <v>1.4</v>
          </cell>
          <cell r="AG75">
            <v>0</v>
          </cell>
        </row>
        <row r="76">
          <cell r="AD76" t="str">
            <v/>
          </cell>
          <cell r="AE76">
            <v>1.5</v>
          </cell>
          <cell r="AG76">
            <v>0</v>
          </cell>
        </row>
        <row r="77">
          <cell r="AD77" t="str">
            <v/>
          </cell>
          <cell r="AE77">
            <v>1.6</v>
          </cell>
          <cell r="AG77">
            <v>0</v>
          </cell>
        </row>
        <row r="78">
          <cell r="AD78" t="str">
            <v/>
          </cell>
          <cell r="AE78">
            <v>1.7</v>
          </cell>
          <cell r="AG78">
            <v>0</v>
          </cell>
        </row>
        <row r="79">
          <cell r="AD79" t="str">
            <v/>
          </cell>
          <cell r="AE79">
            <v>1.8</v>
          </cell>
          <cell r="AG79">
            <v>0</v>
          </cell>
        </row>
        <row r="80">
          <cell r="AD80" t="str">
            <v/>
          </cell>
          <cell r="AE80">
            <v>1.9</v>
          </cell>
          <cell r="AG80">
            <v>0</v>
          </cell>
        </row>
        <row r="81">
          <cell r="AD81" t="str">
            <v/>
          </cell>
          <cell r="AE81">
            <v>2</v>
          </cell>
          <cell r="AG81">
            <v>0</v>
          </cell>
        </row>
        <row r="82">
          <cell r="AD82" t="str">
            <v/>
          </cell>
          <cell r="AE82">
            <v>2.1</v>
          </cell>
          <cell r="AG82">
            <v>0</v>
          </cell>
        </row>
        <row r="83">
          <cell r="AD83" t="str">
            <v/>
          </cell>
          <cell r="AE83">
            <v>2.2000000000000002</v>
          </cell>
          <cell r="AG83">
            <v>0</v>
          </cell>
        </row>
        <row r="84">
          <cell r="AD84" t="str">
            <v/>
          </cell>
          <cell r="AE84">
            <v>2.2999999999999998</v>
          </cell>
          <cell r="AG84">
            <v>0</v>
          </cell>
        </row>
        <row r="85">
          <cell r="AD85" t="str">
            <v/>
          </cell>
          <cell r="AE85">
            <v>2.4</v>
          </cell>
          <cell r="AG85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12596-754F-4CB5-BEBA-D111AA55DC6F}">
  <dimension ref="A1:AL608"/>
  <sheetViews>
    <sheetView topLeftCell="P1" workbookViewId="0">
      <selection activeCell="U4" sqref="U4"/>
    </sheetView>
  </sheetViews>
  <sheetFormatPr defaultRowHeight="15.75"/>
  <cols>
    <col min="1" max="1" width="9" style="60"/>
    <col min="8" max="8" width="9" style="60"/>
    <col min="15" max="15" width="12.125" customWidth="1"/>
    <col min="21" max="21" width="11.375" customWidth="1"/>
    <col min="24" max="24" width="9.625" bestFit="1" customWidth="1"/>
    <col min="29" max="29" width="12.875" bestFit="1" customWidth="1"/>
    <col min="30" max="30" width="9.875" bestFit="1" customWidth="1"/>
    <col min="37" max="37" width="8.875" customWidth="1"/>
    <col min="38" max="38" width="14" bestFit="1" customWidth="1"/>
  </cols>
  <sheetData>
    <row r="1" spans="1:38" ht="20.25">
      <c r="A1" s="45"/>
      <c r="B1" s="45"/>
      <c r="C1" s="45"/>
      <c r="D1" s="45"/>
      <c r="E1" s="46"/>
      <c r="F1" s="46"/>
      <c r="G1" s="46"/>
      <c r="H1" s="46"/>
      <c r="I1" s="45"/>
      <c r="J1" s="45"/>
      <c r="K1" s="45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38" ht="16.5" thickBot="1">
      <c r="A2" s="16"/>
      <c r="B2" s="16"/>
      <c r="C2" s="16"/>
      <c r="D2" s="16"/>
      <c r="E2" s="45"/>
      <c r="F2" s="45"/>
      <c r="G2" s="45"/>
      <c r="H2" s="16"/>
      <c r="I2" s="16"/>
      <c r="J2" s="16"/>
      <c r="K2" s="16"/>
      <c r="L2" s="47"/>
      <c r="M2" s="34" t="s">
        <v>0</v>
      </c>
      <c r="N2" s="34"/>
      <c r="O2" s="34"/>
      <c r="P2" s="34"/>
      <c r="Q2" s="34"/>
      <c r="R2" s="34"/>
      <c r="S2" s="34"/>
      <c r="T2" s="34"/>
      <c r="U2" s="34"/>
      <c r="V2" s="47"/>
      <c r="X2" s="27" t="s">
        <v>1</v>
      </c>
      <c r="Y2" s="28"/>
      <c r="Z2" s="28"/>
      <c r="AA2" s="29"/>
      <c r="AB2" s="48"/>
      <c r="AC2" s="48"/>
      <c r="AD2" s="48"/>
    </row>
    <row r="3" spans="1:38">
      <c r="A3" s="37" t="s">
        <v>2</v>
      </c>
      <c r="B3" s="38"/>
      <c r="C3" s="38"/>
      <c r="D3" s="39"/>
      <c r="E3" s="45"/>
      <c r="F3" s="45"/>
      <c r="G3" s="45"/>
      <c r="H3" s="40" t="s">
        <v>3</v>
      </c>
      <c r="I3" s="41"/>
      <c r="J3" s="41"/>
      <c r="K3" s="42"/>
      <c r="L3" s="47"/>
      <c r="M3" s="49" t="s">
        <v>4</v>
      </c>
      <c r="N3" s="49"/>
      <c r="O3" s="49"/>
      <c r="P3" s="50">
        <f>AL17</f>
        <v>195</v>
      </c>
      <c r="Q3" s="51"/>
      <c r="R3" s="49" t="s">
        <v>5</v>
      </c>
      <c r="S3" s="49"/>
      <c r="T3" s="49"/>
      <c r="U3" s="52">
        <f>AD5</f>
        <v>0.5</v>
      </c>
      <c r="V3" s="47"/>
      <c r="X3" s="30" t="s">
        <v>6</v>
      </c>
      <c r="Y3" s="31"/>
      <c r="Z3" s="32" t="s">
        <v>7</v>
      </c>
      <c r="AA3" s="33"/>
      <c r="AB3" s="48"/>
      <c r="AC3" s="1"/>
      <c r="AD3" s="48"/>
      <c r="AK3" s="53" t="s">
        <v>8</v>
      </c>
      <c r="AL3" s="53"/>
    </row>
    <row r="4" spans="1:38" ht="16.5" thickBot="1">
      <c r="A4" s="12" t="s">
        <v>9</v>
      </c>
      <c r="B4" s="15" t="s">
        <v>10</v>
      </c>
      <c r="C4" s="15" t="s">
        <v>11</v>
      </c>
      <c r="D4" s="17" t="s">
        <v>12</v>
      </c>
      <c r="E4" s="45"/>
      <c r="F4" s="54" t="s">
        <v>13</v>
      </c>
      <c r="G4" s="45"/>
      <c r="H4" s="12" t="s">
        <v>9</v>
      </c>
      <c r="I4" s="15" t="s">
        <v>10</v>
      </c>
      <c r="J4" s="15" t="s">
        <v>11</v>
      </c>
      <c r="K4" s="17" t="s">
        <v>12</v>
      </c>
      <c r="L4" s="47"/>
      <c r="M4" s="49" t="s">
        <v>14</v>
      </c>
      <c r="N4" s="49"/>
      <c r="O4" s="49"/>
      <c r="P4" s="52">
        <f>AL15</f>
        <v>0.79177016866965355</v>
      </c>
      <c r="Q4" s="51"/>
      <c r="R4" s="49" t="s">
        <v>15</v>
      </c>
      <c r="S4" s="49"/>
      <c r="T4" s="49"/>
      <c r="U4" s="24">
        <f>COUNTIF(AC:AC,"&lt;="&amp;$AD$5)/$P$3</f>
        <v>0.93846153846153846</v>
      </c>
      <c r="V4" s="47"/>
      <c r="X4" s="2" t="s">
        <v>16</v>
      </c>
      <c r="Y4" s="3" t="s">
        <v>17</v>
      </c>
      <c r="Z4" s="4" t="s">
        <v>16</v>
      </c>
      <c r="AA4" s="5" t="s">
        <v>17</v>
      </c>
      <c r="AB4" s="48"/>
      <c r="AC4" s="1" t="s">
        <v>18</v>
      </c>
      <c r="AD4" s="6" t="s">
        <v>19</v>
      </c>
      <c r="AF4" s="43" t="s">
        <v>20</v>
      </c>
      <c r="AG4" s="43"/>
      <c r="AH4" s="43"/>
      <c r="AI4" s="44"/>
    </row>
    <row r="5" spans="1:38">
      <c r="A5">
        <v>1</v>
      </c>
      <c r="B5">
        <v>52233.37</v>
      </c>
      <c r="C5">
        <v>29101.82</v>
      </c>
      <c r="D5">
        <v>64.180000000000007</v>
      </c>
      <c r="E5" s="45"/>
      <c r="F5" s="54"/>
      <c r="G5" s="45"/>
      <c r="H5">
        <v>1</v>
      </c>
      <c r="I5">
        <v>52233.19</v>
      </c>
      <c r="J5">
        <v>29101.99</v>
      </c>
      <c r="K5">
        <v>64.290000000000006</v>
      </c>
      <c r="L5" s="47"/>
      <c r="M5" s="49" t="s">
        <v>21</v>
      </c>
      <c r="N5" s="49"/>
      <c r="O5" s="49"/>
      <c r="P5" s="52">
        <f>AL5</f>
        <v>0.28330587030890669</v>
      </c>
      <c r="Q5" s="51"/>
      <c r="R5" s="49" t="s">
        <v>22</v>
      </c>
      <c r="S5" s="49"/>
      <c r="T5" s="49"/>
      <c r="U5" s="24">
        <f>COUNTIF(AC:AC,"&gt;"&amp;$AD$5)/$P$3</f>
        <v>6.1538461538461542E-2</v>
      </c>
      <c r="V5" s="47"/>
      <c r="X5" s="7">
        <f>IF(AND(B5&lt;&gt;"",$AC5&lt;$AD$5),I5-B5,100)</f>
        <v>-0.18000000000029104</v>
      </c>
      <c r="Y5" s="7">
        <f>IF(AND(C5&lt;&gt;"",$AC5&lt;$AD$5),J5-C5,100)</f>
        <v>0.17000000000189175</v>
      </c>
      <c r="Z5" s="7">
        <f>IF(AND(B5&lt;&gt;"",$AC5&gt;$AD$5),I5-B5,100)</f>
        <v>100</v>
      </c>
      <c r="AA5" s="7">
        <f>IF(AND(C5&lt;&gt;"",$AC5&gt;$AD$5),J5-C5,100)</f>
        <v>100</v>
      </c>
      <c r="AB5" s="48"/>
      <c r="AC5" s="8">
        <f>IF(B5="","",(SQRT((I5-B5)^2+(J5-C5)^2)))</f>
        <v>0.24758836806430945</v>
      </c>
      <c r="AD5" s="55">
        <v>0.5</v>
      </c>
      <c r="AF5" s="9">
        <v>0</v>
      </c>
      <c r="AG5" s="9">
        <f>$AD$5</f>
        <v>0.5</v>
      </c>
      <c r="AH5" s="9">
        <f t="shared" ref="AH5:AH25" si="0">AG5*COS(AF5)</f>
        <v>0.5</v>
      </c>
      <c r="AI5" s="9">
        <f t="shared" ref="AI5:AI25" si="1">AG5*SIN(AF5)</f>
        <v>0</v>
      </c>
      <c r="AK5" t="s">
        <v>23</v>
      </c>
      <c r="AL5">
        <v>0.28330587030890669</v>
      </c>
    </row>
    <row r="6" spans="1:38">
      <c r="A6">
        <v>7</v>
      </c>
      <c r="B6">
        <v>52205.25</v>
      </c>
      <c r="C6">
        <v>29087.98</v>
      </c>
      <c r="D6">
        <v>63.78</v>
      </c>
      <c r="E6" s="45"/>
      <c r="F6" s="54"/>
      <c r="G6" s="45"/>
      <c r="H6">
        <v>7</v>
      </c>
      <c r="I6">
        <v>52205.08</v>
      </c>
      <c r="J6">
        <v>29088.16</v>
      </c>
      <c r="K6">
        <v>63.9</v>
      </c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X6" s="7">
        <f t="shared" ref="X6:Y60" si="2">IF(AND(B6&lt;&gt;"",$AC6&lt;$AD$5),I6-B6,100)</f>
        <v>-0.16999999999825377</v>
      </c>
      <c r="Y6" s="7">
        <f t="shared" si="2"/>
        <v>0.18000000000029104</v>
      </c>
      <c r="Z6" s="7">
        <f t="shared" ref="Z6:AA60" si="3">IF(AND(B6&lt;&gt;"",$AC6&gt;$AD$5),I6-B6,100)</f>
        <v>100</v>
      </c>
      <c r="AA6" s="7">
        <f t="shared" si="3"/>
        <v>100</v>
      </c>
      <c r="AB6" s="48"/>
      <c r="AC6" s="8">
        <f t="shared" ref="AC6:AC69" si="4">IF(B6="","",(SQRT((I6-B6)^2+(J6-C6)^2)))</f>
        <v>0.24758836806181153</v>
      </c>
      <c r="AD6" s="48"/>
      <c r="AF6" s="9">
        <v>0.31415999999999999</v>
      </c>
      <c r="AG6" s="9">
        <f t="shared" ref="AG6:AG25" si="5">$AD$5</f>
        <v>0.5</v>
      </c>
      <c r="AH6" s="9">
        <f t="shared" si="0"/>
        <v>0.47552814463916837</v>
      </c>
      <c r="AI6" s="9">
        <f t="shared" si="1"/>
        <v>0.15450884652999694</v>
      </c>
      <c r="AK6" t="s">
        <v>24</v>
      </c>
      <c r="AL6">
        <v>9.788630339014618E-3</v>
      </c>
    </row>
    <row r="7" spans="1:38">
      <c r="A7">
        <v>8</v>
      </c>
      <c r="B7">
        <v>52202.33</v>
      </c>
      <c r="C7">
        <v>29087.03</v>
      </c>
      <c r="D7">
        <v>63.79</v>
      </c>
      <c r="E7" s="45"/>
      <c r="F7" s="54"/>
      <c r="G7" s="45"/>
      <c r="H7">
        <v>8</v>
      </c>
      <c r="I7">
        <v>52202.49</v>
      </c>
      <c r="J7">
        <v>29087.16</v>
      </c>
      <c r="K7">
        <v>63.93</v>
      </c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X7" s="7">
        <f t="shared" si="2"/>
        <v>0.1599999999962165</v>
      </c>
      <c r="Y7" s="7">
        <f t="shared" si="2"/>
        <v>0.13000000000101863</v>
      </c>
      <c r="Z7" s="7">
        <f t="shared" si="3"/>
        <v>100</v>
      </c>
      <c r="AA7" s="7">
        <f t="shared" si="3"/>
        <v>100</v>
      </c>
      <c r="AB7" s="48"/>
      <c r="AC7" s="8">
        <f t="shared" si="4"/>
        <v>0.20615528127858895</v>
      </c>
      <c r="AD7" s="48"/>
      <c r="AF7" s="9">
        <v>0.62831999999999999</v>
      </c>
      <c r="AG7" s="9">
        <f t="shared" si="5"/>
        <v>0.5</v>
      </c>
      <c r="AH7" s="9">
        <f t="shared" si="0"/>
        <v>0.40450806537587941</v>
      </c>
      <c r="AI7" s="9">
        <f t="shared" si="1"/>
        <v>0.29389322048298983</v>
      </c>
      <c r="AK7" t="s">
        <v>25</v>
      </c>
      <c r="AL7">
        <v>0.27018512172034859</v>
      </c>
    </row>
    <row r="8" spans="1:38">
      <c r="A8">
        <v>9</v>
      </c>
      <c r="B8">
        <v>52196.2</v>
      </c>
      <c r="C8">
        <v>29084.799999999999</v>
      </c>
      <c r="D8">
        <v>63.66</v>
      </c>
      <c r="E8" s="45"/>
      <c r="F8" s="54"/>
      <c r="G8" s="45"/>
      <c r="H8">
        <v>9</v>
      </c>
      <c r="I8">
        <v>52195.98</v>
      </c>
      <c r="J8">
        <v>29084.68</v>
      </c>
      <c r="K8">
        <v>63.87</v>
      </c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X8" s="7">
        <f t="shared" si="2"/>
        <v>-0.2199999999938882</v>
      </c>
      <c r="Y8" s="7">
        <f t="shared" si="2"/>
        <v>-0.11999999999898137</v>
      </c>
      <c r="Z8" s="7">
        <f t="shared" si="3"/>
        <v>100</v>
      </c>
      <c r="AA8" s="7">
        <f t="shared" si="3"/>
        <v>100</v>
      </c>
      <c r="AB8" s="48"/>
      <c r="AC8" s="8">
        <f t="shared" si="4"/>
        <v>0.25059928171698009</v>
      </c>
      <c r="AD8" s="48"/>
      <c r="AF8" s="9">
        <v>0.94247999999999998</v>
      </c>
      <c r="AG8" s="9">
        <f t="shared" si="5"/>
        <v>0.5</v>
      </c>
      <c r="AH8" s="9">
        <f t="shared" si="0"/>
        <v>0.29389173463991708</v>
      </c>
      <c r="AI8" s="9">
        <f t="shared" si="1"/>
        <v>0.40450914490322781</v>
      </c>
      <c r="AK8" t="s">
        <v>26</v>
      </c>
      <c r="AL8">
        <v>0.21587033144905377</v>
      </c>
    </row>
    <row r="9" spans="1:38">
      <c r="A9">
        <v>11</v>
      </c>
      <c r="B9">
        <v>52187.95</v>
      </c>
      <c r="C9">
        <v>29080.17</v>
      </c>
      <c r="D9">
        <v>63.72</v>
      </c>
      <c r="E9" s="45"/>
      <c r="F9" s="54"/>
      <c r="G9" s="45"/>
      <c r="H9">
        <v>11</v>
      </c>
      <c r="I9">
        <v>52187.78</v>
      </c>
      <c r="J9">
        <v>29080.32</v>
      </c>
      <c r="K9">
        <v>63.82</v>
      </c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X9" s="7">
        <f t="shared" si="2"/>
        <v>-0.16999999999825377</v>
      </c>
      <c r="Y9" s="7">
        <f t="shared" si="2"/>
        <v>0.15000000000145519</v>
      </c>
      <c r="Z9" s="7">
        <f t="shared" si="3"/>
        <v>100</v>
      </c>
      <c r="AA9" s="7">
        <f t="shared" si="3"/>
        <v>100</v>
      </c>
      <c r="AB9" s="48"/>
      <c r="AC9" s="8">
        <f t="shared" si="4"/>
        <v>0.22671568097474606</v>
      </c>
      <c r="AD9" s="48"/>
      <c r="AF9" s="9">
        <v>1.25664</v>
      </c>
      <c r="AG9" s="9">
        <f t="shared" si="5"/>
        <v>0.5</v>
      </c>
      <c r="AH9" s="9">
        <f t="shared" si="0"/>
        <v>0.15450709981654692</v>
      </c>
      <c r="AI9" s="9">
        <f t="shared" si="1"/>
        <v>0.47552871217864395</v>
      </c>
      <c r="AK9" t="s">
        <v>27</v>
      </c>
      <c r="AL9">
        <v>0.13669078375371946</v>
      </c>
    </row>
    <row r="10" spans="1:38">
      <c r="A10">
        <v>12</v>
      </c>
      <c r="B10">
        <v>52185.16</v>
      </c>
      <c r="C10">
        <v>29079.040000000001</v>
      </c>
      <c r="D10">
        <v>63.76</v>
      </c>
      <c r="E10" s="45"/>
      <c r="F10" s="54"/>
      <c r="G10" s="45"/>
      <c r="H10">
        <v>12</v>
      </c>
      <c r="I10">
        <v>52184.85</v>
      </c>
      <c r="J10">
        <v>29079.35</v>
      </c>
      <c r="K10">
        <v>63.87</v>
      </c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X10" s="7">
        <f t="shared" si="2"/>
        <v>-0.31000000000494765</v>
      </c>
      <c r="Y10" s="7">
        <f t="shared" si="2"/>
        <v>0.30999999999767169</v>
      </c>
      <c r="Z10" s="7">
        <f t="shared" si="3"/>
        <v>100</v>
      </c>
      <c r="AA10" s="7">
        <f t="shared" si="3"/>
        <v>100</v>
      </c>
      <c r="AB10" s="48"/>
      <c r="AC10" s="8">
        <f t="shared" si="4"/>
        <v>0.4384062043375116</v>
      </c>
      <c r="AD10" s="48"/>
      <c r="AF10" s="9">
        <v>1.5708</v>
      </c>
      <c r="AG10" s="9">
        <f t="shared" si="5"/>
        <v>0.5</v>
      </c>
      <c r="AH10" s="9">
        <f t="shared" si="0"/>
        <v>-1.8366025516732743E-6</v>
      </c>
      <c r="AI10" s="9">
        <f t="shared" si="1"/>
        <v>0.49999999999662686</v>
      </c>
      <c r="AK10" t="s">
        <v>28</v>
      </c>
      <c r="AL10">
        <v>1.8684370363206092E-2</v>
      </c>
    </row>
    <row r="11" spans="1:38">
      <c r="A11">
        <v>16</v>
      </c>
      <c r="B11">
        <v>52167.5</v>
      </c>
      <c r="C11">
        <v>29071.7</v>
      </c>
      <c r="D11">
        <v>63.98</v>
      </c>
      <c r="E11" s="45"/>
      <c r="F11" s="54"/>
      <c r="G11" s="45"/>
      <c r="H11">
        <v>16</v>
      </c>
      <c r="I11">
        <v>52167.41</v>
      </c>
      <c r="J11">
        <v>29071.62</v>
      </c>
      <c r="K11">
        <v>64.14</v>
      </c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X11" s="7">
        <f t="shared" si="2"/>
        <v>-8.999999999650754E-2</v>
      </c>
      <c r="Y11" s="7">
        <f t="shared" si="2"/>
        <v>-8.000000000174623E-2</v>
      </c>
      <c r="Z11" s="7">
        <f t="shared" si="3"/>
        <v>100</v>
      </c>
      <c r="AA11" s="7">
        <f t="shared" si="3"/>
        <v>100</v>
      </c>
      <c r="AB11" s="48"/>
      <c r="AC11" s="8">
        <f t="shared" si="4"/>
        <v>0.12041594578647279</v>
      </c>
      <c r="AD11" s="48"/>
      <c r="AF11" s="9">
        <v>1.88496</v>
      </c>
      <c r="AG11" s="9">
        <f t="shared" si="5"/>
        <v>0.5</v>
      </c>
      <c r="AH11" s="9">
        <f t="shared" si="0"/>
        <v>-0.15451059324136227</v>
      </c>
      <c r="AI11" s="9">
        <f t="shared" si="1"/>
        <v>0.47552757709327681</v>
      </c>
      <c r="AK11" t="s">
        <v>29</v>
      </c>
      <c r="AL11">
        <v>0.27573385055049826</v>
      </c>
    </row>
    <row r="12" spans="1:38">
      <c r="A12">
        <v>17</v>
      </c>
      <c r="B12">
        <v>52161.760000000002</v>
      </c>
      <c r="C12">
        <v>29068.67</v>
      </c>
      <c r="D12">
        <v>64.08</v>
      </c>
      <c r="E12" s="45"/>
      <c r="F12" s="54"/>
      <c r="G12" s="45"/>
      <c r="H12">
        <v>17</v>
      </c>
      <c r="I12">
        <v>52161.48</v>
      </c>
      <c r="J12">
        <v>29069.279999999999</v>
      </c>
      <c r="K12">
        <v>64.14</v>
      </c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X12" s="7">
        <f t="shared" si="2"/>
        <v>100</v>
      </c>
      <c r="Y12" s="7">
        <f t="shared" si="2"/>
        <v>100</v>
      </c>
      <c r="Z12" s="7">
        <f t="shared" si="3"/>
        <v>-0.27999999999883585</v>
      </c>
      <c r="AA12" s="7">
        <f t="shared" si="3"/>
        <v>0.61000000000058208</v>
      </c>
      <c r="AB12" s="48"/>
      <c r="AC12" s="8">
        <f t="shared" si="4"/>
        <v>0.67119296778203674</v>
      </c>
      <c r="AD12" s="48"/>
      <c r="AF12" s="9">
        <v>2.1991200000000002</v>
      </c>
      <c r="AG12" s="9">
        <f t="shared" si="5"/>
        <v>0.5</v>
      </c>
      <c r="AH12" s="9">
        <f t="shared" si="0"/>
        <v>-0.29389470632209735</v>
      </c>
      <c r="AI12" s="9">
        <f t="shared" si="1"/>
        <v>0.40450698584307315</v>
      </c>
      <c r="AK12" t="s">
        <v>30</v>
      </c>
      <c r="AL12">
        <v>0.55437057862809369</v>
      </c>
    </row>
    <row r="13" spans="1:38">
      <c r="A13">
        <v>18</v>
      </c>
      <c r="B13">
        <v>52159.27</v>
      </c>
      <c r="C13">
        <v>29067.53</v>
      </c>
      <c r="D13">
        <v>64.14</v>
      </c>
      <c r="E13" s="45"/>
      <c r="F13" s="54"/>
      <c r="G13" s="45"/>
      <c r="H13">
        <v>18</v>
      </c>
      <c r="I13">
        <v>52159.25</v>
      </c>
      <c r="J13">
        <v>29067.73</v>
      </c>
      <c r="K13">
        <v>64.209999999999994</v>
      </c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X13" s="7">
        <f t="shared" si="2"/>
        <v>-1.9999999996798579E-2</v>
      </c>
      <c r="Y13" s="7">
        <f t="shared" si="2"/>
        <v>0.2000000000007276</v>
      </c>
      <c r="Z13" s="7">
        <f t="shared" si="3"/>
        <v>100</v>
      </c>
      <c r="AA13" s="7">
        <f t="shared" si="3"/>
        <v>100</v>
      </c>
      <c r="AB13" s="48"/>
      <c r="AC13" s="8">
        <f t="shared" si="4"/>
        <v>0.20099751242282324</v>
      </c>
      <c r="AD13" s="48"/>
      <c r="AF13" s="9">
        <v>2.51328</v>
      </c>
      <c r="AG13" s="9">
        <f t="shared" si="5"/>
        <v>0.5</v>
      </c>
      <c r="AH13" s="9">
        <f t="shared" si="0"/>
        <v>-0.40451022442511841</v>
      </c>
      <c r="AI13" s="9">
        <f t="shared" si="1"/>
        <v>0.29389024879287901</v>
      </c>
      <c r="AK13" t="s">
        <v>31</v>
      </c>
      <c r="AL13">
        <v>0.76014739206497861</v>
      </c>
    </row>
    <row r="14" spans="1:38">
      <c r="A14">
        <v>19</v>
      </c>
      <c r="B14">
        <v>52230.63</v>
      </c>
      <c r="C14">
        <v>29105.38</v>
      </c>
      <c r="D14">
        <v>64.209999999999994</v>
      </c>
      <c r="E14" s="45"/>
      <c r="F14" s="54"/>
      <c r="G14" s="45"/>
      <c r="H14">
        <v>19</v>
      </c>
      <c r="I14">
        <v>52230.38</v>
      </c>
      <c r="J14">
        <v>29105.43</v>
      </c>
      <c r="K14">
        <v>64.23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X14" s="7">
        <f t="shared" si="2"/>
        <v>-0.25</v>
      </c>
      <c r="Y14" s="7">
        <f t="shared" si="2"/>
        <v>4.9999999999272404E-2</v>
      </c>
      <c r="Z14" s="7">
        <f t="shared" si="3"/>
        <v>100</v>
      </c>
      <c r="AA14" s="7">
        <f t="shared" si="3"/>
        <v>100</v>
      </c>
      <c r="AB14" s="48"/>
      <c r="AC14" s="8">
        <f t="shared" si="4"/>
        <v>0.25495097567949654</v>
      </c>
      <c r="AD14" s="48"/>
      <c r="AF14" s="9">
        <v>2.8274400000000002</v>
      </c>
      <c r="AG14" s="9">
        <f t="shared" si="5"/>
        <v>0.5</v>
      </c>
      <c r="AH14" s="9">
        <f t="shared" si="0"/>
        <v>-0.4755292797117035</v>
      </c>
      <c r="AI14" s="9">
        <f t="shared" si="1"/>
        <v>0.1545053531010121</v>
      </c>
      <c r="AK14" t="s">
        <v>32</v>
      </c>
      <c r="AL14">
        <v>3.1622776604674913E-2</v>
      </c>
    </row>
    <row r="15" spans="1:38">
      <c r="A15">
        <v>20</v>
      </c>
      <c r="B15">
        <v>52224.69</v>
      </c>
      <c r="C15">
        <v>29102.74</v>
      </c>
      <c r="D15">
        <v>64.069999999999993</v>
      </c>
      <c r="E15" s="45"/>
      <c r="F15" s="54"/>
      <c r="G15" s="45"/>
      <c r="H15">
        <v>20</v>
      </c>
      <c r="I15">
        <v>52224.42</v>
      </c>
      <c r="J15">
        <v>29102.58</v>
      </c>
      <c r="K15">
        <v>64.010000000000005</v>
      </c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X15" s="7">
        <f t="shared" si="2"/>
        <v>-0.27000000000407454</v>
      </c>
      <c r="Y15" s="7">
        <f t="shared" si="2"/>
        <v>-0.15999999999985448</v>
      </c>
      <c r="Z15" s="7">
        <f t="shared" si="3"/>
        <v>100</v>
      </c>
      <c r="AA15" s="7">
        <f t="shared" si="3"/>
        <v>100</v>
      </c>
      <c r="AB15" s="48"/>
      <c r="AC15" s="8">
        <f t="shared" si="4"/>
        <v>0.31384709653293541</v>
      </c>
      <c r="AD15" s="48"/>
      <c r="AF15" s="9">
        <v>3.1415999999999999</v>
      </c>
      <c r="AG15" s="9">
        <f t="shared" si="5"/>
        <v>0.5</v>
      </c>
      <c r="AH15" s="9">
        <f t="shared" si="0"/>
        <v>-0.49999999998650757</v>
      </c>
      <c r="AI15" s="9">
        <f t="shared" si="1"/>
        <v>-3.6732051033217686E-6</v>
      </c>
      <c r="AK15" t="s">
        <v>33</v>
      </c>
      <c r="AL15">
        <v>0.79177016866965355</v>
      </c>
    </row>
    <row r="16" spans="1:38">
      <c r="A16">
        <v>21</v>
      </c>
      <c r="B16">
        <v>52218.75</v>
      </c>
      <c r="C16">
        <v>29100.09</v>
      </c>
      <c r="D16">
        <v>63.93</v>
      </c>
      <c r="E16" s="45"/>
      <c r="F16" s="54"/>
      <c r="G16" s="45"/>
      <c r="H16">
        <v>21</v>
      </c>
      <c r="I16">
        <v>52218.7</v>
      </c>
      <c r="J16">
        <v>29099.88</v>
      </c>
      <c r="K16">
        <v>63.95</v>
      </c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X16" s="7">
        <f t="shared" si="2"/>
        <v>-5.0000000002910383E-2</v>
      </c>
      <c r="Y16" s="7">
        <f t="shared" si="2"/>
        <v>-0.20999999999912689</v>
      </c>
      <c r="Z16" s="7">
        <f t="shared" si="3"/>
        <v>100</v>
      </c>
      <c r="AA16" s="7">
        <f t="shared" si="3"/>
        <v>100</v>
      </c>
      <c r="AB16" s="48"/>
      <c r="AC16" s="8">
        <f t="shared" si="4"/>
        <v>0.21587033144905377</v>
      </c>
      <c r="AD16" s="48"/>
      <c r="AF16" s="9">
        <v>3.4557600000000002</v>
      </c>
      <c r="AG16" s="9">
        <f t="shared" si="5"/>
        <v>0.5</v>
      </c>
      <c r="AH16" s="9">
        <f t="shared" si="0"/>
        <v>-0.4755270095409691</v>
      </c>
      <c r="AI16" s="9">
        <f t="shared" si="1"/>
        <v>-0.15451233995064298</v>
      </c>
      <c r="AK16" t="s">
        <v>34</v>
      </c>
      <c r="AL16">
        <v>55.244644710236805</v>
      </c>
    </row>
    <row r="17" spans="1:38" ht="16.5" thickBot="1">
      <c r="A17">
        <v>22</v>
      </c>
      <c r="B17">
        <v>52212.82</v>
      </c>
      <c r="C17">
        <v>29097.45</v>
      </c>
      <c r="D17">
        <v>63.77</v>
      </c>
      <c r="E17" s="45"/>
      <c r="F17" s="54"/>
      <c r="G17" s="45"/>
      <c r="H17">
        <v>22</v>
      </c>
      <c r="I17">
        <v>52212.59</v>
      </c>
      <c r="J17">
        <v>29097.3</v>
      </c>
      <c r="K17">
        <v>63.92</v>
      </c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X17" s="7">
        <f t="shared" si="2"/>
        <v>-0.23000000000320142</v>
      </c>
      <c r="Y17" s="7">
        <f t="shared" si="2"/>
        <v>-0.15000000000145519</v>
      </c>
      <c r="Z17" s="7">
        <f t="shared" si="3"/>
        <v>100</v>
      </c>
      <c r="AA17" s="7">
        <f t="shared" si="3"/>
        <v>100</v>
      </c>
      <c r="AB17" s="48"/>
      <c r="AC17" s="8">
        <f t="shared" si="4"/>
        <v>0.27459060435839605</v>
      </c>
      <c r="AD17" s="48"/>
      <c r="AF17" s="9">
        <v>3.7699199999999999</v>
      </c>
      <c r="AG17" s="9">
        <f t="shared" si="5"/>
        <v>0.5</v>
      </c>
      <c r="AH17" s="9">
        <f t="shared" si="0"/>
        <v>-0.4045059063048092</v>
      </c>
      <c r="AI17" s="9">
        <f t="shared" si="1"/>
        <v>-0.29389619215723928</v>
      </c>
      <c r="AK17" s="56" t="s">
        <v>35</v>
      </c>
      <c r="AL17" s="56">
        <v>195</v>
      </c>
    </row>
    <row r="18" spans="1:38">
      <c r="A18">
        <v>24</v>
      </c>
      <c r="B18">
        <v>52200.94</v>
      </c>
      <c r="C18">
        <v>29092.16</v>
      </c>
      <c r="D18">
        <v>63.71</v>
      </c>
      <c r="E18" s="45"/>
      <c r="F18" s="54"/>
      <c r="G18" s="45"/>
      <c r="H18">
        <v>24</v>
      </c>
      <c r="I18">
        <v>52200.92</v>
      </c>
      <c r="J18">
        <v>29092.45</v>
      </c>
      <c r="K18">
        <v>63.66</v>
      </c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X18" s="7">
        <f t="shared" si="2"/>
        <v>-2.0000000004074536E-2</v>
      </c>
      <c r="Y18" s="7">
        <f t="shared" si="2"/>
        <v>0.29000000000087311</v>
      </c>
      <c r="Z18" s="7">
        <f t="shared" si="3"/>
        <v>100</v>
      </c>
      <c r="AA18" s="7">
        <f t="shared" si="3"/>
        <v>100</v>
      </c>
      <c r="AB18" s="48"/>
      <c r="AC18" s="8">
        <f t="shared" si="4"/>
        <v>0.29068883707612403</v>
      </c>
      <c r="AD18" s="48"/>
      <c r="AF18" s="9">
        <v>4.0840800000000002</v>
      </c>
      <c r="AG18" s="9">
        <f t="shared" si="5"/>
        <v>0.5</v>
      </c>
      <c r="AH18" s="9">
        <f t="shared" si="0"/>
        <v>-0.29388876294187555</v>
      </c>
      <c r="AI18" s="9">
        <f t="shared" si="1"/>
        <v>-0.40451130394155127</v>
      </c>
      <c r="AL18">
        <v>0</v>
      </c>
    </row>
    <row r="19" spans="1:38">
      <c r="A19">
        <v>25</v>
      </c>
      <c r="B19">
        <v>52195</v>
      </c>
      <c r="C19">
        <v>29089.52</v>
      </c>
      <c r="D19">
        <v>63.73</v>
      </c>
      <c r="E19" s="45"/>
      <c r="F19" s="54"/>
      <c r="G19" s="45"/>
      <c r="H19">
        <v>25</v>
      </c>
      <c r="I19">
        <v>52194.85</v>
      </c>
      <c r="J19">
        <v>29089.91</v>
      </c>
      <c r="K19">
        <v>63.75</v>
      </c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X19" s="7">
        <f t="shared" si="2"/>
        <v>-0.15000000000145519</v>
      </c>
      <c r="Y19" s="7">
        <f t="shared" si="2"/>
        <v>0.38999999999941792</v>
      </c>
      <c r="Z19" s="7">
        <f t="shared" si="3"/>
        <v>100</v>
      </c>
      <c r="AA19" s="7">
        <f t="shared" si="3"/>
        <v>100</v>
      </c>
      <c r="AB19" s="48"/>
      <c r="AC19" s="8">
        <f t="shared" si="4"/>
        <v>0.4178516483155027</v>
      </c>
      <c r="AD19" s="48"/>
      <c r="AF19" s="9">
        <v>4.3982400000000004</v>
      </c>
      <c r="AG19" s="9">
        <f t="shared" si="5"/>
        <v>0.5</v>
      </c>
      <c r="AH19" s="9">
        <f t="shared" si="0"/>
        <v>-0.15450360638339264</v>
      </c>
      <c r="AI19" s="9">
        <f t="shared" si="1"/>
        <v>-0.47552984723834701</v>
      </c>
    </row>
    <row r="20" spans="1:38" ht="16.5">
      <c r="A20">
        <v>26</v>
      </c>
      <c r="B20">
        <v>52189.06</v>
      </c>
      <c r="C20">
        <v>29086.880000000001</v>
      </c>
      <c r="D20">
        <v>63.76</v>
      </c>
      <c r="E20" s="45"/>
      <c r="F20" s="57" t="s">
        <v>36</v>
      </c>
      <c r="G20" s="45"/>
      <c r="H20">
        <v>26</v>
      </c>
      <c r="I20">
        <v>52189.14</v>
      </c>
      <c r="J20">
        <v>29087.18</v>
      </c>
      <c r="K20">
        <v>63.81</v>
      </c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X20" s="7">
        <f t="shared" si="2"/>
        <v>8.000000000174623E-2</v>
      </c>
      <c r="Y20" s="7">
        <f t="shared" si="2"/>
        <v>0.2999999999992724</v>
      </c>
      <c r="Z20" s="7">
        <f t="shared" si="3"/>
        <v>100</v>
      </c>
      <c r="AA20" s="7">
        <f t="shared" si="3"/>
        <v>100</v>
      </c>
      <c r="AB20" s="48"/>
      <c r="AC20" s="8">
        <f t="shared" si="4"/>
        <v>0.3104834939249474</v>
      </c>
      <c r="AD20" s="48"/>
      <c r="AF20" s="9">
        <v>4.7123999999999997</v>
      </c>
      <c r="AG20" s="9">
        <f t="shared" si="5"/>
        <v>0.5</v>
      </c>
      <c r="AH20" s="9">
        <f t="shared" si="0"/>
        <v>5.5098076548096798E-6</v>
      </c>
      <c r="AI20" s="9">
        <f t="shared" si="1"/>
        <v>-0.49999999996964201</v>
      </c>
    </row>
    <row r="21" spans="1:38">
      <c r="A21">
        <v>27</v>
      </c>
      <c r="B21">
        <v>52183.12</v>
      </c>
      <c r="C21">
        <v>29084.23</v>
      </c>
      <c r="D21">
        <v>63.78</v>
      </c>
      <c r="E21" s="45"/>
      <c r="F21" s="58"/>
      <c r="G21" s="45"/>
      <c r="H21">
        <v>27</v>
      </c>
      <c r="I21">
        <v>52182.98</v>
      </c>
      <c r="J21">
        <v>29084.26</v>
      </c>
      <c r="K21">
        <v>63.8</v>
      </c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X21" s="7">
        <f t="shared" si="2"/>
        <v>-0.13999999999941792</v>
      </c>
      <c r="Y21" s="7">
        <f t="shared" si="2"/>
        <v>2.9999999998835847E-2</v>
      </c>
      <c r="Z21" s="7">
        <f t="shared" si="3"/>
        <v>100</v>
      </c>
      <c r="AA21" s="7">
        <f t="shared" si="3"/>
        <v>100</v>
      </c>
      <c r="AB21" s="48"/>
      <c r="AC21" s="8">
        <f t="shared" si="4"/>
        <v>0.14317821063195046</v>
      </c>
      <c r="AD21" s="48"/>
      <c r="AF21" s="9">
        <v>5.0265599999999999</v>
      </c>
      <c r="AG21" s="9">
        <f t="shared" si="5"/>
        <v>0.5</v>
      </c>
      <c r="AH21" s="9">
        <f t="shared" si="0"/>
        <v>0.15451408665783872</v>
      </c>
      <c r="AI21" s="9">
        <f t="shared" si="1"/>
        <v>-0.47552644198224553</v>
      </c>
    </row>
    <row r="22" spans="1:38">
      <c r="A22">
        <v>28</v>
      </c>
      <c r="B22">
        <v>52177.19</v>
      </c>
      <c r="C22">
        <v>29081.59</v>
      </c>
      <c r="D22">
        <v>63.8</v>
      </c>
      <c r="E22" s="45"/>
      <c r="F22" s="58"/>
      <c r="G22" s="45"/>
      <c r="H22">
        <v>28</v>
      </c>
      <c r="I22">
        <v>52176.99</v>
      </c>
      <c r="J22">
        <v>29081.81</v>
      </c>
      <c r="K22">
        <v>63.72</v>
      </c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X22" s="7">
        <f t="shared" si="2"/>
        <v>-0.20000000000436557</v>
      </c>
      <c r="Y22" s="7">
        <f t="shared" si="2"/>
        <v>0.22000000000116415</v>
      </c>
      <c r="Z22" s="7">
        <f t="shared" si="3"/>
        <v>100</v>
      </c>
      <c r="AA22" s="7">
        <f t="shared" si="3"/>
        <v>100</v>
      </c>
      <c r="AB22" s="48"/>
      <c r="AC22" s="8">
        <f t="shared" si="4"/>
        <v>0.29732137495016808</v>
      </c>
      <c r="AD22" s="48"/>
      <c r="AF22" s="9">
        <v>5.3407200000000001</v>
      </c>
      <c r="AG22" s="9">
        <f t="shared" si="5"/>
        <v>0.5</v>
      </c>
      <c r="AH22" s="9">
        <f t="shared" si="0"/>
        <v>0.2938976779884161</v>
      </c>
      <c r="AI22" s="9">
        <f t="shared" si="1"/>
        <v>-0.40450482676108734</v>
      </c>
    </row>
    <row r="23" spans="1:38">
      <c r="A23">
        <v>29</v>
      </c>
      <c r="B23">
        <v>52171.25</v>
      </c>
      <c r="C23">
        <v>29078.94</v>
      </c>
      <c r="D23">
        <v>63.83</v>
      </c>
      <c r="E23" s="45"/>
      <c r="F23" s="45"/>
      <c r="G23" s="45"/>
      <c r="H23">
        <v>29</v>
      </c>
      <c r="I23">
        <v>52171.199999999997</v>
      </c>
      <c r="J23">
        <v>29078.92</v>
      </c>
      <c r="K23">
        <v>63.91</v>
      </c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X23" s="7">
        <f t="shared" si="2"/>
        <v>-5.0000000002910383E-2</v>
      </c>
      <c r="Y23" s="7">
        <f t="shared" si="2"/>
        <v>-2.0000000000436557E-2</v>
      </c>
      <c r="Z23" s="7">
        <f t="shared" si="3"/>
        <v>100</v>
      </c>
      <c r="AA23" s="7">
        <f t="shared" si="3"/>
        <v>100</v>
      </c>
      <c r="AB23" s="48"/>
      <c r="AC23" s="8">
        <f t="shared" si="4"/>
        <v>5.3851648074209398E-2</v>
      </c>
      <c r="AD23" s="48"/>
      <c r="AF23" s="9">
        <v>5.6548800000000004</v>
      </c>
      <c r="AG23" s="9">
        <f t="shared" si="5"/>
        <v>0.5</v>
      </c>
      <c r="AH23" s="9">
        <f t="shared" si="0"/>
        <v>0.40451238345252627</v>
      </c>
      <c r="AI23" s="9">
        <f t="shared" si="1"/>
        <v>-0.29388727708690682</v>
      </c>
    </row>
    <row r="24" spans="1:38">
      <c r="A24">
        <v>30</v>
      </c>
      <c r="B24">
        <v>52165.31</v>
      </c>
      <c r="C24">
        <v>29076.3</v>
      </c>
      <c r="D24">
        <v>63.88</v>
      </c>
      <c r="E24" s="45"/>
      <c r="F24" s="45"/>
      <c r="G24" s="45"/>
      <c r="H24">
        <v>30</v>
      </c>
      <c r="I24">
        <v>52165.73</v>
      </c>
      <c r="J24">
        <v>29076.44</v>
      </c>
      <c r="K24">
        <v>63.93</v>
      </c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X24" s="7">
        <f t="shared" si="2"/>
        <v>0.42000000000552973</v>
      </c>
      <c r="Y24" s="7">
        <f t="shared" si="2"/>
        <v>0.13999999999941792</v>
      </c>
      <c r="Z24" s="7">
        <f t="shared" si="3"/>
        <v>100</v>
      </c>
      <c r="AA24" s="7">
        <f t="shared" si="3"/>
        <v>100</v>
      </c>
      <c r="AB24" s="48"/>
      <c r="AC24" s="8">
        <f t="shared" si="4"/>
        <v>0.442718872428635</v>
      </c>
      <c r="AD24" s="48"/>
      <c r="AF24" s="9">
        <v>5.9690399999999997</v>
      </c>
      <c r="AG24" s="9">
        <f t="shared" si="5"/>
        <v>0.5</v>
      </c>
      <c r="AH24" s="9">
        <f t="shared" si="0"/>
        <v>0.47553041475857438</v>
      </c>
      <c r="AI24" s="9">
        <f t="shared" si="1"/>
        <v>-0.15450185966368898</v>
      </c>
    </row>
    <row r="25" spans="1:38">
      <c r="A25">
        <v>31</v>
      </c>
      <c r="B25">
        <v>52159.37</v>
      </c>
      <c r="C25">
        <v>29073.66</v>
      </c>
      <c r="D25">
        <v>63.97</v>
      </c>
      <c r="E25" s="45"/>
      <c r="F25" s="45"/>
      <c r="G25" s="45"/>
      <c r="H25">
        <v>31</v>
      </c>
      <c r="I25">
        <v>52159.31</v>
      </c>
      <c r="J25">
        <v>29073.599999999999</v>
      </c>
      <c r="K25">
        <v>63.92</v>
      </c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X25" s="7">
        <f t="shared" si="2"/>
        <v>-6.0000000004947651E-2</v>
      </c>
      <c r="Y25" s="7">
        <f t="shared" si="2"/>
        <v>-6.0000000001309672E-2</v>
      </c>
      <c r="Z25" s="7">
        <f t="shared" si="3"/>
        <v>100</v>
      </c>
      <c r="AA25" s="7">
        <f t="shared" si="3"/>
        <v>100</v>
      </c>
      <c r="AB25" s="48"/>
      <c r="AC25" s="8">
        <f t="shared" si="4"/>
        <v>8.4852813746810293E-2</v>
      </c>
      <c r="AD25" s="48"/>
      <c r="AF25" s="9">
        <v>6.2831999999999999</v>
      </c>
      <c r="AG25" s="9">
        <f t="shared" si="5"/>
        <v>0.5</v>
      </c>
      <c r="AH25" s="9">
        <f t="shared" si="0"/>
        <v>0.49999999994603028</v>
      </c>
      <c r="AI25" s="9">
        <f t="shared" si="1"/>
        <v>7.346410206445295E-6</v>
      </c>
    </row>
    <row r="26" spans="1:38">
      <c r="A26">
        <v>32</v>
      </c>
      <c r="B26">
        <v>52225.38</v>
      </c>
      <c r="C26">
        <v>29109.18</v>
      </c>
      <c r="D26">
        <v>64.09</v>
      </c>
      <c r="E26" s="45"/>
      <c r="F26" s="45"/>
      <c r="G26" s="45"/>
      <c r="H26">
        <v>32</v>
      </c>
      <c r="I26">
        <v>52225.67</v>
      </c>
      <c r="J26">
        <v>29109.18</v>
      </c>
      <c r="K26">
        <v>64.180000000000007</v>
      </c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X26" s="7">
        <f t="shared" si="2"/>
        <v>0.29000000000087311</v>
      </c>
      <c r="Y26" s="7">
        <f t="shared" si="2"/>
        <v>0</v>
      </c>
      <c r="Z26" s="7">
        <f t="shared" si="3"/>
        <v>100</v>
      </c>
      <c r="AA26" s="7">
        <f t="shared" si="3"/>
        <v>100</v>
      </c>
      <c r="AB26" s="48"/>
      <c r="AC26" s="8">
        <f t="shared" si="4"/>
        <v>0.29000000000087311</v>
      </c>
      <c r="AD26" s="48"/>
      <c r="AL26">
        <f>COUNTIF(AC5:AC151,"&gt;0.51")</f>
        <v>0</v>
      </c>
    </row>
    <row r="27" spans="1:38">
      <c r="A27">
        <v>33</v>
      </c>
      <c r="B27">
        <v>52219.56</v>
      </c>
      <c r="C27">
        <v>29105.49</v>
      </c>
      <c r="D27">
        <v>63.88</v>
      </c>
      <c r="E27" s="45"/>
      <c r="F27" s="45"/>
      <c r="G27" s="45"/>
      <c r="H27">
        <v>33</v>
      </c>
      <c r="I27">
        <v>52219.45</v>
      </c>
      <c r="J27">
        <v>29105.3</v>
      </c>
      <c r="K27">
        <v>63.92</v>
      </c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X27" s="7">
        <f t="shared" si="2"/>
        <v>-0.11000000000058208</v>
      </c>
      <c r="Y27" s="7">
        <f t="shared" si="2"/>
        <v>-0.19000000000232831</v>
      </c>
      <c r="Z27" s="7">
        <f t="shared" si="3"/>
        <v>100</v>
      </c>
      <c r="AA27" s="7">
        <f t="shared" si="3"/>
        <v>100</v>
      </c>
      <c r="AB27" s="48"/>
      <c r="AC27" s="8">
        <f t="shared" si="4"/>
        <v>0.2195449840033081</v>
      </c>
      <c r="AD27" s="48"/>
      <c r="AG27" s="59">
        <f>SUM(AG31:AG63)</f>
        <v>192</v>
      </c>
      <c r="AJ27" s="59">
        <f>SUM(AJ31:AJ63)</f>
        <v>3</v>
      </c>
    </row>
    <row r="28" spans="1:38">
      <c r="A28">
        <v>34</v>
      </c>
      <c r="B28">
        <v>52213.51</v>
      </c>
      <c r="C28">
        <v>29103.89</v>
      </c>
      <c r="D28">
        <v>63.79</v>
      </c>
      <c r="E28" s="45"/>
      <c r="F28" s="45"/>
      <c r="G28" s="45"/>
      <c r="H28">
        <v>34</v>
      </c>
      <c r="I28">
        <v>52213.81</v>
      </c>
      <c r="J28">
        <v>29103.62</v>
      </c>
      <c r="K28">
        <v>63.83</v>
      </c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X28" s="7">
        <f t="shared" si="2"/>
        <v>0.29999999999563443</v>
      </c>
      <c r="Y28" s="7">
        <f t="shared" si="2"/>
        <v>-0.27000000000043656</v>
      </c>
      <c r="Z28" s="7">
        <f t="shared" si="3"/>
        <v>100</v>
      </c>
      <c r="AA28" s="7">
        <f t="shared" si="3"/>
        <v>100</v>
      </c>
      <c r="AB28" s="48"/>
      <c r="AC28" s="8">
        <f t="shared" si="4"/>
        <v>0.40360872140925846</v>
      </c>
      <c r="AD28" s="48"/>
    </row>
    <row r="29" spans="1:38">
      <c r="A29">
        <v>35</v>
      </c>
      <c r="B29">
        <v>52207.57</v>
      </c>
      <c r="C29">
        <v>29101.24</v>
      </c>
      <c r="D29">
        <v>63.76</v>
      </c>
      <c r="E29" s="45"/>
      <c r="F29" s="45"/>
      <c r="G29" s="45"/>
      <c r="H29">
        <v>35</v>
      </c>
      <c r="I29">
        <v>52207.69</v>
      </c>
      <c r="J29">
        <v>29101.27</v>
      </c>
      <c r="K29">
        <v>63.82</v>
      </c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X29" s="7">
        <f t="shared" si="2"/>
        <v>0.12000000000261934</v>
      </c>
      <c r="Y29" s="7">
        <f t="shared" si="2"/>
        <v>2.9999999998835847E-2</v>
      </c>
      <c r="Z29" s="7">
        <f t="shared" si="3"/>
        <v>100</v>
      </c>
      <c r="AA29" s="7">
        <f t="shared" si="3"/>
        <v>100</v>
      </c>
      <c r="AB29" s="48"/>
      <c r="AC29" s="8">
        <f t="shared" si="4"/>
        <v>0.12369316877078861</v>
      </c>
      <c r="AD29" s="48"/>
      <c r="AF29" s="35" t="s">
        <v>37</v>
      </c>
      <c r="AG29" s="36"/>
      <c r="AH29" s="19"/>
      <c r="AI29" s="35" t="s">
        <v>38</v>
      </c>
      <c r="AJ29" s="36"/>
    </row>
    <row r="30" spans="1:38">
      <c r="A30">
        <v>36</v>
      </c>
      <c r="B30">
        <v>52201.63</v>
      </c>
      <c r="C30">
        <v>29098.6</v>
      </c>
      <c r="D30">
        <v>63.77</v>
      </c>
      <c r="E30" s="45"/>
      <c r="F30" s="45"/>
      <c r="G30" s="45"/>
      <c r="H30">
        <v>36</v>
      </c>
      <c r="I30">
        <v>52201.89</v>
      </c>
      <c r="J30">
        <v>29098.93</v>
      </c>
      <c r="K30">
        <v>63.79</v>
      </c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X30" s="7">
        <f t="shared" si="2"/>
        <v>0.26000000000203727</v>
      </c>
      <c r="Y30" s="7">
        <f t="shared" si="2"/>
        <v>0.33000000000174623</v>
      </c>
      <c r="Z30" s="7">
        <f t="shared" si="3"/>
        <v>100</v>
      </c>
      <c r="AA30" s="7">
        <f t="shared" si="3"/>
        <v>100</v>
      </c>
      <c r="AB30" s="48"/>
      <c r="AC30" s="8">
        <f t="shared" si="4"/>
        <v>0.42011903075463253</v>
      </c>
      <c r="AD30" s="48"/>
      <c r="AF30" s="20" t="s">
        <v>39</v>
      </c>
      <c r="AG30" s="21" t="s">
        <v>40</v>
      </c>
      <c r="AH30" s="19"/>
      <c r="AI30" s="20" t="s">
        <v>39</v>
      </c>
      <c r="AJ30" s="21" t="s">
        <v>40</v>
      </c>
    </row>
    <row r="31" spans="1:38">
      <c r="A31">
        <v>37</v>
      </c>
      <c r="B31">
        <v>52195.69</v>
      </c>
      <c r="C31">
        <v>29095.96</v>
      </c>
      <c r="D31">
        <v>63.76</v>
      </c>
      <c r="E31" s="45"/>
      <c r="F31" s="45"/>
      <c r="G31" s="45"/>
      <c r="H31">
        <v>37</v>
      </c>
      <c r="I31">
        <v>52196.07</v>
      </c>
      <c r="J31">
        <v>29096.46</v>
      </c>
      <c r="K31">
        <v>63.83</v>
      </c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X31" s="7">
        <f t="shared" si="2"/>
        <v>100</v>
      </c>
      <c r="Y31" s="7">
        <f t="shared" si="2"/>
        <v>100</v>
      </c>
      <c r="Z31" s="7">
        <f t="shared" si="3"/>
        <v>0.37999999999738066</v>
      </c>
      <c r="AA31" s="7">
        <f t="shared" si="3"/>
        <v>0.5</v>
      </c>
      <c r="AB31" s="48"/>
      <c r="AC31" s="8">
        <f t="shared" si="4"/>
        <v>0.62801273872271834</v>
      </c>
      <c r="AD31" s="48"/>
      <c r="AF31" s="22">
        <f>IF($AH31&lt;=$AD$5,$AH31,"")</f>
        <v>-0.2</v>
      </c>
      <c r="AG31" s="23">
        <f>IF(AF31="","",COUNTIF($AC$5:$AC$1000,"&gt;="&amp;$AH31)-COUNTIF($AC$5:$AC$1000,"&gt;="&amp;$AH32))</f>
        <v>0</v>
      </c>
      <c r="AH31" s="26">
        <v>-0.2</v>
      </c>
      <c r="AI31" s="22" t="str">
        <f>IF($AH31&gt;$AD$5,$AH31,"")</f>
        <v/>
      </c>
      <c r="AJ31" s="23" t="str">
        <f>IF(AI31="","",COUNTIF($AC$5:$AC$1000,"&gt;="&amp;$AH31)-COUNTIF($AC$5:$AC$1000,"&gt;="&amp;$AH32))</f>
        <v/>
      </c>
    </row>
    <row r="32" spans="1:38">
      <c r="A32">
        <v>38</v>
      </c>
      <c r="B32">
        <v>52189.75</v>
      </c>
      <c r="C32">
        <v>29093.31</v>
      </c>
      <c r="D32">
        <v>63.76</v>
      </c>
      <c r="E32" s="45"/>
      <c r="F32" s="45"/>
      <c r="G32" s="45"/>
      <c r="H32">
        <v>38</v>
      </c>
      <c r="I32">
        <v>52189.57</v>
      </c>
      <c r="J32">
        <v>29093.25</v>
      </c>
      <c r="K32">
        <v>63.78</v>
      </c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X32" s="7">
        <f t="shared" si="2"/>
        <v>-0.18000000000029104</v>
      </c>
      <c r="Y32" s="7">
        <f t="shared" si="2"/>
        <v>-6.0000000001309672E-2</v>
      </c>
      <c r="Z32" s="7">
        <f t="shared" si="3"/>
        <v>100</v>
      </c>
      <c r="AA32" s="7">
        <f t="shared" si="3"/>
        <v>100</v>
      </c>
      <c r="AB32" s="48"/>
      <c r="AC32" s="8">
        <f t="shared" si="4"/>
        <v>0.18973665961079303</v>
      </c>
      <c r="AD32" s="48"/>
      <c r="AF32" s="22">
        <f>IF($AH32&lt;=$AD$5,$AH32,"")</f>
        <v>-0.1</v>
      </c>
      <c r="AG32" s="23">
        <f>IF(AF32="","",COUNTIF($AC$5:$AC$1000,"&gt;="&amp;$AH32)-COUNTIF($AC$5:$AC$1000,"&gt;="&amp;$AH33))</f>
        <v>0</v>
      </c>
      <c r="AH32" s="26">
        <v>-0.1</v>
      </c>
      <c r="AI32" s="22" t="str">
        <f t="shared" ref="AI32:AI63" si="6">IF($AH32&gt;$AD$5,$AH32,"")</f>
        <v/>
      </c>
      <c r="AJ32" s="23" t="str">
        <f t="shared" ref="AJ32:AJ63" si="7">IF(AI32="","",COUNTIF($AC$5:$AC$1000,"&gt;="&amp;$AH32)-COUNTIF($AC$5:$AC$1000,"&gt;="&amp;$AH33))</f>
        <v/>
      </c>
    </row>
    <row r="33" spans="1:36">
      <c r="A33">
        <v>39</v>
      </c>
      <c r="B33">
        <v>52183.82</v>
      </c>
      <c r="C33">
        <v>29090.67</v>
      </c>
      <c r="D33">
        <v>63.78</v>
      </c>
      <c r="E33" s="45"/>
      <c r="F33" s="45"/>
      <c r="G33" s="45"/>
      <c r="H33">
        <v>39</v>
      </c>
      <c r="I33">
        <v>52183.83</v>
      </c>
      <c r="J33">
        <v>29090.7</v>
      </c>
      <c r="K33">
        <v>63.8</v>
      </c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X33" s="7">
        <f t="shared" si="2"/>
        <v>1.0000000002037268E-2</v>
      </c>
      <c r="Y33" s="7">
        <f t="shared" si="2"/>
        <v>3.0000000002473826E-2</v>
      </c>
      <c r="Z33" s="7">
        <f t="shared" si="3"/>
        <v>100</v>
      </c>
      <c r="AA33" s="7">
        <f t="shared" si="3"/>
        <v>100</v>
      </c>
      <c r="AB33" s="48"/>
      <c r="AC33" s="8">
        <f t="shared" si="4"/>
        <v>3.1622776604674913E-2</v>
      </c>
      <c r="AD33" s="48"/>
      <c r="AF33" s="22">
        <f>IF($AH33&lt;=$AD$5,$AH33,"")</f>
        <v>0</v>
      </c>
      <c r="AG33" s="23">
        <f>IF(AF33="","",COUNTIF($AC$5:$AC$1000,"&gt;="&amp;$AH33)-COUNTIF($AC$5:$AC$1000,"&gt;="&amp;$AH34))</f>
        <v>11</v>
      </c>
      <c r="AH33" s="26">
        <v>0</v>
      </c>
      <c r="AI33" s="22" t="str">
        <f t="shared" si="6"/>
        <v/>
      </c>
      <c r="AJ33" s="23" t="str">
        <f t="shared" si="7"/>
        <v/>
      </c>
    </row>
    <row r="34" spans="1:36">
      <c r="A34">
        <v>40</v>
      </c>
      <c r="B34">
        <v>52177.88</v>
      </c>
      <c r="C34">
        <v>29088.03</v>
      </c>
      <c r="D34">
        <v>63.77</v>
      </c>
      <c r="E34" s="45"/>
      <c r="F34" s="45"/>
      <c r="G34" s="45"/>
      <c r="H34">
        <v>40</v>
      </c>
      <c r="I34">
        <v>52177.74</v>
      </c>
      <c r="J34">
        <v>29088.04</v>
      </c>
      <c r="K34">
        <v>63.79</v>
      </c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X34" s="7">
        <f t="shared" si="2"/>
        <v>-0.13999999999941792</v>
      </c>
      <c r="Y34" s="7">
        <f t="shared" si="2"/>
        <v>1.0000000002037268E-2</v>
      </c>
      <c r="Z34" s="7">
        <f t="shared" si="3"/>
        <v>100</v>
      </c>
      <c r="AA34" s="7">
        <f t="shared" si="3"/>
        <v>100</v>
      </c>
      <c r="AB34" s="48"/>
      <c r="AC34" s="8">
        <f t="shared" si="4"/>
        <v>0.14035668847574653</v>
      </c>
      <c r="AD34" s="48"/>
      <c r="AF34" s="22">
        <f>IF($AH34&lt;=$AD$5,$AH34,"")</f>
        <v>0.1</v>
      </c>
      <c r="AG34" s="23">
        <f>IF(AF34="","",COUNTIF($AC$5:$AC$1000,"&gt;="&amp;$AH34)-COUNTIF($AC$5:$AC$1000,"&gt;="&amp;$AH35))</f>
        <v>45</v>
      </c>
      <c r="AH34" s="26">
        <v>0.1</v>
      </c>
      <c r="AI34" s="22" t="str">
        <f t="shared" si="6"/>
        <v/>
      </c>
      <c r="AJ34" s="23" t="str">
        <f t="shared" si="7"/>
        <v/>
      </c>
    </row>
    <row r="35" spans="1:36">
      <c r="A35">
        <v>41</v>
      </c>
      <c r="B35">
        <v>52171.94</v>
      </c>
      <c r="C35">
        <v>29085.38</v>
      </c>
      <c r="D35">
        <v>63.76</v>
      </c>
      <c r="E35" s="45"/>
      <c r="F35" s="45"/>
      <c r="G35" s="45"/>
      <c r="H35">
        <v>41</v>
      </c>
      <c r="I35">
        <v>52171.74</v>
      </c>
      <c r="J35">
        <v>29085.59</v>
      </c>
      <c r="K35">
        <v>63.77</v>
      </c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X35" s="7">
        <f t="shared" si="2"/>
        <v>-0.20000000000436557</v>
      </c>
      <c r="Y35" s="7">
        <f t="shared" si="2"/>
        <v>0.20999999999912689</v>
      </c>
      <c r="Z35" s="7">
        <f t="shared" si="3"/>
        <v>100</v>
      </c>
      <c r="AA35" s="7">
        <f t="shared" si="3"/>
        <v>100</v>
      </c>
      <c r="AB35" s="48"/>
      <c r="AC35" s="8">
        <f t="shared" si="4"/>
        <v>0.29000000000237847</v>
      </c>
      <c r="AD35" s="48"/>
      <c r="AF35" s="22">
        <f>IF($AH35&lt;=$AD$5,$AH35,"")</f>
        <v>0.2</v>
      </c>
      <c r="AG35" s="23">
        <f>IF(AF35="","",COUNTIF($AC$5:$AC$1000,"&gt;="&amp;$AH35)-COUNTIF($AC$5:$AC$1000,"&gt;="&amp;$AH36))</f>
        <v>58</v>
      </c>
      <c r="AH35" s="26">
        <v>0.2</v>
      </c>
      <c r="AI35" s="22" t="str">
        <f t="shared" si="6"/>
        <v/>
      </c>
      <c r="AJ35" s="23" t="str">
        <f t="shared" si="7"/>
        <v/>
      </c>
    </row>
    <row r="36" spans="1:36">
      <c r="A36">
        <v>42</v>
      </c>
      <c r="B36">
        <v>52166</v>
      </c>
      <c r="C36">
        <v>29082.74</v>
      </c>
      <c r="D36">
        <v>63.76</v>
      </c>
      <c r="E36" s="45"/>
      <c r="F36" s="45"/>
      <c r="G36" s="45"/>
      <c r="H36">
        <v>42</v>
      </c>
      <c r="I36">
        <v>52165.65</v>
      </c>
      <c r="J36">
        <v>29082.84</v>
      </c>
      <c r="K36">
        <v>63.81</v>
      </c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X36" s="7">
        <f t="shared" si="2"/>
        <v>-0.34999999999854481</v>
      </c>
      <c r="Y36" s="7">
        <f t="shared" si="2"/>
        <v>9.9999999998544808E-2</v>
      </c>
      <c r="Z36" s="7">
        <f t="shared" si="3"/>
        <v>100</v>
      </c>
      <c r="AA36" s="7">
        <f t="shared" si="3"/>
        <v>100</v>
      </c>
      <c r="AB36" s="48"/>
      <c r="AC36" s="8">
        <f t="shared" si="4"/>
        <v>0.36400549446222696</v>
      </c>
      <c r="AD36" s="48"/>
      <c r="AF36" s="22">
        <f t="shared" ref="AF36:AF63" si="8">IF($AH36&lt;=$AD$5,$AH36,"")</f>
        <v>0.3</v>
      </c>
      <c r="AG36" s="23">
        <f t="shared" ref="AG36:AG63" si="9">IF(AF36="","",COUNTIF($AC$5:$AC$1000,"&gt;="&amp;$AH36)-COUNTIF($AC$5:$AC$1000,"&gt;="&amp;$AH37))</f>
        <v>41</v>
      </c>
      <c r="AH36" s="26">
        <v>0.3</v>
      </c>
      <c r="AI36" s="22" t="str">
        <f t="shared" si="6"/>
        <v/>
      </c>
      <c r="AJ36" s="23" t="str">
        <f t="shared" si="7"/>
        <v/>
      </c>
    </row>
    <row r="37" spans="1:36">
      <c r="A37">
        <v>43</v>
      </c>
      <c r="B37">
        <v>52160.06</v>
      </c>
      <c r="C37">
        <v>29080.09</v>
      </c>
      <c r="D37">
        <v>63.86</v>
      </c>
      <c r="E37" s="45"/>
      <c r="F37" s="45"/>
      <c r="G37" s="45"/>
      <c r="H37">
        <v>43</v>
      </c>
      <c r="I37">
        <v>52159.92</v>
      </c>
      <c r="J37">
        <v>29080.12</v>
      </c>
      <c r="K37">
        <v>63.88</v>
      </c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7">
        <f t="shared" si="2"/>
        <v>-0.13999999999941792</v>
      </c>
      <c r="Y37" s="7">
        <f t="shared" si="2"/>
        <v>2.9999999998835847E-2</v>
      </c>
      <c r="Z37" s="7">
        <f t="shared" si="3"/>
        <v>100</v>
      </c>
      <c r="AA37" s="7">
        <f t="shared" si="3"/>
        <v>100</v>
      </c>
      <c r="AB37" s="48"/>
      <c r="AC37" s="8">
        <f t="shared" si="4"/>
        <v>0.14317821063195046</v>
      </c>
      <c r="AD37" s="48"/>
      <c r="AF37" s="22">
        <f t="shared" si="8"/>
        <v>0.4</v>
      </c>
      <c r="AG37" s="23">
        <f t="shared" si="9"/>
        <v>28</v>
      </c>
      <c r="AH37" s="26">
        <v>0.4</v>
      </c>
      <c r="AI37" s="22" t="str">
        <f t="shared" si="6"/>
        <v/>
      </c>
      <c r="AJ37" s="23" t="str">
        <f t="shared" si="7"/>
        <v/>
      </c>
    </row>
    <row r="38" spans="1:36">
      <c r="A38">
        <v>44</v>
      </c>
      <c r="B38">
        <v>52219.39</v>
      </c>
      <c r="C38">
        <v>29110.42</v>
      </c>
      <c r="D38">
        <v>63.98</v>
      </c>
      <c r="E38" s="45"/>
      <c r="F38" s="45"/>
      <c r="G38" s="45"/>
      <c r="H38">
        <v>44</v>
      </c>
      <c r="I38">
        <v>52219.05</v>
      </c>
      <c r="J38">
        <v>29110.49</v>
      </c>
      <c r="K38">
        <v>63.89</v>
      </c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7">
        <f t="shared" si="2"/>
        <v>-0.33999999999650754</v>
      </c>
      <c r="Y38" s="7">
        <f t="shared" si="2"/>
        <v>7.0000000003346941E-2</v>
      </c>
      <c r="Z38" s="7">
        <f t="shared" si="3"/>
        <v>100</v>
      </c>
      <c r="AA38" s="7">
        <f t="shared" si="3"/>
        <v>100</v>
      </c>
      <c r="AB38" s="48"/>
      <c r="AC38" s="8">
        <f t="shared" si="4"/>
        <v>0.34713109915144985</v>
      </c>
      <c r="AD38" s="48"/>
      <c r="AF38" s="22">
        <f t="shared" si="8"/>
        <v>0.5</v>
      </c>
      <c r="AG38" s="23">
        <f t="shared" si="9"/>
        <v>9</v>
      </c>
      <c r="AH38" s="26">
        <v>0.5</v>
      </c>
      <c r="AI38" s="22" t="str">
        <f t="shared" si="6"/>
        <v/>
      </c>
      <c r="AJ38" s="23" t="str">
        <f t="shared" si="7"/>
        <v/>
      </c>
    </row>
    <row r="39" spans="1:36">
      <c r="A39">
        <v>45</v>
      </c>
      <c r="B39">
        <v>52214.2</v>
      </c>
      <c r="C39">
        <v>29110.33</v>
      </c>
      <c r="D39">
        <v>63.93</v>
      </c>
      <c r="E39" s="45"/>
      <c r="F39" s="45"/>
      <c r="G39" s="45"/>
      <c r="H39">
        <v>45</v>
      </c>
      <c r="I39">
        <v>52214.38</v>
      </c>
      <c r="J39">
        <v>29110.48</v>
      </c>
      <c r="K39">
        <v>63.94</v>
      </c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7">
        <f t="shared" si="2"/>
        <v>0.18000000000029104</v>
      </c>
      <c r="Y39" s="7">
        <f t="shared" si="2"/>
        <v>0.14999999999781721</v>
      </c>
      <c r="Z39" s="7">
        <f t="shared" si="3"/>
        <v>100</v>
      </c>
      <c r="AA39" s="7">
        <f t="shared" si="3"/>
        <v>100</v>
      </c>
      <c r="AB39" s="48"/>
      <c r="AC39" s="8">
        <f t="shared" si="4"/>
        <v>0.23430749027602585</v>
      </c>
      <c r="AD39" s="48"/>
      <c r="AF39" s="22" t="str">
        <f t="shared" si="8"/>
        <v/>
      </c>
      <c r="AG39" s="23" t="str">
        <f t="shared" si="9"/>
        <v/>
      </c>
      <c r="AH39" s="26">
        <v>0.6</v>
      </c>
      <c r="AI39" s="22">
        <f t="shared" si="6"/>
        <v>0.6</v>
      </c>
      <c r="AJ39" s="23">
        <f t="shared" si="7"/>
        <v>2</v>
      </c>
    </row>
    <row r="40" spans="1:36">
      <c r="A40">
        <v>46</v>
      </c>
      <c r="B40">
        <v>52208.26</v>
      </c>
      <c r="C40">
        <v>29107.68</v>
      </c>
      <c r="D40">
        <v>63.83</v>
      </c>
      <c r="E40" s="45"/>
      <c r="F40" s="45"/>
      <c r="G40" s="45"/>
      <c r="H40">
        <v>46</v>
      </c>
      <c r="I40">
        <v>52208.53</v>
      </c>
      <c r="J40">
        <v>29107.52</v>
      </c>
      <c r="K40">
        <v>63.81</v>
      </c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7">
        <f t="shared" si="2"/>
        <v>0.26999999999679858</v>
      </c>
      <c r="Y40" s="7">
        <f t="shared" si="2"/>
        <v>-0.15999999999985448</v>
      </c>
      <c r="Z40" s="7">
        <f t="shared" si="3"/>
        <v>100</v>
      </c>
      <c r="AA40" s="7">
        <f t="shared" si="3"/>
        <v>100</v>
      </c>
      <c r="AB40" s="48"/>
      <c r="AC40" s="8">
        <f t="shared" si="4"/>
        <v>0.31384709652667597</v>
      </c>
      <c r="AD40" s="48"/>
      <c r="AF40" s="22" t="str">
        <f t="shared" si="8"/>
        <v/>
      </c>
      <c r="AG40" s="23" t="str">
        <f t="shared" si="9"/>
        <v/>
      </c>
      <c r="AH40" s="26">
        <v>0.7</v>
      </c>
      <c r="AI40" s="22">
        <f t="shared" si="6"/>
        <v>0.7</v>
      </c>
      <c r="AJ40" s="23">
        <f t="shared" si="7"/>
        <v>1</v>
      </c>
    </row>
    <row r="41" spans="1:36">
      <c r="A41">
        <v>47</v>
      </c>
      <c r="B41">
        <v>52202.32</v>
      </c>
      <c r="C41">
        <v>29105.040000000001</v>
      </c>
      <c r="D41">
        <v>63.83</v>
      </c>
      <c r="E41" s="45"/>
      <c r="F41" s="45"/>
      <c r="G41" s="45"/>
      <c r="H41">
        <v>47</v>
      </c>
      <c r="I41">
        <v>52202.32</v>
      </c>
      <c r="J41">
        <v>29104.74</v>
      </c>
      <c r="K41">
        <v>63.83</v>
      </c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7">
        <f t="shared" si="2"/>
        <v>0</v>
      </c>
      <c r="Y41" s="7">
        <f t="shared" si="2"/>
        <v>-0.2999999999992724</v>
      </c>
      <c r="Z41" s="7">
        <f t="shared" si="3"/>
        <v>100</v>
      </c>
      <c r="AA41" s="7">
        <f t="shared" si="3"/>
        <v>100</v>
      </c>
      <c r="AB41" s="48"/>
      <c r="AC41" s="8">
        <f t="shared" si="4"/>
        <v>0.2999999999992724</v>
      </c>
      <c r="AD41" s="48"/>
      <c r="AF41" s="22" t="str">
        <f t="shared" si="8"/>
        <v/>
      </c>
      <c r="AG41" s="23" t="str">
        <f t="shared" si="9"/>
        <v/>
      </c>
      <c r="AH41" s="26">
        <v>0.8</v>
      </c>
      <c r="AI41" s="22">
        <f t="shared" si="6"/>
        <v>0.8</v>
      </c>
      <c r="AJ41" s="23">
        <f t="shared" si="7"/>
        <v>0</v>
      </c>
    </row>
    <row r="42" spans="1:36">
      <c r="A42">
        <v>48</v>
      </c>
      <c r="B42">
        <v>52196.38</v>
      </c>
      <c r="C42">
        <v>29102.400000000001</v>
      </c>
      <c r="D42">
        <v>63.85</v>
      </c>
      <c r="E42" s="45"/>
      <c r="F42" s="45"/>
      <c r="G42" s="45"/>
      <c r="H42">
        <v>48</v>
      </c>
      <c r="I42">
        <v>52196.37</v>
      </c>
      <c r="J42">
        <v>29102.18</v>
      </c>
      <c r="K42">
        <v>63.89</v>
      </c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7">
        <f t="shared" si="2"/>
        <v>-9.9999999947613105E-3</v>
      </c>
      <c r="Y42" s="7">
        <f t="shared" si="2"/>
        <v>-0.22000000000116415</v>
      </c>
      <c r="Z42" s="7">
        <f t="shared" si="3"/>
        <v>100</v>
      </c>
      <c r="AA42" s="7">
        <f t="shared" si="3"/>
        <v>100</v>
      </c>
      <c r="AB42" s="48"/>
      <c r="AC42" s="8">
        <f t="shared" si="4"/>
        <v>0.22022715545637747</v>
      </c>
      <c r="AD42" s="48"/>
      <c r="AF42" s="22" t="str">
        <f t="shared" si="8"/>
        <v/>
      </c>
      <c r="AG42" s="23" t="str">
        <f t="shared" si="9"/>
        <v/>
      </c>
      <c r="AH42" s="26">
        <v>0.9</v>
      </c>
      <c r="AI42" s="22">
        <f t="shared" si="6"/>
        <v>0.9</v>
      </c>
      <c r="AJ42" s="23">
        <f t="shared" si="7"/>
        <v>0</v>
      </c>
    </row>
    <row r="43" spans="1:36">
      <c r="A43">
        <v>49</v>
      </c>
      <c r="B43">
        <v>52190.45</v>
      </c>
      <c r="C43">
        <v>29099.75</v>
      </c>
      <c r="D43">
        <v>63.81</v>
      </c>
      <c r="E43" s="45"/>
      <c r="F43" s="45"/>
      <c r="G43" s="45"/>
      <c r="H43">
        <v>49</v>
      </c>
      <c r="I43">
        <v>52190.67</v>
      </c>
      <c r="J43">
        <v>29099.5</v>
      </c>
      <c r="K43">
        <v>63.94</v>
      </c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7">
        <f t="shared" si="2"/>
        <v>0.22000000000116415</v>
      </c>
      <c r="Y43" s="7">
        <f t="shared" si="2"/>
        <v>-0.25</v>
      </c>
      <c r="Z43" s="7">
        <f t="shared" si="3"/>
        <v>100</v>
      </c>
      <c r="AA43" s="7">
        <f t="shared" si="3"/>
        <v>100</v>
      </c>
      <c r="AB43" s="48"/>
      <c r="AC43" s="8">
        <f t="shared" si="4"/>
        <v>0.33301651610770333</v>
      </c>
      <c r="AD43" s="48"/>
      <c r="AF43" s="22" t="str">
        <f t="shared" si="8"/>
        <v/>
      </c>
      <c r="AG43" s="23" t="str">
        <f t="shared" si="9"/>
        <v/>
      </c>
      <c r="AH43" s="26">
        <v>1</v>
      </c>
      <c r="AI43" s="22">
        <f t="shared" si="6"/>
        <v>1</v>
      </c>
      <c r="AJ43" s="23">
        <f t="shared" si="7"/>
        <v>0</v>
      </c>
    </row>
    <row r="44" spans="1:36">
      <c r="A44">
        <v>50</v>
      </c>
      <c r="B44">
        <v>52184.51</v>
      </c>
      <c r="C44">
        <v>29097.11</v>
      </c>
      <c r="D44">
        <v>63.8</v>
      </c>
      <c r="E44" s="45"/>
      <c r="F44" s="45"/>
      <c r="G44" s="45"/>
      <c r="H44">
        <v>50</v>
      </c>
      <c r="I44">
        <v>52184.71</v>
      </c>
      <c r="J44">
        <v>29097.439999999999</v>
      </c>
      <c r="K44">
        <v>63.9</v>
      </c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7">
        <f t="shared" si="2"/>
        <v>0.19999999999708962</v>
      </c>
      <c r="Y44" s="7">
        <f t="shared" si="2"/>
        <v>0.32999999999810825</v>
      </c>
      <c r="Z44" s="7">
        <f t="shared" si="3"/>
        <v>100</v>
      </c>
      <c r="AA44" s="7">
        <f t="shared" si="3"/>
        <v>100</v>
      </c>
      <c r="AB44" s="48"/>
      <c r="AC44" s="8">
        <f t="shared" si="4"/>
        <v>0.38587562762836847</v>
      </c>
      <c r="AD44" s="48"/>
      <c r="AF44" s="22" t="str">
        <f t="shared" si="8"/>
        <v/>
      </c>
      <c r="AG44" s="23" t="str">
        <f t="shared" si="9"/>
        <v/>
      </c>
      <c r="AH44" s="26">
        <v>1.1000000000000001</v>
      </c>
      <c r="AI44" s="22">
        <f t="shared" si="6"/>
        <v>1.1000000000000001</v>
      </c>
      <c r="AJ44" s="23">
        <f t="shared" si="7"/>
        <v>0</v>
      </c>
    </row>
    <row r="45" spans="1:36">
      <c r="A45">
        <v>51</v>
      </c>
      <c r="B45">
        <v>52178.57</v>
      </c>
      <c r="C45">
        <v>29094.46</v>
      </c>
      <c r="D45">
        <v>63.77</v>
      </c>
      <c r="E45" s="45"/>
      <c r="F45" s="45"/>
      <c r="G45" s="45"/>
      <c r="H45">
        <v>51</v>
      </c>
      <c r="I45">
        <v>52178.48</v>
      </c>
      <c r="J45">
        <v>29094.07</v>
      </c>
      <c r="K45">
        <v>63.78</v>
      </c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7">
        <f t="shared" si="2"/>
        <v>-8.999999999650754E-2</v>
      </c>
      <c r="Y45" s="7">
        <f t="shared" si="2"/>
        <v>-0.38999999999941792</v>
      </c>
      <c r="Z45" s="7">
        <f t="shared" si="3"/>
        <v>100</v>
      </c>
      <c r="AA45" s="7">
        <f t="shared" si="3"/>
        <v>100</v>
      </c>
      <c r="AB45" s="48"/>
      <c r="AC45" s="8">
        <f t="shared" si="4"/>
        <v>0.40024992192243752</v>
      </c>
      <c r="AD45" s="48"/>
      <c r="AF45" s="22" t="str">
        <f t="shared" si="8"/>
        <v/>
      </c>
      <c r="AG45" s="23" t="str">
        <f t="shared" si="9"/>
        <v/>
      </c>
      <c r="AH45" s="26">
        <v>1.2</v>
      </c>
      <c r="AI45" s="22">
        <f t="shared" si="6"/>
        <v>1.2</v>
      </c>
      <c r="AJ45" s="23">
        <f t="shared" si="7"/>
        <v>0</v>
      </c>
    </row>
    <row r="46" spans="1:36">
      <c r="A46">
        <v>52</v>
      </c>
      <c r="B46">
        <v>52172.63</v>
      </c>
      <c r="C46">
        <v>29091.82</v>
      </c>
      <c r="D46">
        <v>63.75</v>
      </c>
      <c r="E46" s="45"/>
      <c r="F46" s="45"/>
      <c r="G46" s="45"/>
      <c r="H46">
        <v>52</v>
      </c>
      <c r="I46">
        <v>52172.87</v>
      </c>
      <c r="J46">
        <v>29091.47</v>
      </c>
      <c r="K46">
        <v>63.85</v>
      </c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7">
        <f t="shared" si="2"/>
        <v>0.24000000000523869</v>
      </c>
      <c r="Y46" s="7">
        <f t="shared" si="2"/>
        <v>-0.34999999999854481</v>
      </c>
      <c r="Z46" s="7">
        <f t="shared" si="3"/>
        <v>100</v>
      </c>
      <c r="AA46" s="7">
        <f t="shared" si="3"/>
        <v>100</v>
      </c>
      <c r="AB46" s="48"/>
      <c r="AC46" s="8">
        <f t="shared" si="4"/>
        <v>0.42438190348022142</v>
      </c>
      <c r="AD46" s="48"/>
      <c r="AF46" s="22" t="str">
        <f t="shared" si="8"/>
        <v/>
      </c>
      <c r="AG46" s="23" t="str">
        <f t="shared" si="9"/>
        <v/>
      </c>
      <c r="AH46" s="26">
        <v>1.3</v>
      </c>
      <c r="AI46" s="22">
        <f t="shared" si="6"/>
        <v>1.3</v>
      </c>
      <c r="AJ46" s="23">
        <f t="shared" si="7"/>
        <v>0</v>
      </c>
    </row>
    <row r="47" spans="1:36">
      <c r="A47">
        <v>53</v>
      </c>
      <c r="B47">
        <v>52166.69</v>
      </c>
      <c r="C47">
        <v>29089.18</v>
      </c>
      <c r="D47">
        <v>63.75</v>
      </c>
      <c r="E47" s="45"/>
      <c r="F47" s="45"/>
      <c r="G47" s="45"/>
      <c r="H47">
        <v>53</v>
      </c>
      <c r="I47">
        <v>52166.34</v>
      </c>
      <c r="J47">
        <v>29089.02</v>
      </c>
      <c r="K47">
        <v>63.75</v>
      </c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7">
        <f t="shared" si="2"/>
        <v>-0.35000000000582077</v>
      </c>
      <c r="Y47" s="7">
        <f t="shared" si="2"/>
        <v>-0.15999999999985448</v>
      </c>
      <c r="Z47" s="7">
        <f t="shared" si="3"/>
        <v>100</v>
      </c>
      <c r="AA47" s="7">
        <f t="shared" si="3"/>
        <v>100</v>
      </c>
      <c r="AB47" s="48"/>
      <c r="AC47" s="8">
        <f t="shared" si="4"/>
        <v>0.38483762810311045</v>
      </c>
      <c r="AD47" s="48"/>
      <c r="AF47" s="22" t="str">
        <f t="shared" si="8"/>
        <v/>
      </c>
      <c r="AG47" s="23" t="str">
        <f t="shared" si="9"/>
        <v/>
      </c>
      <c r="AH47" s="26">
        <v>1.4</v>
      </c>
      <c r="AI47" s="22">
        <f t="shared" si="6"/>
        <v>1.4</v>
      </c>
      <c r="AJ47" s="23">
        <f t="shared" si="7"/>
        <v>0</v>
      </c>
    </row>
    <row r="48" spans="1:36">
      <c r="A48">
        <v>54</v>
      </c>
      <c r="B48">
        <v>52160.76</v>
      </c>
      <c r="C48">
        <v>29086.53</v>
      </c>
      <c r="D48">
        <v>63.83</v>
      </c>
      <c r="E48" s="45"/>
      <c r="F48" s="45"/>
      <c r="G48" s="45"/>
      <c r="H48">
        <v>54</v>
      </c>
      <c r="I48">
        <v>52160.38</v>
      </c>
      <c r="J48">
        <v>29086.65</v>
      </c>
      <c r="K48">
        <v>63.99</v>
      </c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7">
        <f t="shared" si="2"/>
        <v>-0.38000000000465661</v>
      </c>
      <c r="Y48" s="7">
        <f t="shared" si="2"/>
        <v>0.12000000000261934</v>
      </c>
      <c r="Z48" s="7">
        <f t="shared" si="3"/>
        <v>100</v>
      </c>
      <c r="AA48" s="7">
        <f t="shared" si="3"/>
        <v>100</v>
      </c>
      <c r="AB48" s="48"/>
      <c r="AC48" s="8">
        <f t="shared" si="4"/>
        <v>0.39849717690865472</v>
      </c>
      <c r="AD48" s="48"/>
      <c r="AF48" s="22" t="str">
        <f t="shared" si="8"/>
        <v/>
      </c>
      <c r="AG48" s="23" t="str">
        <f t="shared" si="9"/>
        <v/>
      </c>
      <c r="AH48" s="26">
        <v>1.5</v>
      </c>
      <c r="AI48" s="22">
        <f t="shared" si="6"/>
        <v>1.5</v>
      </c>
      <c r="AJ48" s="23">
        <f t="shared" si="7"/>
        <v>0</v>
      </c>
    </row>
    <row r="49" spans="1:36">
      <c r="A49">
        <v>55</v>
      </c>
      <c r="B49">
        <v>52154.82</v>
      </c>
      <c r="C49">
        <v>29083.89</v>
      </c>
      <c r="D49">
        <v>63.95</v>
      </c>
      <c r="E49" s="45"/>
      <c r="F49" s="45"/>
      <c r="G49" s="45"/>
      <c r="H49">
        <v>55</v>
      </c>
      <c r="I49">
        <v>52154.95</v>
      </c>
      <c r="J49">
        <v>29083.77</v>
      </c>
      <c r="K49">
        <v>63.97</v>
      </c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7">
        <f t="shared" si="2"/>
        <v>0.12999999999738066</v>
      </c>
      <c r="Y49" s="7">
        <f t="shared" si="2"/>
        <v>-0.11999999999898137</v>
      </c>
      <c r="Z49" s="7">
        <f t="shared" si="3"/>
        <v>100</v>
      </c>
      <c r="AA49" s="7">
        <f t="shared" si="3"/>
        <v>100</v>
      </c>
      <c r="AB49" s="48"/>
      <c r="AC49" s="8">
        <f t="shared" si="4"/>
        <v>0.17691806012692571</v>
      </c>
      <c r="AD49" s="48"/>
      <c r="AF49" s="22" t="str">
        <f t="shared" si="8"/>
        <v/>
      </c>
      <c r="AG49" s="23" t="str">
        <f t="shared" si="9"/>
        <v/>
      </c>
      <c r="AH49" s="26">
        <v>1.6</v>
      </c>
      <c r="AI49" s="22">
        <f t="shared" si="6"/>
        <v>1.6</v>
      </c>
      <c r="AJ49" s="23">
        <f t="shared" si="7"/>
        <v>0</v>
      </c>
    </row>
    <row r="50" spans="1:36">
      <c r="A50">
        <v>56</v>
      </c>
      <c r="B50">
        <v>52208.95</v>
      </c>
      <c r="C50">
        <v>29114.12</v>
      </c>
      <c r="D50">
        <v>63.85</v>
      </c>
      <c r="E50" s="45"/>
      <c r="F50" s="45"/>
      <c r="G50" s="45"/>
      <c r="H50">
        <v>56</v>
      </c>
      <c r="I50">
        <v>52208.77</v>
      </c>
      <c r="J50">
        <v>29113.99</v>
      </c>
      <c r="K50">
        <v>63.97</v>
      </c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7">
        <f t="shared" si="2"/>
        <v>-0.18000000000029104</v>
      </c>
      <c r="Y50" s="7">
        <f t="shared" si="2"/>
        <v>-0.12999999999738066</v>
      </c>
      <c r="Z50" s="7">
        <f t="shared" si="3"/>
        <v>100</v>
      </c>
      <c r="AA50" s="7">
        <f t="shared" si="3"/>
        <v>100</v>
      </c>
      <c r="AB50" s="48"/>
      <c r="AC50" s="8">
        <f t="shared" si="4"/>
        <v>0.22203603311044753</v>
      </c>
      <c r="AD50" s="48"/>
      <c r="AF50" s="22" t="str">
        <f t="shared" si="8"/>
        <v/>
      </c>
      <c r="AG50" s="23" t="str">
        <f t="shared" si="9"/>
        <v/>
      </c>
      <c r="AH50" s="26">
        <v>1.7</v>
      </c>
      <c r="AI50" s="22">
        <f t="shared" si="6"/>
        <v>1.7</v>
      </c>
      <c r="AJ50" s="23">
        <f t="shared" si="7"/>
        <v>0</v>
      </c>
    </row>
    <row r="51" spans="1:36">
      <c r="A51">
        <v>57</v>
      </c>
      <c r="B51">
        <v>52203.01</v>
      </c>
      <c r="C51">
        <v>29111.48</v>
      </c>
      <c r="D51">
        <v>63.87</v>
      </c>
      <c r="E51" s="45"/>
      <c r="F51" s="45"/>
      <c r="G51" s="45"/>
      <c r="H51">
        <v>57</v>
      </c>
      <c r="I51">
        <v>52203.06</v>
      </c>
      <c r="J51">
        <v>29111.119999999999</v>
      </c>
      <c r="K51">
        <v>63.97</v>
      </c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7">
        <f t="shared" si="2"/>
        <v>4.9999999995634425E-2</v>
      </c>
      <c r="Y51" s="7">
        <f t="shared" si="2"/>
        <v>-0.36000000000058208</v>
      </c>
      <c r="Z51" s="7">
        <f t="shared" si="3"/>
        <v>100</v>
      </c>
      <c r="AA51" s="7">
        <f t="shared" si="3"/>
        <v>100</v>
      </c>
      <c r="AB51" s="48"/>
      <c r="AC51" s="8">
        <f t="shared" si="4"/>
        <v>0.36345563690770094</v>
      </c>
      <c r="AD51" s="48"/>
      <c r="AF51" s="22" t="str">
        <f t="shared" si="8"/>
        <v/>
      </c>
      <c r="AG51" s="23" t="str">
        <f t="shared" si="9"/>
        <v/>
      </c>
      <c r="AH51" s="26">
        <v>1.8</v>
      </c>
      <c r="AI51" s="22">
        <f t="shared" si="6"/>
        <v>1.8</v>
      </c>
      <c r="AJ51" s="23">
        <f t="shared" si="7"/>
        <v>0</v>
      </c>
    </row>
    <row r="52" spans="1:36">
      <c r="A52">
        <v>58</v>
      </c>
      <c r="B52">
        <v>52197.07</v>
      </c>
      <c r="C52">
        <v>29108.83</v>
      </c>
      <c r="D52">
        <v>63.95</v>
      </c>
      <c r="E52" s="45"/>
      <c r="F52" s="45"/>
      <c r="G52" s="45"/>
      <c r="H52">
        <v>58</v>
      </c>
      <c r="I52">
        <v>52196.84</v>
      </c>
      <c r="J52">
        <v>29108.69</v>
      </c>
      <c r="K52">
        <v>63.88</v>
      </c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7">
        <f t="shared" si="2"/>
        <v>-0.23000000000320142</v>
      </c>
      <c r="Y52" s="7">
        <f t="shared" si="2"/>
        <v>-0.1400000000030559</v>
      </c>
      <c r="Z52" s="7">
        <f t="shared" si="3"/>
        <v>100</v>
      </c>
      <c r="AA52" s="7">
        <f t="shared" si="3"/>
        <v>100</v>
      </c>
      <c r="AB52" s="48"/>
      <c r="AC52" s="8">
        <f t="shared" si="4"/>
        <v>0.26925824036104873</v>
      </c>
      <c r="AD52" s="48"/>
      <c r="AF52" s="22" t="str">
        <f t="shared" si="8"/>
        <v/>
      </c>
      <c r="AG52" s="23" t="str">
        <f t="shared" si="9"/>
        <v/>
      </c>
      <c r="AH52" s="26">
        <v>1.9</v>
      </c>
      <c r="AI52" s="22">
        <f t="shared" si="6"/>
        <v>1.9</v>
      </c>
      <c r="AJ52" s="23">
        <f t="shared" si="7"/>
        <v>0</v>
      </c>
    </row>
    <row r="53" spans="1:36">
      <c r="A53">
        <v>59</v>
      </c>
      <c r="B53">
        <v>52191.14</v>
      </c>
      <c r="C53">
        <v>29106.19</v>
      </c>
      <c r="D53">
        <v>63.94</v>
      </c>
      <c r="E53" s="45"/>
      <c r="F53" s="45"/>
      <c r="G53" s="45"/>
      <c r="H53">
        <v>59</v>
      </c>
      <c r="I53">
        <v>52191.040000000001</v>
      </c>
      <c r="J53">
        <v>29106.31</v>
      </c>
      <c r="K53">
        <v>63.95</v>
      </c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7">
        <f t="shared" si="2"/>
        <v>-9.9999999998544808E-2</v>
      </c>
      <c r="Y53" s="7">
        <f t="shared" si="2"/>
        <v>0.12000000000261934</v>
      </c>
      <c r="Z53" s="7">
        <f t="shared" si="3"/>
        <v>100</v>
      </c>
      <c r="AA53" s="7">
        <f t="shared" si="3"/>
        <v>100</v>
      </c>
      <c r="AB53" s="48"/>
      <c r="AC53" s="8">
        <f t="shared" si="4"/>
        <v>0.15620499351921374</v>
      </c>
      <c r="AD53" s="48"/>
      <c r="AF53" s="22" t="str">
        <f t="shared" si="8"/>
        <v/>
      </c>
      <c r="AG53" s="23" t="str">
        <f t="shared" si="9"/>
        <v/>
      </c>
      <c r="AH53" s="26">
        <v>2</v>
      </c>
      <c r="AI53" s="22">
        <f t="shared" si="6"/>
        <v>2</v>
      </c>
      <c r="AJ53" s="23">
        <f t="shared" si="7"/>
        <v>0</v>
      </c>
    </row>
    <row r="54" spans="1:36">
      <c r="A54">
        <v>60</v>
      </c>
      <c r="B54">
        <v>52185.2</v>
      </c>
      <c r="C54">
        <v>29103.55</v>
      </c>
      <c r="D54">
        <v>63.9</v>
      </c>
      <c r="E54" s="45"/>
      <c r="F54" s="45"/>
      <c r="G54" s="45"/>
      <c r="H54">
        <v>60</v>
      </c>
      <c r="I54">
        <v>52185.11</v>
      </c>
      <c r="J54">
        <v>29103.62</v>
      </c>
      <c r="K54">
        <v>63.9</v>
      </c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7">
        <f t="shared" si="2"/>
        <v>-8.999999999650754E-2</v>
      </c>
      <c r="Y54" s="7">
        <f t="shared" si="2"/>
        <v>6.9999999999708962E-2</v>
      </c>
      <c r="Z54" s="7">
        <f t="shared" si="3"/>
        <v>100</v>
      </c>
      <c r="AA54" s="7">
        <f t="shared" si="3"/>
        <v>100</v>
      </c>
      <c r="AB54" s="48"/>
      <c r="AC54" s="8">
        <f t="shared" si="4"/>
        <v>0.11401754250697833</v>
      </c>
      <c r="AD54" s="48"/>
      <c r="AF54" s="22" t="str">
        <f t="shared" si="8"/>
        <v/>
      </c>
      <c r="AG54" s="23" t="str">
        <f t="shared" si="9"/>
        <v/>
      </c>
      <c r="AH54" s="26">
        <v>2.1</v>
      </c>
      <c r="AI54" s="22">
        <f t="shared" si="6"/>
        <v>2.1</v>
      </c>
      <c r="AJ54" s="23">
        <f t="shared" si="7"/>
        <v>0</v>
      </c>
    </row>
    <row r="55" spans="1:36">
      <c r="A55">
        <v>61</v>
      </c>
      <c r="B55">
        <v>52179.26</v>
      </c>
      <c r="C55">
        <v>29100.9</v>
      </c>
      <c r="D55">
        <v>63.88</v>
      </c>
      <c r="E55" s="45"/>
      <c r="F55" s="45"/>
      <c r="G55" s="45"/>
      <c r="H55">
        <v>61</v>
      </c>
      <c r="I55">
        <v>52178.91</v>
      </c>
      <c r="J55">
        <v>29101.06</v>
      </c>
      <c r="K55">
        <v>63.83</v>
      </c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7">
        <f t="shared" si="2"/>
        <v>-0.34999999999854481</v>
      </c>
      <c r="Y55" s="7">
        <f t="shared" si="2"/>
        <v>0.15999999999985448</v>
      </c>
      <c r="Z55" s="7">
        <f t="shared" si="3"/>
        <v>100</v>
      </c>
      <c r="AA55" s="7">
        <f t="shared" si="3"/>
        <v>100</v>
      </c>
      <c r="AB55" s="48"/>
      <c r="AC55" s="8">
        <f t="shared" si="4"/>
        <v>0.38483762809649319</v>
      </c>
      <c r="AD55" s="48"/>
      <c r="AF55" s="22" t="str">
        <f t="shared" si="8"/>
        <v/>
      </c>
      <c r="AG55" s="23" t="str">
        <f t="shared" si="9"/>
        <v/>
      </c>
      <c r="AH55" s="26">
        <v>2.2000000000000002</v>
      </c>
      <c r="AI55" s="22">
        <f t="shared" si="6"/>
        <v>2.2000000000000002</v>
      </c>
      <c r="AJ55" s="23">
        <f t="shared" si="7"/>
        <v>0</v>
      </c>
    </row>
    <row r="56" spans="1:36">
      <c r="A56">
        <v>62</v>
      </c>
      <c r="B56">
        <v>52173.32</v>
      </c>
      <c r="C56">
        <v>29098.26</v>
      </c>
      <c r="D56">
        <v>63.85</v>
      </c>
      <c r="E56" s="45"/>
      <c r="F56" s="45"/>
      <c r="G56" s="45"/>
      <c r="H56">
        <v>62</v>
      </c>
      <c r="I56">
        <v>52173.279999999999</v>
      </c>
      <c r="J56">
        <v>29098.32</v>
      </c>
      <c r="K56">
        <v>63.98</v>
      </c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7">
        <f t="shared" si="2"/>
        <v>-4.0000000000873115E-2</v>
      </c>
      <c r="Y56" s="7">
        <f t="shared" si="2"/>
        <v>6.0000000001309672E-2</v>
      </c>
      <c r="Z56" s="7">
        <f t="shared" si="3"/>
        <v>100</v>
      </c>
      <c r="AA56" s="7">
        <f t="shared" si="3"/>
        <v>100</v>
      </c>
      <c r="AB56" s="48"/>
      <c r="AC56" s="8">
        <f t="shared" si="4"/>
        <v>7.2111025510853813E-2</v>
      </c>
      <c r="AD56" s="48"/>
      <c r="AF56" s="22" t="str">
        <f t="shared" si="8"/>
        <v/>
      </c>
      <c r="AG56" s="23" t="str">
        <f t="shared" si="9"/>
        <v/>
      </c>
      <c r="AH56" s="26">
        <v>2.2999999999999998</v>
      </c>
      <c r="AI56" s="22">
        <f t="shared" si="6"/>
        <v>2.2999999999999998</v>
      </c>
      <c r="AJ56" s="23">
        <f t="shared" si="7"/>
        <v>0</v>
      </c>
    </row>
    <row r="57" spans="1:36">
      <c r="A57">
        <v>63</v>
      </c>
      <c r="B57">
        <v>52167.38</v>
      </c>
      <c r="C57">
        <v>29095.61</v>
      </c>
      <c r="D57">
        <v>63.88</v>
      </c>
      <c r="E57" s="45"/>
      <c r="F57" s="45"/>
      <c r="G57" s="45"/>
      <c r="H57">
        <v>63</v>
      </c>
      <c r="I57">
        <v>52167.38</v>
      </c>
      <c r="J57">
        <v>29095.56</v>
      </c>
      <c r="K57">
        <v>63.99</v>
      </c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7">
        <f t="shared" si="2"/>
        <v>0</v>
      </c>
      <c r="Y57" s="7">
        <f t="shared" si="2"/>
        <v>-4.9999999999272404E-2</v>
      </c>
      <c r="Z57" s="7">
        <f t="shared" si="3"/>
        <v>100</v>
      </c>
      <c r="AA57" s="7">
        <f t="shared" si="3"/>
        <v>100</v>
      </c>
      <c r="AB57" s="48"/>
      <c r="AC57" s="8">
        <f t="shared" si="4"/>
        <v>4.9999999999272404E-2</v>
      </c>
      <c r="AD57" s="48"/>
      <c r="AF57" s="22" t="str">
        <f t="shared" si="8"/>
        <v/>
      </c>
      <c r="AG57" s="23" t="str">
        <f t="shared" si="9"/>
        <v/>
      </c>
      <c r="AH57" s="26">
        <v>2.4</v>
      </c>
      <c r="AI57" s="22">
        <f t="shared" si="6"/>
        <v>2.4</v>
      </c>
      <c r="AJ57" s="23">
        <f t="shared" si="7"/>
        <v>0</v>
      </c>
    </row>
    <row r="58" spans="1:36">
      <c r="A58">
        <v>64</v>
      </c>
      <c r="B58">
        <v>52161.45</v>
      </c>
      <c r="C58">
        <v>29092.97</v>
      </c>
      <c r="D58">
        <v>63.94</v>
      </c>
      <c r="E58" s="45"/>
      <c r="F58" s="45"/>
      <c r="G58" s="45"/>
      <c r="H58">
        <v>64</v>
      </c>
      <c r="I58">
        <v>52161.42</v>
      </c>
      <c r="J58">
        <v>29092.91</v>
      </c>
      <c r="K58">
        <v>63.92</v>
      </c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7">
        <f t="shared" si="2"/>
        <v>-2.9999999998835847E-2</v>
      </c>
      <c r="Y58" s="7">
        <f t="shared" si="2"/>
        <v>-6.0000000001309672E-2</v>
      </c>
      <c r="Z58" s="7">
        <f t="shared" si="3"/>
        <v>100</v>
      </c>
      <c r="AA58" s="7">
        <f t="shared" si="3"/>
        <v>100</v>
      </c>
      <c r="AB58" s="48"/>
      <c r="AC58" s="8">
        <f t="shared" si="4"/>
        <v>6.708203932564448E-2</v>
      </c>
      <c r="AD58" s="48"/>
      <c r="AF58" s="22" t="str">
        <f t="shared" si="8"/>
        <v/>
      </c>
      <c r="AG58" s="23" t="str">
        <f t="shared" si="9"/>
        <v/>
      </c>
      <c r="AH58" s="26">
        <v>2.5</v>
      </c>
      <c r="AI58" s="22">
        <f t="shared" si="6"/>
        <v>2.5</v>
      </c>
      <c r="AJ58" s="23">
        <f t="shared" si="7"/>
        <v>0</v>
      </c>
    </row>
    <row r="59" spans="1:36">
      <c r="A59">
        <v>65</v>
      </c>
      <c r="B59">
        <v>52155.51</v>
      </c>
      <c r="C59">
        <v>29090.33</v>
      </c>
      <c r="D59">
        <v>64.03</v>
      </c>
      <c r="E59" s="45"/>
      <c r="F59" s="45"/>
      <c r="G59" s="45"/>
      <c r="H59">
        <v>65</v>
      </c>
      <c r="I59">
        <v>52155.48</v>
      </c>
      <c r="J59">
        <v>29090.2</v>
      </c>
      <c r="K59">
        <v>63.99</v>
      </c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7">
        <f t="shared" si="2"/>
        <v>-2.9999999998835847E-2</v>
      </c>
      <c r="Y59" s="7">
        <f t="shared" si="2"/>
        <v>-0.13000000000101863</v>
      </c>
      <c r="Z59" s="7">
        <f t="shared" si="3"/>
        <v>100</v>
      </c>
      <c r="AA59" s="7">
        <f t="shared" si="3"/>
        <v>100</v>
      </c>
      <c r="AB59" s="48"/>
      <c r="AC59" s="8">
        <f t="shared" si="4"/>
        <v>0.13341664064199413</v>
      </c>
      <c r="AD59" s="48"/>
      <c r="AF59" s="22" t="str">
        <f t="shared" si="8"/>
        <v/>
      </c>
      <c r="AG59" s="23" t="str">
        <f t="shared" si="9"/>
        <v/>
      </c>
      <c r="AH59" s="26">
        <v>2.6</v>
      </c>
      <c r="AI59" s="22">
        <f t="shared" si="6"/>
        <v>2.6</v>
      </c>
      <c r="AJ59" s="23">
        <f t="shared" si="7"/>
        <v>0</v>
      </c>
    </row>
    <row r="60" spans="1:36">
      <c r="A60">
        <v>66</v>
      </c>
      <c r="B60">
        <v>52197.77</v>
      </c>
      <c r="C60">
        <v>29115.27</v>
      </c>
      <c r="D60">
        <v>63.94</v>
      </c>
      <c r="E60" s="45"/>
      <c r="F60" s="45"/>
      <c r="G60" s="45"/>
      <c r="H60">
        <v>66</v>
      </c>
      <c r="I60">
        <v>52198.1</v>
      </c>
      <c r="J60">
        <v>29115</v>
      </c>
      <c r="K60">
        <v>63.97</v>
      </c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7">
        <f t="shared" si="2"/>
        <v>0.33000000000174623</v>
      </c>
      <c r="Y60" s="7">
        <f t="shared" si="2"/>
        <v>-0.27000000000043656</v>
      </c>
      <c r="Z60" s="7">
        <f t="shared" si="3"/>
        <v>100</v>
      </c>
      <c r="AA60" s="7">
        <f t="shared" si="3"/>
        <v>100</v>
      </c>
      <c r="AB60" s="48"/>
      <c r="AC60" s="8">
        <f t="shared" si="4"/>
        <v>0.42638011210818483</v>
      </c>
      <c r="AD60" s="48"/>
      <c r="AF60" s="22" t="str">
        <f t="shared" si="8"/>
        <v/>
      </c>
      <c r="AG60" s="23" t="str">
        <f t="shared" si="9"/>
        <v/>
      </c>
      <c r="AH60" s="26">
        <v>2.7</v>
      </c>
      <c r="AI60" s="22">
        <f t="shared" si="6"/>
        <v>2.7</v>
      </c>
      <c r="AJ60" s="23">
        <f t="shared" si="7"/>
        <v>0</v>
      </c>
    </row>
    <row r="61" spans="1:36">
      <c r="A61">
        <v>67</v>
      </c>
      <c r="B61">
        <v>52191.83</v>
      </c>
      <c r="C61">
        <v>29112.63</v>
      </c>
      <c r="D61">
        <v>64.05</v>
      </c>
      <c r="E61" s="45"/>
      <c r="F61" s="45"/>
      <c r="G61" s="45"/>
      <c r="H61">
        <v>67</v>
      </c>
      <c r="I61">
        <v>52191.67</v>
      </c>
      <c r="J61">
        <v>29112.25</v>
      </c>
      <c r="K61">
        <v>64.11</v>
      </c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7">
        <f t="shared" ref="X61:Y124" si="10">IF(AND(B61&lt;&gt;"",$AC61&lt;$AD$5),I61-B61,100)</f>
        <v>-0.16000000000349246</v>
      </c>
      <c r="Y61" s="7">
        <f t="shared" si="10"/>
        <v>-0.38000000000101863</v>
      </c>
      <c r="Z61" s="7">
        <f t="shared" ref="Z61:AA124" si="11">IF(AND(B61&lt;&gt;"",$AC61&gt;$AD$5),I61-B61,100)</f>
        <v>100</v>
      </c>
      <c r="AA61" s="7">
        <f t="shared" si="11"/>
        <v>100</v>
      </c>
      <c r="AB61" s="48"/>
      <c r="AC61" s="8">
        <f t="shared" si="4"/>
        <v>0.41231056256406012</v>
      </c>
      <c r="AD61" s="48"/>
      <c r="AF61" s="22" t="str">
        <f t="shared" si="8"/>
        <v/>
      </c>
      <c r="AG61" s="23" t="str">
        <f t="shared" si="9"/>
        <v/>
      </c>
      <c r="AH61" s="26">
        <v>2.8</v>
      </c>
      <c r="AI61" s="22">
        <f t="shared" si="6"/>
        <v>2.8</v>
      </c>
      <c r="AJ61" s="23">
        <f t="shared" si="7"/>
        <v>0</v>
      </c>
    </row>
    <row r="62" spans="1:36">
      <c r="A62">
        <v>68</v>
      </c>
      <c r="B62">
        <v>52185.89</v>
      </c>
      <c r="C62">
        <v>29109.98</v>
      </c>
      <c r="D62">
        <v>64.040000000000006</v>
      </c>
      <c r="E62" s="45"/>
      <c r="F62" s="45"/>
      <c r="G62" s="45"/>
      <c r="H62">
        <v>68</v>
      </c>
      <c r="I62">
        <v>52185.66</v>
      </c>
      <c r="J62">
        <v>29109.93</v>
      </c>
      <c r="K62">
        <v>64.06</v>
      </c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7">
        <f t="shared" si="10"/>
        <v>-0.22999999999592546</v>
      </c>
      <c r="Y62" s="7">
        <f t="shared" si="10"/>
        <v>-4.9999999999272404E-2</v>
      </c>
      <c r="Z62" s="7">
        <f t="shared" si="11"/>
        <v>100</v>
      </c>
      <c r="AA62" s="7">
        <f t="shared" si="11"/>
        <v>100</v>
      </c>
      <c r="AB62" s="48"/>
      <c r="AC62" s="8">
        <f t="shared" si="4"/>
        <v>0.23537204591466029</v>
      </c>
      <c r="AD62" s="48"/>
      <c r="AF62" s="22" t="str">
        <f t="shared" si="8"/>
        <v/>
      </c>
      <c r="AG62" s="23" t="str">
        <f t="shared" si="9"/>
        <v/>
      </c>
      <c r="AH62" s="26">
        <v>2.9</v>
      </c>
      <c r="AI62" s="22">
        <f t="shared" si="6"/>
        <v>2.9</v>
      </c>
      <c r="AJ62" s="23">
        <f t="shared" si="7"/>
        <v>0</v>
      </c>
    </row>
    <row r="63" spans="1:36">
      <c r="A63">
        <v>69</v>
      </c>
      <c r="B63">
        <v>52179.95</v>
      </c>
      <c r="C63">
        <v>29107.34</v>
      </c>
      <c r="D63">
        <v>64.010000000000005</v>
      </c>
      <c r="E63" s="45"/>
      <c r="F63" s="45"/>
      <c r="G63" s="45"/>
      <c r="H63">
        <v>69</v>
      </c>
      <c r="I63">
        <v>52180.04</v>
      </c>
      <c r="J63">
        <v>29106.91</v>
      </c>
      <c r="K63">
        <v>64.08</v>
      </c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7">
        <f t="shared" si="10"/>
        <v>9.0000000003783498E-2</v>
      </c>
      <c r="Y63" s="7">
        <f t="shared" si="10"/>
        <v>-0.43000000000029104</v>
      </c>
      <c r="Z63" s="7">
        <f t="shared" si="11"/>
        <v>100</v>
      </c>
      <c r="AA63" s="7">
        <f t="shared" si="11"/>
        <v>100</v>
      </c>
      <c r="AB63" s="48"/>
      <c r="AC63" s="8">
        <f t="shared" si="4"/>
        <v>0.43931765273083589</v>
      </c>
      <c r="AD63" s="48"/>
      <c r="AF63" s="22" t="str">
        <f t="shared" si="8"/>
        <v/>
      </c>
      <c r="AG63" s="23" t="str">
        <f t="shared" si="9"/>
        <v/>
      </c>
      <c r="AH63" s="26">
        <v>3</v>
      </c>
      <c r="AI63" s="22">
        <f t="shared" si="6"/>
        <v>3</v>
      </c>
      <c r="AJ63" s="23">
        <f t="shared" si="7"/>
        <v>0</v>
      </c>
    </row>
    <row r="64" spans="1:36">
      <c r="A64">
        <v>70</v>
      </c>
      <c r="B64">
        <v>52174.01</v>
      </c>
      <c r="C64">
        <v>29104.7</v>
      </c>
      <c r="D64">
        <v>63.98</v>
      </c>
      <c r="E64" s="45"/>
      <c r="F64" s="45"/>
      <c r="G64" s="45"/>
      <c r="H64">
        <v>70</v>
      </c>
      <c r="I64">
        <v>52173.85</v>
      </c>
      <c r="J64">
        <v>29104.66</v>
      </c>
      <c r="K64">
        <v>64.14</v>
      </c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7">
        <f t="shared" si="10"/>
        <v>-0.16000000000349246</v>
      </c>
      <c r="Y64" s="7">
        <f t="shared" si="10"/>
        <v>-4.0000000000873115E-2</v>
      </c>
      <c r="Z64" s="7">
        <f t="shared" si="11"/>
        <v>100</v>
      </c>
      <c r="AA64" s="7">
        <f t="shared" si="11"/>
        <v>100</v>
      </c>
      <c r="AB64" s="48"/>
      <c r="AC64" s="8">
        <f t="shared" si="4"/>
        <v>0.16492422502830636</v>
      </c>
      <c r="AD64" s="48"/>
    </row>
    <row r="65" spans="1:36">
      <c r="A65">
        <v>71</v>
      </c>
      <c r="B65">
        <v>52168.08</v>
      </c>
      <c r="C65">
        <v>29102.05</v>
      </c>
      <c r="D65">
        <v>63.96</v>
      </c>
      <c r="E65" s="45"/>
      <c r="F65" s="45"/>
      <c r="G65" s="45"/>
      <c r="H65">
        <v>71</v>
      </c>
      <c r="I65">
        <v>52168.1</v>
      </c>
      <c r="J65">
        <v>29102.02</v>
      </c>
      <c r="K65">
        <v>64.069999999999993</v>
      </c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7">
        <f t="shared" si="10"/>
        <v>1.9999999996798579E-2</v>
      </c>
      <c r="Y65" s="7">
        <f t="shared" si="10"/>
        <v>-2.9999999998835847E-2</v>
      </c>
      <c r="Z65" s="7">
        <f t="shared" si="11"/>
        <v>100</v>
      </c>
      <c r="AA65" s="7">
        <f t="shared" si="11"/>
        <v>100</v>
      </c>
      <c r="AB65" s="48"/>
      <c r="AC65" s="8">
        <f t="shared" si="4"/>
        <v>3.6055512751895433E-2</v>
      </c>
      <c r="AD65" s="48"/>
    </row>
    <row r="66" spans="1:36">
      <c r="A66">
        <v>72</v>
      </c>
      <c r="B66">
        <v>52162.14</v>
      </c>
      <c r="C66">
        <v>29099.41</v>
      </c>
      <c r="D66">
        <v>63.95</v>
      </c>
      <c r="E66" s="45"/>
      <c r="F66" s="45"/>
      <c r="G66" s="45"/>
      <c r="H66">
        <v>72</v>
      </c>
      <c r="I66">
        <v>52161.8</v>
      </c>
      <c r="J66">
        <v>29099.45</v>
      </c>
      <c r="K66">
        <v>64.08</v>
      </c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7">
        <f t="shared" si="10"/>
        <v>-0.33999999999650754</v>
      </c>
      <c r="Y66" s="7">
        <f t="shared" si="10"/>
        <v>4.0000000000873115E-2</v>
      </c>
      <c r="Z66" s="7">
        <f t="shared" si="11"/>
        <v>100</v>
      </c>
      <c r="AA66" s="7">
        <f t="shared" si="11"/>
        <v>100</v>
      </c>
      <c r="AB66" s="48"/>
      <c r="AC66" s="8">
        <f t="shared" si="4"/>
        <v>0.3423448553691073</v>
      </c>
      <c r="AD66" s="48"/>
    </row>
    <row r="67" spans="1:36">
      <c r="A67">
        <v>73</v>
      </c>
      <c r="B67">
        <v>52156.2</v>
      </c>
      <c r="C67">
        <v>29096.76</v>
      </c>
      <c r="D67">
        <v>64.03</v>
      </c>
      <c r="E67" s="45"/>
      <c r="F67" s="45"/>
      <c r="G67" s="45"/>
      <c r="H67">
        <v>73</v>
      </c>
      <c r="I67">
        <v>52156.25</v>
      </c>
      <c r="J67">
        <v>29096.78</v>
      </c>
      <c r="K67">
        <v>64</v>
      </c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7">
        <f t="shared" si="10"/>
        <v>5.0000000002910383E-2</v>
      </c>
      <c r="Y67" s="7">
        <f t="shared" si="10"/>
        <v>2.0000000000436557E-2</v>
      </c>
      <c r="Z67" s="7">
        <f t="shared" si="11"/>
        <v>100</v>
      </c>
      <c r="AA67" s="7">
        <f t="shared" si="11"/>
        <v>100</v>
      </c>
      <c r="AB67" s="48"/>
      <c r="AC67" s="8">
        <f t="shared" si="4"/>
        <v>5.3851648074209398E-2</v>
      </c>
      <c r="AD67" s="48"/>
    </row>
    <row r="68" spans="1:36">
      <c r="A68">
        <v>74</v>
      </c>
      <c r="B68">
        <v>52150.26</v>
      </c>
      <c r="C68">
        <v>29094.12</v>
      </c>
      <c r="D68">
        <v>64.17</v>
      </c>
      <c r="E68" s="45"/>
      <c r="F68" s="45"/>
      <c r="G68" s="45"/>
      <c r="H68">
        <v>74</v>
      </c>
      <c r="I68">
        <v>52150.14</v>
      </c>
      <c r="J68">
        <v>29094.07</v>
      </c>
      <c r="K68">
        <v>64.17</v>
      </c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7">
        <f t="shared" si="10"/>
        <v>-0.12000000000261934</v>
      </c>
      <c r="Y68" s="7">
        <f t="shared" si="10"/>
        <v>-4.9999999999272404E-2</v>
      </c>
      <c r="Z68" s="7">
        <f t="shared" si="11"/>
        <v>100</v>
      </c>
      <c r="AA68" s="7">
        <f t="shared" si="11"/>
        <v>100</v>
      </c>
      <c r="AB68" s="48"/>
      <c r="AC68" s="8">
        <f t="shared" si="4"/>
        <v>0.13000000000213802</v>
      </c>
      <c r="AD68" s="48"/>
    </row>
    <row r="69" spans="1:36">
      <c r="A69">
        <v>75</v>
      </c>
      <c r="B69">
        <v>52192.49</v>
      </c>
      <c r="C69">
        <v>29116.76</v>
      </c>
      <c r="D69">
        <v>64.05</v>
      </c>
      <c r="E69" s="45"/>
      <c r="F69" s="45"/>
      <c r="G69" s="45"/>
      <c r="H69">
        <v>75</v>
      </c>
      <c r="I69">
        <v>52192.27</v>
      </c>
      <c r="J69">
        <v>29116.45</v>
      </c>
      <c r="K69">
        <v>64.14</v>
      </c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7">
        <f t="shared" si="10"/>
        <v>-0.22000000000116415</v>
      </c>
      <c r="Y69" s="7">
        <f t="shared" si="10"/>
        <v>-0.30999999999767169</v>
      </c>
      <c r="Z69" s="7">
        <f t="shared" si="11"/>
        <v>100</v>
      </c>
      <c r="AA69" s="7">
        <f t="shared" si="11"/>
        <v>100</v>
      </c>
      <c r="AB69" s="48"/>
      <c r="AC69" s="8">
        <f t="shared" si="4"/>
        <v>0.38013155617373923</v>
      </c>
      <c r="AD69" s="48"/>
    </row>
    <row r="70" spans="1:36">
      <c r="A70">
        <v>76</v>
      </c>
      <c r="B70">
        <v>52186.58</v>
      </c>
      <c r="C70">
        <v>29116.42</v>
      </c>
      <c r="D70">
        <v>64.2</v>
      </c>
      <c r="E70" s="45"/>
      <c r="F70" s="45"/>
      <c r="G70" s="45"/>
      <c r="H70">
        <v>76</v>
      </c>
      <c r="I70">
        <v>52186.58</v>
      </c>
      <c r="J70">
        <v>29116.1</v>
      </c>
      <c r="K70">
        <v>64.239999999999995</v>
      </c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7">
        <f t="shared" si="10"/>
        <v>0</v>
      </c>
      <c r="Y70" s="7">
        <f t="shared" si="10"/>
        <v>-0.31999999999970896</v>
      </c>
      <c r="Z70" s="7">
        <f t="shared" si="11"/>
        <v>100</v>
      </c>
      <c r="AA70" s="7">
        <f t="shared" si="11"/>
        <v>100</v>
      </c>
      <c r="AB70" s="48"/>
      <c r="AC70" s="8">
        <f t="shared" ref="AC70:AC133" si="12">IF(B70="","",(SQRT((I70-B70)^2+(J70-C70)^2)))</f>
        <v>0.31999999999970896</v>
      </c>
      <c r="AD70" s="48"/>
    </row>
    <row r="71" spans="1:36">
      <c r="A71">
        <v>77</v>
      </c>
      <c r="B71">
        <v>52180.639999999999</v>
      </c>
      <c r="C71">
        <v>29113.78</v>
      </c>
      <c r="D71">
        <v>64.16</v>
      </c>
      <c r="E71" s="45"/>
      <c r="F71" s="45"/>
      <c r="G71" s="45"/>
      <c r="H71">
        <v>77</v>
      </c>
      <c r="I71">
        <v>52180.51</v>
      </c>
      <c r="J71">
        <v>29113.88</v>
      </c>
      <c r="K71">
        <v>64.22</v>
      </c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7">
        <f t="shared" si="10"/>
        <v>-0.12999999999738066</v>
      </c>
      <c r="Y71" s="7">
        <f t="shared" si="10"/>
        <v>0.10000000000218279</v>
      </c>
      <c r="Z71" s="7">
        <f t="shared" si="11"/>
        <v>100</v>
      </c>
      <c r="AA71" s="7">
        <f t="shared" si="11"/>
        <v>100</v>
      </c>
      <c r="AB71" s="48"/>
      <c r="AC71" s="8">
        <f t="shared" si="12"/>
        <v>0.16401219466782196</v>
      </c>
      <c r="AD71" s="48"/>
    </row>
    <row r="72" spans="1:36">
      <c r="A72">
        <v>78</v>
      </c>
      <c r="B72">
        <v>52174.71</v>
      </c>
      <c r="C72">
        <v>29111.13</v>
      </c>
      <c r="D72">
        <v>64.099999999999994</v>
      </c>
      <c r="E72" s="45"/>
      <c r="F72" s="45"/>
      <c r="G72" s="45"/>
      <c r="H72">
        <v>78</v>
      </c>
      <c r="I72">
        <v>52174.46</v>
      </c>
      <c r="J72">
        <v>29111.1</v>
      </c>
      <c r="K72">
        <v>64.09</v>
      </c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7">
        <f t="shared" si="10"/>
        <v>-0.25</v>
      </c>
      <c r="Y72" s="7">
        <f t="shared" si="10"/>
        <v>-3.0000000002473826E-2</v>
      </c>
      <c r="Z72" s="7">
        <f t="shared" si="11"/>
        <v>100</v>
      </c>
      <c r="AA72" s="7">
        <f t="shared" si="11"/>
        <v>100</v>
      </c>
      <c r="AB72" s="48"/>
      <c r="AC72" s="8">
        <f t="shared" si="12"/>
        <v>0.25179356624057819</v>
      </c>
      <c r="AD72" s="48"/>
    </row>
    <row r="73" spans="1:36">
      <c r="A73">
        <v>79</v>
      </c>
      <c r="B73">
        <v>52168.77</v>
      </c>
      <c r="C73">
        <v>29108.49</v>
      </c>
      <c r="D73">
        <v>64.069999999999993</v>
      </c>
      <c r="E73" s="45"/>
      <c r="F73" s="45"/>
      <c r="G73" s="45"/>
      <c r="H73">
        <v>79</v>
      </c>
      <c r="I73">
        <v>52168.7</v>
      </c>
      <c r="J73">
        <v>29108.38</v>
      </c>
      <c r="K73">
        <v>64.03</v>
      </c>
      <c r="X73" s="7">
        <f t="shared" si="10"/>
        <v>-6.9999999999708962E-2</v>
      </c>
      <c r="Y73" s="7">
        <f t="shared" si="10"/>
        <v>-0.11000000000058208</v>
      </c>
      <c r="Z73" s="7">
        <f t="shared" si="11"/>
        <v>100</v>
      </c>
      <c r="AA73" s="7">
        <f t="shared" si="11"/>
        <v>100</v>
      </c>
      <c r="AB73" s="48"/>
      <c r="AC73" s="8">
        <f t="shared" si="12"/>
        <v>0.13038404810438781</v>
      </c>
      <c r="AD73" s="48"/>
      <c r="AG73" s="25"/>
      <c r="AJ73" s="25"/>
    </row>
    <row r="74" spans="1:36">
      <c r="A74">
        <v>80</v>
      </c>
      <c r="B74">
        <v>52162.83</v>
      </c>
      <c r="C74">
        <v>29105.85</v>
      </c>
      <c r="D74">
        <v>63.98</v>
      </c>
      <c r="E74" s="45"/>
      <c r="F74" s="45"/>
      <c r="G74" s="45"/>
      <c r="H74">
        <v>80</v>
      </c>
      <c r="I74">
        <v>52162.6</v>
      </c>
      <c r="J74">
        <v>29105.71</v>
      </c>
      <c r="K74">
        <v>63.95</v>
      </c>
      <c r="X74" s="7">
        <f t="shared" si="10"/>
        <v>-0.23000000000320142</v>
      </c>
      <c r="Y74" s="7">
        <f t="shared" si="10"/>
        <v>-0.13999999999941792</v>
      </c>
      <c r="Z74" s="7">
        <f t="shared" si="11"/>
        <v>100</v>
      </c>
      <c r="AA74" s="7">
        <f t="shared" si="11"/>
        <v>100</v>
      </c>
      <c r="AB74" s="48"/>
      <c r="AC74" s="8">
        <f t="shared" si="12"/>
        <v>0.26925824035915719</v>
      </c>
      <c r="AD74" s="48"/>
    </row>
    <row r="75" spans="1:36">
      <c r="A75">
        <v>81</v>
      </c>
      <c r="B75">
        <v>52156.89</v>
      </c>
      <c r="C75">
        <v>29103.200000000001</v>
      </c>
      <c r="D75">
        <v>63.94</v>
      </c>
      <c r="E75" s="45"/>
      <c r="F75" s="45"/>
      <c r="G75" s="45"/>
      <c r="H75">
        <v>81</v>
      </c>
      <c r="I75">
        <v>52156.84</v>
      </c>
      <c r="J75">
        <v>29103.040000000001</v>
      </c>
      <c r="K75">
        <v>63.85</v>
      </c>
      <c r="X75" s="7">
        <f t="shared" si="10"/>
        <v>-5.0000000002910383E-2</v>
      </c>
      <c r="Y75" s="7">
        <f t="shared" si="10"/>
        <v>-0.15999999999985448</v>
      </c>
      <c r="Z75" s="7">
        <f t="shared" si="11"/>
        <v>100</v>
      </c>
      <c r="AA75" s="7">
        <f t="shared" si="11"/>
        <v>100</v>
      </c>
      <c r="AB75" s="48"/>
      <c r="AC75" s="8">
        <f t="shared" si="12"/>
        <v>0.1676305461431313</v>
      </c>
      <c r="AD75" s="48"/>
    </row>
    <row r="76" spans="1:36">
      <c r="A76">
        <v>82</v>
      </c>
      <c r="B76">
        <v>52150.95</v>
      </c>
      <c r="C76">
        <v>29100.560000000001</v>
      </c>
      <c r="D76">
        <v>64.11</v>
      </c>
      <c r="E76" s="45"/>
      <c r="F76" s="45"/>
      <c r="G76" s="45"/>
      <c r="H76">
        <v>82</v>
      </c>
      <c r="I76">
        <v>52150.66</v>
      </c>
      <c r="J76">
        <v>29100.52</v>
      </c>
      <c r="K76">
        <v>63.87</v>
      </c>
      <c r="X76" s="7">
        <f t="shared" si="10"/>
        <v>-0.28999999999359716</v>
      </c>
      <c r="Y76" s="7">
        <f t="shared" si="10"/>
        <v>-4.0000000000873115E-2</v>
      </c>
      <c r="Z76" s="7">
        <f t="shared" si="11"/>
        <v>100</v>
      </c>
      <c r="AA76" s="7">
        <f t="shared" si="11"/>
        <v>100</v>
      </c>
      <c r="AB76" s="48"/>
      <c r="AC76" s="8">
        <f t="shared" si="12"/>
        <v>0.29274562335986548</v>
      </c>
      <c r="AD76" s="48"/>
    </row>
    <row r="77" spans="1:36">
      <c r="A77">
        <v>83</v>
      </c>
      <c r="B77">
        <v>52175.8</v>
      </c>
      <c r="C77">
        <v>29115.1</v>
      </c>
      <c r="D77">
        <v>64.19</v>
      </c>
      <c r="E77" s="45"/>
      <c r="F77" s="45"/>
      <c r="G77" s="45"/>
      <c r="H77">
        <v>83</v>
      </c>
      <c r="I77">
        <v>52175.77</v>
      </c>
      <c r="J77">
        <v>29114.92</v>
      </c>
      <c r="K77">
        <v>64.23</v>
      </c>
      <c r="X77" s="7">
        <f t="shared" si="10"/>
        <v>-3.0000000006111804E-2</v>
      </c>
      <c r="Y77" s="7">
        <f t="shared" si="10"/>
        <v>-0.18000000000029104</v>
      </c>
      <c r="Z77" s="7">
        <f t="shared" si="11"/>
        <v>100</v>
      </c>
      <c r="AA77" s="7">
        <f t="shared" si="11"/>
        <v>100</v>
      </c>
      <c r="AB77" s="48"/>
      <c r="AC77" s="8">
        <f t="shared" si="12"/>
        <v>0.18248287591023846</v>
      </c>
      <c r="AD77" s="48"/>
    </row>
    <row r="78" spans="1:36">
      <c r="A78">
        <v>84</v>
      </c>
      <c r="B78">
        <v>52169.46</v>
      </c>
      <c r="C78">
        <v>29114.93</v>
      </c>
      <c r="D78">
        <v>64.180000000000007</v>
      </c>
      <c r="E78" s="45"/>
      <c r="F78" s="45"/>
      <c r="G78" s="45"/>
      <c r="H78">
        <v>84</v>
      </c>
      <c r="I78">
        <v>52169.599999999999</v>
      </c>
      <c r="J78">
        <v>29114.84</v>
      </c>
      <c r="K78">
        <v>64.16</v>
      </c>
      <c r="X78" s="7">
        <f t="shared" si="10"/>
        <v>0.13999999999941792</v>
      </c>
      <c r="Y78" s="7">
        <f t="shared" si="10"/>
        <v>-9.0000000000145519E-2</v>
      </c>
      <c r="Z78" s="7">
        <f t="shared" si="11"/>
        <v>100</v>
      </c>
      <c r="AA78" s="7">
        <f t="shared" si="11"/>
        <v>100</v>
      </c>
      <c r="AB78" s="48"/>
      <c r="AC78" s="8">
        <f t="shared" si="12"/>
        <v>0.16643316977052144</v>
      </c>
      <c r="AD78" s="48"/>
    </row>
    <row r="79" spans="1:36">
      <c r="A79">
        <v>85</v>
      </c>
      <c r="B79">
        <v>52163.519999999997</v>
      </c>
      <c r="C79">
        <v>29112.28</v>
      </c>
      <c r="D79">
        <v>64.02</v>
      </c>
      <c r="E79" s="45"/>
      <c r="F79" s="45"/>
      <c r="G79" s="45"/>
      <c r="H79">
        <v>85</v>
      </c>
      <c r="I79">
        <v>52163.41</v>
      </c>
      <c r="J79">
        <v>29112.32</v>
      </c>
      <c r="K79">
        <v>64</v>
      </c>
      <c r="X79" s="7">
        <f t="shared" si="10"/>
        <v>-0.10999999999330612</v>
      </c>
      <c r="Y79" s="7">
        <f t="shared" si="10"/>
        <v>4.0000000000873115E-2</v>
      </c>
      <c r="Z79" s="7">
        <f t="shared" si="11"/>
        <v>100</v>
      </c>
      <c r="AA79" s="7">
        <f t="shared" si="11"/>
        <v>100</v>
      </c>
      <c r="AB79" s="48"/>
      <c r="AC79" s="8">
        <f t="shared" si="12"/>
        <v>0.11704699910120377</v>
      </c>
      <c r="AD79" s="48"/>
    </row>
    <row r="80" spans="1:36">
      <c r="A80">
        <v>86</v>
      </c>
      <c r="B80">
        <v>52157.58</v>
      </c>
      <c r="C80">
        <v>29109.64</v>
      </c>
      <c r="D80">
        <v>63.89</v>
      </c>
      <c r="E80" s="45"/>
      <c r="F80" s="45"/>
      <c r="G80" s="45"/>
      <c r="H80">
        <v>86</v>
      </c>
      <c r="I80">
        <v>52157.38</v>
      </c>
      <c r="J80">
        <v>29109.81</v>
      </c>
      <c r="K80">
        <v>63.92</v>
      </c>
      <c r="X80" s="7">
        <f t="shared" si="10"/>
        <v>-0.20000000000436557</v>
      </c>
      <c r="Y80" s="7">
        <f t="shared" si="10"/>
        <v>0.17000000000189175</v>
      </c>
      <c r="Z80" s="7">
        <f t="shared" si="11"/>
        <v>100</v>
      </c>
      <c r="AA80" s="7">
        <f t="shared" si="11"/>
        <v>100</v>
      </c>
      <c r="AB80" s="48"/>
      <c r="AC80" s="8">
        <f t="shared" si="12"/>
        <v>0.26248809497268522</v>
      </c>
      <c r="AD80" s="48"/>
    </row>
    <row r="81" spans="1:30">
      <c r="A81">
        <v>87</v>
      </c>
      <c r="B81">
        <v>52151.64</v>
      </c>
      <c r="C81">
        <v>29107</v>
      </c>
      <c r="D81">
        <v>63.98</v>
      </c>
      <c r="E81" s="45"/>
      <c r="F81" s="45"/>
      <c r="G81" s="45"/>
      <c r="H81">
        <v>87</v>
      </c>
      <c r="I81">
        <v>52151.44</v>
      </c>
      <c r="J81">
        <v>29107.27</v>
      </c>
      <c r="K81">
        <v>63.86</v>
      </c>
      <c r="X81" s="7">
        <f t="shared" si="10"/>
        <v>-0.19999999999708962</v>
      </c>
      <c r="Y81" s="7">
        <f t="shared" si="10"/>
        <v>0.27000000000043656</v>
      </c>
      <c r="Z81" s="7">
        <f t="shared" si="11"/>
        <v>100</v>
      </c>
      <c r="AA81" s="7">
        <f t="shared" si="11"/>
        <v>100</v>
      </c>
      <c r="AB81" s="48"/>
      <c r="AC81" s="8">
        <f t="shared" si="12"/>
        <v>0.33600595232684727</v>
      </c>
      <c r="AD81" s="48"/>
    </row>
    <row r="82" spans="1:30">
      <c r="A82">
        <v>88</v>
      </c>
      <c r="B82">
        <v>52145.71</v>
      </c>
      <c r="C82">
        <v>29104.35</v>
      </c>
      <c r="D82">
        <v>64.16</v>
      </c>
      <c r="E82" s="45"/>
      <c r="F82" s="45"/>
      <c r="G82" s="45"/>
      <c r="H82">
        <v>88</v>
      </c>
      <c r="I82">
        <v>52145.82</v>
      </c>
      <c r="J82">
        <v>29104.45</v>
      </c>
      <c r="K82">
        <v>64.03</v>
      </c>
      <c r="X82" s="7">
        <f t="shared" si="10"/>
        <v>0.11000000000058208</v>
      </c>
      <c r="Y82" s="7">
        <f t="shared" si="10"/>
        <v>0.10000000000218279</v>
      </c>
      <c r="Z82" s="7">
        <f t="shared" si="11"/>
        <v>100</v>
      </c>
      <c r="AA82" s="7">
        <f t="shared" si="11"/>
        <v>100</v>
      </c>
      <c r="AB82" s="48"/>
      <c r="AC82" s="8">
        <f t="shared" si="12"/>
        <v>0.14866068747508404</v>
      </c>
      <c r="AD82" s="48"/>
    </row>
    <row r="83" spans="1:30">
      <c r="A83">
        <v>89</v>
      </c>
      <c r="B83">
        <v>52159.01</v>
      </c>
      <c r="C83">
        <v>29113.49</v>
      </c>
      <c r="D83">
        <v>63.89</v>
      </c>
      <c r="E83" s="45"/>
      <c r="F83" s="45"/>
      <c r="G83" s="45"/>
      <c r="H83">
        <v>89</v>
      </c>
      <c r="I83">
        <v>52158.8</v>
      </c>
      <c r="J83">
        <v>29113.439999999999</v>
      </c>
      <c r="K83">
        <v>63.85</v>
      </c>
      <c r="X83" s="7">
        <f t="shared" si="10"/>
        <v>-0.20999999999912689</v>
      </c>
      <c r="Y83" s="7">
        <f t="shared" si="10"/>
        <v>-5.0000000002910383E-2</v>
      </c>
      <c r="Z83" s="7">
        <f t="shared" si="11"/>
        <v>100</v>
      </c>
      <c r="AA83" s="7">
        <f t="shared" si="11"/>
        <v>100</v>
      </c>
      <c r="AB83" s="48"/>
      <c r="AC83" s="8">
        <f t="shared" si="12"/>
        <v>0.21587033144905377</v>
      </c>
      <c r="AD83" s="48"/>
    </row>
    <row r="84" spans="1:30">
      <c r="A84">
        <v>90</v>
      </c>
      <c r="B84">
        <v>52152.6</v>
      </c>
      <c r="C84">
        <v>29112.46</v>
      </c>
      <c r="D84">
        <v>63.89</v>
      </c>
      <c r="E84" s="45"/>
      <c r="F84" s="45"/>
      <c r="G84" s="45"/>
      <c r="H84">
        <v>90</v>
      </c>
      <c r="I84">
        <v>52152.51</v>
      </c>
      <c r="J84">
        <v>29112.39</v>
      </c>
      <c r="K84">
        <v>63.91</v>
      </c>
      <c r="X84" s="7">
        <f t="shared" si="10"/>
        <v>-8.999999999650754E-2</v>
      </c>
      <c r="Y84" s="7">
        <f t="shared" si="10"/>
        <v>-6.9999999999708962E-2</v>
      </c>
      <c r="Z84" s="7">
        <f t="shared" si="11"/>
        <v>100</v>
      </c>
      <c r="AA84" s="7">
        <f t="shared" si="11"/>
        <v>100</v>
      </c>
      <c r="AB84" s="48"/>
      <c r="AC84" s="8">
        <f t="shared" si="12"/>
        <v>0.11401754250697833</v>
      </c>
      <c r="AD84" s="48"/>
    </row>
    <row r="85" spans="1:30">
      <c r="A85">
        <v>91</v>
      </c>
      <c r="B85">
        <v>52146.400000000001</v>
      </c>
      <c r="C85">
        <v>29110.79</v>
      </c>
      <c r="D85">
        <v>63.98</v>
      </c>
      <c r="E85" s="45"/>
      <c r="F85" s="45"/>
      <c r="G85" s="45"/>
      <c r="H85">
        <v>91</v>
      </c>
      <c r="I85">
        <v>52146.26</v>
      </c>
      <c r="J85">
        <v>29110.78</v>
      </c>
      <c r="K85">
        <v>63.95</v>
      </c>
      <c r="X85" s="7">
        <f t="shared" si="10"/>
        <v>-0.13999999999941792</v>
      </c>
      <c r="Y85" s="7">
        <f t="shared" si="10"/>
        <v>-1.0000000002037268E-2</v>
      </c>
      <c r="Z85" s="7">
        <f t="shared" si="11"/>
        <v>100</v>
      </c>
      <c r="AA85" s="7">
        <f t="shared" si="11"/>
        <v>100</v>
      </c>
      <c r="AB85" s="48"/>
      <c r="AC85" s="8">
        <f t="shared" si="12"/>
        <v>0.14035668847574653</v>
      </c>
      <c r="AD85" s="48"/>
    </row>
    <row r="86" spans="1:30">
      <c r="A86">
        <v>92</v>
      </c>
      <c r="B86">
        <v>52153.43</v>
      </c>
      <c r="C86">
        <v>29071.01</v>
      </c>
      <c r="D86">
        <v>64.150000000000006</v>
      </c>
      <c r="E86" s="45"/>
      <c r="F86" s="45"/>
      <c r="G86" s="45"/>
      <c r="H86">
        <v>92</v>
      </c>
      <c r="I86">
        <v>52153.56</v>
      </c>
      <c r="J86">
        <v>29071.06</v>
      </c>
      <c r="K86">
        <v>64.05</v>
      </c>
      <c r="X86" s="7">
        <f t="shared" si="10"/>
        <v>0.12999999999738066</v>
      </c>
      <c r="Y86" s="7">
        <f t="shared" si="10"/>
        <v>5.0000000002910383E-2</v>
      </c>
      <c r="Z86" s="7">
        <f t="shared" si="11"/>
        <v>100</v>
      </c>
      <c r="AA86" s="7">
        <f t="shared" si="11"/>
        <v>100</v>
      </c>
      <c r="AB86" s="48"/>
      <c r="AC86" s="8">
        <f t="shared" si="12"/>
        <v>0.13928388277044121</v>
      </c>
      <c r="AD86" s="48"/>
    </row>
    <row r="87" spans="1:30">
      <c r="A87">
        <v>93</v>
      </c>
      <c r="B87">
        <v>52147.5</v>
      </c>
      <c r="C87">
        <v>29068.37</v>
      </c>
      <c r="D87">
        <v>64.459999999999994</v>
      </c>
      <c r="E87" s="45"/>
      <c r="F87" s="45"/>
      <c r="G87" s="45"/>
      <c r="H87">
        <v>93</v>
      </c>
      <c r="I87">
        <v>52147.66</v>
      </c>
      <c r="J87">
        <v>29068.5</v>
      </c>
      <c r="K87">
        <v>64.37</v>
      </c>
      <c r="X87" s="7">
        <f t="shared" si="10"/>
        <v>0.16000000000349246</v>
      </c>
      <c r="Y87" s="7">
        <f t="shared" si="10"/>
        <v>0.13000000000101863</v>
      </c>
      <c r="Z87" s="7">
        <f t="shared" si="11"/>
        <v>100</v>
      </c>
      <c r="AA87" s="7">
        <f t="shared" si="11"/>
        <v>100</v>
      </c>
      <c r="AB87" s="48"/>
      <c r="AC87" s="8">
        <f t="shared" si="12"/>
        <v>0.20615528128423591</v>
      </c>
      <c r="AD87" s="48"/>
    </row>
    <row r="88" spans="1:30">
      <c r="A88">
        <v>94</v>
      </c>
      <c r="B88">
        <v>52141.56</v>
      </c>
      <c r="C88">
        <v>29065.73</v>
      </c>
      <c r="D88">
        <v>64.900000000000006</v>
      </c>
      <c r="E88" s="45"/>
      <c r="F88" s="45"/>
      <c r="G88" s="45"/>
      <c r="H88">
        <v>94</v>
      </c>
      <c r="I88">
        <v>52141.97</v>
      </c>
      <c r="J88">
        <v>29065.95</v>
      </c>
      <c r="K88">
        <v>64.760000000000005</v>
      </c>
      <c r="X88" s="7">
        <f t="shared" si="10"/>
        <v>0.41000000000349246</v>
      </c>
      <c r="Y88" s="7">
        <f t="shared" si="10"/>
        <v>0.22000000000116415</v>
      </c>
      <c r="Z88" s="7">
        <f t="shared" si="11"/>
        <v>100</v>
      </c>
      <c r="AA88" s="7">
        <f t="shared" si="11"/>
        <v>100</v>
      </c>
      <c r="AB88" s="48"/>
      <c r="AC88" s="8">
        <f t="shared" si="12"/>
        <v>0.46529560496890149</v>
      </c>
      <c r="AD88" s="48"/>
    </row>
    <row r="89" spans="1:30">
      <c r="A89">
        <v>95</v>
      </c>
      <c r="B89">
        <v>52154.13</v>
      </c>
      <c r="C89">
        <v>29077.45</v>
      </c>
      <c r="D89">
        <v>63.9</v>
      </c>
      <c r="E89" s="45"/>
      <c r="F89" s="45"/>
      <c r="G89" s="45"/>
      <c r="H89">
        <v>95</v>
      </c>
      <c r="I89">
        <v>52153.760000000002</v>
      </c>
      <c r="J89">
        <v>29077.41</v>
      </c>
      <c r="K89">
        <v>63.84</v>
      </c>
      <c r="X89" s="7">
        <f t="shared" si="10"/>
        <v>-0.36999999999534339</v>
      </c>
      <c r="Y89" s="7">
        <f t="shared" si="10"/>
        <v>-4.0000000000873115E-2</v>
      </c>
      <c r="Z89" s="7">
        <f t="shared" si="11"/>
        <v>100</v>
      </c>
      <c r="AA89" s="7">
        <f t="shared" si="11"/>
        <v>100</v>
      </c>
      <c r="AB89" s="48"/>
      <c r="AC89" s="8">
        <f t="shared" si="12"/>
        <v>0.3721558813140321</v>
      </c>
      <c r="AD89" s="48"/>
    </row>
    <row r="90" spans="1:30">
      <c r="A90">
        <v>96</v>
      </c>
      <c r="B90">
        <v>52148.19</v>
      </c>
      <c r="C90">
        <v>29074.81</v>
      </c>
      <c r="D90">
        <v>64.180000000000007</v>
      </c>
      <c r="E90" s="45"/>
      <c r="F90" s="45"/>
      <c r="G90" s="45"/>
      <c r="H90">
        <v>96</v>
      </c>
      <c r="I90">
        <v>52147.99</v>
      </c>
      <c r="J90">
        <v>29075.09</v>
      </c>
      <c r="K90">
        <v>64.150000000000006</v>
      </c>
      <c r="X90" s="7">
        <f t="shared" si="10"/>
        <v>-0.20000000000436557</v>
      </c>
      <c r="Y90" s="7">
        <f t="shared" si="10"/>
        <v>0.27999999999883585</v>
      </c>
      <c r="Z90" s="7">
        <f t="shared" si="11"/>
        <v>100</v>
      </c>
      <c r="AA90" s="7">
        <f t="shared" si="11"/>
        <v>100</v>
      </c>
      <c r="AB90" s="48"/>
      <c r="AC90" s="8">
        <f t="shared" si="12"/>
        <v>0.34409301068329518</v>
      </c>
      <c r="AD90" s="48"/>
    </row>
    <row r="91" spans="1:30">
      <c r="A91">
        <v>97</v>
      </c>
      <c r="B91">
        <v>52142.25</v>
      </c>
      <c r="C91">
        <v>29072.16</v>
      </c>
      <c r="D91">
        <v>64.67</v>
      </c>
      <c r="E91" s="45"/>
      <c r="F91" s="45"/>
      <c r="G91" s="45"/>
      <c r="H91">
        <v>97</v>
      </c>
      <c r="I91">
        <v>52142.45</v>
      </c>
      <c r="J91">
        <v>29072.13</v>
      </c>
      <c r="K91">
        <v>64.56</v>
      </c>
      <c r="X91" s="7">
        <f t="shared" si="10"/>
        <v>0.19999999999708962</v>
      </c>
      <c r="Y91" s="7">
        <f t="shared" si="10"/>
        <v>-2.9999999998835847E-2</v>
      </c>
      <c r="Z91" s="7">
        <f t="shared" si="11"/>
        <v>100</v>
      </c>
      <c r="AA91" s="7">
        <f t="shared" si="11"/>
        <v>100</v>
      </c>
      <c r="AB91" s="48"/>
      <c r="AC91" s="8">
        <f t="shared" si="12"/>
        <v>0.20223748415851597</v>
      </c>
      <c r="AD91" s="48"/>
    </row>
    <row r="92" spans="1:30">
      <c r="A92">
        <v>98</v>
      </c>
      <c r="B92">
        <v>52136.31</v>
      </c>
      <c r="C92">
        <v>29069.52</v>
      </c>
      <c r="D92">
        <v>65.19</v>
      </c>
      <c r="E92" s="45"/>
      <c r="F92" s="45"/>
      <c r="G92" s="45"/>
      <c r="H92">
        <v>98</v>
      </c>
      <c r="I92">
        <v>52136.75</v>
      </c>
      <c r="J92">
        <v>29069.48</v>
      </c>
      <c r="K92">
        <v>65.08</v>
      </c>
      <c r="X92" s="7">
        <f t="shared" si="10"/>
        <v>0.44000000000232831</v>
      </c>
      <c r="Y92" s="7">
        <f t="shared" si="10"/>
        <v>-4.0000000000873115E-2</v>
      </c>
      <c r="Z92" s="7">
        <f t="shared" si="11"/>
        <v>100</v>
      </c>
      <c r="AA92" s="7">
        <f t="shared" si="11"/>
        <v>100</v>
      </c>
      <c r="AB92" s="48"/>
      <c r="AC92" s="8">
        <f t="shared" si="12"/>
        <v>0.44181444068988823</v>
      </c>
      <c r="AD92" s="48"/>
    </row>
    <row r="93" spans="1:30">
      <c r="A93">
        <v>99</v>
      </c>
      <c r="B93">
        <v>52148.88</v>
      </c>
      <c r="C93">
        <v>29081.24</v>
      </c>
      <c r="D93">
        <v>64.11</v>
      </c>
      <c r="E93" s="45"/>
      <c r="F93" s="45"/>
      <c r="G93" s="45"/>
      <c r="H93">
        <v>99</v>
      </c>
      <c r="I93">
        <v>52148.89</v>
      </c>
      <c r="J93">
        <v>29081.360000000001</v>
      </c>
      <c r="K93">
        <v>64.010000000000005</v>
      </c>
      <c r="X93" s="7">
        <f t="shared" si="10"/>
        <v>1.0000000002037268E-2</v>
      </c>
      <c r="Y93" s="7">
        <f t="shared" si="10"/>
        <v>0.11999999999898137</v>
      </c>
      <c r="Z93" s="7">
        <f t="shared" si="11"/>
        <v>100</v>
      </c>
      <c r="AA93" s="7">
        <f t="shared" si="11"/>
        <v>100</v>
      </c>
      <c r="AB93" s="48"/>
      <c r="AC93" s="8">
        <f t="shared" si="12"/>
        <v>0.12041594578707703</v>
      </c>
      <c r="AD93" s="48"/>
    </row>
    <row r="94" spans="1:30">
      <c r="A94">
        <v>100</v>
      </c>
      <c r="B94">
        <v>52142.94</v>
      </c>
      <c r="C94">
        <v>29078.6</v>
      </c>
      <c r="D94">
        <v>64.48</v>
      </c>
      <c r="E94" s="45"/>
      <c r="F94" s="45"/>
      <c r="G94" s="45"/>
      <c r="H94">
        <v>100</v>
      </c>
      <c r="I94">
        <v>52143.38</v>
      </c>
      <c r="J94">
        <v>29078.93</v>
      </c>
      <c r="K94">
        <v>64.39</v>
      </c>
      <c r="X94" s="7">
        <f t="shared" si="10"/>
        <v>100</v>
      </c>
      <c r="Y94" s="7">
        <f t="shared" si="10"/>
        <v>100</v>
      </c>
      <c r="Z94" s="7">
        <f t="shared" si="11"/>
        <v>0.43999999999505235</v>
      </c>
      <c r="AA94" s="7">
        <f t="shared" si="11"/>
        <v>0.33000000000174623</v>
      </c>
      <c r="AB94" s="48"/>
      <c r="AC94" s="8">
        <f t="shared" si="12"/>
        <v>0.54999999999708959</v>
      </c>
      <c r="AD94" s="48"/>
    </row>
    <row r="95" spans="1:30">
      <c r="A95">
        <v>101</v>
      </c>
      <c r="B95">
        <v>52137</v>
      </c>
      <c r="C95">
        <v>29075.96</v>
      </c>
      <c r="D95">
        <v>64.97</v>
      </c>
      <c r="E95" s="45"/>
      <c r="F95" s="45"/>
      <c r="G95" s="45"/>
      <c r="H95">
        <v>101</v>
      </c>
      <c r="I95">
        <v>52137.09</v>
      </c>
      <c r="J95">
        <v>29076.240000000002</v>
      </c>
      <c r="K95">
        <v>65</v>
      </c>
      <c r="X95" s="7">
        <f t="shared" si="10"/>
        <v>8.999999999650754E-2</v>
      </c>
      <c r="Y95" s="7">
        <f t="shared" si="10"/>
        <v>0.28000000000247383</v>
      </c>
      <c r="Z95" s="7">
        <f t="shared" si="11"/>
        <v>100</v>
      </c>
      <c r="AA95" s="7">
        <f t="shared" si="11"/>
        <v>100</v>
      </c>
      <c r="AB95" s="48"/>
      <c r="AC95" s="8">
        <f t="shared" si="12"/>
        <v>0.29410882339834127</v>
      </c>
      <c r="AD95" s="48"/>
    </row>
    <row r="96" spans="1:30">
      <c r="A96">
        <v>102</v>
      </c>
      <c r="B96">
        <v>52131.07</v>
      </c>
      <c r="C96">
        <v>29073.31</v>
      </c>
      <c r="D96">
        <v>65.55</v>
      </c>
      <c r="E96" s="45"/>
      <c r="F96" s="45"/>
      <c r="G96" s="45"/>
      <c r="H96">
        <v>102</v>
      </c>
      <c r="I96">
        <v>52130.99</v>
      </c>
      <c r="J96">
        <v>29073.439999999999</v>
      </c>
      <c r="K96">
        <v>65.349999999999994</v>
      </c>
      <c r="X96" s="7">
        <f t="shared" si="10"/>
        <v>-8.000000000174623E-2</v>
      </c>
      <c r="Y96" s="7">
        <f t="shared" si="10"/>
        <v>0.12999999999738066</v>
      </c>
      <c r="Z96" s="7">
        <f t="shared" si="11"/>
        <v>100</v>
      </c>
      <c r="AA96" s="7">
        <f t="shared" si="11"/>
        <v>100</v>
      </c>
      <c r="AB96" s="48"/>
      <c r="AC96" s="8">
        <f t="shared" si="12"/>
        <v>0.15264337522342189</v>
      </c>
      <c r="AD96" s="48"/>
    </row>
    <row r="97" spans="1:30">
      <c r="A97">
        <v>103</v>
      </c>
      <c r="B97">
        <v>52149.57</v>
      </c>
      <c r="C97">
        <v>29087.68</v>
      </c>
      <c r="D97">
        <v>64.180000000000007</v>
      </c>
      <c r="E97" s="45"/>
      <c r="F97" s="45"/>
      <c r="G97" s="45"/>
      <c r="H97">
        <v>103</v>
      </c>
      <c r="I97">
        <v>52149.4</v>
      </c>
      <c r="J97">
        <v>29087.47</v>
      </c>
      <c r="K97">
        <v>64.22</v>
      </c>
      <c r="X97" s="7">
        <f t="shared" si="10"/>
        <v>-0.16999999999825377</v>
      </c>
      <c r="Y97" s="7">
        <f t="shared" si="10"/>
        <v>-0.20999999999912689</v>
      </c>
      <c r="Z97" s="7">
        <f t="shared" si="11"/>
        <v>100</v>
      </c>
      <c r="AA97" s="7">
        <f t="shared" si="11"/>
        <v>100</v>
      </c>
      <c r="AB97" s="48"/>
      <c r="AC97" s="8">
        <f t="shared" si="12"/>
        <v>0.27018512172034859</v>
      </c>
      <c r="AD97" s="48"/>
    </row>
    <row r="98" spans="1:30">
      <c r="A98">
        <v>104</v>
      </c>
      <c r="B98">
        <v>52143.63</v>
      </c>
      <c r="C98">
        <v>29085.040000000001</v>
      </c>
      <c r="D98">
        <v>64.5</v>
      </c>
      <c r="E98" s="45"/>
      <c r="F98" s="45"/>
      <c r="G98" s="45"/>
      <c r="H98">
        <v>104</v>
      </c>
      <c r="I98">
        <v>52143.54</v>
      </c>
      <c r="J98">
        <v>29085.3</v>
      </c>
      <c r="K98">
        <v>64.5</v>
      </c>
      <c r="X98" s="7">
        <f t="shared" si="10"/>
        <v>-8.999999999650754E-2</v>
      </c>
      <c r="Y98" s="7">
        <f t="shared" si="10"/>
        <v>0.25999999999839929</v>
      </c>
      <c r="Z98" s="7">
        <f t="shared" si="11"/>
        <v>100</v>
      </c>
      <c r="AA98" s="7">
        <f t="shared" si="11"/>
        <v>100</v>
      </c>
      <c r="AB98" s="48"/>
      <c r="AC98" s="8">
        <f t="shared" si="12"/>
        <v>0.27513632984129704</v>
      </c>
      <c r="AD98" s="48"/>
    </row>
    <row r="99" spans="1:30">
      <c r="A99">
        <v>105</v>
      </c>
      <c r="B99">
        <v>52137.69</v>
      </c>
      <c r="C99">
        <v>29082.400000000001</v>
      </c>
      <c r="D99">
        <v>64.930000000000007</v>
      </c>
      <c r="E99" s="45"/>
      <c r="F99" s="45"/>
      <c r="G99" s="45"/>
      <c r="H99">
        <v>105</v>
      </c>
      <c r="I99">
        <v>52138.09</v>
      </c>
      <c r="J99">
        <v>29082.560000000001</v>
      </c>
      <c r="K99">
        <v>64.84</v>
      </c>
      <c r="X99" s="7">
        <f t="shared" si="10"/>
        <v>0.39999999999417923</v>
      </c>
      <c r="Y99" s="7">
        <f t="shared" si="10"/>
        <v>0.15999999999985448</v>
      </c>
      <c r="Z99" s="7">
        <f t="shared" si="11"/>
        <v>100</v>
      </c>
      <c r="AA99" s="7">
        <f t="shared" si="11"/>
        <v>100</v>
      </c>
      <c r="AB99" s="48"/>
      <c r="AC99" s="8">
        <f t="shared" si="12"/>
        <v>0.43081318456530182</v>
      </c>
      <c r="AD99" s="48"/>
    </row>
    <row r="100" spans="1:30">
      <c r="A100">
        <v>106</v>
      </c>
      <c r="B100">
        <v>52131.76</v>
      </c>
      <c r="C100">
        <v>29079.75</v>
      </c>
      <c r="D100">
        <v>65.53</v>
      </c>
      <c r="E100" s="45"/>
      <c r="F100" s="45"/>
      <c r="G100" s="45"/>
      <c r="H100">
        <v>106</v>
      </c>
      <c r="I100">
        <v>52131.78</v>
      </c>
      <c r="J100">
        <v>29079.87</v>
      </c>
      <c r="K100">
        <v>65.430000000000007</v>
      </c>
      <c r="X100" s="7">
        <f t="shared" si="10"/>
        <v>1.9999999996798579E-2</v>
      </c>
      <c r="Y100" s="7">
        <f t="shared" si="10"/>
        <v>0.11999999999898137</v>
      </c>
      <c r="Z100" s="7">
        <f t="shared" si="11"/>
        <v>100</v>
      </c>
      <c r="AA100" s="7">
        <f t="shared" si="11"/>
        <v>100</v>
      </c>
      <c r="AB100" s="48"/>
      <c r="AC100" s="8">
        <f t="shared" si="12"/>
        <v>0.12165525060443332</v>
      </c>
      <c r="AD100" s="48"/>
    </row>
    <row r="101" spans="1:30">
      <c r="A101">
        <v>107</v>
      </c>
      <c r="B101">
        <v>52125.82</v>
      </c>
      <c r="C101">
        <v>29077.11</v>
      </c>
      <c r="D101">
        <v>66.03</v>
      </c>
      <c r="E101" s="45"/>
      <c r="F101" s="45"/>
      <c r="G101" s="45"/>
      <c r="H101">
        <v>107</v>
      </c>
      <c r="I101">
        <v>52125.71</v>
      </c>
      <c r="J101">
        <v>29077.09</v>
      </c>
      <c r="K101">
        <v>65.92</v>
      </c>
      <c r="X101" s="7">
        <f t="shared" si="10"/>
        <v>-0.11000000000058208</v>
      </c>
      <c r="Y101" s="7">
        <f t="shared" si="10"/>
        <v>-2.0000000000436557E-2</v>
      </c>
      <c r="Z101" s="7">
        <f t="shared" si="11"/>
        <v>100</v>
      </c>
      <c r="AA101" s="7">
        <f t="shared" si="11"/>
        <v>100</v>
      </c>
      <c r="AB101" s="48"/>
      <c r="AC101" s="8">
        <f t="shared" si="12"/>
        <v>0.11180339887564027</v>
      </c>
      <c r="AD101" s="48"/>
    </row>
    <row r="102" spans="1:30">
      <c r="A102">
        <v>108</v>
      </c>
      <c r="B102">
        <v>52144.32</v>
      </c>
      <c r="C102">
        <v>29091.48</v>
      </c>
      <c r="D102">
        <v>64.41</v>
      </c>
      <c r="E102" s="45"/>
      <c r="F102" s="45"/>
      <c r="G102" s="45"/>
      <c r="H102">
        <v>108</v>
      </c>
      <c r="I102">
        <v>52144.38</v>
      </c>
      <c r="J102">
        <v>29091.45</v>
      </c>
      <c r="K102">
        <v>64.540000000000006</v>
      </c>
      <c r="X102" s="7">
        <f t="shared" si="10"/>
        <v>5.9999999997671694E-2</v>
      </c>
      <c r="Y102" s="7">
        <f t="shared" si="10"/>
        <v>-2.9999999998835847E-2</v>
      </c>
      <c r="Z102" s="7">
        <f t="shared" si="11"/>
        <v>100</v>
      </c>
      <c r="AA102" s="7">
        <f t="shared" si="11"/>
        <v>100</v>
      </c>
      <c r="AB102" s="48"/>
      <c r="AC102" s="8">
        <f t="shared" si="12"/>
        <v>6.7082039322390569E-2</v>
      </c>
      <c r="AD102" s="48"/>
    </row>
    <row r="103" spans="1:30">
      <c r="A103">
        <v>109</v>
      </c>
      <c r="B103">
        <v>52138.39</v>
      </c>
      <c r="C103">
        <v>29088.83</v>
      </c>
      <c r="D103">
        <v>65.010000000000005</v>
      </c>
      <c r="E103" s="45"/>
      <c r="F103" s="45"/>
      <c r="G103" s="45"/>
      <c r="H103">
        <v>109</v>
      </c>
      <c r="I103">
        <v>52138.400000000001</v>
      </c>
      <c r="J103">
        <v>29088.62</v>
      </c>
      <c r="K103">
        <v>65.03</v>
      </c>
      <c r="X103" s="7">
        <f t="shared" si="10"/>
        <v>1.0000000002037268E-2</v>
      </c>
      <c r="Y103" s="7">
        <f t="shared" si="10"/>
        <v>-0.21000000000276486</v>
      </c>
      <c r="Z103" s="7">
        <f t="shared" si="11"/>
        <v>100</v>
      </c>
      <c r="AA103" s="7">
        <f t="shared" si="11"/>
        <v>100</v>
      </c>
      <c r="AB103" s="48"/>
      <c r="AC103" s="8">
        <f t="shared" si="12"/>
        <v>0.21023796041914503</v>
      </c>
      <c r="AD103" s="48"/>
    </row>
    <row r="104" spans="1:30">
      <c r="A104">
        <v>110</v>
      </c>
      <c r="B104">
        <v>52132.45</v>
      </c>
      <c r="C104">
        <v>29086.19</v>
      </c>
      <c r="D104">
        <v>65.48</v>
      </c>
      <c r="E104" s="45"/>
      <c r="F104" s="45"/>
      <c r="G104" s="45"/>
      <c r="H104">
        <v>110</v>
      </c>
      <c r="I104">
        <v>52132.66</v>
      </c>
      <c r="J104">
        <v>29086.2</v>
      </c>
      <c r="K104">
        <v>65.28</v>
      </c>
      <c r="X104" s="7">
        <f t="shared" si="10"/>
        <v>0.21000000000640284</v>
      </c>
      <c r="Y104" s="7">
        <f t="shared" si="10"/>
        <v>1.0000000002037268E-2</v>
      </c>
      <c r="Z104" s="7">
        <f t="shared" si="11"/>
        <v>100</v>
      </c>
      <c r="AA104" s="7">
        <f t="shared" si="11"/>
        <v>100</v>
      </c>
      <c r="AB104" s="48"/>
      <c r="AC104" s="8">
        <f t="shared" si="12"/>
        <v>0.2102379604227789</v>
      </c>
      <c r="AD104" s="48"/>
    </row>
    <row r="105" spans="1:30">
      <c r="A105">
        <v>111</v>
      </c>
      <c r="B105">
        <v>52126.51</v>
      </c>
      <c r="C105">
        <v>29083.55</v>
      </c>
      <c r="D105">
        <v>66.11</v>
      </c>
      <c r="E105" s="45"/>
      <c r="F105" s="45"/>
      <c r="G105" s="45"/>
      <c r="H105">
        <v>111</v>
      </c>
      <c r="I105">
        <v>52127</v>
      </c>
      <c r="J105">
        <v>29083.82</v>
      </c>
      <c r="K105">
        <v>66.069999999999993</v>
      </c>
      <c r="X105" s="7">
        <f t="shared" si="10"/>
        <v>100</v>
      </c>
      <c r="Y105" s="7">
        <f t="shared" si="10"/>
        <v>100</v>
      </c>
      <c r="Z105" s="7">
        <f t="shared" si="11"/>
        <v>0.48999999999796273</v>
      </c>
      <c r="AA105" s="7">
        <f t="shared" si="11"/>
        <v>0.27000000000043656</v>
      </c>
      <c r="AB105" s="48"/>
      <c r="AC105" s="8">
        <f t="shared" si="12"/>
        <v>0.55946402922640093</v>
      </c>
      <c r="AD105" s="48"/>
    </row>
    <row r="106" spans="1:30">
      <c r="A106">
        <v>112</v>
      </c>
      <c r="B106">
        <v>52120.57</v>
      </c>
      <c r="C106">
        <v>29080.9</v>
      </c>
      <c r="D106">
        <v>66.42</v>
      </c>
      <c r="E106" s="45"/>
      <c r="F106" s="45"/>
      <c r="G106" s="45"/>
      <c r="H106">
        <v>112</v>
      </c>
      <c r="I106">
        <v>52120.37</v>
      </c>
      <c r="J106">
        <v>29080.94</v>
      </c>
      <c r="K106">
        <v>66.540000000000006</v>
      </c>
      <c r="X106" s="7">
        <f t="shared" si="10"/>
        <v>-0.19999999999708962</v>
      </c>
      <c r="Y106" s="7">
        <f t="shared" si="10"/>
        <v>3.9999999997235136E-2</v>
      </c>
      <c r="Z106" s="7">
        <f t="shared" si="11"/>
        <v>100</v>
      </c>
      <c r="AA106" s="7">
        <f t="shared" si="11"/>
        <v>100</v>
      </c>
      <c r="AB106" s="48"/>
      <c r="AC106" s="8">
        <f t="shared" si="12"/>
        <v>0.2039607805403153</v>
      </c>
      <c r="AD106" s="48"/>
    </row>
    <row r="107" spans="1:30">
      <c r="A107">
        <v>113</v>
      </c>
      <c r="B107">
        <v>52145.02</v>
      </c>
      <c r="C107">
        <v>29097.91</v>
      </c>
      <c r="D107">
        <v>64.27</v>
      </c>
      <c r="E107" s="45"/>
      <c r="F107" s="45"/>
      <c r="G107" s="45"/>
      <c r="H107">
        <v>113</v>
      </c>
      <c r="I107">
        <v>52144.58</v>
      </c>
      <c r="J107">
        <v>29098.01</v>
      </c>
      <c r="K107">
        <v>64.44</v>
      </c>
      <c r="X107" s="7">
        <f t="shared" si="10"/>
        <v>-0.43999999999505235</v>
      </c>
      <c r="Y107" s="7">
        <f t="shared" si="10"/>
        <v>9.9999999998544808E-2</v>
      </c>
      <c r="Z107" s="7">
        <f t="shared" si="11"/>
        <v>100</v>
      </c>
      <c r="AA107" s="7">
        <f t="shared" si="11"/>
        <v>100</v>
      </c>
      <c r="AB107" s="48"/>
      <c r="AC107" s="8">
        <f t="shared" si="12"/>
        <v>0.45122056690199197</v>
      </c>
      <c r="AD107" s="48"/>
    </row>
    <row r="108" spans="1:30">
      <c r="A108">
        <v>114</v>
      </c>
      <c r="B108">
        <v>52139.08</v>
      </c>
      <c r="C108">
        <v>29095.27</v>
      </c>
      <c r="D108">
        <v>64.73</v>
      </c>
      <c r="E108" s="45"/>
      <c r="F108" s="45"/>
      <c r="G108" s="45"/>
      <c r="H108">
        <v>114</v>
      </c>
      <c r="I108">
        <v>52138.86</v>
      </c>
      <c r="J108">
        <v>29095.38</v>
      </c>
      <c r="K108">
        <v>64.739999999999995</v>
      </c>
      <c r="X108" s="7">
        <f t="shared" si="10"/>
        <v>-0.22000000000116415</v>
      </c>
      <c r="Y108" s="7">
        <f t="shared" si="10"/>
        <v>0.11000000000058208</v>
      </c>
      <c r="Z108" s="7">
        <f t="shared" si="11"/>
        <v>100</v>
      </c>
      <c r="AA108" s="7">
        <f t="shared" si="11"/>
        <v>100</v>
      </c>
      <c r="AB108" s="48"/>
      <c r="AC108" s="8">
        <f t="shared" si="12"/>
        <v>0.24596747752627843</v>
      </c>
      <c r="AD108" s="48"/>
    </row>
    <row r="109" spans="1:30">
      <c r="A109">
        <v>115</v>
      </c>
      <c r="B109">
        <v>52133.14</v>
      </c>
      <c r="C109">
        <v>29092.63</v>
      </c>
      <c r="D109">
        <v>65.349999999999994</v>
      </c>
      <c r="E109" s="45"/>
      <c r="F109" s="45"/>
      <c r="G109" s="45"/>
      <c r="H109">
        <v>115</v>
      </c>
      <c r="I109">
        <v>52133.18</v>
      </c>
      <c r="J109">
        <v>29092.84</v>
      </c>
      <c r="K109">
        <v>65.36</v>
      </c>
      <c r="X109" s="7">
        <f t="shared" si="10"/>
        <v>4.0000000000873115E-2</v>
      </c>
      <c r="Y109" s="7">
        <f t="shared" si="10"/>
        <v>0.20999999999912689</v>
      </c>
      <c r="Z109" s="7">
        <f t="shared" si="11"/>
        <v>100</v>
      </c>
      <c r="AA109" s="7">
        <f t="shared" si="11"/>
        <v>100</v>
      </c>
      <c r="AB109" s="48"/>
      <c r="AC109" s="8">
        <f t="shared" si="12"/>
        <v>0.2137755832636252</v>
      </c>
      <c r="AD109" s="48"/>
    </row>
    <row r="110" spans="1:30">
      <c r="A110">
        <v>116</v>
      </c>
      <c r="B110">
        <v>52127.199999999997</v>
      </c>
      <c r="C110">
        <v>29089.98</v>
      </c>
      <c r="D110">
        <v>65.92</v>
      </c>
      <c r="E110" s="45"/>
      <c r="F110" s="45"/>
      <c r="G110" s="45"/>
      <c r="H110">
        <v>116</v>
      </c>
      <c r="I110">
        <v>52127.41</v>
      </c>
      <c r="J110">
        <v>29089.95</v>
      </c>
      <c r="K110">
        <v>66.05</v>
      </c>
      <c r="X110" s="7">
        <f t="shared" si="10"/>
        <v>0.21000000000640284</v>
      </c>
      <c r="Y110" s="7">
        <f t="shared" si="10"/>
        <v>-2.9999999998835847E-2</v>
      </c>
      <c r="Z110" s="7">
        <f t="shared" si="11"/>
        <v>100</v>
      </c>
      <c r="AA110" s="7">
        <f t="shared" si="11"/>
        <v>100</v>
      </c>
      <c r="AB110" s="48"/>
      <c r="AC110" s="8">
        <f t="shared" si="12"/>
        <v>0.21213203436213812</v>
      </c>
      <c r="AD110" s="48"/>
    </row>
    <row r="111" spans="1:30">
      <c r="A111">
        <v>117</v>
      </c>
      <c r="B111">
        <v>52121.26</v>
      </c>
      <c r="C111">
        <v>29087.34</v>
      </c>
      <c r="D111">
        <v>66.349999999999994</v>
      </c>
      <c r="E111" s="45"/>
      <c r="F111" s="45"/>
      <c r="G111" s="45"/>
      <c r="H111">
        <v>117</v>
      </c>
      <c r="I111">
        <v>52121.46</v>
      </c>
      <c r="J111">
        <v>29087.25</v>
      </c>
      <c r="K111">
        <v>66.650000000000006</v>
      </c>
      <c r="X111" s="7">
        <f t="shared" si="10"/>
        <v>0.19999999999708962</v>
      </c>
      <c r="Y111" s="7">
        <f t="shared" si="10"/>
        <v>-9.0000000000145519E-2</v>
      </c>
      <c r="Z111" s="7">
        <f t="shared" si="11"/>
        <v>100</v>
      </c>
      <c r="AA111" s="7">
        <f t="shared" si="11"/>
        <v>100</v>
      </c>
      <c r="AB111" s="48"/>
      <c r="AC111" s="8">
        <f t="shared" si="12"/>
        <v>0.21931712199201875</v>
      </c>
      <c r="AD111" s="48"/>
    </row>
    <row r="112" spans="1:30">
      <c r="A112">
        <v>118</v>
      </c>
      <c r="B112">
        <v>52139.77</v>
      </c>
      <c r="C112">
        <v>29101.71</v>
      </c>
      <c r="D112">
        <v>64.48</v>
      </c>
      <c r="E112" s="45"/>
      <c r="F112" s="45"/>
      <c r="G112" s="45"/>
      <c r="H112">
        <v>118</v>
      </c>
      <c r="I112">
        <v>52139.82</v>
      </c>
      <c r="J112">
        <v>29101.98</v>
      </c>
      <c r="K112">
        <v>64.41</v>
      </c>
      <c r="X112" s="7">
        <f t="shared" si="10"/>
        <v>5.0000000002910383E-2</v>
      </c>
      <c r="Y112" s="7">
        <f t="shared" si="10"/>
        <v>0.27000000000043656</v>
      </c>
      <c r="Z112" s="7">
        <f t="shared" si="11"/>
        <v>100</v>
      </c>
      <c r="AA112" s="7">
        <f t="shared" si="11"/>
        <v>100</v>
      </c>
      <c r="AB112" s="48"/>
      <c r="AC112" s="8">
        <f t="shared" si="12"/>
        <v>0.27459060435587879</v>
      </c>
      <c r="AD112" s="48"/>
    </row>
    <row r="113" spans="1:30">
      <c r="A113">
        <v>119</v>
      </c>
      <c r="B113">
        <v>52133.83</v>
      </c>
      <c r="C113">
        <v>29099.06</v>
      </c>
      <c r="D113">
        <v>65.02</v>
      </c>
      <c r="E113" s="45"/>
      <c r="F113" s="45"/>
      <c r="G113" s="45"/>
      <c r="H113">
        <v>119</v>
      </c>
      <c r="I113">
        <v>52133.72</v>
      </c>
      <c r="J113">
        <v>29098.93</v>
      </c>
      <c r="K113">
        <v>64.98</v>
      </c>
      <c r="X113" s="7">
        <f t="shared" si="10"/>
        <v>-0.11000000000058208</v>
      </c>
      <c r="Y113" s="7">
        <f t="shared" si="10"/>
        <v>-0.13000000000101863</v>
      </c>
      <c r="Z113" s="7">
        <f t="shared" si="11"/>
        <v>100</v>
      </c>
      <c r="AA113" s="7">
        <f t="shared" si="11"/>
        <v>100</v>
      </c>
      <c r="AB113" s="48"/>
      <c r="AC113" s="8">
        <f t="shared" si="12"/>
        <v>0.1702938636604176</v>
      </c>
      <c r="AD113" s="48"/>
    </row>
    <row r="114" spans="1:30">
      <c r="A114">
        <v>120</v>
      </c>
      <c r="B114">
        <v>52127.89</v>
      </c>
      <c r="C114">
        <v>29096.42</v>
      </c>
      <c r="D114">
        <v>65.569999999999993</v>
      </c>
      <c r="E114" s="45"/>
      <c r="F114" s="45"/>
      <c r="G114" s="45"/>
      <c r="H114">
        <v>120</v>
      </c>
      <c r="I114">
        <v>52128.01</v>
      </c>
      <c r="J114">
        <v>29096.39</v>
      </c>
      <c r="K114">
        <v>65.599999999999994</v>
      </c>
      <c r="X114" s="7">
        <f t="shared" si="10"/>
        <v>0.12000000000261934</v>
      </c>
      <c r="Y114" s="7">
        <f t="shared" si="10"/>
        <v>-2.9999999998835847E-2</v>
      </c>
      <c r="Z114" s="7">
        <f t="shared" si="11"/>
        <v>100</v>
      </c>
      <c r="AA114" s="7">
        <f t="shared" si="11"/>
        <v>100</v>
      </c>
      <c r="AB114" s="48"/>
      <c r="AC114" s="8">
        <f t="shared" si="12"/>
        <v>0.12369316877078861</v>
      </c>
      <c r="AD114" s="48"/>
    </row>
    <row r="115" spans="1:30">
      <c r="A115">
        <v>121</v>
      </c>
      <c r="B115">
        <v>52140.46</v>
      </c>
      <c r="C115">
        <v>29108.15</v>
      </c>
      <c r="D115">
        <v>64.180000000000007</v>
      </c>
      <c r="E115" s="45"/>
      <c r="F115" s="45"/>
      <c r="G115" s="45"/>
      <c r="H115">
        <v>121</v>
      </c>
      <c r="I115">
        <v>52140.36</v>
      </c>
      <c r="J115">
        <v>29108.14</v>
      </c>
      <c r="K115">
        <v>64.19</v>
      </c>
      <c r="X115" s="7">
        <f t="shared" si="10"/>
        <v>-9.9999999998544808E-2</v>
      </c>
      <c r="Y115" s="7">
        <f t="shared" si="10"/>
        <v>-1.0000000002037268E-2</v>
      </c>
      <c r="Z115" s="7">
        <f t="shared" si="11"/>
        <v>100</v>
      </c>
      <c r="AA115" s="7">
        <f t="shared" si="11"/>
        <v>100</v>
      </c>
      <c r="AB115" s="48"/>
      <c r="AC115" s="8">
        <f t="shared" si="12"/>
        <v>0.10049875620996365</v>
      </c>
      <c r="AD115" s="48"/>
    </row>
    <row r="116" spans="1:30">
      <c r="A116">
        <v>122</v>
      </c>
      <c r="B116">
        <v>52134.9</v>
      </c>
      <c r="C116">
        <v>29104.69</v>
      </c>
      <c r="D116">
        <v>64.73</v>
      </c>
      <c r="E116" s="45"/>
      <c r="F116" s="45"/>
      <c r="G116" s="45"/>
      <c r="H116">
        <v>122</v>
      </c>
      <c r="I116">
        <v>52135.23</v>
      </c>
      <c r="J116">
        <v>29104.77</v>
      </c>
      <c r="K116">
        <v>64.569999999999993</v>
      </c>
      <c r="X116" s="7">
        <f t="shared" si="10"/>
        <v>0.33000000000174623</v>
      </c>
      <c r="Y116" s="7">
        <f t="shared" si="10"/>
        <v>8.000000000174623E-2</v>
      </c>
      <c r="Z116" s="7">
        <f t="shared" si="11"/>
        <v>100</v>
      </c>
      <c r="AA116" s="7">
        <f t="shared" si="11"/>
        <v>100</v>
      </c>
      <c r="AB116" s="48"/>
      <c r="AC116" s="8">
        <f t="shared" si="12"/>
        <v>0.33955853692910137</v>
      </c>
      <c r="AD116" s="48"/>
    </row>
    <row r="117" spans="1:30">
      <c r="A117">
        <v>128</v>
      </c>
      <c r="B117">
        <v>52148.72</v>
      </c>
      <c r="C117">
        <v>29042.91</v>
      </c>
      <c r="D117">
        <v>63.88</v>
      </c>
      <c r="E117" s="45"/>
      <c r="F117" s="45"/>
      <c r="G117" s="45"/>
      <c r="H117">
        <v>128</v>
      </c>
      <c r="I117">
        <v>52148.79</v>
      </c>
      <c r="J117">
        <v>29042.76</v>
      </c>
      <c r="K117">
        <v>64.11</v>
      </c>
      <c r="X117" s="7">
        <f t="shared" si="10"/>
        <v>6.9999999999708962E-2</v>
      </c>
      <c r="Y117" s="7">
        <f t="shared" si="10"/>
        <v>-0.15000000000145519</v>
      </c>
      <c r="Z117" s="7">
        <f t="shared" si="11"/>
        <v>100</v>
      </c>
      <c r="AA117" s="7">
        <f t="shared" si="11"/>
        <v>100</v>
      </c>
      <c r="AB117" s="48"/>
      <c r="AC117" s="8">
        <f t="shared" si="12"/>
        <v>0.16552945357366408</v>
      </c>
      <c r="AD117" s="48"/>
    </row>
    <row r="118" spans="1:30">
      <c r="A118">
        <v>131</v>
      </c>
      <c r="B118">
        <v>52142.55</v>
      </c>
      <c r="C118">
        <v>29035.48</v>
      </c>
      <c r="D118">
        <v>63.72</v>
      </c>
      <c r="E118" s="45"/>
      <c r="F118" s="45"/>
      <c r="G118" s="45"/>
      <c r="H118">
        <v>131</v>
      </c>
      <c r="I118">
        <v>52142.29</v>
      </c>
      <c r="J118">
        <v>29035.58</v>
      </c>
      <c r="K118">
        <v>63.88</v>
      </c>
      <c r="X118" s="7">
        <f t="shared" si="10"/>
        <v>-0.26000000000203727</v>
      </c>
      <c r="Y118" s="7">
        <f t="shared" si="10"/>
        <v>0.10000000000218279</v>
      </c>
      <c r="Z118" s="7">
        <f t="shared" si="11"/>
        <v>100</v>
      </c>
      <c r="AA118" s="7">
        <f t="shared" si="11"/>
        <v>100</v>
      </c>
      <c r="AB118" s="48"/>
      <c r="AC118" s="8">
        <f t="shared" si="12"/>
        <v>0.27856776554636747</v>
      </c>
      <c r="AD118" s="48"/>
    </row>
    <row r="119" spans="1:30">
      <c r="A119">
        <v>132</v>
      </c>
      <c r="B119">
        <v>52140.23</v>
      </c>
      <c r="C119">
        <v>29033.79</v>
      </c>
      <c r="D119">
        <v>63.65</v>
      </c>
      <c r="E119" s="45"/>
      <c r="F119" s="45"/>
      <c r="G119" s="45"/>
      <c r="H119">
        <v>132</v>
      </c>
      <c r="I119">
        <v>52140</v>
      </c>
      <c r="J119">
        <v>29033.89</v>
      </c>
      <c r="K119">
        <v>63.82</v>
      </c>
      <c r="X119" s="7">
        <f t="shared" si="10"/>
        <v>-0.23000000000320142</v>
      </c>
      <c r="Y119" s="7">
        <f t="shared" si="10"/>
        <v>9.9999999998544808E-2</v>
      </c>
      <c r="Z119" s="7">
        <f t="shared" si="11"/>
        <v>100</v>
      </c>
      <c r="AA119" s="7">
        <f t="shared" si="11"/>
        <v>100</v>
      </c>
      <c r="AB119" s="48"/>
      <c r="AC119" s="8">
        <f t="shared" si="12"/>
        <v>0.25079872408204473</v>
      </c>
      <c r="AD119" s="48"/>
    </row>
    <row r="120" spans="1:30">
      <c r="A120">
        <v>134</v>
      </c>
      <c r="B120">
        <v>52134.76</v>
      </c>
      <c r="C120">
        <v>29026.07</v>
      </c>
      <c r="D120">
        <v>63.47</v>
      </c>
      <c r="E120" s="45"/>
      <c r="F120" s="45"/>
      <c r="G120" s="45"/>
      <c r="H120">
        <v>134</v>
      </c>
      <c r="I120">
        <v>52134.85</v>
      </c>
      <c r="J120">
        <v>29026.3</v>
      </c>
      <c r="K120">
        <v>63.72</v>
      </c>
      <c r="X120" s="7">
        <f t="shared" si="10"/>
        <v>8.999999999650754E-2</v>
      </c>
      <c r="Y120" s="7">
        <f t="shared" si="10"/>
        <v>0.22999999999956344</v>
      </c>
      <c r="Z120" s="7">
        <f t="shared" si="11"/>
        <v>100</v>
      </c>
      <c r="AA120" s="7">
        <f t="shared" si="11"/>
        <v>100</v>
      </c>
      <c r="AB120" s="48"/>
      <c r="AC120" s="8">
        <f t="shared" si="12"/>
        <v>0.24698178070289017</v>
      </c>
      <c r="AD120" s="48"/>
    </row>
    <row r="121" spans="1:30">
      <c r="A121">
        <v>135</v>
      </c>
      <c r="B121">
        <v>52133.49</v>
      </c>
      <c r="C121">
        <v>29019.94</v>
      </c>
      <c r="D121">
        <v>63.43</v>
      </c>
      <c r="E121" s="45"/>
      <c r="F121" s="45"/>
      <c r="G121" s="45"/>
      <c r="H121">
        <v>135</v>
      </c>
      <c r="I121">
        <v>52133.37</v>
      </c>
      <c r="J121">
        <v>29020.04</v>
      </c>
      <c r="K121">
        <v>63.46</v>
      </c>
      <c r="X121" s="7">
        <f t="shared" si="10"/>
        <v>-0.11999999999534339</v>
      </c>
      <c r="Y121" s="7">
        <f t="shared" si="10"/>
        <v>0.10000000000218279</v>
      </c>
      <c r="Z121" s="7">
        <f t="shared" si="11"/>
        <v>100</v>
      </c>
      <c r="AA121" s="7">
        <f t="shared" si="11"/>
        <v>100</v>
      </c>
      <c r="AB121" s="48"/>
      <c r="AC121" s="8">
        <f t="shared" si="12"/>
        <v>0.15620499351595316</v>
      </c>
      <c r="AD121" s="48"/>
    </row>
    <row r="122" spans="1:30">
      <c r="A122">
        <v>136</v>
      </c>
      <c r="B122">
        <v>52130.94</v>
      </c>
      <c r="C122">
        <v>29018.07</v>
      </c>
      <c r="D122">
        <v>63.38</v>
      </c>
      <c r="E122" s="45"/>
      <c r="F122" s="45"/>
      <c r="G122" s="45"/>
      <c r="H122">
        <v>136</v>
      </c>
      <c r="I122">
        <v>52130.97</v>
      </c>
      <c r="J122">
        <v>29018.42</v>
      </c>
      <c r="K122">
        <v>63.44</v>
      </c>
      <c r="X122" s="7">
        <f t="shared" si="10"/>
        <v>2.9999999998835847E-2</v>
      </c>
      <c r="Y122" s="7">
        <f t="shared" si="10"/>
        <v>0.34999999999854481</v>
      </c>
      <c r="Z122" s="7">
        <f t="shared" si="11"/>
        <v>100</v>
      </c>
      <c r="AA122" s="7">
        <f t="shared" si="11"/>
        <v>100</v>
      </c>
      <c r="AB122" s="48"/>
      <c r="AC122" s="8">
        <f t="shared" si="12"/>
        <v>0.35128336140345662</v>
      </c>
      <c r="AD122" s="48"/>
    </row>
    <row r="123" spans="1:30">
      <c r="A123">
        <v>139</v>
      </c>
      <c r="B123">
        <v>52119.45</v>
      </c>
      <c r="C123">
        <v>29007.81</v>
      </c>
      <c r="D123">
        <v>63.26</v>
      </c>
      <c r="E123" s="45"/>
      <c r="F123" s="45"/>
      <c r="G123" s="45"/>
      <c r="H123">
        <v>139</v>
      </c>
      <c r="I123">
        <v>52119.58</v>
      </c>
      <c r="J123">
        <v>29008</v>
      </c>
      <c r="K123">
        <v>63.45</v>
      </c>
      <c r="X123" s="7">
        <f t="shared" si="10"/>
        <v>0.13000000000465661</v>
      </c>
      <c r="Y123" s="7">
        <f t="shared" si="10"/>
        <v>0.18999999999869033</v>
      </c>
      <c r="Z123" s="7">
        <f t="shared" si="11"/>
        <v>100</v>
      </c>
      <c r="AA123" s="7">
        <f t="shared" si="11"/>
        <v>100</v>
      </c>
      <c r="AB123" s="48"/>
      <c r="AC123" s="8">
        <f t="shared" si="12"/>
        <v>0.23021728866597541</v>
      </c>
      <c r="AD123" s="48"/>
    </row>
    <row r="124" spans="1:30">
      <c r="A124">
        <v>140</v>
      </c>
      <c r="B124">
        <v>52117.01</v>
      </c>
      <c r="C124">
        <v>29006.26</v>
      </c>
      <c r="D124">
        <v>63.27</v>
      </c>
      <c r="E124" s="45"/>
      <c r="F124" s="45"/>
      <c r="G124" s="45"/>
      <c r="H124">
        <v>140</v>
      </c>
      <c r="I124">
        <v>52116.94</v>
      </c>
      <c r="J124">
        <v>29006.61</v>
      </c>
      <c r="K124">
        <v>63.42</v>
      </c>
      <c r="X124" s="7">
        <f t="shared" si="10"/>
        <v>-6.9999999999708962E-2</v>
      </c>
      <c r="Y124" s="7">
        <f t="shared" si="10"/>
        <v>0.35000000000218279</v>
      </c>
      <c r="Z124" s="7">
        <f t="shared" si="11"/>
        <v>100</v>
      </c>
      <c r="AA124" s="7">
        <f t="shared" si="11"/>
        <v>100</v>
      </c>
      <c r="AB124" s="48"/>
      <c r="AC124" s="8">
        <f t="shared" si="12"/>
        <v>0.35693136595357827</v>
      </c>
      <c r="AD124" s="48"/>
    </row>
    <row r="125" spans="1:30" ht="17.45" customHeight="1">
      <c r="A125">
        <v>142</v>
      </c>
      <c r="B125">
        <v>52107.77</v>
      </c>
      <c r="C125">
        <v>29000.97</v>
      </c>
      <c r="D125">
        <v>63.31</v>
      </c>
      <c r="H125">
        <v>142</v>
      </c>
      <c r="I125">
        <v>52107.92</v>
      </c>
      <c r="J125">
        <v>29000.77</v>
      </c>
      <c r="K125">
        <v>63.43</v>
      </c>
      <c r="X125" s="7">
        <f t="shared" ref="X125:Y158" si="13">IF(AND(B125&lt;&gt;"",$AC125&lt;$AD$5),I125-B125,100)</f>
        <v>0.15000000000145519</v>
      </c>
      <c r="Y125" s="7">
        <f t="shared" si="13"/>
        <v>-0.2000000000007276</v>
      </c>
      <c r="Z125" s="7">
        <f t="shared" ref="Z125:AA158" si="14">IF(AND(B125&lt;&gt;"",$AC125&gt;$AD$5),I125-B125,100)</f>
        <v>100</v>
      </c>
      <c r="AA125" s="7">
        <f t="shared" si="14"/>
        <v>100</v>
      </c>
      <c r="AB125" s="48"/>
      <c r="AC125" s="8">
        <f t="shared" si="12"/>
        <v>0.25000000000145517</v>
      </c>
      <c r="AD125" s="48"/>
    </row>
    <row r="126" spans="1:30">
      <c r="A126">
        <v>143</v>
      </c>
      <c r="B126">
        <v>52102.1</v>
      </c>
      <c r="C126">
        <v>28999.93</v>
      </c>
      <c r="D126">
        <v>63.55</v>
      </c>
      <c r="H126">
        <v>143</v>
      </c>
      <c r="I126">
        <v>52102.03</v>
      </c>
      <c r="J126">
        <v>29000.09</v>
      </c>
      <c r="K126">
        <v>63.74</v>
      </c>
      <c r="X126" s="7">
        <f t="shared" si="13"/>
        <v>-6.9999999999708962E-2</v>
      </c>
      <c r="Y126" s="7">
        <f t="shared" si="13"/>
        <v>0.15999999999985448</v>
      </c>
      <c r="Z126" s="7">
        <f t="shared" si="14"/>
        <v>100</v>
      </c>
      <c r="AA126" s="7">
        <f t="shared" si="14"/>
        <v>100</v>
      </c>
      <c r="AB126" s="48"/>
      <c r="AC126" s="8">
        <f t="shared" si="12"/>
        <v>0.17464249196547982</v>
      </c>
      <c r="AD126" s="48"/>
    </row>
    <row r="127" spans="1:30">
      <c r="A127">
        <v>146</v>
      </c>
      <c r="B127">
        <v>52090.82</v>
      </c>
      <c r="C127">
        <v>28994.99</v>
      </c>
      <c r="D127">
        <v>63.86</v>
      </c>
      <c r="H127">
        <v>146</v>
      </c>
      <c r="I127">
        <v>52090.55</v>
      </c>
      <c r="J127">
        <v>28995.119999999999</v>
      </c>
      <c r="K127">
        <v>64.010000000000005</v>
      </c>
      <c r="X127" s="7">
        <f t="shared" si="13"/>
        <v>-0.26999999999679858</v>
      </c>
      <c r="Y127" s="7">
        <f t="shared" si="13"/>
        <v>0.12999999999738066</v>
      </c>
      <c r="Z127" s="7">
        <f t="shared" si="14"/>
        <v>100</v>
      </c>
      <c r="AA127" s="7">
        <f t="shared" si="14"/>
        <v>100</v>
      </c>
      <c r="AB127" s="48"/>
      <c r="AC127" s="8">
        <f t="shared" si="12"/>
        <v>0.29966648127141315</v>
      </c>
      <c r="AD127" s="48"/>
    </row>
    <row r="128" spans="1:30">
      <c r="A128">
        <v>147</v>
      </c>
      <c r="B128">
        <v>52111.08</v>
      </c>
      <c r="C128">
        <v>29003.69</v>
      </c>
      <c r="D128">
        <v>63.26</v>
      </c>
      <c r="H128">
        <v>147</v>
      </c>
      <c r="I128">
        <v>52111.199999999997</v>
      </c>
      <c r="J128">
        <v>29003.64</v>
      </c>
      <c r="K128">
        <v>63.25</v>
      </c>
      <c r="X128" s="7">
        <f t="shared" si="13"/>
        <v>0.11999999999534339</v>
      </c>
      <c r="Y128" s="7">
        <f t="shared" si="13"/>
        <v>-4.9999999999272404E-2</v>
      </c>
      <c r="Z128" s="7">
        <f t="shared" si="14"/>
        <v>100</v>
      </c>
      <c r="AA128" s="7">
        <f t="shared" si="14"/>
        <v>100</v>
      </c>
      <c r="AB128" s="48"/>
      <c r="AC128" s="8">
        <f t="shared" si="12"/>
        <v>0.12999999999542175</v>
      </c>
      <c r="AD128" s="48"/>
    </row>
    <row r="129" spans="1:30">
      <c r="A129">
        <v>149</v>
      </c>
      <c r="B129">
        <v>52147.5</v>
      </c>
      <c r="C129">
        <v>29042.12</v>
      </c>
      <c r="D129">
        <v>63.85</v>
      </c>
      <c r="H129">
        <v>149</v>
      </c>
      <c r="I129">
        <v>52147.6</v>
      </c>
      <c r="J129">
        <v>29041.98</v>
      </c>
      <c r="K129">
        <v>64</v>
      </c>
      <c r="X129" s="7">
        <f t="shared" si="13"/>
        <v>9.9999999998544808E-2</v>
      </c>
      <c r="Y129" s="7">
        <f t="shared" si="13"/>
        <v>-0.13999999999941792</v>
      </c>
      <c r="Z129" s="7">
        <f t="shared" si="14"/>
        <v>100</v>
      </c>
      <c r="AA129" s="7">
        <f t="shared" si="14"/>
        <v>100</v>
      </c>
      <c r="AB129" s="48"/>
      <c r="AC129" s="8">
        <f t="shared" si="12"/>
        <v>0.17204650533953308</v>
      </c>
      <c r="AD129" s="48"/>
    </row>
    <row r="130" spans="1:30">
      <c r="A130">
        <v>149</v>
      </c>
      <c r="B130">
        <v>52118.91</v>
      </c>
      <c r="C130">
        <v>29012.73</v>
      </c>
      <c r="D130">
        <v>63.28</v>
      </c>
      <c r="H130">
        <v>149</v>
      </c>
      <c r="I130">
        <v>52118.77</v>
      </c>
      <c r="J130">
        <v>29012.59</v>
      </c>
      <c r="K130">
        <v>63.36</v>
      </c>
      <c r="X130" s="7">
        <f t="shared" si="13"/>
        <v>-0.14000000000669388</v>
      </c>
      <c r="Y130" s="7">
        <f t="shared" si="13"/>
        <v>-0.13999999999941792</v>
      </c>
      <c r="Z130" s="7">
        <f t="shared" si="14"/>
        <v>100</v>
      </c>
      <c r="AA130" s="7">
        <f t="shared" si="14"/>
        <v>100</v>
      </c>
      <c r="AB130" s="48"/>
      <c r="AC130" s="8">
        <f t="shared" si="12"/>
        <v>0.19798989873655501</v>
      </c>
      <c r="AD130" s="48"/>
    </row>
    <row r="131" spans="1:30">
      <c r="A131">
        <v>150</v>
      </c>
      <c r="B131">
        <v>52112.97</v>
      </c>
      <c r="C131">
        <v>29010.09</v>
      </c>
      <c r="D131">
        <v>63.24</v>
      </c>
      <c r="H131">
        <v>150</v>
      </c>
      <c r="I131">
        <v>52112.76</v>
      </c>
      <c r="J131">
        <v>29010.31</v>
      </c>
      <c r="K131">
        <v>63.19</v>
      </c>
      <c r="X131" s="7">
        <f t="shared" si="13"/>
        <v>-0.20999999999912689</v>
      </c>
      <c r="Y131" s="7">
        <f t="shared" si="13"/>
        <v>0.22000000000116415</v>
      </c>
      <c r="Z131" s="7">
        <f t="shared" si="14"/>
        <v>100</v>
      </c>
      <c r="AA131" s="7">
        <f t="shared" si="14"/>
        <v>100</v>
      </c>
      <c r="AB131" s="48"/>
      <c r="AC131" s="8">
        <f t="shared" si="12"/>
        <v>0.30413812651515021</v>
      </c>
      <c r="AD131" s="48"/>
    </row>
    <row r="132" spans="1:30">
      <c r="A132">
        <v>151</v>
      </c>
      <c r="B132">
        <v>52107.03</v>
      </c>
      <c r="C132">
        <v>29007.439999999999</v>
      </c>
      <c r="D132">
        <v>63.22</v>
      </c>
      <c r="H132">
        <v>151</v>
      </c>
      <c r="I132">
        <v>52106.83</v>
      </c>
      <c r="J132">
        <v>29007.43</v>
      </c>
      <c r="K132">
        <v>63.38</v>
      </c>
      <c r="X132" s="7">
        <f t="shared" si="13"/>
        <v>-0.19999999999708962</v>
      </c>
      <c r="Y132" s="7">
        <f t="shared" si="13"/>
        <v>-9.9999999983992893E-3</v>
      </c>
      <c r="Z132" s="7">
        <f t="shared" si="14"/>
        <v>100</v>
      </c>
      <c r="AA132" s="7">
        <f t="shared" si="14"/>
        <v>100</v>
      </c>
      <c r="AB132" s="48"/>
      <c r="AC132" s="8">
        <f t="shared" si="12"/>
        <v>0.20024984394202117</v>
      </c>
      <c r="AD132" s="48"/>
    </row>
    <row r="133" spans="1:30">
      <c r="A133">
        <v>152</v>
      </c>
      <c r="B133">
        <v>52101.09</v>
      </c>
      <c r="C133">
        <v>29004.799999999999</v>
      </c>
      <c r="D133">
        <v>63.47</v>
      </c>
      <c r="H133">
        <v>152</v>
      </c>
      <c r="I133">
        <v>52100.84</v>
      </c>
      <c r="J133">
        <v>29004.799999999999</v>
      </c>
      <c r="K133">
        <v>63.52</v>
      </c>
      <c r="X133" s="7">
        <f t="shared" si="13"/>
        <v>-0.25</v>
      </c>
      <c r="Y133" s="7">
        <f t="shared" si="13"/>
        <v>0</v>
      </c>
      <c r="Z133" s="7">
        <f t="shared" si="14"/>
        <v>100</v>
      </c>
      <c r="AA133" s="7">
        <f t="shared" si="14"/>
        <v>100</v>
      </c>
      <c r="AB133" s="48"/>
      <c r="AC133" s="8">
        <f t="shared" si="12"/>
        <v>0.25</v>
      </c>
      <c r="AD133" s="48"/>
    </row>
    <row r="134" spans="1:30">
      <c r="A134">
        <v>153</v>
      </c>
      <c r="B134">
        <v>52095.15</v>
      </c>
      <c r="C134">
        <v>29002.15</v>
      </c>
      <c r="D134">
        <v>63.71</v>
      </c>
      <c r="H134">
        <v>153</v>
      </c>
      <c r="I134">
        <v>52095.15</v>
      </c>
      <c r="J134">
        <v>29001.94</v>
      </c>
      <c r="K134">
        <v>63.81</v>
      </c>
      <c r="X134" s="7">
        <f t="shared" si="13"/>
        <v>0</v>
      </c>
      <c r="Y134" s="7">
        <f t="shared" si="13"/>
        <v>-0.21000000000276486</v>
      </c>
      <c r="Z134" s="7">
        <f t="shared" si="14"/>
        <v>100</v>
      </c>
      <c r="AA134" s="7">
        <f t="shared" si="14"/>
        <v>100</v>
      </c>
      <c r="AB134" s="48"/>
      <c r="AC134" s="8">
        <f t="shared" ref="AC134:AC197" si="15">IF(B134="","",(SQRT((I134-B134)^2+(J134-C134)^2)))</f>
        <v>0.21000000000276486</v>
      </c>
      <c r="AD134" s="48"/>
    </row>
    <row r="135" spans="1:30">
      <c r="A135">
        <v>154</v>
      </c>
      <c r="B135">
        <v>52089.22</v>
      </c>
      <c r="C135">
        <v>28999.51</v>
      </c>
      <c r="D135">
        <v>63.76</v>
      </c>
      <c r="H135">
        <v>154</v>
      </c>
      <c r="I135">
        <v>52089.26</v>
      </c>
      <c r="J135">
        <v>28999.85</v>
      </c>
      <c r="K135">
        <v>64.03</v>
      </c>
      <c r="X135" s="7">
        <f t="shared" si="13"/>
        <v>4.0000000000873115E-2</v>
      </c>
      <c r="Y135" s="7">
        <f t="shared" si="13"/>
        <v>0.34000000000014552</v>
      </c>
      <c r="Z135" s="7">
        <f t="shared" si="14"/>
        <v>100</v>
      </c>
      <c r="AA135" s="7">
        <f t="shared" si="14"/>
        <v>100</v>
      </c>
      <c r="AB135" s="48"/>
      <c r="AC135" s="8">
        <f t="shared" si="15"/>
        <v>0.34234485537272036</v>
      </c>
      <c r="AD135" s="48"/>
    </row>
    <row r="136" spans="1:30">
      <c r="A136">
        <v>155</v>
      </c>
      <c r="B136">
        <v>52130.42</v>
      </c>
      <c r="C136">
        <v>29024.07</v>
      </c>
      <c r="D136">
        <v>63.41</v>
      </c>
      <c r="H136">
        <v>155</v>
      </c>
      <c r="I136">
        <v>52130.48</v>
      </c>
      <c r="J136">
        <v>29024.28</v>
      </c>
      <c r="K136">
        <v>63.51</v>
      </c>
      <c r="X136" s="7">
        <f t="shared" si="13"/>
        <v>6.0000000004947651E-2</v>
      </c>
      <c r="Y136" s="7">
        <f t="shared" si="13"/>
        <v>0.20999999999912689</v>
      </c>
      <c r="Z136" s="7">
        <f t="shared" si="14"/>
        <v>100</v>
      </c>
      <c r="AA136" s="7">
        <f t="shared" si="14"/>
        <v>100</v>
      </c>
      <c r="AB136" s="48"/>
      <c r="AC136" s="8">
        <f t="shared" si="15"/>
        <v>0.21840329667893527</v>
      </c>
      <c r="AD136" s="48"/>
    </row>
    <row r="137" spans="1:30">
      <c r="A137">
        <v>156</v>
      </c>
      <c r="B137">
        <v>52125.53</v>
      </c>
      <c r="C137">
        <v>29021.81</v>
      </c>
      <c r="D137">
        <v>63.33</v>
      </c>
      <c r="H137">
        <v>156</v>
      </c>
      <c r="I137">
        <v>52125.24</v>
      </c>
      <c r="J137">
        <v>29021.99</v>
      </c>
      <c r="K137">
        <v>63.52</v>
      </c>
      <c r="X137" s="7">
        <f t="shared" si="13"/>
        <v>-0.29000000000087311</v>
      </c>
      <c r="Y137" s="7">
        <f t="shared" si="13"/>
        <v>0.18000000000029104</v>
      </c>
      <c r="Z137" s="7">
        <f t="shared" si="14"/>
        <v>100</v>
      </c>
      <c r="AA137" s="7">
        <f t="shared" si="14"/>
        <v>100</v>
      </c>
      <c r="AB137" s="48"/>
      <c r="AC137" s="8">
        <f t="shared" si="15"/>
        <v>0.34132096331841555</v>
      </c>
      <c r="AD137" s="48"/>
    </row>
    <row r="138" spans="1:30">
      <c r="A138">
        <v>157</v>
      </c>
      <c r="B138">
        <v>52119.6</v>
      </c>
      <c r="C138">
        <v>29019.17</v>
      </c>
      <c r="D138">
        <v>63.3</v>
      </c>
      <c r="H138">
        <v>157</v>
      </c>
      <c r="I138">
        <v>52119.18</v>
      </c>
      <c r="J138">
        <v>29018.98</v>
      </c>
      <c r="K138">
        <v>63.41</v>
      </c>
      <c r="X138" s="7">
        <f t="shared" si="13"/>
        <v>-0.41999999999825377</v>
      </c>
      <c r="Y138" s="7">
        <f t="shared" si="13"/>
        <v>-0.18999999999869033</v>
      </c>
      <c r="Z138" s="7">
        <f t="shared" si="14"/>
        <v>100</v>
      </c>
      <c r="AA138" s="7">
        <f t="shared" si="14"/>
        <v>100</v>
      </c>
      <c r="AB138" s="48"/>
      <c r="AC138" s="8">
        <f t="shared" si="15"/>
        <v>0.46097722286251352</v>
      </c>
      <c r="AD138" s="48"/>
    </row>
    <row r="139" spans="1:30">
      <c r="A139">
        <v>158</v>
      </c>
      <c r="B139">
        <v>52113.66</v>
      </c>
      <c r="C139">
        <v>29016.52</v>
      </c>
      <c r="D139">
        <v>63.24</v>
      </c>
      <c r="H139">
        <v>158</v>
      </c>
      <c r="I139">
        <v>52113.440000000002</v>
      </c>
      <c r="J139">
        <v>29016.5</v>
      </c>
      <c r="K139">
        <v>63.45</v>
      </c>
      <c r="X139" s="7">
        <f t="shared" si="13"/>
        <v>-0.22000000000116415</v>
      </c>
      <c r="Y139" s="7">
        <f t="shared" si="13"/>
        <v>-2.0000000000436557E-2</v>
      </c>
      <c r="Z139" s="7">
        <f t="shared" si="14"/>
        <v>100</v>
      </c>
      <c r="AA139" s="7">
        <f t="shared" si="14"/>
        <v>100</v>
      </c>
      <c r="AB139" s="48"/>
      <c r="AC139" s="8">
        <f t="shared" si="15"/>
        <v>0.22090722034494412</v>
      </c>
      <c r="AD139" s="48"/>
    </row>
    <row r="140" spans="1:30">
      <c r="A140">
        <v>159</v>
      </c>
      <c r="B140">
        <v>52107.72</v>
      </c>
      <c r="C140">
        <v>29013.88</v>
      </c>
      <c r="D140">
        <v>63.2</v>
      </c>
      <c r="H140">
        <v>159</v>
      </c>
      <c r="I140">
        <v>52108.11</v>
      </c>
      <c r="J140">
        <v>29013.85</v>
      </c>
      <c r="K140">
        <v>63.26</v>
      </c>
      <c r="X140" s="7">
        <f t="shared" si="13"/>
        <v>0.38999999999941792</v>
      </c>
      <c r="Y140" s="7">
        <f t="shared" si="13"/>
        <v>-3.0000000002473826E-2</v>
      </c>
      <c r="Z140" s="7">
        <f t="shared" si="14"/>
        <v>100</v>
      </c>
      <c r="AA140" s="7">
        <f t="shared" si="14"/>
        <v>100</v>
      </c>
      <c r="AB140" s="48"/>
      <c r="AC140" s="8">
        <f t="shared" si="15"/>
        <v>0.39115214431176831</v>
      </c>
      <c r="AD140" s="48"/>
    </row>
    <row r="141" spans="1:30">
      <c r="A141">
        <v>160</v>
      </c>
      <c r="B141">
        <v>52101.78</v>
      </c>
      <c r="C141">
        <v>29011.24</v>
      </c>
      <c r="D141">
        <v>63.3</v>
      </c>
      <c r="H141">
        <v>160</v>
      </c>
      <c r="I141">
        <v>52101.88</v>
      </c>
      <c r="J141">
        <v>29011.5</v>
      </c>
      <c r="K141">
        <v>63.59</v>
      </c>
      <c r="X141" s="7">
        <f t="shared" si="13"/>
        <v>9.9999999998544808E-2</v>
      </c>
      <c r="Y141" s="7">
        <f t="shared" si="13"/>
        <v>0.25999999999839929</v>
      </c>
      <c r="Z141" s="7">
        <f t="shared" si="14"/>
        <v>100</v>
      </c>
      <c r="AA141" s="7">
        <f t="shared" si="14"/>
        <v>100</v>
      </c>
      <c r="AB141" s="48"/>
      <c r="AC141" s="8">
        <f t="shared" si="15"/>
        <v>0.27856776554166601</v>
      </c>
      <c r="AD141" s="48"/>
    </row>
    <row r="142" spans="1:30">
      <c r="A142">
        <v>161</v>
      </c>
      <c r="B142">
        <v>52095.839999999997</v>
      </c>
      <c r="C142">
        <v>29008.59</v>
      </c>
      <c r="D142">
        <v>63.52</v>
      </c>
      <c r="H142">
        <v>161</v>
      </c>
      <c r="I142">
        <v>52096.26</v>
      </c>
      <c r="J142">
        <v>29008.78</v>
      </c>
      <c r="K142">
        <v>63.59</v>
      </c>
      <c r="X142" s="7">
        <f t="shared" si="13"/>
        <v>0.42000000000552973</v>
      </c>
      <c r="Y142" s="7">
        <f t="shared" si="13"/>
        <v>0.18999999999869033</v>
      </c>
      <c r="Z142" s="7">
        <f t="shared" si="14"/>
        <v>100</v>
      </c>
      <c r="AA142" s="7">
        <f t="shared" si="14"/>
        <v>100</v>
      </c>
      <c r="AB142" s="48"/>
      <c r="AC142" s="8">
        <f t="shared" si="15"/>
        <v>0.46097722286914278</v>
      </c>
      <c r="AD142" s="48"/>
    </row>
    <row r="143" spans="1:30">
      <c r="A143">
        <v>162</v>
      </c>
      <c r="B143">
        <v>52089.91</v>
      </c>
      <c r="C143">
        <v>29005.95</v>
      </c>
      <c r="D143">
        <v>63.59</v>
      </c>
      <c r="H143">
        <v>162</v>
      </c>
      <c r="I143">
        <v>52089.94</v>
      </c>
      <c r="J143">
        <v>29006.02</v>
      </c>
      <c r="K143">
        <v>63.77</v>
      </c>
      <c r="X143" s="7">
        <f t="shared" si="13"/>
        <v>2.9999999998835847E-2</v>
      </c>
      <c r="Y143" s="7">
        <f t="shared" si="13"/>
        <v>6.9999999999708962E-2</v>
      </c>
      <c r="Z143" s="7">
        <f t="shared" si="14"/>
        <v>100</v>
      </c>
      <c r="AA143" s="7">
        <f t="shared" si="14"/>
        <v>100</v>
      </c>
      <c r="AB143" s="48"/>
      <c r="AC143" s="8">
        <f t="shared" si="15"/>
        <v>7.6157731057913E-2</v>
      </c>
      <c r="AD143" s="48"/>
    </row>
    <row r="144" spans="1:30">
      <c r="A144">
        <v>163</v>
      </c>
      <c r="B144">
        <v>52085.11</v>
      </c>
      <c r="C144">
        <v>29003.78</v>
      </c>
      <c r="D144">
        <v>63.65</v>
      </c>
      <c r="H144">
        <v>163</v>
      </c>
      <c r="I144">
        <v>52084.99</v>
      </c>
      <c r="J144">
        <v>29003.94</v>
      </c>
      <c r="K144">
        <v>63.85</v>
      </c>
      <c r="X144" s="7">
        <f t="shared" si="13"/>
        <v>-0.12000000000261934</v>
      </c>
      <c r="Y144" s="7">
        <f t="shared" si="13"/>
        <v>0.15999999999985448</v>
      </c>
      <c r="Z144" s="7">
        <f t="shared" si="14"/>
        <v>100</v>
      </c>
      <c r="AA144" s="7">
        <f t="shared" si="14"/>
        <v>100</v>
      </c>
      <c r="AB144" s="48"/>
      <c r="AC144" s="8">
        <f t="shared" si="15"/>
        <v>0.20000000000145518</v>
      </c>
      <c r="AD144" s="48"/>
    </row>
    <row r="145" spans="1:30">
      <c r="A145">
        <v>165</v>
      </c>
      <c r="B145">
        <v>52137.3</v>
      </c>
      <c r="C145">
        <v>29033.200000000001</v>
      </c>
      <c r="D145">
        <v>63.53</v>
      </c>
      <c r="H145">
        <v>165</v>
      </c>
      <c r="I145">
        <v>52137.440000000002</v>
      </c>
      <c r="J145">
        <v>29033.07</v>
      </c>
      <c r="K145">
        <v>63.76</v>
      </c>
      <c r="X145" s="7">
        <f t="shared" si="13"/>
        <v>0.13999999999941792</v>
      </c>
      <c r="Y145" s="7">
        <f t="shared" si="13"/>
        <v>-0.13000000000101863</v>
      </c>
      <c r="Z145" s="7">
        <f t="shared" si="14"/>
        <v>100</v>
      </c>
      <c r="AA145" s="7">
        <f t="shared" si="14"/>
        <v>100</v>
      </c>
      <c r="AB145" s="48"/>
      <c r="AC145" s="8">
        <f t="shared" si="15"/>
        <v>0.19104973174569459</v>
      </c>
      <c r="AD145" s="48"/>
    </row>
    <row r="146" spans="1:30">
      <c r="A146">
        <v>166</v>
      </c>
      <c r="B146">
        <v>52132.160000000003</v>
      </c>
      <c r="C146">
        <v>29030.89</v>
      </c>
      <c r="D146">
        <v>63.41</v>
      </c>
      <c r="H146">
        <v>166</v>
      </c>
      <c r="I146">
        <v>52131.86</v>
      </c>
      <c r="J146">
        <v>29030.83</v>
      </c>
      <c r="K146">
        <v>63.76</v>
      </c>
      <c r="X146" s="7">
        <f t="shared" si="13"/>
        <v>-0.30000000000291038</v>
      </c>
      <c r="Y146" s="7">
        <f t="shared" si="13"/>
        <v>-5.9999999997671694E-2</v>
      </c>
      <c r="Z146" s="7">
        <f t="shared" si="14"/>
        <v>100</v>
      </c>
      <c r="AA146" s="7">
        <f t="shared" si="14"/>
        <v>100</v>
      </c>
      <c r="AB146" s="48"/>
      <c r="AC146" s="8">
        <f t="shared" si="15"/>
        <v>0.30594117081796435</v>
      </c>
      <c r="AD146" s="48"/>
    </row>
    <row r="147" spans="1:30">
      <c r="A147">
        <v>167</v>
      </c>
      <c r="B147">
        <v>52126.23</v>
      </c>
      <c r="C147">
        <v>29028.25</v>
      </c>
      <c r="D147">
        <v>63.35</v>
      </c>
      <c r="H147">
        <v>167</v>
      </c>
      <c r="I147">
        <v>52125.96</v>
      </c>
      <c r="J147">
        <v>29028.06</v>
      </c>
      <c r="K147">
        <v>63.52</v>
      </c>
      <c r="X147" s="7">
        <f t="shared" si="13"/>
        <v>-0.27000000000407454</v>
      </c>
      <c r="Y147" s="7">
        <f t="shared" si="13"/>
        <v>-0.18999999999869033</v>
      </c>
      <c r="Z147" s="7">
        <f t="shared" si="14"/>
        <v>100</v>
      </c>
      <c r="AA147" s="7">
        <f t="shared" si="14"/>
        <v>100</v>
      </c>
      <c r="AB147" s="48"/>
      <c r="AC147" s="8">
        <f t="shared" si="15"/>
        <v>0.33015148038696202</v>
      </c>
      <c r="AD147" s="48"/>
    </row>
    <row r="148" spans="1:30">
      <c r="A148">
        <v>168</v>
      </c>
      <c r="B148">
        <v>52120.29</v>
      </c>
      <c r="C148">
        <v>29025.61</v>
      </c>
      <c r="D148">
        <v>63.34</v>
      </c>
      <c r="H148">
        <v>168</v>
      </c>
      <c r="I148">
        <v>52120.09</v>
      </c>
      <c r="J148">
        <v>29025.4</v>
      </c>
      <c r="K148">
        <v>63.55</v>
      </c>
      <c r="X148" s="7">
        <f t="shared" si="13"/>
        <v>-0.20000000000436557</v>
      </c>
      <c r="Y148" s="7">
        <f t="shared" si="13"/>
        <v>-0.20999999999912689</v>
      </c>
      <c r="Z148" s="7">
        <f t="shared" si="14"/>
        <v>100</v>
      </c>
      <c r="AA148" s="7">
        <f t="shared" si="14"/>
        <v>100</v>
      </c>
      <c r="AB148" s="48"/>
      <c r="AC148" s="8">
        <f t="shared" si="15"/>
        <v>0.29000000000237847</v>
      </c>
      <c r="AD148" s="48"/>
    </row>
    <row r="149" spans="1:30">
      <c r="A149">
        <v>169</v>
      </c>
      <c r="B149">
        <v>52114.35</v>
      </c>
      <c r="C149">
        <v>29022.959999999999</v>
      </c>
      <c r="D149">
        <v>63.26</v>
      </c>
      <c r="H149">
        <v>169</v>
      </c>
      <c r="I149">
        <v>52114.17</v>
      </c>
      <c r="J149">
        <v>29022.74</v>
      </c>
      <c r="K149">
        <v>63.39</v>
      </c>
      <c r="X149" s="7">
        <f t="shared" si="13"/>
        <v>-0.18000000000029104</v>
      </c>
      <c r="Y149" s="7">
        <f t="shared" si="13"/>
        <v>-0.21999999999752617</v>
      </c>
      <c r="Z149" s="7">
        <f t="shared" si="14"/>
        <v>100</v>
      </c>
      <c r="AA149" s="7">
        <f t="shared" si="14"/>
        <v>100</v>
      </c>
      <c r="AB149" s="48"/>
      <c r="AC149" s="8">
        <f t="shared" si="15"/>
        <v>0.2842534080693076</v>
      </c>
      <c r="AD149" s="48"/>
    </row>
    <row r="150" spans="1:30">
      <c r="A150">
        <v>170</v>
      </c>
      <c r="B150">
        <v>52108.41</v>
      </c>
      <c r="C150">
        <v>29020.32</v>
      </c>
      <c r="D150">
        <v>63.17</v>
      </c>
      <c r="H150">
        <v>170</v>
      </c>
      <c r="I150">
        <v>52107.99</v>
      </c>
      <c r="J150">
        <v>29020.240000000002</v>
      </c>
      <c r="K150">
        <v>63.39</v>
      </c>
      <c r="X150" s="7">
        <f t="shared" si="13"/>
        <v>-0.42000000000552973</v>
      </c>
      <c r="Y150" s="7">
        <f t="shared" si="13"/>
        <v>-7.9999999998108251E-2</v>
      </c>
      <c r="Z150" s="7">
        <f t="shared" si="14"/>
        <v>100</v>
      </c>
      <c r="AA150" s="7">
        <f t="shared" si="14"/>
        <v>100</v>
      </c>
      <c r="AB150" s="48"/>
      <c r="AC150" s="8">
        <f t="shared" si="15"/>
        <v>0.42755116653371711</v>
      </c>
      <c r="AD150" s="48"/>
    </row>
    <row r="151" spans="1:30">
      <c r="A151">
        <v>171</v>
      </c>
      <c r="B151">
        <v>52102.47</v>
      </c>
      <c r="C151">
        <v>29017.67</v>
      </c>
      <c r="D151">
        <v>63.21</v>
      </c>
      <c r="H151">
        <v>171</v>
      </c>
      <c r="I151">
        <v>52102.01</v>
      </c>
      <c r="J151">
        <v>29017.72</v>
      </c>
      <c r="K151">
        <v>63.51</v>
      </c>
      <c r="X151" s="7">
        <f t="shared" si="13"/>
        <v>-0.45999999999912689</v>
      </c>
      <c r="Y151" s="7">
        <f t="shared" si="13"/>
        <v>5.0000000002910383E-2</v>
      </c>
      <c r="Z151" s="7">
        <f t="shared" si="14"/>
        <v>100</v>
      </c>
      <c r="AA151" s="7">
        <f t="shared" si="14"/>
        <v>100</v>
      </c>
      <c r="AB151" s="48"/>
      <c r="AC151" s="8">
        <f t="shared" si="15"/>
        <v>0.46270941204981747</v>
      </c>
      <c r="AD151" s="48"/>
    </row>
    <row r="152" spans="1:30">
      <c r="A152">
        <v>172</v>
      </c>
      <c r="B152">
        <v>52096.54</v>
      </c>
      <c r="C152">
        <v>29015.03</v>
      </c>
      <c r="D152">
        <v>63.33</v>
      </c>
      <c r="H152">
        <v>172</v>
      </c>
      <c r="I152">
        <v>52096.62</v>
      </c>
      <c r="J152">
        <v>29015.37</v>
      </c>
      <c r="K152">
        <v>63.44</v>
      </c>
      <c r="X152" s="7">
        <f t="shared" si="13"/>
        <v>8.000000000174623E-2</v>
      </c>
      <c r="Y152" s="7">
        <f t="shared" si="13"/>
        <v>0.34000000000014552</v>
      </c>
      <c r="Z152" s="7">
        <f t="shared" si="14"/>
        <v>100</v>
      </c>
      <c r="AA152" s="7">
        <f t="shared" si="14"/>
        <v>100</v>
      </c>
      <c r="AB152" s="48"/>
      <c r="AC152" s="8">
        <f t="shared" si="15"/>
        <v>0.34928498393200119</v>
      </c>
      <c r="AD152" s="48"/>
    </row>
    <row r="153" spans="1:30">
      <c r="A153">
        <v>173</v>
      </c>
      <c r="B153">
        <v>52090.6</v>
      </c>
      <c r="C153">
        <v>29012.39</v>
      </c>
      <c r="D153">
        <v>63.4</v>
      </c>
      <c r="H153">
        <v>173</v>
      </c>
      <c r="I153">
        <v>52090.7</v>
      </c>
      <c r="J153">
        <v>29012.560000000001</v>
      </c>
      <c r="K153">
        <v>63.42</v>
      </c>
      <c r="X153" s="7">
        <f t="shared" si="13"/>
        <v>9.9999999998544808E-2</v>
      </c>
      <c r="Y153" s="7">
        <f t="shared" si="13"/>
        <v>0.17000000000189175</v>
      </c>
      <c r="Z153" s="7">
        <f t="shared" si="14"/>
        <v>100</v>
      </c>
      <c r="AA153" s="7">
        <f t="shared" si="14"/>
        <v>100</v>
      </c>
      <c r="AB153" s="48"/>
      <c r="AC153" s="8">
        <f t="shared" si="15"/>
        <v>0.19723082923405297</v>
      </c>
    </row>
    <row r="154" spans="1:30">
      <c r="A154">
        <v>174</v>
      </c>
      <c r="B154">
        <v>52085.55</v>
      </c>
      <c r="C154">
        <v>29010.11</v>
      </c>
      <c r="D154">
        <v>63.46</v>
      </c>
      <c r="H154">
        <v>174</v>
      </c>
      <c r="I154">
        <v>52085.07</v>
      </c>
      <c r="J154">
        <v>29010.02</v>
      </c>
      <c r="K154">
        <v>63.72</v>
      </c>
      <c r="X154" s="7">
        <f t="shared" si="13"/>
        <v>-0.48000000000320142</v>
      </c>
      <c r="Y154" s="7">
        <f t="shared" si="13"/>
        <v>-9.0000000000145519E-2</v>
      </c>
      <c r="Z154" s="7">
        <f t="shared" si="14"/>
        <v>100</v>
      </c>
      <c r="AA154" s="7">
        <f t="shared" si="14"/>
        <v>100</v>
      </c>
      <c r="AB154" s="48"/>
      <c r="AC154" s="8">
        <f t="shared" si="15"/>
        <v>0.48836461788616459</v>
      </c>
    </row>
    <row r="155" spans="1:30">
      <c r="A155">
        <v>175</v>
      </c>
      <c r="B155">
        <v>52081.42</v>
      </c>
      <c r="C155">
        <v>29008.36</v>
      </c>
      <c r="D155">
        <v>63.61</v>
      </c>
      <c r="H155">
        <v>175</v>
      </c>
      <c r="I155">
        <v>52081.46</v>
      </c>
      <c r="J155">
        <v>29008.560000000001</v>
      </c>
      <c r="K155">
        <v>63.94</v>
      </c>
      <c r="X155" s="7">
        <f t="shared" si="13"/>
        <v>4.0000000000873115E-2</v>
      </c>
      <c r="Y155" s="7">
        <f t="shared" si="13"/>
        <v>0.2000000000007276</v>
      </c>
      <c r="Z155" s="7">
        <f t="shared" si="14"/>
        <v>100</v>
      </c>
      <c r="AA155" s="7">
        <f t="shared" si="14"/>
        <v>100</v>
      </c>
      <c r="AB155" s="48"/>
      <c r="AC155" s="8">
        <f t="shared" si="15"/>
        <v>0.2039607805445961</v>
      </c>
    </row>
    <row r="156" spans="1:30">
      <c r="A156">
        <v>177</v>
      </c>
      <c r="B156">
        <v>52144.73</v>
      </c>
      <c r="C156">
        <v>29042.62</v>
      </c>
      <c r="D156">
        <v>63.74</v>
      </c>
      <c r="H156">
        <v>177</v>
      </c>
      <c r="I156">
        <v>52144.51</v>
      </c>
      <c r="J156">
        <v>29042.86</v>
      </c>
      <c r="K156">
        <v>63.75</v>
      </c>
      <c r="X156" s="7">
        <f t="shared" si="13"/>
        <v>-0.22000000000116415</v>
      </c>
      <c r="Y156" s="7">
        <f t="shared" si="13"/>
        <v>0.24000000000160071</v>
      </c>
      <c r="Z156" s="7">
        <f t="shared" si="14"/>
        <v>100</v>
      </c>
      <c r="AA156" s="7">
        <f t="shared" si="14"/>
        <v>100</v>
      </c>
      <c r="AB156" s="48"/>
      <c r="AC156" s="8">
        <f t="shared" si="15"/>
        <v>0.32557641192396075</v>
      </c>
    </row>
    <row r="157" spans="1:30">
      <c r="A157">
        <v>178</v>
      </c>
      <c r="B157">
        <v>52138.79</v>
      </c>
      <c r="C157">
        <v>29039.97</v>
      </c>
      <c r="D157">
        <v>63.51</v>
      </c>
      <c r="H157">
        <v>178</v>
      </c>
      <c r="I157">
        <v>52138.35</v>
      </c>
      <c r="J157">
        <v>29040.34</v>
      </c>
      <c r="K157">
        <v>63.59</v>
      </c>
      <c r="X157" s="7">
        <f t="shared" si="13"/>
        <v>100</v>
      </c>
      <c r="Y157" s="7">
        <f t="shared" si="13"/>
        <v>100</v>
      </c>
      <c r="Z157" s="7">
        <f t="shared" si="14"/>
        <v>-0.44000000000232831</v>
      </c>
      <c r="AA157" s="7">
        <f t="shared" si="14"/>
        <v>0.36999999999898137</v>
      </c>
      <c r="AB157" s="48"/>
      <c r="AC157" s="8">
        <f t="shared" si="15"/>
        <v>0.57489129407331874</v>
      </c>
    </row>
    <row r="158" spans="1:30">
      <c r="A158">
        <v>179</v>
      </c>
      <c r="B158">
        <v>52132.86</v>
      </c>
      <c r="C158">
        <v>29037.33</v>
      </c>
      <c r="D158">
        <v>63.47</v>
      </c>
      <c r="H158">
        <v>179</v>
      </c>
      <c r="I158">
        <v>52132.51</v>
      </c>
      <c r="J158">
        <v>29037.47</v>
      </c>
      <c r="K158">
        <v>63.39</v>
      </c>
      <c r="X158" s="7">
        <f t="shared" si="13"/>
        <v>-0.34999999999854481</v>
      </c>
      <c r="Y158" s="7">
        <f t="shared" si="13"/>
        <v>0.13999999999941792</v>
      </c>
      <c r="Z158" s="7">
        <f t="shared" si="14"/>
        <v>100</v>
      </c>
      <c r="AA158" s="7">
        <f t="shared" si="14"/>
        <v>100</v>
      </c>
      <c r="AB158" s="48"/>
      <c r="AC158" s="8">
        <f t="shared" si="15"/>
        <v>0.37696153649784803</v>
      </c>
    </row>
    <row r="159" spans="1:30">
      <c r="A159">
        <v>180</v>
      </c>
      <c r="B159">
        <v>52126.92</v>
      </c>
      <c r="C159">
        <v>29034.69</v>
      </c>
      <c r="D159">
        <v>63.45</v>
      </c>
      <c r="H159">
        <v>180</v>
      </c>
      <c r="I159">
        <v>52126.53</v>
      </c>
      <c r="J159">
        <v>29035.09</v>
      </c>
      <c r="K159">
        <v>63.55</v>
      </c>
      <c r="X159" s="7">
        <f t="shared" ref="X159:Y177" si="16">IF(AND(B159&lt;&gt;"",$AC159&lt;$AD$5),I159-B159,100)</f>
        <v>100</v>
      </c>
      <c r="Y159" s="7">
        <f t="shared" si="16"/>
        <v>100</v>
      </c>
      <c r="Z159" s="7">
        <f t="shared" ref="Z159:AA177" si="17">IF(AND(B159&lt;&gt;"",$AC159&gt;$AD$5),I159-B159,100)</f>
        <v>-0.38999999999941792</v>
      </c>
      <c r="AA159" s="7">
        <f t="shared" si="17"/>
        <v>0.40000000000145519</v>
      </c>
      <c r="AB159" s="48"/>
      <c r="AC159" s="8">
        <f t="shared" si="15"/>
        <v>0.55865910893917248</v>
      </c>
    </row>
    <row r="160" spans="1:30">
      <c r="A160">
        <v>181</v>
      </c>
      <c r="B160">
        <v>52120.98</v>
      </c>
      <c r="C160">
        <v>29032.04</v>
      </c>
      <c r="D160">
        <v>63.4</v>
      </c>
      <c r="H160">
        <v>181</v>
      </c>
      <c r="I160">
        <v>52120.51</v>
      </c>
      <c r="J160">
        <v>29031.96</v>
      </c>
      <c r="K160">
        <v>63.6</v>
      </c>
      <c r="X160" s="7">
        <f t="shared" si="16"/>
        <v>-0.47000000000116415</v>
      </c>
      <c r="Y160" s="7">
        <f t="shared" si="16"/>
        <v>-8.000000000174623E-2</v>
      </c>
      <c r="Z160" s="7">
        <f t="shared" si="17"/>
        <v>100</v>
      </c>
      <c r="AA160" s="7">
        <f t="shared" si="17"/>
        <v>100</v>
      </c>
      <c r="AB160" s="48"/>
      <c r="AC160" s="8">
        <f t="shared" si="15"/>
        <v>0.47675989764384935</v>
      </c>
    </row>
    <row r="161" spans="1:29">
      <c r="A161">
        <v>182</v>
      </c>
      <c r="B161">
        <v>52115.040000000001</v>
      </c>
      <c r="C161">
        <v>29029.4</v>
      </c>
      <c r="D161">
        <v>63.31</v>
      </c>
      <c r="H161">
        <v>182</v>
      </c>
      <c r="I161">
        <v>52115.040000000001</v>
      </c>
      <c r="J161">
        <v>29029.46</v>
      </c>
      <c r="K161">
        <v>63.43</v>
      </c>
      <c r="X161" s="7">
        <f t="shared" si="16"/>
        <v>0</v>
      </c>
      <c r="Y161" s="7">
        <f t="shared" si="16"/>
        <v>5.9999999997671694E-2</v>
      </c>
      <c r="Z161" s="7">
        <f t="shared" si="17"/>
        <v>100</v>
      </c>
      <c r="AA161" s="7">
        <f t="shared" si="17"/>
        <v>100</v>
      </c>
      <c r="AB161" s="48"/>
      <c r="AC161" s="8">
        <f t="shared" si="15"/>
        <v>5.9999999997671694E-2</v>
      </c>
    </row>
    <row r="162" spans="1:29">
      <c r="A162">
        <v>183</v>
      </c>
      <c r="B162">
        <v>52109.1</v>
      </c>
      <c r="C162">
        <v>29026.76</v>
      </c>
      <c r="D162">
        <v>63.2</v>
      </c>
      <c r="H162">
        <v>183</v>
      </c>
      <c r="I162">
        <v>52108.58</v>
      </c>
      <c r="J162">
        <v>29026.62</v>
      </c>
      <c r="K162">
        <v>63.35</v>
      </c>
      <c r="X162" s="7">
        <f t="shared" si="16"/>
        <v>100</v>
      </c>
      <c r="Y162" s="7">
        <f t="shared" si="16"/>
        <v>100</v>
      </c>
      <c r="Z162" s="7">
        <f t="shared" si="17"/>
        <v>-0.51999999999679858</v>
      </c>
      <c r="AA162" s="7">
        <f t="shared" si="17"/>
        <v>-0.13999999999941792</v>
      </c>
      <c r="AB162" s="48"/>
      <c r="AC162" s="8">
        <f t="shared" si="15"/>
        <v>0.53851648071020775</v>
      </c>
    </row>
    <row r="163" spans="1:29">
      <c r="A163">
        <v>184</v>
      </c>
      <c r="B163">
        <v>52103.17</v>
      </c>
      <c r="C163">
        <v>29024.11</v>
      </c>
      <c r="D163">
        <v>63.2</v>
      </c>
      <c r="H163">
        <v>184</v>
      </c>
      <c r="I163">
        <v>52103.23</v>
      </c>
      <c r="J163">
        <v>29024.48</v>
      </c>
      <c r="K163">
        <v>63.38</v>
      </c>
      <c r="X163" s="7">
        <f t="shared" si="16"/>
        <v>6.0000000004947651E-2</v>
      </c>
      <c r="Y163" s="7">
        <f t="shared" si="16"/>
        <v>0.36999999999898137</v>
      </c>
      <c r="Z163" s="7">
        <f t="shared" si="17"/>
        <v>100</v>
      </c>
      <c r="AA163" s="7">
        <f t="shared" si="17"/>
        <v>100</v>
      </c>
      <c r="AB163" s="48"/>
      <c r="AC163" s="8">
        <f t="shared" si="15"/>
        <v>0.3748332962796127</v>
      </c>
    </row>
    <row r="164" spans="1:29">
      <c r="A164">
        <v>185</v>
      </c>
      <c r="B164">
        <v>52097.23</v>
      </c>
      <c r="C164">
        <v>29021.47</v>
      </c>
      <c r="D164">
        <v>63.19</v>
      </c>
      <c r="H164">
        <v>185</v>
      </c>
      <c r="I164">
        <v>52096.85</v>
      </c>
      <c r="J164">
        <v>29021.4</v>
      </c>
      <c r="K164">
        <v>63.28</v>
      </c>
      <c r="X164" s="7">
        <f t="shared" si="16"/>
        <v>-0.38000000000465661</v>
      </c>
      <c r="Y164" s="7">
        <f t="shared" si="16"/>
        <v>-6.9999999999708962E-2</v>
      </c>
      <c r="Z164" s="7">
        <f t="shared" si="17"/>
        <v>100</v>
      </c>
      <c r="AA164" s="7">
        <f t="shared" si="17"/>
        <v>100</v>
      </c>
      <c r="AB164" s="48"/>
      <c r="AC164" s="8">
        <f t="shared" si="15"/>
        <v>0.38639358173175997</v>
      </c>
    </row>
    <row r="165" spans="1:29">
      <c r="A165">
        <v>189</v>
      </c>
      <c r="B165">
        <v>52151.360000000001</v>
      </c>
      <c r="C165">
        <v>29051.7</v>
      </c>
      <c r="D165">
        <v>63.77</v>
      </c>
      <c r="H165">
        <v>189</v>
      </c>
      <c r="I165">
        <v>52150.96</v>
      </c>
      <c r="J165">
        <v>29051.59</v>
      </c>
      <c r="K165">
        <v>63.98</v>
      </c>
      <c r="X165" s="7">
        <f t="shared" si="16"/>
        <v>-0.40000000000145519</v>
      </c>
      <c r="Y165" s="7">
        <f t="shared" si="16"/>
        <v>-0.11000000000058208</v>
      </c>
      <c r="Z165" s="7">
        <f t="shared" si="17"/>
        <v>100</v>
      </c>
      <c r="AA165" s="7">
        <f t="shared" si="17"/>
        <v>100</v>
      </c>
      <c r="AB165" s="48"/>
      <c r="AC165" s="8">
        <f t="shared" si="15"/>
        <v>0.41484937025538826</v>
      </c>
    </row>
    <row r="166" spans="1:29">
      <c r="A166">
        <v>190</v>
      </c>
      <c r="B166">
        <v>52145.42</v>
      </c>
      <c r="C166">
        <v>29049.06</v>
      </c>
      <c r="D166">
        <v>64.02</v>
      </c>
      <c r="H166">
        <v>190</v>
      </c>
      <c r="I166">
        <v>52145.19</v>
      </c>
      <c r="J166">
        <v>29048.77</v>
      </c>
      <c r="K166">
        <v>63.99</v>
      </c>
      <c r="X166" s="7">
        <f t="shared" si="16"/>
        <v>-0.22999999999592546</v>
      </c>
      <c r="Y166" s="7">
        <f t="shared" si="16"/>
        <v>-0.29000000000087311</v>
      </c>
      <c r="Z166" s="7">
        <f t="shared" si="17"/>
        <v>100</v>
      </c>
      <c r="AA166" s="7">
        <f t="shared" si="17"/>
        <v>100</v>
      </c>
      <c r="AB166" s="48"/>
      <c r="AC166" s="8">
        <f t="shared" si="15"/>
        <v>0.37013511046458714</v>
      </c>
    </row>
    <row r="167" spans="1:29">
      <c r="A167">
        <v>193</v>
      </c>
      <c r="B167">
        <v>52127.61</v>
      </c>
      <c r="C167">
        <v>29041.119999999999</v>
      </c>
      <c r="D167">
        <v>63.53</v>
      </c>
      <c r="H167">
        <v>193</v>
      </c>
      <c r="I167">
        <v>52127.49</v>
      </c>
      <c r="J167">
        <v>29040.74</v>
      </c>
      <c r="K167">
        <v>63.6</v>
      </c>
      <c r="X167" s="7">
        <f t="shared" si="16"/>
        <v>-0.12000000000261934</v>
      </c>
      <c r="Y167" s="7">
        <f t="shared" si="16"/>
        <v>-0.37999999999738066</v>
      </c>
      <c r="Z167" s="7">
        <f t="shared" si="17"/>
        <v>100</v>
      </c>
      <c r="AA167" s="7">
        <f t="shared" si="17"/>
        <v>100</v>
      </c>
      <c r="AB167" s="48"/>
      <c r="AC167" s="8">
        <f t="shared" si="15"/>
        <v>0.39849717690171649</v>
      </c>
    </row>
    <row r="168" spans="1:29">
      <c r="A168">
        <v>195</v>
      </c>
      <c r="B168">
        <v>52115.73</v>
      </c>
      <c r="C168">
        <v>29035.84</v>
      </c>
      <c r="D168">
        <v>63.57</v>
      </c>
      <c r="H168">
        <v>195</v>
      </c>
      <c r="I168">
        <v>52115.7</v>
      </c>
      <c r="J168">
        <v>29035.42</v>
      </c>
      <c r="K168">
        <v>63.66</v>
      </c>
      <c r="X168" s="7">
        <f t="shared" si="16"/>
        <v>-3.0000000006111804E-2</v>
      </c>
      <c r="Y168" s="7">
        <f t="shared" si="16"/>
        <v>-0.42000000000189175</v>
      </c>
      <c r="Z168" s="7">
        <f t="shared" si="17"/>
        <v>100</v>
      </c>
      <c r="AA168" s="7">
        <f t="shared" si="17"/>
        <v>100</v>
      </c>
      <c r="AB168" s="48"/>
      <c r="AC168" s="8">
        <f t="shared" si="15"/>
        <v>0.42107006543086839</v>
      </c>
    </row>
    <row r="169" spans="1:29">
      <c r="A169">
        <v>196</v>
      </c>
      <c r="B169">
        <v>52109.79</v>
      </c>
      <c r="C169">
        <v>29033.19</v>
      </c>
      <c r="D169">
        <v>63.35</v>
      </c>
      <c r="H169">
        <v>196</v>
      </c>
      <c r="I169">
        <v>52109.919999999998</v>
      </c>
      <c r="J169">
        <v>29032.94</v>
      </c>
      <c r="K169">
        <v>63.37</v>
      </c>
      <c r="X169" s="7">
        <f t="shared" si="16"/>
        <v>0.12999999999738066</v>
      </c>
      <c r="Y169" s="7">
        <f t="shared" si="16"/>
        <v>-0.25</v>
      </c>
      <c r="Z169" s="7">
        <f t="shared" si="17"/>
        <v>100</v>
      </c>
      <c r="AA169" s="7">
        <f t="shared" si="17"/>
        <v>100</v>
      </c>
      <c r="AB169" s="48"/>
      <c r="AC169" s="8">
        <f t="shared" si="15"/>
        <v>0.28178005607089895</v>
      </c>
    </row>
    <row r="170" spans="1:29">
      <c r="A170">
        <v>197</v>
      </c>
      <c r="B170">
        <v>52103.86</v>
      </c>
      <c r="C170">
        <v>29030.55</v>
      </c>
      <c r="D170">
        <v>63.21</v>
      </c>
      <c r="H170">
        <v>197</v>
      </c>
      <c r="I170">
        <v>52104.56</v>
      </c>
      <c r="J170">
        <v>29030.92</v>
      </c>
      <c r="K170">
        <v>63.4</v>
      </c>
      <c r="X170" s="7">
        <f t="shared" si="16"/>
        <v>100</v>
      </c>
      <c r="Y170" s="7">
        <f t="shared" si="16"/>
        <v>100</v>
      </c>
      <c r="Z170" s="7">
        <f t="shared" si="17"/>
        <v>0.69999999999708962</v>
      </c>
      <c r="AA170" s="7">
        <f t="shared" si="17"/>
        <v>0.36999999999898137</v>
      </c>
      <c r="AB170" s="48"/>
      <c r="AC170" s="8">
        <f t="shared" si="15"/>
        <v>0.79177016866965355</v>
      </c>
    </row>
    <row r="171" spans="1:29">
      <c r="A171">
        <v>198</v>
      </c>
      <c r="B171">
        <v>52097.919999999998</v>
      </c>
      <c r="C171">
        <v>29027.91</v>
      </c>
      <c r="D171">
        <v>63.21</v>
      </c>
      <c r="H171">
        <v>198</v>
      </c>
      <c r="I171">
        <v>52098.04</v>
      </c>
      <c r="J171">
        <v>29027.54</v>
      </c>
      <c r="K171">
        <v>63.33</v>
      </c>
      <c r="X171" s="7">
        <f t="shared" si="16"/>
        <v>0.12000000000261934</v>
      </c>
      <c r="Y171" s="7">
        <f t="shared" si="16"/>
        <v>-0.36999999999898137</v>
      </c>
      <c r="Z171" s="7">
        <f t="shared" si="17"/>
        <v>100</v>
      </c>
      <c r="AA171" s="7">
        <f t="shared" si="17"/>
        <v>100</v>
      </c>
      <c r="AB171" s="48"/>
      <c r="AC171" s="8">
        <f t="shared" si="15"/>
        <v>0.38897300677537361</v>
      </c>
    </row>
    <row r="172" spans="1:29">
      <c r="A172">
        <v>203</v>
      </c>
      <c r="B172">
        <v>52152.05</v>
      </c>
      <c r="C172">
        <v>29058.14</v>
      </c>
      <c r="D172">
        <v>64.27</v>
      </c>
      <c r="H172">
        <v>203</v>
      </c>
      <c r="I172">
        <v>52152.2</v>
      </c>
      <c r="J172">
        <v>29058.17</v>
      </c>
      <c r="K172">
        <v>64.55</v>
      </c>
      <c r="X172" s="7">
        <f t="shared" si="16"/>
        <v>0.14999999999417923</v>
      </c>
      <c r="Y172" s="7">
        <f t="shared" si="16"/>
        <v>2.9999999998835847E-2</v>
      </c>
      <c r="Z172" s="7">
        <f t="shared" si="17"/>
        <v>100</v>
      </c>
      <c r="AA172" s="7">
        <f t="shared" si="17"/>
        <v>100</v>
      </c>
      <c r="AB172" s="48"/>
      <c r="AC172" s="8">
        <f t="shared" si="15"/>
        <v>0.15297058540184752</v>
      </c>
    </row>
    <row r="173" spans="1:29">
      <c r="A173">
        <v>205</v>
      </c>
      <c r="B173">
        <v>52141.33</v>
      </c>
      <c r="C173">
        <v>29056.13</v>
      </c>
      <c r="D173">
        <v>65.010000000000005</v>
      </c>
      <c r="H173">
        <v>205</v>
      </c>
      <c r="I173">
        <v>52141.01</v>
      </c>
      <c r="J173">
        <v>29056.25</v>
      </c>
      <c r="K173">
        <v>65.42</v>
      </c>
      <c r="X173" s="7">
        <f t="shared" si="16"/>
        <v>-0.31999999999970896</v>
      </c>
      <c r="Y173" s="7">
        <f t="shared" si="16"/>
        <v>0.11999999999898137</v>
      </c>
      <c r="Z173" s="7">
        <f t="shared" si="17"/>
        <v>100</v>
      </c>
      <c r="AA173" s="7">
        <f t="shared" si="17"/>
        <v>100</v>
      </c>
      <c r="AB173" s="48"/>
      <c r="AC173" s="8">
        <f t="shared" si="15"/>
        <v>0.34176014981207109</v>
      </c>
    </row>
    <row r="174" spans="1:29">
      <c r="A174">
        <v>206</v>
      </c>
      <c r="B174">
        <v>52138.97</v>
      </c>
      <c r="C174">
        <v>29054.25</v>
      </c>
      <c r="D174">
        <v>65.48</v>
      </c>
      <c r="H174">
        <v>206</v>
      </c>
      <c r="I174">
        <v>52138.69</v>
      </c>
      <c r="J174">
        <v>29054.52</v>
      </c>
      <c r="K174">
        <v>65.739999999999995</v>
      </c>
      <c r="X174" s="7">
        <f t="shared" si="16"/>
        <v>-0.27999999999883585</v>
      </c>
      <c r="Y174" s="7">
        <f t="shared" si="16"/>
        <v>0.27000000000043656</v>
      </c>
      <c r="Z174" s="7">
        <f t="shared" si="17"/>
        <v>100</v>
      </c>
      <c r="AA174" s="7">
        <f t="shared" si="17"/>
        <v>100</v>
      </c>
      <c r="AB174" s="48"/>
      <c r="AC174" s="8">
        <f t="shared" si="15"/>
        <v>0.38897300677499952</v>
      </c>
    </row>
    <row r="175" spans="1:29">
      <c r="A175">
        <v>215</v>
      </c>
      <c r="B175">
        <v>52098.61</v>
      </c>
      <c r="C175">
        <v>29034.34</v>
      </c>
      <c r="D175">
        <v>63.22</v>
      </c>
      <c r="H175">
        <v>215</v>
      </c>
      <c r="I175">
        <v>52098.23</v>
      </c>
      <c r="J175">
        <v>29033.98</v>
      </c>
      <c r="K175">
        <v>63.34</v>
      </c>
      <c r="X175" s="7">
        <f t="shared" si="16"/>
        <v>100</v>
      </c>
      <c r="Y175" s="7">
        <f t="shared" si="16"/>
        <v>100</v>
      </c>
      <c r="Z175" s="7">
        <f t="shared" si="17"/>
        <v>-0.37999999999738066</v>
      </c>
      <c r="AA175" s="7">
        <f t="shared" si="17"/>
        <v>-0.36000000000058208</v>
      </c>
      <c r="AB175" s="48"/>
      <c r="AC175" s="8">
        <f t="shared" si="15"/>
        <v>0.52345009313059487</v>
      </c>
    </row>
    <row r="176" spans="1:29">
      <c r="A176">
        <v>221</v>
      </c>
      <c r="B176">
        <v>52153.38</v>
      </c>
      <c r="C176">
        <v>29064.9</v>
      </c>
      <c r="D176">
        <v>64.25</v>
      </c>
      <c r="H176">
        <v>221</v>
      </c>
      <c r="I176">
        <v>52153.27</v>
      </c>
      <c r="J176">
        <v>29064.71</v>
      </c>
      <c r="K176">
        <v>64.459999999999994</v>
      </c>
      <c r="X176" s="7">
        <f t="shared" si="16"/>
        <v>-0.11000000000058208</v>
      </c>
      <c r="Y176" s="7">
        <f t="shared" si="16"/>
        <v>-0.19000000000232831</v>
      </c>
      <c r="Z176" s="7">
        <f t="shared" si="17"/>
        <v>100</v>
      </c>
      <c r="AA176" s="7">
        <f t="shared" si="17"/>
        <v>100</v>
      </c>
      <c r="AB176" s="48"/>
      <c r="AC176" s="8">
        <f t="shared" si="15"/>
        <v>0.2195449840033081</v>
      </c>
    </row>
    <row r="177" spans="1:29">
      <c r="A177">
        <v>222</v>
      </c>
      <c r="B177">
        <v>52147.44</v>
      </c>
      <c r="C177">
        <v>29062.25</v>
      </c>
      <c r="D177">
        <v>64.739999999999995</v>
      </c>
      <c r="H177">
        <v>222</v>
      </c>
      <c r="I177">
        <v>52147.55</v>
      </c>
      <c r="J177">
        <v>29062.25</v>
      </c>
      <c r="K177">
        <v>64.739999999999995</v>
      </c>
      <c r="X177" s="7">
        <f t="shared" si="16"/>
        <v>0.11000000000058208</v>
      </c>
      <c r="Y177" s="7">
        <f t="shared" si="16"/>
        <v>0</v>
      </c>
      <c r="Z177" s="7">
        <f t="shared" si="17"/>
        <v>100</v>
      </c>
      <c r="AA177" s="7">
        <f t="shared" si="17"/>
        <v>100</v>
      </c>
      <c r="AB177" s="48"/>
      <c r="AC177" s="8">
        <f t="shared" si="15"/>
        <v>0.11000000000058208</v>
      </c>
    </row>
    <row r="178" spans="1:29">
      <c r="A178">
        <v>223</v>
      </c>
      <c r="B178">
        <v>52141.51</v>
      </c>
      <c r="C178">
        <v>29059.61</v>
      </c>
      <c r="D178">
        <v>65.16</v>
      </c>
      <c r="H178">
        <v>223</v>
      </c>
      <c r="I178">
        <v>52141.33</v>
      </c>
      <c r="J178">
        <v>29059.599999999999</v>
      </c>
      <c r="K178">
        <v>65.14</v>
      </c>
      <c r="X178" s="7">
        <f t="shared" ref="X178:Y199" si="18">IF(AND(B178&lt;&gt;"",$AC178&lt;$AD$5),I178-B178,100)</f>
        <v>-0.18000000000029104</v>
      </c>
      <c r="Y178" s="7">
        <f t="shared" si="18"/>
        <v>-1.0000000002037268E-2</v>
      </c>
      <c r="Z178" s="7">
        <f t="shared" ref="Z178:AA199" si="19">IF(AND(B178&lt;&gt;"",$AC178&gt;$AD$5),I178-B178,100)</f>
        <v>100</v>
      </c>
      <c r="AA178" s="7">
        <f t="shared" si="19"/>
        <v>100</v>
      </c>
      <c r="AB178" s="48"/>
      <c r="AC178" s="8">
        <f t="shared" si="15"/>
        <v>0.18027756377360307</v>
      </c>
    </row>
    <row r="179" spans="1:29">
      <c r="A179">
        <v>224</v>
      </c>
      <c r="B179">
        <v>52135.57</v>
      </c>
      <c r="C179">
        <v>29056.959999999999</v>
      </c>
      <c r="D179">
        <v>65.59</v>
      </c>
      <c r="H179">
        <v>224</v>
      </c>
      <c r="I179">
        <v>52135.18</v>
      </c>
      <c r="J179">
        <v>29057.06</v>
      </c>
      <c r="K179">
        <v>65.8</v>
      </c>
      <c r="X179" s="7">
        <f t="shared" si="18"/>
        <v>-0.38999999999941792</v>
      </c>
      <c r="Y179" s="7">
        <f t="shared" si="18"/>
        <v>0.10000000000218279</v>
      </c>
      <c r="Z179" s="7">
        <f t="shared" si="19"/>
        <v>100</v>
      </c>
      <c r="AA179" s="7">
        <f t="shared" si="19"/>
        <v>100</v>
      </c>
      <c r="AB179" s="48"/>
      <c r="AC179" s="8">
        <f t="shared" si="15"/>
        <v>0.40261644278392622</v>
      </c>
    </row>
    <row r="180" spans="1:29">
      <c r="A180">
        <v>225</v>
      </c>
      <c r="B180">
        <v>52129.46</v>
      </c>
      <c r="C180">
        <v>29054.87</v>
      </c>
      <c r="D180">
        <v>66.040000000000006</v>
      </c>
      <c r="H180">
        <v>225</v>
      </c>
      <c r="I180">
        <v>52129.38</v>
      </c>
      <c r="J180">
        <v>29054.65</v>
      </c>
      <c r="K180">
        <v>66.239999999999995</v>
      </c>
      <c r="X180" s="7">
        <f t="shared" si="18"/>
        <v>-8.000000000174623E-2</v>
      </c>
      <c r="Y180" s="7">
        <f t="shared" si="18"/>
        <v>-0.21999999999752617</v>
      </c>
      <c r="Z180" s="7">
        <f t="shared" si="19"/>
        <v>100</v>
      </c>
      <c r="AA180" s="7">
        <f t="shared" si="19"/>
        <v>100</v>
      </c>
      <c r="AB180" s="48"/>
      <c r="AC180" s="8">
        <f t="shared" si="15"/>
        <v>0.23409399821266438</v>
      </c>
    </row>
    <row r="181" spans="1:29">
      <c r="A181">
        <v>226</v>
      </c>
      <c r="B181">
        <v>52123.48</v>
      </c>
      <c r="C181">
        <v>29052.21</v>
      </c>
      <c r="D181">
        <v>66.69</v>
      </c>
      <c r="H181">
        <v>226</v>
      </c>
      <c r="I181">
        <v>52123.63</v>
      </c>
      <c r="J181">
        <v>29052.21</v>
      </c>
      <c r="K181">
        <v>66.63</v>
      </c>
      <c r="X181" s="7">
        <f t="shared" si="18"/>
        <v>0.14999999999417923</v>
      </c>
      <c r="Y181" s="7">
        <f t="shared" si="18"/>
        <v>0</v>
      </c>
      <c r="Z181" s="7">
        <f t="shared" si="19"/>
        <v>100</v>
      </c>
      <c r="AA181" s="7">
        <f t="shared" si="19"/>
        <v>100</v>
      </c>
      <c r="AB181" s="48"/>
      <c r="AC181" s="8">
        <f t="shared" si="15"/>
        <v>0.14999999999417923</v>
      </c>
    </row>
    <row r="182" spans="1:29">
      <c r="A182">
        <v>227</v>
      </c>
      <c r="B182">
        <v>52117.75</v>
      </c>
      <c r="C182">
        <v>29049.03</v>
      </c>
      <c r="D182">
        <v>67.13</v>
      </c>
      <c r="H182">
        <v>227</v>
      </c>
      <c r="I182">
        <v>52117.81</v>
      </c>
      <c r="J182">
        <v>29049.55</v>
      </c>
      <c r="K182">
        <v>67.33</v>
      </c>
      <c r="X182" s="7">
        <f t="shared" si="18"/>
        <v>100</v>
      </c>
      <c r="Y182" s="7">
        <f t="shared" si="18"/>
        <v>100</v>
      </c>
      <c r="Z182" s="7">
        <f t="shared" si="19"/>
        <v>5.9999999997671694E-2</v>
      </c>
      <c r="AA182" s="7">
        <f t="shared" si="19"/>
        <v>0.52000000000043656</v>
      </c>
      <c r="AB182" s="48"/>
      <c r="AC182" s="8">
        <f t="shared" si="15"/>
        <v>0.52345009313226276</v>
      </c>
    </row>
    <row r="183" spans="1:29">
      <c r="A183">
        <v>229</v>
      </c>
      <c r="B183">
        <v>52104.19</v>
      </c>
      <c r="C183">
        <v>29042.01</v>
      </c>
      <c r="D183">
        <v>63.39</v>
      </c>
      <c r="H183">
        <v>229</v>
      </c>
      <c r="I183">
        <v>52103.89</v>
      </c>
      <c r="J183">
        <v>29042.09</v>
      </c>
      <c r="K183">
        <v>63.46</v>
      </c>
      <c r="X183" s="7">
        <f t="shared" si="18"/>
        <v>-0.30000000000291038</v>
      </c>
      <c r="Y183" s="7">
        <f t="shared" si="18"/>
        <v>8.000000000174623E-2</v>
      </c>
      <c r="Z183" s="7">
        <f t="shared" si="19"/>
        <v>100</v>
      </c>
      <c r="AA183" s="7">
        <f t="shared" si="19"/>
        <v>100</v>
      </c>
      <c r="AB183" s="48"/>
      <c r="AC183" s="8">
        <f t="shared" si="15"/>
        <v>0.31048349392846253</v>
      </c>
    </row>
    <row r="184" spans="1:29">
      <c r="A184">
        <v>230</v>
      </c>
      <c r="B184">
        <v>52099.51</v>
      </c>
      <c r="C184">
        <v>29040.04</v>
      </c>
      <c r="D184">
        <v>63.35</v>
      </c>
      <c r="H184">
        <v>230</v>
      </c>
      <c r="I184">
        <v>52099.79</v>
      </c>
      <c r="J184">
        <v>29039.51</v>
      </c>
      <c r="K184">
        <v>63.36</v>
      </c>
      <c r="X184" s="7">
        <f t="shared" si="18"/>
        <v>100</v>
      </c>
      <c r="Y184" s="7">
        <f t="shared" si="18"/>
        <v>100</v>
      </c>
      <c r="Z184" s="7">
        <f t="shared" si="19"/>
        <v>0.27999999999883585</v>
      </c>
      <c r="AA184" s="7">
        <f t="shared" si="19"/>
        <v>-0.53000000000247383</v>
      </c>
      <c r="AB184" s="48"/>
      <c r="AC184" s="8">
        <f t="shared" si="15"/>
        <v>0.59941638282747189</v>
      </c>
    </row>
    <row r="185" spans="1:29">
      <c r="A185">
        <v>233</v>
      </c>
      <c r="B185">
        <v>52135.62</v>
      </c>
      <c r="C185">
        <v>29063.08</v>
      </c>
      <c r="D185">
        <v>65.37</v>
      </c>
      <c r="H185">
        <v>233</v>
      </c>
      <c r="I185">
        <v>52136.02</v>
      </c>
      <c r="J185">
        <v>29063.06</v>
      </c>
      <c r="K185">
        <v>65.36</v>
      </c>
      <c r="X185" s="7">
        <f t="shared" si="18"/>
        <v>0.39999999999417923</v>
      </c>
      <c r="Y185" s="7">
        <f t="shared" si="18"/>
        <v>-2.0000000000436557E-2</v>
      </c>
      <c r="Z185" s="7">
        <f t="shared" si="19"/>
        <v>100</v>
      </c>
      <c r="AA185" s="7">
        <f t="shared" si="19"/>
        <v>100</v>
      </c>
      <c r="AB185" s="48"/>
      <c r="AC185" s="8">
        <f t="shared" si="15"/>
        <v>0.40049968788422402</v>
      </c>
    </row>
    <row r="186" spans="1:29">
      <c r="A186">
        <v>235</v>
      </c>
      <c r="B186">
        <v>52123.74</v>
      </c>
      <c r="C186">
        <v>29057.79</v>
      </c>
      <c r="D186">
        <v>66.38</v>
      </c>
      <c r="H186">
        <v>235</v>
      </c>
      <c r="I186">
        <v>52124.14</v>
      </c>
      <c r="J186">
        <v>29057.97</v>
      </c>
      <c r="K186">
        <v>66.44</v>
      </c>
      <c r="X186" s="7">
        <f t="shared" si="18"/>
        <v>0.40000000000145519</v>
      </c>
      <c r="Y186" s="7">
        <f t="shared" si="18"/>
        <v>0.18000000000029104</v>
      </c>
      <c r="Z186" s="7">
        <f t="shared" si="19"/>
        <v>100</v>
      </c>
      <c r="AA186" s="7">
        <f t="shared" si="19"/>
        <v>100</v>
      </c>
      <c r="AB186" s="48"/>
      <c r="AC186" s="8">
        <f t="shared" si="15"/>
        <v>0.43863424399067263</v>
      </c>
    </row>
    <row r="187" spans="1:29">
      <c r="A187">
        <v>236</v>
      </c>
      <c r="B187">
        <v>52117.81</v>
      </c>
      <c r="C187">
        <v>29055.15</v>
      </c>
      <c r="D187">
        <v>67</v>
      </c>
      <c r="H187">
        <v>236</v>
      </c>
      <c r="I187">
        <v>52117.91</v>
      </c>
      <c r="J187">
        <v>29055.26</v>
      </c>
      <c r="K187">
        <v>66.989999999999995</v>
      </c>
      <c r="X187" s="7">
        <f t="shared" si="18"/>
        <v>0.10000000000582077</v>
      </c>
      <c r="Y187" s="7">
        <f t="shared" si="18"/>
        <v>0.1099999999969441</v>
      </c>
      <c r="Z187" s="7">
        <f t="shared" si="19"/>
        <v>100</v>
      </c>
      <c r="AA187" s="7">
        <f t="shared" si="19"/>
        <v>100</v>
      </c>
      <c r="AB187" s="48"/>
      <c r="AC187" s="8">
        <f t="shared" si="15"/>
        <v>0.14866068747483935</v>
      </c>
    </row>
    <row r="188" spans="1:29">
      <c r="A188">
        <v>243</v>
      </c>
      <c r="B188">
        <v>52130.37</v>
      </c>
      <c r="C188">
        <v>29066.880000000001</v>
      </c>
      <c r="D188">
        <v>65.66</v>
      </c>
      <c r="H188">
        <v>243</v>
      </c>
      <c r="I188">
        <v>52130.82</v>
      </c>
      <c r="J188">
        <v>29066.84</v>
      </c>
      <c r="K188">
        <v>65.55</v>
      </c>
      <c r="X188" s="7">
        <f t="shared" si="18"/>
        <v>0.44999999999708962</v>
      </c>
      <c r="Y188" s="7">
        <f t="shared" si="18"/>
        <v>-4.0000000000873115E-2</v>
      </c>
      <c r="Z188" s="7">
        <f t="shared" si="19"/>
        <v>100</v>
      </c>
      <c r="AA188" s="7">
        <f t="shared" si="19"/>
        <v>100</v>
      </c>
      <c r="AB188" s="48"/>
      <c r="AC188" s="8">
        <f t="shared" si="15"/>
        <v>0.45177427992023905</v>
      </c>
    </row>
    <row r="189" spans="1:29">
      <c r="A189">
        <v>244</v>
      </c>
      <c r="B189">
        <v>52124.44</v>
      </c>
      <c r="C189">
        <v>29064.23</v>
      </c>
      <c r="D189">
        <v>66.180000000000007</v>
      </c>
      <c r="H189">
        <v>244</v>
      </c>
      <c r="I189">
        <v>52124.71</v>
      </c>
      <c r="J189">
        <v>29064.04</v>
      </c>
      <c r="K189">
        <v>66.150000000000006</v>
      </c>
      <c r="X189" s="7">
        <f t="shared" si="18"/>
        <v>0.26999999999679858</v>
      </c>
      <c r="Y189" s="7">
        <f t="shared" si="18"/>
        <v>-0.18999999999869033</v>
      </c>
      <c r="Z189" s="7">
        <f t="shared" si="19"/>
        <v>100</v>
      </c>
      <c r="AA189" s="7">
        <f t="shared" si="19"/>
        <v>100</v>
      </c>
      <c r="AB189" s="48"/>
      <c r="AC189" s="8">
        <f t="shared" si="15"/>
        <v>0.33015148038101172</v>
      </c>
    </row>
    <row r="190" spans="1:29">
      <c r="A190">
        <v>245</v>
      </c>
      <c r="B190">
        <v>52118.5</v>
      </c>
      <c r="C190">
        <v>29061.59</v>
      </c>
      <c r="D190">
        <v>66.709999999999994</v>
      </c>
      <c r="H190">
        <v>245</v>
      </c>
      <c r="I190">
        <v>52118.64</v>
      </c>
      <c r="J190">
        <v>29061.79</v>
      </c>
      <c r="K190">
        <v>66.69</v>
      </c>
      <c r="X190" s="7">
        <f t="shared" si="18"/>
        <v>0.13999999999941792</v>
      </c>
      <c r="Y190" s="7">
        <f t="shared" si="18"/>
        <v>0.2000000000007276</v>
      </c>
      <c r="Z190" s="7">
        <f t="shared" si="19"/>
        <v>100</v>
      </c>
      <c r="AA190" s="7">
        <f t="shared" si="19"/>
        <v>100</v>
      </c>
      <c r="AB190" s="48"/>
      <c r="AC190" s="8">
        <f t="shared" si="15"/>
        <v>0.24413111231493634</v>
      </c>
    </row>
    <row r="191" spans="1:29">
      <c r="A191">
        <v>246</v>
      </c>
      <c r="B191">
        <v>52112.56</v>
      </c>
      <c r="C191">
        <v>29058.94</v>
      </c>
      <c r="D191">
        <v>67.209999999999994</v>
      </c>
      <c r="H191">
        <v>246</v>
      </c>
      <c r="I191">
        <v>52112.38</v>
      </c>
      <c r="J191">
        <v>29058.880000000001</v>
      </c>
      <c r="K191">
        <v>67.16</v>
      </c>
      <c r="X191" s="7">
        <f t="shared" si="18"/>
        <v>-0.18000000000029104</v>
      </c>
      <c r="Y191" s="7">
        <f t="shared" si="18"/>
        <v>-5.9999999997671694E-2</v>
      </c>
      <c r="Z191" s="7">
        <f t="shared" si="19"/>
        <v>100</v>
      </c>
      <c r="AA191" s="7">
        <f t="shared" si="19"/>
        <v>100</v>
      </c>
      <c r="AB191" s="48"/>
      <c r="AC191" s="8">
        <f t="shared" si="15"/>
        <v>0.18973665960964259</v>
      </c>
    </row>
    <row r="192" spans="1:29">
      <c r="A192">
        <v>250</v>
      </c>
      <c r="B192">
        <v>52125.13</v>
      </c>
      <c r="C192">
        <v>29070.67</v>
      </c>
      <c r="D192">
        <v>66.03</v>
      </c>
      <c r="H192">
        <v>250</v>
      </c>
      <c r="I192">
        <v>52125.23</v>
      </c>
      <c r="J192">
        <v>29070.7</v>
      </c>
      <c r="K192">
        <v>65.95</v>
      </c>
      <c r="X192" s="7">
        <f t="shared" si="18"/>
        <v>0.10000000000582077</v>
      </c>
      <c r="Y192" s="7">
        <f t="shared" si="18"/>
        <v>3.0000000002473826E-2</v>
      </c>
      <c r="Z192" s="7">
        <f t="shared" si="19"/>
        <v>100</v>
      </c>
      <c r="AA192" s="7">
        <f t="shared" si="19"/>
        <v>100</v>
      </c>
      <c r="AB192" s="48"/>
      <c r="AC192" s="8">
        <f t="shared" si="15"/>
        <v>0.10440306509539164</v>
      </c>
    </row>
    <row r="193" spans="1:29">
      <c r="A193">
        <v>251</v>
      </c>
      <c r="B193">
        <v>52119.19</v>
      </c>
      <c r="C193">
        <v>29068.03</v>
      </c>
      <c r="D193">
        <v>66.53</v>
      </c>
      <c r="H193">
        <v>251</v>
      </c>
      <c r="I193">
        <v>52119.09</v>
      </c>
      <c r="J193">
        <v>29067.72</v>
      </c>
      <c r="K193">
        <v>66.400000000000006</v>
      </c>
      <c r="X193" s="7">
        <f t="shared" si="18"/>
        <v>-0.10000000000582077</v>
      </c>
      <c r="Y193" s="7">
        <f t="shared" si="18"/>
        <v>-0.30999999999767169</v>
      </c>
      <c r="Z193" s="7">
        <f t="shared" si="19"/>
        <v>100</v>
      </c>
      <c r="AA193" s="7">
        <f t="shared" si="19"/>
        <v>100</v>
      </c>
      <c r="AB193" s="48"/>
      <c r="AC193" s="8">
        <f t="shared" si="15"/>
        <v>0.32572994949761774</v>
      </c>
    </row>
    <row r="194" spans="1:29">
      <c r="A194">
        <v>252</v>
      </c>
      <c r="B194">
        <v>52113.25</v>
      </c>
      <c r="C194">
        <v>29065.38</v>
      </c>
      <c r="D194">
        <v>67.02</v>
      </c>
      <c r="H194">
        <v>252</v>
      </c>
      <c r="I194">
        <v>52113.18</v>
      </c>
      <c r="J194">
        <v>29065.83</v>
      </c>
      <c r="K194">
        <v>67.08</v>
      </c>
      <c r="X194" s="7">
        <f t="shared" si="18"/>
        <v>-6.9999999999708962E-2</v>
      </c>
      <c r="Y194" s="7">
        <f t="shared" si="18"/>
        <v>0.4500000000007276</v>
      </c>
      <c r="Z194" s="7">
        <f t="shared" si="19"/>
        <v>100</v>
      </c>
      <c r="AA194" s="7">
        <f t="shared" si="19"/>
        <v>100</v>
      </c>
      <c r="AB194" s="48"/>
      <c r="AC194" s="8">
        <f t="shared" si="15"/>
        <v>0.45541190147010219</v>
      </c>
    </row>
    <row r="195" spans="1:29">
      <c r="A195">
        <v>253</v>
      </c>
      <c r="B195">
        <v>52107.31</v>
      </c>
      <c r="C195">
        <v>29062.74</v>
      </c>
      <c r="D195">
        <v>67.44</v>
      </c>
      <c r="H195">
        <v>253</v>
      </c>
      <c r="I195">
        <v>52107.7</v>
      </c>
      <c r="J195">
        <v>29062.71</v>
      </c>
      <c r="K195">
        <v>67.37</v>
      </c>
      <c r="X195" s="7">
        <f t="shared" si="18"/>
        <v>0.38999999999941792</v>
      </c>
      <c r="Y195" s="7">
        <f t="shared" si="18"/>
        <v>-3.0000000002473826E-2</v>
      </c>
      <c r="Z195" s="7">
        <f t="shared" si="19"/>
        <v>100</v>
      </c>
      <c r="AA195" s="7">
        <f t="shared" si="19"/>
        <v>100</v>
      </c>
      <c r="AB195" s="48"/>
      <c r="AC195" s="8">
        <f t="shared" si="15"/>
        <v>0.39115214431176831</v>
      </c>
    </row>
    <row r="196" spans="1:29">
      <c r="A196">
        <v>255</v>
      </c>
      <c r="B196">
        <v>52119.88</v>
      </c>
      <c r="C196">
        <v>29074.46</v>
      </c>
      <c r="D196">
        <v>66.400000000000006</v>
      </c>
      <c r="H196">
        <v>255</v>
      </c>
      <c r="I196">
        <v>52119.66</v>
      </c>
      <c r="J196">
        <v>29074.92</v>
      </c>
      <c r="K196">
        <v>66.45</v>
      </c>
      <c r="X196" s="7">
        <f t="shared" si="18"/>
        <v>100</v>
      </c>
      <c r="Y196" s="7">
        <f t="shared" si="18"/>
        <v>100</v>
      </c>
      <c r="Z196" s="7">
        <f t="shared" si="19"/>
        <v>-0.2199999999938882</v>
      </c>
      <c r="AA196" s="7">
        <f t="shared" si="19"/>
        <v>0.45999999999912689</v>
      </c>
      <c r="AB196" s="48"/>
      <c r="AC196" s="8">
        <f t="shared" si="15"/>
        <v>0.50990195135585381</v>
      </c>
    </row>
    <row r="197" spans="1:29">
      <c r="A197">
        <v>256</v>
      </c>
      <c r="B197">
        <v>52113.94</v>
      </c>
      <c r="C197">
        <v>29071.82</v>
      </c>
      <c r="D197">
        <v>66.739999999999995</v>
      </c>
      <c r="H197">
        <v>256</v>
      </c>
      <c r="I197">
        <v>52114.06</v>
      </c>
      <c r="J197">
        <v>29071.86</v>
      </c>
      <c r="K197">
        <v>66.849999999999994</v>
      </c>
      <c r="X197" s="7">
        <f t="shared" si="18"/>
        <v>0.11999999999534339</v>
      </c>
      <c r="Y197" s="7">
        <f t="shared" si="18"/>
        <v>4.0000000000873115E-2</v>
      </c>
      <c r="Z197" s="7">
        <f t="shared" si="19"/>
        <v>100</v>
      </c>
      <c r="AA197" s="7">
        <f t="shared" si="19"/>
        <v>100</v>
      </c>
      <c r="AB197" s="48"/>
      <c r="AC197" s="8">
        <f t="shared" si="15"/>
        <v>0.12649110640259362</v>
      </c>
    </row>
    <row r="198" spans="1:29">
      <c r="A198">
        <v>257</v>
      </c>
      <c r="B198">
        <v>52109.59</v>
      </c>
      <c r="C198">
        <v>29068.15</v>
      </c>
      <c r="D198">
        <v>67.180000000000007</v>
      </c>
      <c r="H198">
        <v>257</v>
      </c>
      <c r="I198">
        <v>52109.88</v>
      </c>
      <c r="J198">
        <v>29068.38</v>
      </c>
      <c r="K198">
        <v>67.34</v>
      </c>
      <c r="X198" s="7">
        <f t="shared" si="18"/>
        <v>0.29000000000087311</v>
      </c>
      <c r="Y198" s="7">
        <f t="shared" si="18"/>
        <v>0.22999999999956344</v>
      </c>
      <c r="Z198" s="7">
        <f t="shared" si="19"/>
        <v>100</v>
      </c>
      <c r="AA198" s="7">
        <f t="shared" si="19"/>
        <v>100</v>
      </c>
      <c r="AB198" s="48"/>
      <c r="AC198" s="8">
        <f t="shared" ref="AC198:AC219" si="20">IF(B198="","",(SQRT((I198-B198)^2+(J198-C198)^2)))</f>
        <v>0.37013511046684777</v>
      </c>
    </row>
    <row r="199" spans="1:29">
      <c r="A199">
        <v>258</v>
      </c>
      <c r="B199">
        <v>52116.480000000003</v>
      </c>
      <c r="C199">
        <v>29078.240000000002</v>
      </c>
      <c r="D199">
        <v>66.599999999999994</v>
      </c>
      <c r="H199">
        <v>258</v>
      </c>
      <c r="I199">
        <v>52116.86</v>
      </c>
      <c r="J199">
        <v>29078.44</v>
      </c>
      <c r="K199">
        <v>66.69</v>
      </c>
      <c r="X199" s="7">
        <f t="shared" si="18"/>
        <v>0.37999999999738066</v>
      </c>
      <c r="Y199" s="7">
        <f t="shared" si="18"/>
        <v>0.19999999999708962</v>
      </c>
      <c r="Z199" s="7">
        <f t="shared" si="19"/>
        <v>100</v>
      </c>
      <c r="AA199" s="7">
        <f t="shared" si="19"/>
        <v>100</v>
      </c>
      <c r="AB199" s="48"/>
      <c r="AC199" s="8">
        <f t="shared" si="20"/>
        <v>0.42941821106800437</v>
      </c>
    </row>
    <row r="200" spans="1:29">
      <c r="A200"/>
      <c r="H200"/>
      <c r="X200" s="7"/>
      <c r="Y200" s="7"/>
      <c r="Z200" s="7"/>
      <c r="AA200" s="7"/>
      <c r="AB200" s="48"/>
      <c r="AC200" s="8"/>
    </row>
    <row r="201" spans="1:29">
      <c r="A201"/>
      <c r="H201"/>
      <c r="X201" s="7"/>
      <c r="Y201" s="7"/>
      <c r="Z201" s="7"/>
      <c r="AA201" s="7"/>
      <c r="AB201" s="48"/>
      <c r="AC201" s="8"/>
    </row>
    <row r="202" spans="1:29">
      <c r="A202"/>
      <c r="H202"/>
      <c r="X202" s="7"/>
      <c r="Y202" s="7"/>
      <c r="Z202" s="7"/>
      <c r="AA202" s="7"/>
      <c r="AB202" s="48"/>
      <c r="AC202" s="8"/>
    </row>
    <row r="203" spans="1:29">
      <c r="A203"/>
      <c r="H203"/>
      <c r="X203" s="7"/>
      <c r="Y203" s="7"/>
      <c r="Z203" s="7"/>
      <c r="AA203" s="7"/>
      <c r="AB203" s="48"/>
      <c r="AC203" s="8"/>
    </row>
    <row r="204" spans="1:29">
      <c r="A204"/>
      <c r="H204"/>
      <c r="X204" s="7"/>
      <c r="Y204" s="7"/>
      <c r="Z204" s="7"/>
      <c r="AA204" s="7"/>
      <c r="AB204" s="48"/>
      <c r="AC204" s="8"/>
    </row>
    <row r="205" spans="1:29">
      <c r="A205"/>
      <c r="H205"/>
      <c r="X205" s="7"/>
      <c r="Y205" s="7"/>
      <c r="Z205" s="7"/>
      <c r="AA205" s="7"/>
      <c r="AB205" s="48"/>
      <c r="AC205" s="8"/>
    </row>
    <row r="206" spans="1:29">
      <c r="A206"/>
      <c r="H206"/>
      <c r="X206" s="7"/>
      <c r="Y206" s="7"/>
      <c r="Z206" s="7"/>
      <c r="AA206" s="7"/>
      <c r="AB206" s="48"/>
      <c r="AC206" s="8"/>
    </row>
    <row r="207" spans="1:29">
      <c r="A207"/>
      <c r="H207"/>
      <c r="X207" s="7"/>
      <c r="Y207" s="7"/>
      <c r="Z207" s="7"/>
      <c r="AA207" s="7"/>
      <c r="AB207" s="48"/>
      <c r="AC207" s="8"/>
    </row>
    <row r="208" spans="1:29">
      <c r="A208"/>
      <c r="H208"/>
      <c r="X208" s="7"/>
      <c r="Y208" s="7"/>
      <c r="Z208" s="7"/>
      <c r="AA208" s="7"/>
      <c r="AB208" s="48"/>
      <c r="AC208" s="8"/>
    </row>
    <row r="209" spans="1:29">
      <c r="A209"/>
      <c r="H209"/>
      <c r="X209" s="7"/>
      <c r="Y209" s="7"/>
      <c r="Z209" s="7"/>
      <c r="AA209" s="7"/>
      <c r="AB209" s="48"/>
      <c r="AC209" s="8"/>
    </row>
    <row r="210" spans="1:29">
      <c r="A210"/>
      <c r="H210"/>
      <c r="X210" s="7"/>
      <c r="Y210" s="7"/>
      <c r="Z210" s="7"/>
      <c r="AA210" s="7"/>
      <c r="AB210" s="48"/>
      <c r="AC210" s="8"/>
    </row>
    <row r="211" spans="1:29">
      <c r="A211"/>
      <c r="H211"/>
      <c r="X211" s="7"/>
      <c r="Y211" s="7"/>
      <c r="Z211" s="7"/>
      <c r="AA211" s="7"/>
      <c r="AB211" s="48"/>
      <c r="AC211" s="8"/>
    </row>
    <row r="212" spans="1:29">
      <c r="A212"/>
      <c r="H212"/>
      <c r="X212" s="7"/>
      <c r="Y212" s="7"/>
      <c r="Z212" s="7"/>
      <c r="AA212" s="7"/>
      <c r="AB212" s="48"/>
      <c r="AC212" s="8"/>
    </row>
    <row r="213" spans="1:29">
      <c r="A213"/>
      <c r="H213"/>
      <c r="X213" s="7"/>
      <c r="Y213" s="7"/>
      <c r="Z213" s="7"/>
      <c r="AA213" s="7"/>
      <c r="AB213" s="48"/>
      <c r="AC213" s="8"/>
    </row>
    <row r="214" spans="1:29">
      <c r="A214"/>
      <c r="H214"/>
      <c r="X214" s="7"/>
      <c r="Y214" s="7"/>
      <c r="Z214" s="7"/>
      <c r="AA214" s="7"/>
      <c r="AB214" s="48"/>
      <c r="AC214" s="8"/>
    </row>
    <row r="215" spans="1:29">
      <c r="A215"/>
      <c r="H215"/>
      <c r="X215" s="7"/>
      <c r="Y215" s="7"/>
      <c r="Z215" s="7"/>
      <c r="AA215" s="7"/>
      <c r="AB215" s="48"/>
      <c r="AC215" s="8"/>
    </row>
    <row r="216" spans="1:29">
      <c r="A216"/>
      <c r="H216"/>
      <c r="X216" s="7"/>
      <c r="Y216" s="7"/>
      <c r="Z216" s="7"/>
      <c r="AA216" s="7"/>
      <c r="AB216" s="48"/>
      <c r="AC216" s="8"/>
    </row>
    <row r="217" spans="1:29">
      <c r="A217"/>
      <c r="H217"/>
      <c r="X217" s="7"/>
      <c r="Y217" s="7"/>
      <c r="Z217" s="7"/>
      <c r="AA217" s="7"/>
      <c r="AB217" s="48"/>
      <c r="AC217" s="8"/>
    </row>
    <row r="218" spans="1:29">
      <c r="A218"/>
      <c r="H218"/>
      <c r="X218" s="7"/>
      <c r="Y218" s="7"/>
      <c r="Z218" s="7"/>
      <c r="AA218" s="7"/>
      <c r="AB218" s="48"/>
      <c r="AC218" s="8"/>
    </row>
    <row r="219" spans="1:29">
      <c r="A219"/>
      <c r="H219"/>
      <c r="X219" s="7"/>
      <c r="Y219" s="7"/>
      <c r="Z219" s="7"/>
      <c r="AA219" s="7"/>
      <c r="AB219" s="48"/>
      <c r="AC219" s="8"/>
    </row>
    <row r="220" spans="1:29">
      <c r="A220"/>
      <c r="H220"/>
      <c r="X220" s="7"/>
      <c r="Y220" s="7"/>
      <c r="Z220" s="7"/>
      <c r="AA220" s="7"/>
      <c r="AB220" s="48"/>
      <c r="AC220" s="8"/>
    </row>
    <row r="221" spans="1:29">
      <c r="A221"/>
      <c r="H221"/>
      <c r="X221" s="7"/>
      <c r="Y221" s="7"/>
      <c r="Z221" s="7"/>
      <c r="AA221" s="7"/>
      <c r="AB221" s="48"/>
      <c r="AC221" s="8"/>
    </row>
    <row r="222" spans="1:29">
      <c r="A222"/>
      <c r="H222"/>
      <c r="X222" s="7"/>
      <c r="Y222" s="7"/>
      <c r="Z222" s="7"/>
      <c r="AA222" s="7"/>
      <c r="AB222" s="48"/>
      <c r="AC222" s="8"/>
    </row>
    <row r="223" spans="1:29">
      <c r="A223"/>
      <c r="H223"/>
      <c r="X223" s="7"/>
      <c r="Y223" s="7"/>
      <c r="Z223" s="7"/>
      <c r="AA223" s="7"/>
      <c r="AB223" s="48"/>
      <c r="AC223" s="8"/>
    </row>
    <row r="224" spans="1:29">
      <c r="A224"/>
      <c r="H224"/>
      <c r="X224" s="7"/>
      <c r="Y224" s="7"/>
      <c r="Z224" s="7"/>
      <c r="AA224" s="7"/>
      <c r="AB224" s="48"/>
      <c r="AC224" s="8"/>
    </row>
    <row r="225" spans="1:29">
      <c r="A225"/>
      <c r="H225"/>
      <c r="X225" s="7"/>
      <c r="Y225" s="7"/>
      <c r="Z225" s="7"/>
      <c r="AA225" s="7"/>
      <c r="AB225" s="48"/>
      <c r="AC225" s="8"/>
    </row>
    <row r="226" spans="1:29">
      <c r="A226"/>
      <c r="H226"/>
      <c r="X226" s="7"/>
      <c r="Y226" s="7"/>
      <c r="Z226" s="7"/>
      <c r="AA226" s="7"/>
      <c r="AB226" s="48"/>
      <c r="AC226" s="8"/>
    </row>
    <row r="227" spans="1:29">
      <c r="A227"/>
      <c r="H227"/>
      <c r="X227" s="7"/>
      <c r="Y227" s="7"/>
      <c r="Z227" s="7"/>
      <c r="AA227" s="7"/>
      <c r="AB227" s="48"/>
      <c r="AC227" s="8"/>
    </row>
    <row r="228" spans="1:29">
      <c r="A228"/>
      <c r="H228"/>
      <c r="X228" s="7"/>
      <c r="Y228" s="7"/>
      <c r="Z228" s="7"/>
      <c r="AA228" s="7"/>
      <c r="AB228" s="48"/>
      <c r="AC228" s="8"/>
    </row>
    <row r="229" spans="1:29">
      <c r="A229"/>
      <c r="H229"/>
      <c r="X229" s="7"/>
      <c r="Y229" s="7"/>
      <c r="Z229" s="7"/>
      <c r="AA229" s="7"/>
      <c r="AB229" s="48"/>
      <c r="AC229" s="8"/>
    </row>
    <row r="230" spans="1:29">
      <c r="A230"/>
      <c r="H230"/>
      <c r="X230" s="7"/>
      <c r="Y230" s="7"/>
      <c r="Z230" s="7"/>
      <c r="AA230" s="7"/>
      <c r="AB230" s="48"/>
      <c r="AC230" s="8"/>
    </row>
    <row r="231" spans="1:29">
      <c r="A231"/>
      <c r="H231"/>
      <c r="X231" s="7"/>
      <c r="Y231" s="7"/>
      <c r="Z231" s="7"/>
      <c r="AA231" s="7"/>
      <c r="AB231" s="48"/>
      <c r="AC231" s="8"/>
    </row>
    <row r="232" spans="1:29">
      <c r="A232"/>
      <c r="H232"/>
      <c r="X232" s="7"/>
      <c r="Y232" s="7"/>
      <c r="Z232" s="7"/>
      <c r="AA232" s="7"/>
      <c r="AB232" s="48"/>
      <c r="AC232" s="8"/>
    </row>
    <row r="233" spans="1:29">
      <c r="A233"/>
      <c r="H233"/>
      <c r="X233" s="7"/>
      <c r="Y233" s="7"/>
      <c r="Z233" s="7"/>
      <c r="AA233" s="7"/>
      <c r="AB233" s="48"/>
      <c r="AC233" s="8"/>
    </row>
    <row r="234" spans="1:29">
      <c r="A234"/>
      <c r="H234"/>
      <c r="X234" s="7"/>
      <c r="Y234" s="7"/>
      <c r="Z234" s="7"/>
      <c r="AA234" s="7"/>
      <c r="AB234" s="48"/>
      <c r="AC234" s="8"/>
    </row>
    <row r="235" spans="1:29">
      <c r="A235"/>
      <c r="H235"/>
      <c r="X235" s="7"/>
      <c r="Y235" s="7"/>
      <c r="Z235" s="7"/>
      <c r="AA235" s="7"/>
      <c r="AB235" s="48"/>
      <c r="AC235" s="8"/>
    </row>
    <row r="236" spans="1:29">
      <c r="A236"/>
      <c r="H236"/>
      <c r="X236" s="7"/>
      <c r="Y236" s="7"/>
      <c r="Z236" s="7"/>
      <c r="AA236" s="7"/>
      <c r="AB236" s="48"/>
      <c r="AC236" s="8"/>
    </row>
    <row r="237" spans="1:29">
      <c r="A237"/>
      <c r="H237"/>
      <c r="X237" s="7"/>
      <c r="Y237" s="7"/>
      <c r="Z237" s="7"/>
      <c r="AA237" s="7"/>
      <c r="AB237" s="48"/>
      <c r="AC237" s="8"/>
    </row>
    <row r="238" spans="1:29">
      <c r="A238"/>
      <c r="H238"/>
      <c r="X238" s="7"/>
      <c r="Y238" s="7"/>
      <c r="Z238" s="7"/>
      <c r="AA238" s="7"/>
      <c r="AB238" s="48"/>
      <c r="AC238" s="8"/>
    </row>
    <row r="239" spans="1:29">
      <c r="A239"/>
      <c r="H239"/>
      <c r="X239" s="7"/>
      <c r="Y239" s="7"/>
      <c r="Z239" s="7"/>
      <c r="AA239" s="7"/>
      <c r="AB239" s="48"/>
      <c r="AC239" s="8"/>
    </row>
    <row r="240" spans="1:29">
      <c r="A240"/>
      <c r="H240"/>
      <c r="X240" s="7"/>
      <c r="Y240" s="7"/>
      <c r="Z240" s="7"/>
      <c r="AA240" s="7"/>
      <c r="AB240" s="48"/>
      <c r="AC240" s="8"/>
    </row>
    <row r="241" spans="1:29">
      <c r="A241"/>
      <c r="H241"/>
      <c r="X241" s="7"/>
      <c r="Y241" s="7"/>
      <c r="Z241" s="7"/>
      <c r="AA241" s="7"/>
      <c r="AB241" s="48"/>
      <c r="AC241" s="8"/>
    </row>
    <row r="242" spans="1:29">
      <c r="A242"/>
      <c r="H242"/>
      <c r="X242" s="7"/>
      <c r="Y242" s="7"/>
      <c r="Z242" s="7"/>
      <c r="AA242" s="7"/>
      <c r="AB242" s="48"/>
      <c r="AC242" s="8"/>
    </row>
    <row r="243" spans="1:29">
      <c r="A243"/>
      <c r="H243"/>
      <c r="X243" s="7"/>
      <c r="Y243" s="7"/>
      <c r="Z243" s="7"/>
      <c r="AA243" s="7"/>
      <c r="AB243" s="48"/>
      <c r="AC243" s="8"/>
    </row>
    <row r="244" spans="1:29">
      <c r="A244"/>
      <c r="H244"/>
      <c r="X244" s="7"/>
      <c r="Y244" s="7"/>
      <c r="Z244" s="7"/>
      <c r="AA244" s="7"/>
      <c r="AB244" s="48"/>
      <c r="AC244" s="8"/>
    </row>
    <row r="245" spans="1:29">
      <c r="A245"/>
      <c r="H245"/>
      <c r="X245" s="7"/>
      <c r="Y245" s="7"/>
      <c r="Z245" s="7"/>
      <c r="AA245" s="7"/>
      <c r="AB245" s="48"/>
      <c r="AC245" s="8"/>
    </row>
    <row r="246" spans="1:29">
      <c r="A246"/>
      <c r="H246"/>
      <c r="X246" s="7"/>
      <c r="Y246" s="7"/>
      <c r="Z246" s="7"/>
      <c r="AA246" s="7"/>
      <c r="AB246" s="48"/>
      <c r="AC246" s="8"/>
    </row>
    <row r="247" spans="1:29">
      <c r="A247"/>
      <c r="H247"/>
      <c r="X247" s="7"/>
      <c r="Y247" s="7"/>
      <c r="Z247" s="7"/>
      <c r="AA247" s="7"/>
      <c r="AB247" s="48"/>
      <c r="AC247" s="8"/>
    </row>
    <row r="248" spans="1:29">
      <c r="A248"/>
      <c r="H248"/>
      <c r="X248" s="7"/>
      <c r="Y248" s="7"/>
      <c r="Z248" s="7"/>
      <c r="AA248" s="7"/>
      <c r="AB248" s="48"/>
      <c r="AC248" s="8"/>
    </row>
    <row r="249" spans="1:29">
      <c r="A249"/>
      <c r="H249"/>
      <c r="X249" s="7"/>
      <c r="Y249" s="7"/>
      <c r="Z249" s="7"/>
      <c r="AA249" s="7"/>
      <c r="AB249" s="48"/>
      <c r="AC249" s="8"/>
    </row>
    <row r="250" spans="1:29">
      <c r="A250"/>
      <c r="H250"/>
      <c r="X250" s="7"/>
      <c r="Y250" s="7"/>
      <c r="Z250" s="7"/>
      <c r="AA250" s="7"/>
      <c r="AB250" s="48"/>
      <c r="AC250" s="8"/>
    </row>
    <row r="251" spans="1:29">
      <c r="A251"/>
      <c r="H251"/>
      <c r="X251" s="7"/>
      <c r="Y251" s="7"/>
      <c r="Z251" s="7"/>
      <c r="AA251" s="7"/>
      <c r="AB251" s="48"/>
      <c r="AC251" s="8"/>
    </row>
    <row r="252" spans="1:29">
      <c r="A252"/>
      <c r="H252"/>
      <c r="X252" s="7"/>
      <c r="Y252" s="7"/>
      <c r="Z252" s="7"/>
      <c r="AA252" s="7"/>
      <c r="AB252" s="48"/>
      <c r="AC252" s="8"/>
    </row>
    <row r="253" spans="1:29">
      <c r="A253"/>
      <c r="H253"/>
      <c r="X253" s="7"/>
      <c r="Y253" s="7"/>
      <c r="Z253" s="7"/>
      <c r="AA253" s="7"/>
      <c r="AB253" s="48"/>
      <c r="AC253" s="8"/>
    </row>
    <row r="254" spans="1:29">
      <c r="A254"/>
      <c r="H254"/>
      <c r="X254" s="7"/>
      <c r="Y254" s="7"/>
      <c r="Z254" s="7"/>
      <c r="AA254" s="7"/>
      <c r="AB254" s="48"/>
      <c r="AC254" s="8"/>
    </row>
    <row r="255" spans="1:29">
      <c r="A255"/>
      <c r="H255"/>
      <c r="X255" s="7"/>
      <c r="Y255" s="7"/>
      <c r="Z255" s="7"/>
      <c r="AA255" s="7"/>
      <c r="AB255" s="48"/>
      <c r="AC255" s="8"/>
    </row>
    <row r="256" spans="1:29">
      <c r="A256"/>
      <c r="H256"/>
      <c r="X256" s="7"/>
      <c r="Y256" s="7"/>
      <c r="Z256" s="7"/>
      <c r="AA256" s="7"/>
      <c r="AB256" s="48"/>
      <c r="AC256" s="8"/>
    </row>
    <row r="257" spans="1:29">
      <c r="A257"/>
      <c r="H257"/>
      <c r="X257" s="7"/>
      <c r="Y257" s="7"/>
      <c r="Z257" s="7"/>
      <c r="AA257" s="7"/>
      <c r="AB257" s="48"/>
      <c r="AC257" s="8"/>
    </row>
    <row r="258" spans="1:29">
      <c r="A258"/>
      <c r="H258"/>
      <c r="X258" s="7"/>
      <c r="Y258" s="7"/>
      <c r="Z258" s="7"/>
      <c r="AA258" s="7"/>
      <c r="AB258" s="48"/>
      <c r="AC258" s="8"/>
    </row>
    <row r="259" spans="1:29">
      <c r="A259"/>
      <c r="H259"/>
      <c r="X259" s="7"/>
      <c r="Y259" s="7"/>
      <c r="Z259" s="7"/>
      <c r="AA259" s="7"/>
      <c r="AB259" s="48"/>
      <c r="AC259" s="8"/>
    </row>
    <row r="260" spans="1:29">
      <c r="A260"/>
      <c r="H260"/>
      <c r="X260" s="7"/>
      <c r="Y260" s="7"/>
      <c r="Z260" s="7"/>
      <c r="AA260" s="7"/>
      <c r="AB260" s="48"/>
      <c r="AC260" s="8"/>
    </row>
    <row r="261" spans="1:29">
      <c r="A261"/>
      <c r="H261"/>
      <c r="X261" s="7"/>
      <c r="Y261" s="7"/>
      <c r="Z261" s="7"/>
      <c r="AA261" s="7"/>
      <c r="AB261" s="48"/>
      <c r="AC261" s="8"/>
    </row>
    <row r="262" spans="1:29">
      <c r="A262"/>
      <c r="H262"/>
      <c r="X262" s="7"/>
      <c r="Y262" s="7"/>
      <c r="Z262" s="7"/>
      <c r="AA262" s="7"/>
      <c r="AB262" s="48"/>
      <c r="AC262" s="8"/>
    </row>
    <row r="263" spans="1:29">
      <c r="A263"/>
      <c r="H263"/>
      <c r="X263" s="7"/>
      <c r="Y263" s="7"/>
      <c r="Z263" s="7"/>
      <c r="AA263" s="7"/>
      <c r="AB263" s="48"/>
      <c r="AC263" s="8"/>
    </row>
    <row r="264" spans="1:29">
      <c r="A264"/>
      <c r="H264"/>
      <c r="X264" s="7"/>
      <c r="Y264" s="7"/>
      <c r="Z264" s="7"/>
      <c r="AA264" s="7"/>
      <c r="AB264" s="48"/>
      <c r="AC264" s="8"/>
    </row>
    <row r="265" spans="1:29">
      <c r="A265"/>
      <c r="H265"/>
      <c r="X265" s="7"/>
      <c r="Y265" s="7"/>
      <c r="Z265" s="7"/>
      <c r="AA265" s="7"/>
      <c r="AB265" s="48"/>
      <c r="AC265" s="8"/>
    </row>
    <row r="266" spans="1:29">
      <c r="A266"/>
      <c r="H266"/>
      <c r="X266" s="7"/>
      <c r="Y266" s="7"/>
      <c r="Z266" s="7"/>
      <c r="AA266" s="7"/>
      <c r="AB266" s="48"/>
      <c r="AC266" s="8"/>
    </row>
    <row r="267" spans="1:29">
      <c r="A267"/>
      <c r="H267"/>
      <c r="X267" s="7"/>
      <c r="Y267" s="7"/>
      <c r="Z267" s="7"/>
      <c r="AA267" s="7"/>
      <c r="AB267" s="48"/>
      <c r="AC267" s="8"/>
    </row>
    <row r="268" spans="1:29">
      <c r="A268"/>
      <c r="H268"/>
      <c r="X268" s="7"/>
      <c r="Y268" s="7"/>
      <c r="Z268" s="7"/>
      <c r="AA268" s="7"/>
      <c r="AB268" s="48"/>
      <c r="AC268" s="8"/>
    </row>
    <row r="269" spans="1:29">
      <c r="A269"/>
      <c r="H269"/>
      <c r="X269" s="7"/>
      <c r="Y269" s="7"/>
      <c r="Z269" s="7"/>
      <c r="AA269" s="7"/>
      <c r="AB269" s="48"/>
      <c r="AC269" s="8"/>
    </row>
    <row r="270" spans="1:29">
      <c r="A270"/>
      <c r="H270"/>
      <c r="X270" s="7"/>
      <c r="Y270" s="7"/>
      <c r="Z270" s="7"/>
      <c r="AA270" s="7"/>
      <c r="AB270" s="48"/>
      <c r="AC270" s="8"/>
    </row>
    <row r="271" spans="1:29">
      <c r="A271"/>
      <c r="H271"/>
      <c r="X271" s="7"/>
      <c r="Y271" s="7"/>
      <c r="Z271" s="7"/>
      <c r="AA271" s="7"/>
      <c r="AB271" s="48"/>
      <c r="AC271" s="8"/>
    </row>
    <row r="272" spans="1:29">
      <c r="A272"/>
      <c r="H272"/>
      <c r="X272" s="7"/>
      <c r="Y272" s="7"/>
      <c r="Z272" s="7"/>
      <c r="AA272" s="7"/>
      <c r="AB272" s="48"/>
      <c r="AC272" s="8"/>
    </row>
    <row r="273" spans="1:29">
      <c r="A273"/>
      <c r="H273"/>
      <c r="X273" s="7"/>
      <c r="Y273" s="7"/>
      <c r="Z273" s="7"/>
      <c r="AA273" s="7"/>
      <c r="AB273" s="48"/>
      <c r="AC273" s="8"/>
    </row>
    <row r="274" spans="1:29">
      <c r="A274"/>
      <c r="H274"/>
      <c r="X274" s="7"/>
      <c r="Y274" s="7"/>
      <c r="Z274" s="7"/>
      <c r="AA274" s="7"/>
      <c r="AB274" s="48"/>
      <c r="AC274" s="8"/>
    </row>
    <row r="275" spans="1:29">
      <c r="A275"/>
      <c r="H275"/>
      <c r="X275" s="7"/>
      <c r="Y275" s="7"/>
      <c r="Z275" s="7"/>
      <c r="AA275" s="7"/>
      <c r="AB275" s="48"/>
      <c r="AC275" s="8"/>
    </row>
    <row r="276" spans="1:29">
      <c r="A276"/>
      <c r="H276"/>
      <c r="X276" s="7"/>
      <c r="Y276" s="7"/>
      <c r="Z276" s="7"/>
      <c r="AA276" s="7"/>
      <c r="AB276" s="48"/>
      <c r="AC276" s="8"/>
    </row>
    <row r="277" spans="1:29">
      <c r="A277"/>
      <c r="H277"/>
      <c r="X277" s="7"/>
      <c r="Y277" s="7"/>
      <c r="Z277" s="7"/>
      <c r="AA277" s="7"/>
      <c r="AB277" s="48"/>
      <c r="AC277" s="8"/>
    </row>
    <row r="278" spans="1:29">
      <c r="A278"/>
      <c r="H278"/>
      <c r="X278" s="7"/>
      <c r="Y278" s="7"/>
      <c r="Z278" s="7"/>
      <c r="AA278" s="7"/>
      <c r="AB278" s="48"/>
      <c r="AC278" s="8"/>
    </row>
    <row r="279" spans="1:29">
      <c r="A279"/>
      <c r="H279"/>
      <c r="X279" s="7"/>
      <c r="Y279" s="7"/>
      <c r="Z279" s="7"/>
      <c r="AA279" s="7"/>
      <c r="AB279" s="48"/>
      <c r="AC279" s="8"/>
    </row>
    <row r="280" spans="1:29">
      <c r="A280"/>
      <c r="H280"/>
      <c r="X280" s="7"/>
      <c r="Y280" s="7"/>
      <c r="Z280" s="7"/>
      <c r="AA280" s="7"/>
      <c r="AB280" s="48"/>
      <c r="AC280" s="8"/>
    </row>
    <row r="281" spans="1:29">
      <c r="A281"/>
      <c r="H281"/>
      <c r="X281" s="7"/>
      <c r="Y281" s="7"/>
      <c r="Z281" s="7"/>
      <c r="AA281" s="7"/>
      <c r="AB281" s="48"/>
      <c r="AC281" s="8"/>
    </row>
    <row r="282" spans="1:29">
      <c r="A282"/>
      <c r="H282"/>
      <c r="X282" s="7"/>
      <c r="Y282" s="7"/>
      <c r="Z282" s="7"/>
      <c r="AA282" s="7"/>
      <c r="AB282" s="48"/>
      <c r="AC282" s="8"/>
    </row>
    <row r="283" spans="1:29">
      <c r="A283"/>
      <c r="H283"/>
      <c r="X283" s="7"/>
      <c r="Y283" s="7"/>
      <c r="Z283" s="7"/>
      <c r="AA283" s="7"/>
      <c r="AB283" s="48"/>
      <c r="AC283" s="8"/>
    </row>
    <row r="284" spans="1:29">
      <c r="A284"/>
      <c r="H284"/>
      <c r="X284" s="7"/>
      <c r="Y284" s="7"/>
      <c r="Z284" s="7"/>
      <c r="AA284" s="7"/>
      <c r="AB284" s="48"/>
      <c r="AC284" s="8"/>
    </row>
    <row r="285" spans="1:29">
      <c r="A285"/>
      <c r="H285"/>
      <c r="X285" s="7"/>
      <c r="Y285" s="7"/>
      <c r="Z285" s="7"/>
      <c r="AA285" s="7"/>
      <c r="AB285" s="48"/>
      <c r="AC285" s="8"/>
    </row>
    <row r="286" spans="1:29">
      <c r="A286"/>
      <c r="H286"/>
    </row>
    <row r="287" spans="1:29">
      <c r="A287"/>
      <c r="H287"/>
    </row>
    <row r="288" spans="1:29">
      <c r="A288"/>
      <c r="H288"/>
    </row>
    <row r="289" spans="1:8">
      <c r="A289"/>
      <c r="H289"/>
    </row>
    <row r="290" spans="1:8">
      <c r="A290"/>
      <c r="H290"/>
    </row>
    <row r="291" spans="1:8">
      <c r="A291"/>
      <c r="H291"/>
    </row>
    <row r="292" spans="1:8">
      <c r="A292"/>
      <c r="H292"/>
    </row>
    <row r="293" spans="1:8">
      <c r="A293"/>
      <c r="H293"/>
    </row>
    <row r="294" spans="1:8">
      <c r="A294"/>
      <c r="H294"/>
    </row>
    <row r="295" spans="1:8">
      <c r="A295"/>
      <c r="H295"/>
    </row>
    <row r="296" spans="1:8">
      <c r="A296"/>
      <c r="H296"/>
    </row>
    <row r="297" spans="1:8">
      <c r="A297"/>
      <c r="H297"/>
    </row>
    <row r="298" spans="1:8">
      <c r="A298"/>
      <c r="H298"/>
    </row>
    <row r="299" spans="1:8">
      <c r="A299"/>
      <c r="H299"/>
    </row>
    <row r="300" spans="1:8">
      <c r="A300"/>
      <c r="H300"/>
    </row>
    <row r="301" spans="1:8">
      <c r="A301"/>
      <c r="H301"/>
    </row>
    <row r="302" spans="1:8">
      <c r="A302"/>
      <c r="H302"/>
    </row>
    <row r="303" spans="1:8">
      <c r="A303"/>
      <c r="H303"/>
    </row>
    <row r="304" spans="1:8">
      <c r="A304"/>
      <c r="H304"/>
    </row>
    <row r="305" spans="1:8">
      <c r="A305"/>
      <c r="H305"/>
    </row>
    <row r="306" spans="1:8">
      <c r="A306"/>
      <c r="H306"/>
    </row>
    <row r="307" spans="1:8">
      <c r="A307"/>
      <c r="H307"/>
    </row>
    <row r="308" spans="1:8">
      <c r="A308"/>
      <c r="H308"/>
    </row>
    <row r="309" spans="1:8">
      <c r="A309"/>
      <c r="H309"/>
    </row>
    <row r="310" spans="1:8">
      <c r="A310"/>
      <c r="H310"/>
    </row>
    <row r="311" spans="1:8">
      <c r="A311"/>
      <c r="H311"/>
    </row>
    <row r="312" spans="1:8">
      <c r="A312"/>
      <c r="H312"/>
    </row>
    <row r="313" spans="1:8">
      <c r="A313"/>
      <c r="H313"/>
    </row>
    <row r="314" spans="1:8">
      <c r="A314"/>
      <c r="H314"/>
    </row>
    <row r="315" spans="1:8">
      <c r="A315"/>
      <c r="H315"/>
    </row>
    <row r="316" spans="1:8">
      <c r="A316"/>
      <c r="H316"/>
    </row>
    <row r="317" spans="1:8">
      <c r="A317"/>
      <c r="H317"/>
    </row>
    <row r="318" spans="1:8">
      <c r="A318"/>
      <c r="H318"/>
    </row>
    <row r="319" spans="1:8">
      <c r="A319"/>
      <c r="H319"/>
    </row>
    <row r="320" spans="1:8">
      <c r="A320"/>
      <c r="H320"/>
    </row>
    <row r="321" spans="1:8">
      <c r="A321"/>
      <c r="H321"/>
    </row>
    <row r="322" spans="1:8">
      <c r="A322"/>
      <c r="H322"/>
    </row>
    <row r="323" spans="1:8">
      <c r="A323"/>
      <c r="H323"/>
    </row>
    <row r="324" spans="1:8">
      <c r="A324"/>
      <c r="H324"/>
    </row>
    <row r="325" spans="1:8">
      <c r="A325"/>
      <c r="H325"/>
    </row>
    <row r="326" spans="1:8">
      <c r="A326"/>
      <c r="H326"/>
    </row>
    <row r="327" spans="1:8">
      <c r="A327"/>
      <c r="H327"/>
    </row>
    <row r="328" spans="1:8">
      <c r="A328"/>
      <c r="H328"/>
    </row>
    <row r="329" spans="1:8">
      <c r="A329"/>
      <c r="H329"/>
    </row>
    <row r="330" spans="1:8">
      <c r="A330"/>
      <c r="H330"/>
    </row>
    <row r="331" spans="1:8">
      <c r="A331"/>
      <c r="H331"/>
    </row>
    <row r="332" spans="1:8">
      <c r="A332"/>
      <c r="H332"/>
    </row>
    <row r="333" spans="1:8">
      <c r="A333"/>
      <c r="H333"/>
    </row>
    <row r="334" spans="1:8">
      <c r="A334"/>
      <c r="H334"/>
    </row>
    <row r="335" spans="1:8">
      <c r="A335"/>
      <c r="H335"/>
    </row>
    <row r="336" spans="1:8">
      <c r="A336"/>
      <c r="H336"/>
    </row>
    <row r="337" spans="1:8">
      <c r="A337"/>
      <c r="H337"/>
    </row>
    <row r="338" spans="1:8">
      <c r="A338"/>
      <c r="H338"/>
    </row>
    <row r="339" spans="1:8">
      <c r="A339"/>
      <c r="H339"/>
    </row>
    <row r="340" spans="1:8">
      <c r="A340"/>
      <c r="H340"/>
    </row>
    <row r="341" spans="1:8">
      <c r="A341"/>
      <c r="H341"/>
    </row>
    <row r="342" spans="1:8">
      <c r="A342"/>
      <c r="H342"/>
    </row>
    <row r="343" spans="1:8">
      <c r="A343"/>
      <c r="H343"/>
    </row>
    <row r="344" spans="1:8">
      <c r="A344"/>
      <c r="H344"/>
    </row>
    <row r="345" spans="1:8">
      <c r="A345"/>
      <c r="H345"/>
    </row>
    <row r="346" spans="1:8">
      <c r="A346"/>
      <c r="H346"/>
    </row>
    <row r="347" spans="1:8">
      <c r="A347"/>
      <c r="H347"/>
    </row>
    <row r="348" spans="1:8">
      <c r="A348"/>
      <c r="H348"/>
    </row>
    <row r="349" spans="1:8">
      <c r="A349"/>
      <c r="H349"/>
    </row>
    <row r="350" spans="1:8">
      <c r="A350"/>
      <c r="H350"/>
    </row>
    <row r="351" spans="1:8">
      <c r="A351"/>
      <c r="H351"/>
    </row>
    <row r="352" spans="1:8">
      <c r="A352"/>
      <c r="H352"/>
    </row>
    <row r="353" spans="1:8">
      <c r="A353"/>
      <c r="H353"/>
    </row>
    <row r="354" spans="1:8">
      <c r="A354"/>
      <c r="H354"/>
    </row>
    <row r="355" spans="1:8">
      <c r="A355"/>
      <c r="H355"/>
    </row>
    <row r="356" spans="1:8">
      <c r="A356"/>
      <c r="H356"/>
    </row>
    <row r="357" spans="1:8">
      <c r="A357"/>
      <c r="H357"/>
    </row>
    <row r="358" spans="1:8">
      <c r="A358"/>
      <c r="H358"/>
    </row>
    <row r="359" spans="1:8">
      <c r="A359"/>
      <c r="H359"/>
    </row>
    <row r="360" spans="1:8">
      <c r="A360"/>
      <c r="H360"/>
    </row>
    <row r="361" spans="1:8">
      <c r="A361"/>
      <c r="H361"/>
    </row>
    <row r="362" spans="1:8">
      <c r="A362"/>
      <c r="H362"/>
    </row>
    <row r="363" spans="1:8">
      <c r="A363"/>
      <c r="H363"/>
    </row>
    <row r="364" spans="1:8">
      <c r="A364"/>
      <c r="H364"/>
    </row>
    <row r="365" spans="1:8">
      <c r="A365"/>
      <c r="H365"/>
    </row>
    <row r="366" spans="1:8">
      <c r="A366"/>
      <c r="H366"/>
    </row>
    <row r="367" spans="1:8">
      <c r="A367"/>
      <c r="H367"/>
    </row>
    <row r="368" spans="1:8">
      <c r="A368"/>
      <c r="H368"/>
    </row>
    <row r="369" spans="1:8">
      <c r="A369"/>
      <c r="H369"/>
    </row>
    <row r="370" spans="1:8">
      <c r="A370"/>
      <c r="H370"/>
    </row>
    <row r="371" spans="1:8">
      <c r="A371"/>
      <c r="H371"/>
    </row>
    <row r="372" spans="1:8">
      <c r="A372"/>
      <c r="H372"/>
    </row>
    <row r="373" spans="1:8">
      <c r="A373"/>
      <c r="H373"/>
    </row>
    <row r="374" spans="1:8">
      <c r="A374"/>
      <c r="H374"/>
    </row>
    <row r="375" spans="1:8">
      <c r="A375"/>
      <c r="H375"/>
    </row>
    <row r="376" spans="1:8">
      <c r="A376"/>
      <c r="H376"/>
    </row>
    <row r="377" spans="1:8">
      <c r="A377"/>
      <c r="H377"/>
    </row>
    <row r="378" spans="1:8">
      <c r="A378"/>
      <c r="H378"/>
    </row>
    <row r="379" spans="1:8">
      <c r="A379"/>
      <c r="H379"/>
    </row>
    <row r="380" spans="1:8">
      <c r="A380"/>
      <c r="H380"/>
    </row>
    <row r="381" spans="1:8">
      <c r="A381"/>
      <c r="H381"/>
    </row>
    <row r="382" spans="1:8">
      <c r="A382"/>
      <c r="H382"/>
    </row>
    <row r="383" spans="1:8">
      <c r="A383"/>
      <c r="H383"/>
    </row>
    <row r="384" spans="1:8">
      <c r="A384"/>
      <c r="H384"/>
    </row>
    <row r="385" spans="1:8">
      <c r="A385"/>
      <c r="H385"/>
    </row>
    <row r="386" spans="1:8">
      <c r="A386"/>
      <c r="H386"/>
    </row>
    <row r="387" spans="1:8">
      <c r="A387"/>
      <c r="H387"/>
    </row>
    <row r="388" spans="1:8">
      <c r="A388"/>
      <c r="H388"/>
    </row>
    <row r="389" spans="1:8">
      <c r="A389"/>
      <c r="H389"/>
    </row>
    <row r="390" spans="1:8">
      <c r="A390"/>
      <c r="H390"/>
    </row>
    <row r="391" spans="1:8">
      <c r="A391"/>
      <c r="H391"/>
    </row>
    <row r="392" spans="1:8">
      <c r="A392"/>
      <c r="H392"/>
    </row>
    <row r="393" spans="1:8">
      <c r="A393"/>
      <c r="H393"/>
    </row>
    <row r="394" spans="1:8">
      <c r="A394"/>
      <c r="H394"/>
    </row>
    <row r="395" spans="1:8">
      <c r="A395"/>
      <c r="H395"/>
    </row>
    <row r="396" spans="1:8">
      <c r="A396"/>
      <c r="H396"/>
    </row>
    <row r="397" spans="1:8">
      <c r="A397"/>
      <c r="H397"/>
    </row>
    <row r="398" spans="1:8">
      <c r="A398"/>
      <c r="H398"/>
    </row>
    <row r="399" spans="1:8">
      <c r="A399"/>
      <c r="H399"/>
    </row>
    <row r="400" spans="1:8">
      <c r="A400"/>
      <c r="H400"/>
    </row>
    <row r="401" spans="1:8">
      <c r="A401"/>
      <c r="H401"/>
    </row>
    <row r="402" spans="1:8">
      <c r="A402"/>
      <c r="H402"/>
    </row>
    <row r="403" spans="1:8">
      <c r="A403"/>
      <c r="H403"/>
    </row>
    <row r="404" spans="1:8">
      <c r="A404"/>
      <c r="H404"/>
    </row>
    <row r="405" spans="1:8">
      <c r="A405"/>
      <c r="H405"/>
    </row>
    <row r="406" spans="1:8">
      <c r="A406"/>
      <c r="H406"/>
    </row>
    <row r="407" spans="1:8">
      <c r="A407"/>
      <c r="H407"/>
    </row>
    <row r="408" spans="1:8">
      <c r="A408"/>
      <c r="H408"/>
    </row>
    <row r="409" spans="1:8">
      <c r="A409"/>
      <c r="H409"/>
    </row>
    <row r="410" spans="1:8">
      <c r="A410"/>
      <c r="H410"/>
    </row>
    <row r="411" spans="1:8">
      <c r="A411"/>
      <c r="H411"/>
    </row>
    <row r="412" spans="1:8">
      <c r="A412"/>
      <c r="H412"/>
    </row>
    <row r="413" spans="1:8">
      <c r="A413"/>
      <c r="H413"/>
    </row>
    <row r="414" spans="1:8">
      <c r="A414"/>
      <c r="H414"/>
    </row>
    <row r="415" spans="1:8">
      <c r="A415"/>
      <c r="H415"/>
    </row>
    <row r="416" spans="1:8">
      <c r="A416"/>
      <c r="H416"/>
    </row>
    <row r="417" spans="1:8">
      <c r="A417"/>
      <c r="H417"/>
    </row>
    <row r="418" spans="1:8">
      <c r="A418"/>
      <c r="H418"/>
    </row>
    <row r="419" spans="1:8">
      <c r="A419"/>
      <c r="H419"/>
    </row>
    <row r="420" spans="1:8">
      <c r="A420"/>
      <c r="H420"/>
    </row>
    <row r="421" spans="1:8">
      <c r="A421"/>
      <c r="H421"/>
    </row>
    <row r="422" spans="1:8">
      <c r="A422"/>
      <c r="H422"/>
    </row>
    <row r="423" spans="1:8">
      <c r="A423"/>
      <c r="H423"/>
    </row>
    <row r="424" spans="1:8">
      <c r="A424"/>
      <c r="H424"/>
    </row>
    <row r="425" spans="1:8">
      <c r="A425"/>
      <c r="H425"/>
    </row>
    <row r="426" spans="1:8">
      <c r="A426"/>
      <c r="H426"/>
    </row>
    <row r="427" spans="1:8">
      <c r="A427"/>
      <c r="H427"/>
    </row>
    <row r="428" spans="1:8">
      <c r="A428"/>
      <c r="H428"/>
    </row>
    <row r="429" spans="1:8">
      <c r="A429"/>
      <c r="H429"/>
    </row>
    <row r="430" spans="1:8">
      <c r="A430"/>
      <c r="H430"/>
    </row>
    <row r="431" spans="1:8">
      <c r="A431"/>
      <c r="H431"/>
    </row>
    <row r="432" spans="1:8">
      <c r="A432"/>
      <c r="H432"/>
    </row>
    <row r="433" spans="1:8">
      <c r="A433"/>
      <c r="H433"/>
    </row>
    <row r="434" spans="1:8">
      <c r="A434"/>
      <c r="H434"/>
    </row>
    <row r="435" spans="1:8">
      <c r="A435"/>
      <c r="H435"/>
    </row>
    <row r="436" spans="1:8">
      <c r="A436"/>
      <c r="H436"/>
    </row>
    <row r="437" spans="1:8">
      <c r="A437"/>
      <c r="H437"/>
    </row>
    <row r="438" spans="1:8">
      <c r="A438"/>
      <c r="H438"/>
    </row>
    <row r="439" spans="1:8">
      <c r="A439"/>
      <c r="H439"/>
    </row>
    <row r="440" spans="1:8">
      <c r="A440"/>
      <c r="H440"/>
    </row>
    <row r="441" spans="1:8">
      <c r="A441"/>
      <c r="H441"/>
    </row>
    <row r="442" spans="1:8">
      <c r="A442"/>
      <c r="H442"/>
    </row>
    <row r="443" spans="1:8">
      <c r="A443"/>
      <c r="H443"/>
    </row>
    <row r="444" spans="1:8">
      <c r="A444"/>
      <c r="H444"/>
    </row>
    <row r="445" spans="1:8">
      <c r="A445"/>
      <c r="H445"/>
    </row>
    <row r="446" spans="1:8">
      <c r="A446"/>
      <c r="H446"/>
    </row>
    <row r="447" spans="1:8">
      <c r="A447"/>
      <c r="H447"/>
    </row>
    <row r="448" spans="1:8">
      <c r="A448"/>
      <c r="H448"/>
    </row>
    <row r="449" spans="1:8">
      <c r="A449"/>
      <c r="H449"/>
    </row>
    <row r="450" spans="1:8">
      <c r="A450"/>
      <c r="H450"/>
    </row>
    <row r="451" spans="1:8">
      <c r="A451"/>
      <c r="H451"/>
    </row>
    <row r="452" spans="1:8">
      <c r="A452"/>
      <c r="H452"/>
    </row>
    <row r="453" spans="1:8">
      <c r="A453"/>
      <c r="H453"/>
    </row>
    <row r="454" spans="1:8">
      <c r="A454"/>
      <c r="H454"/>
    </row>
    <row r="455" spans="1:8">
      <c r="A455"/>
      <c r="H455"/>
    </row>
    <row r="456" spans="1:8">
      <c r="A456"/>
      <c r="H456"/>
    </row>
    <row r="457" spans="1:8">
      <c r="A457"/>
      <c r="H457"/>
    </row>
    <row r="458" spans="1:8">
      <c r="A458"/>
      <c r="H458"/>
    </row>
    <row r="459" spans="1:8">
      <c r="A459"/>
      <c r="H459"/>
    </row>
    <row r="460" spans="1:8">
      <c r="A460"/>
      <c r="H460"/>
    </row>
    <row r="461" spans="1:8">
      <c r="A461"/>
      <c r="H461"/>
    </row>
    <row r="462" spans="1:8">
      <c r="A462"/>
      <c r="H462"/>
    </row>
    <row r="463" spans="1:8">
      <c r="A463"/>
      <c r="H463"/>
    </row>
    <row r="464" spans="1:8">
      <c r="A464"/>
      <c r="H464"/>
    </row>
    <row r="465" spans="1:8">
      <c r="A465"/>
      <c r="H465"/>
    </row>
    <row r="466" spans="1:8">
      <c r="A466"/>
      <c r="H466"/>
    </row>
    <row r="467" spans="1:8">
      <c r="A467"/>
      <c r="H467"/>
    </row>
    <row r="468" spans="1:8">
      <c r="A468"/>
      <c r="H468"/>
    </row>
    <row r="469" spans="1:8">
      <c r="A469"/>
      <c r="H469"/>
    </row>
    <row r="470" spans="1:8">
      <c r="A470"/>
      <c r="H470"/>
    </row>
    <row r="471" spans="1:8">
      <c r="A471"/>
      <c r="H471"/>
    </row>
    <row r="472" spans="1:8">
      <c r="A472"/>
      <c r="H472"/>
    </row>
    <row r="473" spans="1:8">
      <c r="A473"/>
      <c r="H473"/>
    </row>
    <row r="474" spans="1:8">
      <c r="A474"/>
      <c r="H474"/>
    </row>
    <row r="475" spans="1:8">
      <c r="A475"/>
      <c r="H475"/>
    </row>
    <row r="476" spans="1:8">
      <c r="A476"/>
      <c r="H476"/>
    </row>
    <row r="477" spans="1:8">
      <c r="A477"/>
      <c r="H477"/>
    </row>
    <row r="478" spans="1:8">
      <c r="A478"/>
      <c r="H478"/>
    </row>
    <row r="479" spans="1:8">
      <c r="A479"/>
      <c r="H479"/>
    </row>
    <row r="480" spans="1:8">
      <c r="A480"/>
      <c r="H480"/>
    </row>
    <row r="481" spans="1:8">
      <c r="A481"/>
      <c r="H481"/>
    </row>
    <row r="482" spans="1:8">
      <c r="A482"/>
      <c r="H482"/>
    </row>
    <row r="483" spans="1:8">
      <c r="A483"/>
      <c r="H483"/>
    </row>
    <row r="484" spans="1:8">
      <c r="A484"/>
      <c r="H484"/>
    </row>
    <row r="485" spans="1:8">
      <c r="A485"/>
      <c r="H485"/>
    </row>
    <row r="486" spans="1:8">
      <c r="A486"/>
      <c r="H486"/>
    </row>
    <row r="487" spans="1:8">
      <c r="A487"/>
      <c r="H487"/>
    </row>
    <row r="488" spans="1:8">
      <c r="A488"/>
      <c r="H488"/>
    </row>
    <row r="489" spans="1:8">
      <c r="A489"/>
      <c r="H489"/>
    </row>
    <row r="490" spans="1:8">
      <c r="A490"/>
      <c r="H490"/>
    </row>
    <row r="491" spans="1:8">
      <c r="A491"/>
      <c r="H491"/>
    </row>
    <row r="492" spans="1:8">
      <c r="A492"/>
      <c r="H492"/>
    </row>
    <row r="493" spans="1:8">
      <c r="A493"/>
      <c r="H493"/>
    </row>
    <row r="494" spans="1:8">
      <c r="A494"/>
      <c r="H494"/>
    </row>
    <row r="495" spans="1:8">
      <c r="A495"/>
      <c r="H495"/>
    </row>
    <row r="496" spans="1:8">
      <c r="A496"/>
      <c r="H496"/>
    </row>
    <row r="497" spans="1:8">
      <c r="A497"/>
      <c r="H497"/>
    </row>
    <row r="498" spans="1:8">
      <c r="A498"/>
      <c r="H498"/>
    </row>
    <row r="499" spans="1:8">
      <c r="A499"/>
      <c r="H499"/>
    </row>
    <row r="500" spans="1:8">
      <c r="A500"/>
      <c r="H500"/>
    </row>
    <row r="501" spans="1:8">
      <c r="A501"/>
      <c r="H501"/>
    </row>
    <row r="502" spans="1:8">
      <c r="A502"/>
      <c r="H502"/>
    </row>
    <row r="503" spans="1:8">
      <c r="A503"/>
      <c r="H503"/>
    </row>
    <row r="504" spans="1:8">
      <c r="A504"/>
      <c r="H504"/>
    </row>
    <row r="505" spans="1:8">
      <c r="A505"/>
      <c r="H505"/>
    </row>
    <row r="506" spans="1:8">
      <c r="A506"/>
      <c r="H506"/>
    </row>
    <row r="507" spans="1:8">
      <c r="A507"/>
      <c r="H507"/>
    </row>
    <row r="508" spans="1:8">
      <c r="A508"/>
      <c r="H508"/>
    </row>
    <row r="509" spans="1:8">
      <c r="A509"/>
      <c r="H509"/>
    </row>
    <row r="510" spans="1:8">
      <c r="A510"/>
      <c r="H510"/>
    </row>
    <row r="511" spans="1:8">
      <c r="A511"/>
      <c r="H511"/>
    </row>
    <row r="512" spans="1:8">
      <c r="A512"/>
      <c r="H512"/>
    </row>
    <row r="513" spans="1:8">
      <c r="A513"/>
      <c r="H513"/>
    </row>
    <row r="514" spans="1:8">
      <c r="A514"/>
      <c r="H514"/>
    </row>
    <row r="515" spans="1:8">
      <c r="A515"/>
      <c r="H515"/>
    </row>
    <row r="516" spans="1:8">
      <c r="A516"/>
      <c r="H516"/>
    </row>
    <row r="517" spans="1:8">
      <c r="A517"/>
      <c r="H517"/>
    </row>
    <row r="518" spans="1:8">
      <c r="A518"/>
      <c r="H518"/>
    </row>
    <row r="519" spans="1:8">
      <c r="A519"/>
      <c r="H519"/>
    </row>
    <row r="520" spans="1:8">
      <c r="A520"/>
      <c r="H520"/>
    </row>
    <row r="521" spans="1:8">
      <c r="A521"/>
      <c r="H521"/>
    </row>
    <row r="522" spans="1:8">
      <c r="A522"/>
      <c r="H522"/>
    </row>
    <row r="523" spans="1:8">
      <c r="A523"/>
      <c r="H523"/>
    </row>
    <row r="524" spans="1:8">
      <c r="A524"/>
      <c r="H524"/>
    </row>
    <row r="525" spans="1:8">
      <c r="A525"/>
      <c r="H525"/>
    </row>
    <row r="526" spans="1:8">
      <c r="A526"/>
      <c r="H526"/>
    </row>
    <row r="527" spans="1:8">
      <c r="A527"/>
      <c r="H527"/>
    </row>
    <row r="528" spans="1:8">
      <c r="A528"/>
      <c r="H528"/>
    </row>
    <row r="529" spans="1:8">
      <c r="A529"/>
      <c r="H529"/>
    </row>
    <row r="530" spans="1:8">
      <c r="A530"/>
      <c r="H530"/>
    </row>
    <row r="531" spans="1:8">
      <c r="A531"/>
      <c r="H531"/>
    </row>
    <row r="532" spans="1:8">
      <c r="A532"/>
      <c r="H532"/>
    </row>
    <row r="533" spans="1:8">
      <c r="A533"/>
      <c r="H533"/>
    </row>
    <row r="534" spans="1:8">
      <c r="A534"/>
      <c r="H534"/>
    </row>
    <row r="535" spans="1:8">
      <c r="A535"/>
      <c r="H535"/>
    </row>
    <row r="536" spans="1:8">
      <c r="A536"/>
      <c r="H536"/>
    </row>
    <row r="537" spans="1:8">
      <c r="A537"/>
      <c r="H537"/>
    </row>
    <row r="538" spans="1:8">
      <c r="A538"/>
      <c r="H538"/>
    </row>
    <row r="539" spans="1:8">
      <c r="A539"/>
      <c r="H539"/>
    </row>
    <row r="540" spans="1:8">
      <c r="A540"/>
      <c r="H540"/>
    </row>
    <row r="541" spans="1:8">
      <c r="A541"/>
      <c r="H541"/>
    </row>
    <row r="542" spans="1:8">
      <c r="A542"/>
      <c r="H542"/>
    </row>
    <row r="543" spans="1:8">
      <c r="A543"/>
      <c r="H543"/>
    </row>
    <row r="544" spans="1:8">
      <c r="A544"/>
      <c r="H544"/>
    </row>
    <row r="545" spans="1:8">
      <c r="A545"/>
      <c r="H545"/>
    </row>
    <row r="546" spans="1:8">
      <c r="A546"/>
      <c r="H546"/>
    </row>
    <row r="547" spans="1:8">
      <c r="A547"/>
      <c r="H547"/>
    </row>
    <row r="548" spans="1:8">
      <c r="A548"/>
      <c r="H548"/>
    </row>
    <row r="549" spans="1:8">
      <c r="A549"/>
      <c r="H549"/>
    </row>
    <row r="550" spans="1:8">
      <c r="A550"/>
      <c r="H550"/>
    </row>
    <row r="551" spans="1:8">
      <c r="A551"/>
      <c r="H551"/>
    </row>
    <row r="552" spans="1:8">
      <c r="A552"/>
      <c r="H552"/>
    </row>
    <row r="553" spans="1:8">
      <c r="A553"/>
      <c r="H553"/>
    </row>
    <row r="554" spans="1:8">
      <c r="A554"/>
      <c r="H554"/>
    </row>
    <row r="555" spans="1:8">
      <c r="A555"/>
      <c r="H555"/>
    </row>
    <row r="556" spans="1:8">
      <c r="A556"/>
      <c r="H556"/>
    </row>
    <row r="557" spans="1:8">
      <c r="A557"/>
      <c r="H557"/>
    </row>
    <row r="558" spans="1:8">
      <c r="A558"/>
      <c r="H558"/>
    </row>
    <row r="559" spans="1:8">
      <c r="A559"/>
      <c r="H559"/>
    </row>
    <row r="560" spans="1:8">
      <c r="A560"/>
      <c r="H560"/>
    </row>
    <row r="561" spans="1:8">
      <c r="A561"/>
      <c r="H561"/>
    </row>
    <row r="562" spans="1:8">
      <c r="A562"/>
      <c r="H562"/>
    </row>
    <row r="563" spans="1:8">
      <c r="A563"/>
      <c r="H563"/>
    </row>
    <row r="564" spans="1:8">
      <c r="A564"/>
      <c r="H564"/>
    </row>
    <row r="565" spans="1:8">
      <c r="A565"/>
      <c r="H565"/>
    </row>
    <row r="566" spans="1:8">
      <c r="A566"/>
      <c r="H566"/>
    </row>
    <row r="567" spans="1:8">
      <c r="A567"/>
      <c r="H567"/>
    </row>
    <row r="568" spans="1:8">
      <c r="A568"/>
      <c r="H568"/>
    </row>
    <row r="569" spans="1:8">
      <c r="A569"/>
      <c r="H569"/>
    </row>
    <row r="570" spans="1:8">
      <c r="A570"/>
      <c r="H570"/>
    </row>
    <row r="571" spans="1:8">
      <c r="A571"/>
      <c r="H571"/>
    </row>
    <row r="572" spans="1:8">
      <c r="A572"/>
      <c r="H572"/>
    </row>
    <row r="573" spans="1:8">
      <c r="A573"/>
      <c r="H573"/>
    </row>
    <row r="574" spans="1:8">
      <c r="A574"/>
      <c r="H574"/>
    </row>
    <row r="575" spans="1:8">
      <c r="A575"/>
      <c r="H575"/>
    </row>
    <row r="576" spans="1:8">
      <c r="A576"/>
      <c r="H576"/>
    </row>
    <row r="577" spans="1:8">
      <c r="A577"/>
      <c r="H577"/>
    </row>
    <row r="578" spans="1:8">
      <c r="A578"/>
      <c r="H578"/>
    </row>
    <row r="579" spans="1:8">
      <c r="A579"/>
      <c r="H579"/>
    </row>
    <row r="580" spans="1:8">
      <c r="A580"/>
      <c r="H580"/>
    </row>
    <row r="581" spans="1:8">
      <c r="A581"/>
      <c r="H581"/>
    </row>
    <row r="582" spans="1:8">
      <c r="A582"/>
      <c r="H582"/>
    </row>
    <row r="583" spans="1:8">
      <c r="A583"/>
      <c r="H583"/>
    </row>
    <row r="584" spans="1:8">
      <c r="A584"/>
      <c r="H584"/>
    </row>
    <row r="585" spans="1:8">
      <c r="A585"/>
      <c r="H585"/>
    </row>
    <row r="586" spans="1:8">
      <c r="A586"/>
      <c r="H586"/>
    </row>
    <row r="587" spans="1:8">
      <c r="A587"/>
      <c r="H587"/>
    </row>
    <row r="588" spans="1:8">
      <c r="A588"/>
      <c r="H588"/>
    </row>
    <row r="589" spans="1:8">
      <c r="A589"/>
      <c r="H589"/>
    </row>
    <row r="590" spans="1:8">
      <c r="A590"/>
      <c r="H590"/>
    </row>
    <row r="591" spans="1:8">
      <c r="A591"/>
      <c r="H591"/>
    </row>
    <row r="592" spans="1:8">
      <c r="A592"/>
      <c r="H592"/>
    </row>
    <row r="593" spans="1:8">
      <c r="A593"/>
      <c r="H593"/>
    </row>
    <row r="594" spans="1:8">
      <c r="A594"/>
      <c r="H594"/>
    </row>
    <row r="595" spans="1:8">
      <c r="A595"/>
      <c r="H595"/>
    </row>
    <row r="596" spans="1:8">
      <c r="A596"/>
      <c r="H596"/>
    </row>
    <row r="597" spans="1:8">
      <c r="A597"/>
      <c r="H597"/>
    </row>
    <row r="598" spans="1:8">
      <c r="A598"/>
      <c r="H598"/>
    </row>
    <row r="599" spans="1:8">
      <c r="A599"/>
      <c r="H599"/>
    </row>
    <row r="600" spans="1:8">
      <c r="A600"/>
      <c r="H600"/>
    </row>
    <row r="601" spans="1:8">
      <c r="A601"/>
      <c r="H601"/>
    </row>
    <row r="602" spans="1:8">
      <c r="A602"/>
      <c r="H602"/>
    </row>
    <row r="603" spans="1:8">
      <c r="A603"/>
      <c r="H603"/>
    </row>
    <row r="604" spans="1:8">
      <c r="A604"/>
      <c r="H604"/>
    </row>
    <row r="605" spans="1:8">
      <c r="A605"/>
      <c r="H605"/>
    </row>
    <row r="606" spans="1:8">
      <c r="A606"/>
      <c r="H606"/>
    </row>
    <row r="607" spans="1:8">
      <c r="A607"/>
      <c r="H607"/>
    </row>
    <row r="608" spans="1:8">
      <c r="A608"/>
      <c r="H608"/>
    </row>
  </sheetData>
  <mergeCells count="17">
    <mergeCell ref="AF29:AG29"/>
    <mergeCell ref="AI29:AJ29"/>
    <mergeCell ref="A3:D3"/>
    <mergeCell ref="H3:K3"/>
    <mergeCell ref="AF4:AI4"/>
    <mergeCell ref="M4:O4"/>
    <mergeCell ref="R4:T4"/>
    <mergeCell ref="F4:F19"/>
    <mergeCell ref="F21:F22"/>
    <mergeCell ref="M5:O5"/>
    <mergeCell ref="R5:T5"/>
    <mergeCell ref="X2:AA2"/>
    <mergeCell ref="X3:Y3"/>
    <mergeCell ref="Z3:AA3"/>
    <mergeCell ref="M2:U2"/>
    <mergeCell ref="M3:O3"/>
    <mergeCell ref="R3:T3"/>
  </mergeCells>
  <conditionalFormatting sqref="A2:A3">
    <cfRule type="containsErrors" dxfId="49" priority="7">
      <formula>ISERROR(A2)</formula>
    </cfRule>
  </conditionalFormatting>
  <conditionalFormatting sqref="A5:A42">
    <cfRule type="duplicateValues" dxfId="48" priority="1"/>
  </conditionalFormatting>
  <conditionalFormatting sqref="A43:A285">
    <cfRule type="duplicateValues" dxfId="47" priority="3"/>
  </conditionalFormatting>
  <conditionalFormatting sqref="A4:D4">
    <cfRule type="containsErrors" dxfId="46" priority="15">
      <formula>ISERROR(A4)</formula>
    </cfRule>
  </conditionalFormatting>
  <conditionalFormatting sqref="H2:H3">
    <cfRule type="containsErrors" dxfId="45" priority="5">
      <formula>ISERROR(H2)</formula>
    </cfRule>
  </conditionalFormatting>
  <conditionalFormatting sqref="H5:H285">
    <cfRule type="duplicateValues" dxfId="44" priority="2"/>
  </conditionalFormatting>
  <conditionalFormatting sqref="H4:K4">
    <cfRule type="containsErrors" dxfId="43" priority="6">
      <formula>ISERROR(H4)</formula>
    </cfRule>
  </conditionalFormatting>
  <conditionalFormatting sqref="M2">
    <cfRule type="containsErrors" dxfId="42" priority="13">
      <formula>ISERROR(M2)</formula>
    </cfRule>
  </conditionalFormatting>
  <conditionalFormatting sqref="U4:U5">
    <cfRule type="containsErrors" dxfId="41" priority="12">
      <formula>ISERROR(U4)</formula>
    </cfRule>
  </conditionalFormatting>
  <conditionalFormatting sqref="X2:AA285">
    <cfRule type="containsErrors" dxfId="40" priority="11">
      <formula>ISERROR(X2)</formula>
    </cfRule>
  </conditionalFormatting>
  <conditionalFormatting sqref="AC3:AC285">
    <cfRule type="containsErrors" dxfId="39" priority="9">
      <formula>ISERROR(AC3)</formula>
    </cfRule>
  </conditionalFormatting>
  <conditionalFormatting sqref="AD4">
    <cfRule type="containsErrors" dxfId="38" priority="10">
      <formula>ISERROR(AD4)</formula>
    </cfRule>
  </conditionalFormatting>
  <conditionalFormatting sqref="AF4:AI25">
    <cfRule type="containsErrors" dxfId="37" priority="8">
      <formula>ISERROR(AF4)</formula>
    </cfRule>
  </conditionalFormatting>
  <conditionalFormatting sqref="AF29:AJ63 AJ73">
    <cfRule type="containsErrors" dxfId="36" priority="14">
      <formula>ISERROR(AF29)</formula>
    </cfRule>
  </conditionalFormatting>
  <conditionalFormatting sqref="AG73">
    <cfRule type="containsErrors" dxfId="35" priority="4">
      <formula>ISERROR(AG73)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FABCE-E9EB-4A1E-BF60-AC18E4544A0D}">
  <dimension ref="A1:Z850"/>
  <sheetViews>
    <sheetView topLeftCell="X1" workbookViewId="0">
      <selection activeCell="F39" sqref="F39"/>
    </sheetView>
  </sheetViews>
  <sheetFormatPr defaultRowHeight="15.75"/>
  <sheetData>
    <row r="1" spans="1:26">
      <c r="A1" s="61" t="s">
        <v>41</v>
      </c>
      <c r="B1" s="61"/>
      <c r="C1" s="61"/>
      <c r="D1" s="61"/>
      <c r="G1" s="61" t="s">
        <v>42</v>
      </c>
      <c r="H1" s="61"/>
      <c r="I1" s="61"/>
      <c r="J1" s="61"/>
      <c r="K1" t="s">
        <v>43</v>
      </c>
      <c r="L1">
        <f>'[1]Точность устьев скважин'!AD5</f>
        <v>0.5</v>
      </c>
      <c r="O1" s="61" t="s">
        <v>44</v>
      </c>
      <c r="P1" s="61"/>
      <c r="Q1" s="61" t="s">
        <v>45</v>
      </c>
      <c r="R1" s="61"/>
      <c r="S1" s="61" t="s">
        <v>46</v>
      </c>
      <c r="T1" s="61"/>
      <c r="U1" s="61" t="s">
        <v>47</v>
      </c>
      <c r="V1" s="61"/>
      <c r="W1" s="61" t="s">
        <v>48</v>
      </c>
      <c r="X1" s="61"/>
      <c r="Y1" s="61" t="s">
        <v>49</v>
      </c>
      <c r="Z1" s="61"/>
    </row>
    <row r="2" spans="1:26">
      <c r="A2" s="62" t="s">
        <v>50</v>
      </c>
      <c r="B2" s="62" t="s">
        <v>16</v>
      </c>
      <c r="C2" s="62" t="s">
        <v>17</v>
      </c>
      <c r="D2" s="62" t="s">
        <v>51</v>
      </c>
      <c r="G2" s="62" t="s">
        <v>50</v>
      </c>
      <c r="H2" s="62" t="s">
        <v>16</v>
      </c>
      <c r="I2" s="62" t="s">
        <v>17</v>
      </c>
      <c r="J2" s="62" t="s">
        <v>51</v>
      </c>
      <c r="L2" t="s">
        <v>52</v>
      </c>
      <c r="O2" s="62" t="s">
        <v>16</v>
      </c>
      <c r="P2" s="62" t="s">
        <v>17</v>
      </c>
      <c r="Q2" s="62" t="s">
        <v>16</v>
      </c>
      <c r="R2" s="62" t="s">
        <v>17</v>
      </c>
      <c r="S2" s="62" t="s">
        <v>16</v>
      </c>
      <c r="T2" s="62" t="s">
        <v>17</v>
      </c>
      <c r="U2" s="62" t="s">
        <v>16</v>
      </c>
      <c r="V2" s="62" t="s">
        <v>17</v>
      </c>
      <c r="W2" s="62" t="s">
        <v>16</v>
      </c>
      <c r="X2" s="62" t="s">
        <v>17</v>
      </c>
      <c r="Y2" s="62" t="s">
        <v>16</v>
      </c>
      <c r="Z2" s="62" t="s">
        <v>17</v>
      </c>
    </row>
    <row r="3" spans="1:26">
      <c r="A3">
        <f>IF(ISBLANK('[1]Точность устьев скважин'!A5),#N/A,'[1]Точность устьев скважин'!A5)</f>
        <v>1</v>
      </c>
      <c r="B3">
        <f>IF(ISBLANK('[1]Точность устьев скважин'!B5),#N/A,'[1]Точность устьев скважин'!B5)</f>
        <v>52233.37</v>
      </c>
      <c r="C3">
        <f>IF(ISBLANK('[1]Точность устьев скважин'!C5),#N/A,'[1]Точность устьев скважин'!C5)</f>
        <v>29101.82</v>
      </c>
      <c r="D3">
        <f>IF(ISBLANK('[1]Точность устьев скважин'!D5),#N/A,'[1]Точность устьев скважин'!D5)</f>
        <v>64.180000000000007</v>
      </c>
      <c r="G3">
        <f>IF(ISBLANK('[1]Точность устьев скважин'!H5),#N/A,'[1]Точность устьев скважин'!H5)</f>
        <v>1</v>
      </c>
      <c r="H3">
        <f>IF(ISBLANK('[1]Точность устьев скважин'!I5),#N/A,'[1]Точность устьев скважин'!I5)</f>
        <v>52233.19</v>
      </c>
      <c r="I3">
        <f>IF(ISBLANK('[1]Точность устьев скважин'!J5),#N/A,'[1]Точность устьев скважин'!J5)</f>
        <v>29101.99</v>
      </c>
      <c r="J3">
        <f>IF(ISBLANK('[1]Точность устьев скважин'!K5),#N/A,'[1]Точность устьев скважин'!K5)</f>
        <v>64.290000000000006</v>
      </c>
      <c r="L3" s="63">
        <f>IF(B3="","",(SQRT((H3-B3)^2+(I3-C3)^2)))</f>
        <v>0.24758836806430945</v>
      </c>
      <c r="O3" t="e">
        <f>IF($L$1=0.5,IF(AND($L3&gt;0,$L3&lt;0.1),H3,#N/A),"")</f>
        <v>#N/A</v>
      </c>
      <c r="P3" t="e">
        <f>IF($L$1=0.5,IF(AND($L3&gt;0,$L3&lt;0.1),I3,#N/A),"")</f>
        <v>#N/A</v>
      </c>
      <c r="Q3" t="e">
        <f>IF($L$1=0.5,IF(AND($L3&gt;=0.1,$L3&lt;0.2),H3,#N/A),"")</f>
        <v>#N/A</v>
      </c>
      <c r="R3" t="e">
        <f>IF($L$1=0.5,IF(AND($L3&gt;=0.1,$L3&lt;0.2),I3,#N/A),"")</f>
        <v>#N/A</v>
      </c>
      <c r="S3">
        <f>IF($L$1=0.5,IF(AND($L3&gt;=0.2,$L3&lt;0.3),H3,#N/A),"")</f>
        <v>52233.19</v>
      </c>
      <c r="T3">
        <f>IF($L$1=0.5,IF(AND($L3&gt;=0.2,$L3&lt;0.3),I3,#N/A),"")</f>
        <v>29101.99</v>
      </c>
      <c r="U3" t="e">
        <f>IF($L$1=0.5,IF(AND($L3&gt;=0.3,$L3&lt;0.4),H3,#N/A),"")</f>
        <v>#N/A</v>
      </c>
      <c r="V3" t="e">
        <f>IF($L$1=0.5,IF(AND($L3&gt;=0.3,$L3&lt;0.4),I3,#N/A),"")</f>
        <v>#N/A</v>
      </c>
      <c r="W3" t="e">
        <f>IF($L$1=0.5,IF(AND($L3&gt;=0.4,$L3&lt;0.5),H3,#N/A),"")</f>
        <v>#N/A</v>
      </c>
      <c r="X3" t="e">
        <f>IF($L$1=0.5,IF(AND($L3&gt;=0.4,$L3&lt;0.5),I3,#N/A),"")</f>
        <v>#N/A</v>
      </c>
      <c r="Y3" t="e">
        <f>IF($L$1=0.5,IF($L3&gt;=0.5,H3,#N/A),"")</f>
        <v>#N/A</v>
      </c>
      <c r="Z3" t="e">
        <f>IF($L$1=0.5,IF($L3&gt;=0.5,I3,#N/A),"")</f>
        <v>#N/A</v>
      </c>
    </row>
    <row r="4" spans="1:26">
      <c r="A4">
        <f>IF(ISBLANK('[1]Точность устьев скважин'!A6),#N/A,'[1]Точность устьев скважин'!A6)</f>
        <v>7</v>
      </c>
      <c r="B4">
        <f>IF(ISBLANK('[1]Точность устьев скважин'!B6),#N/A,'[1]Точность устьев скважин'!B6)</f>
        <v>52205.25</v>
      </c>
      <c r="C4">
        <f>IF(ISBLANK('[1]Точность устьев скважин'!C6),#N/A,'[1]Точность устьев скважин'!C6)</f>
        <v>29087.98</v>
      </c>
      <c r="D4">
        <f>IF(ISBLANK('[1]Точность устьев скважин'!D6),#N/A,'[1]Точность устьев скважин'!D6)</f>
        <v>63.78</v>
      </c>
      <c r="G4">
        <f>IF(ISBLANK('[1]Точность устьев скважин'!H6),#N/A,'[1]Точность устьев скважин'!H6)</f>
        <v>7</v>
      </c>
      <c r="H4">
        <f>IF(ISBLANK('[1]Точность устьев скважин'!I6),#N/A,'[1]Точность устьев скважин'!I6)</f>
        <v>52205.08</v>
      </c>
      <c r="I4">
        <f>IF(ISBLANK('[1]Точность устьев скважин'!J6),#N/A,'[1]Точность устьев скважин'!J6)</f>
        <v>29088.16</v>
      </c>
      <c r="J4">
        <f>IF(ISBLANK('[1]Точность устьев скважин'!K6),#N/A,'[1]Точность устьев скважин'!K6)</f>
        <v>63.9</v>
      </c>
      <c r="L4" s="63">
        <f t="shared" ref="L4:L67" si="0">IF(B4="","",(SQRT((H4-B4)^2+(I4-C4)^2)))</f>
        <v>0.24758836806181153</v>
      </c>
      <c r="O4" t="e">
        <f t="shared" ref="O4:P40" si="1">IF($L$1=0.5,IF(AND($L4&gt;0,$L4&lt;0.1),H4,#N/A),"")</f>
        <v>#N/A</v>
      </c>
      <c r="P4" t="e">
        <f t="shared" si="1"/>
        <v>#N/A</v>
      </c>
      <c r="Q4" t="e">
        <f t="shared" ref="Q4:R40" si="2">IF($L$1=0.5,IF(AND($L4&gt;=0.1,$L4&lt;0.2),H4,#N/A),"")</f>
        <v>#N/A</v>
      </c>
      <c r="R4" t="e">
        <f t="shared" si="2"/>
        <v>#N/A</v>
      </c>
      <c r="S4">
        <f t="shared" ref="S4:T40" si="3">IF($L$1=0.5,IF(AND($L4&gt;=0.2,$L4&lt;0.3),H4,#N/A),"")</f>
        <v>52205.08</v>
      </c>
      <c r="T4">
        <f t="shared" si="3"/>
        <v>29088.16</v>
      </c>
      <c r="U4" t="e">
        <f t="shared" ref="U4:V40" si="4">IF($L$1=0.5,IF(AND($L4&gt;=0.3,$L4&lt;0.4),H4,#N/A),"")</f>
        <v>#N/A</v>
      </c>
      <c r="V4" t="e">
        <f t="shared" si="4"/>
        <v>#N/A</v>
      </c>
      <c r="W4" t="e">
        <f t="shared" ref="W4:X40" si="5">IF($L$1=0.5,IF(AND($L4&gt;=0.4,$L4&lt;0.5),H4,#N/A),"")</f>
        <v>#N/A</v>
      </c>
      <c r="X4" t="e">
        <f t="shared" si="5"/>
        <v>#N/A</v>
      </c>
      <c r="Y4" t="e">
        <f t="shared" ref="Y4:Z40" si="6">IF($L$1=0.5,IF($L4&gt;=0.5,H4,#N/A),"")</f>
        <v>#N/A</v>
      </c>
      <c r="Z4" t="e">
        <f t="shared" si="6"/>
        <v>#N/A</v>
      </c>
    </row>
    <row r="5" spans="1:26">
      <c r="A5">
        <f>IF(ISBLANK('[1]Точность устьев скважин'!A7),#N/A,'[1]Точность устьев скважин'!A7)</f>
        <v>8</v>
      </c>
      <c r="B5">
        <f>IF(ISBLANK('[1]Точность устьев скважин'!B7),#N/A,'[1]Точность устьев скважин'!B7)</f>
        <v>52202.33</v>
      </c>
      <c r="C5">
        <f>IF(ISBLANK('[1]Точность устьев скважин'!C7),#N/A,'[1]Точность устьев скважин'!C7)</f>
        <v>29087.03</v>
      </c>
      <c r="D5">
        <f>IF(ISBLANK('[1]Точность устьев скважин'!D7),#N/A,'[1]Точность устьев скважин'!D7)</f>
        <v>63.79</v>
      </c>
      <c r="G5">
        <f>IF(ISBLANK('[1]Точность устьев скважин'!H7),#N/A,'[1]Точность устьев скважин'!H7)</f>
        <v>8</v>
      </c>
      <c r="H5">
        <f>IF(ISBLANK('[1]Точность устьев скважин'!I7),#N/A,'[1]Точность устьев скважин'!I7)</f>
        <v>52202.49</v>
      </c>
      <c r="I5">
        <f>IF(ISBLANK('[1]Точность устьев скважин'!J7),#N/A,'[1]Точность устьев скважин'!J7)</f>
        <v>29087.16</v>
      </c>
      <c r="J5">
        <f>IF(ISBLANK('[1]Точность устьев скважин'!K7),#N/A,'[1]Точность устьев скважин'!K7)</f>
        <v>63.93</v>
      </c>
      <c r="L5" s="63">
        <f t="shared" si="0"/>
        <v>0.20615528127858895</v>
      </c>
      <c r="O5" t="e">
        <f t="shared" si="1"/>
        <v>#N/A</v>
      </c>
      <c r="P5" t="e">
        <f t="shared" si="1"/>
        <v>#N/A</v>
      </c>
      <c r="Q5" t="e">
        <f t="shared" si="2"/>
        <v>#N/A</v>
      </c>
      <c r="R5" t="e">
        <f t="shared" si="2"/>
        <v>#N/A</v>
      </c>
      <c r="S5">
        <f t="shared" si="3"/>
        <v>52202.49</v>
      </c>
      <c r="T5">
        <f t="shared" si="3"/>
        <v>29087.16</v>
      </c>
      <c r="U5" t="e">
        <f t="shared" si="4"/>
        <v>#N/A</v>
      </c>
      <c r="V5" t="e">
        <f t="shared" si="4"/>
        <v>#N/A</v>
      </c>
      <c r="W5" t="e">
        <f t="shared" si="5"/>
        <v>#N/A</v>
      </c>
      <c r="X5" t="e">
        <f t="shared" si="5"/>
        <v>#N/A</v>
      </c>
      <c r="Y5" t="e">
        <f t="shared" si="6"/>
        <v>#N/A</v>
      </c>
      <c r="Z5" t="e">
        <f t="shared" si="6"/>
        <v>#N/A</v>
      </c>
    </row>
    <row r="6" spans="1:26">
      <c r="A6">
        <f>IF(ISBLANK('[1]Точность устьев скважин'!A8),#N/A,'[1]Точность устьев скважин'!A8)</f>
        <v>9</v>
      </c>
      <c r="B6">
        <f>IF(ISBLANK('[1]Точность устьев скважин'!B8),#N/A,'[1]Точность устьев скважин'!B8)</f>
        <v>52196.2</v>
      </c>
      <c r="C6">
        <f>IF(ISBLANK('[1]Точность устьев скважин'!C8),#N/A,'[1]Точность устьев скважин'!C8)</f>
        <v>29084.799999999999</v>
      </c>
      <c r="D6">
        <f>IF(ISBLANK('[1]Точность устьев скважин'!D8),#N/A,'[1]Точность устьев скважин'!D8)</f>
        <v>63.66</v>
      </c>
      <c r="G6">
        <f>IF(ISBLANK('[1]Точность устьев скважин'!H8),#N/A,'[1]Точность устьев скважин'!H8)</f>
        <v>9</v>
      </c>
      <c r="H6">
        <f>IF(ISBLANK('[1]Точность устьев скважин'!I8),#N/A,'[1]Точность устьев скважин'!I8)</f>
        <v>52195.98</v>
      </c>
      <c r="I6">
        <f>IF(ISBLANK('[1]Точность устьев скважин'!J8),#N/A,'[1]Точность устьев скважин'!J8)</f>
        <v>29084.68</v>
      </c>
      <c r="J6">
        <f>IF(ISBLANK('[1]Точность устьев скважин'!K8),#N/A,'[1]Точность устьев скважин'!K8)</f>
        <v>63.87</v>
      </c>
      <c r="L6" s="63">
        <f t="shared" si="0"/>
        <v>0.25059928171698009</v>
      </c>
      <c r="O6" t="e">
        <f t="shared" si="1"/>
        <v>#N/A</v>
      </c>
      <c r="P6" t="e">
        <f t="shared" si="1"/>
        <v>#N/A</v>
      </c>
      <c r="Q6" t="e">
        <f t="shared" si="2"/>
        <v>#N/A</v>
      </c>
      <c r="R6" t="e">
        <f t="shared" si="2"/>
        <v>#N/A</v>
      </c>
      <c r="S6">
        <f t="shared" si="3"/>
        <v>52195.98</v>
      </c>
      <c r="T6">
        <f t="shared" si="3"/>
        <v>29084.68</v>
      </c>
      <c r="U6" t="e">
        <f t="shared" si="4"/>
        <v>#N/A</v>
      </c>
      <c r="V6" t="e">
        <f t="shared" si="4"/>
        <v>#N/A</v>
      </c>
      <c r="W6" t="e">
        <f t="shared" si="5"/>
        <v>#N/A</v>
      </c>
      <c r="X6" t="e">
        <f t="shared" si="5"/>
        <v>#N/A</v>
      </c>
      <c r="Y6" t="e">
        <f t="shared" si="6"/>
        <v>#N/A</v>
      </c>
      <c r="Z6" t="e">
        <f t="shared" si="6"/>
        <v>#N/A</v>
      </c>
    </row>
    <row r="7" spans="1:26">
      <c r="A7">
        <f>IF(ISBLANK('[1]Точность устьев скважин'!A9),#N/A,'[1]Точность устьев скважин'!A9)</f>
        <v>11</v>
      </c>
      <c r="B7">
        <f>IF(ISBLANK('[1]Точность устьев скважин'!B9),#N/A,'[1]Точность устьев скважин'!B9)</f>
        <v>52187.95</v>
      </c>
      <c r="C7">
        <f>IF(ISBLANK('[1]Точность устьев скважин'!C9),#N/A,'[1]Точность устьев скважин'!C9)</f>
        <v>29080.17</v>
      </c>
      <c r="D7">
        <f>IF(ISBLANK('[1]Точность устьев скважин'!D9),#N/A,'[1]Точность устьев скважин'!D9)</f>
        <v>63.72</v>
      </c>
      <c r="G7">
        <f>IF(ISBLANK('[1]Точность устьев скважин'!H9),#N/A,'[1]Точность устьев скважин'!H9)</f>
        <v>11</v>
      </c>
      <c r="H7">
        <f>IF(ISBLANK('[1]Точность устьев скважин'!I9),#N/A,'[1]Точность устьев скважин'!I9)</f>
        <v>52187.78</v>
      </c>
      <c r="I7">
        <f>IF(ISBLANK('[1]Точность устьев скважин'!J9),#N/A,'[1]Точность устьев скважин'!J9)</f>
        <v>29080.32</v>
      </c>
      <c r="J7">
        <f>IF(ISBLANK('[1]Точность устьев скважин'!K9),#N/A,'[1]Точность устьев скважин'!K9)</f>
        <v>63.82</v>
      </c>
      <c r="L7" s="63">
        <f t="shared" si="0"/>
        <v>0.22671568097474606</v>
      </c>
      <c r="O7" t="e">
        <f t="shared" si="1"/>
        <v>#N/A</v>
      </c>
      <c r="P7" t="e">
        <f t="shared" si="1"/>
        <v>#N/A</v>
      </c>
      <c r="Q7" t="e">
        <f t="shared" si="2"/>
        <v>#N/A</v>
      </c>
      <c r="R7" t="e">
        <f t="shared" si="2"/>
        <v>#N/A</v>
      </c>
      <c r="S7">
        <f t="shared" si="3"/>
        <v>52187.78</v>
      </c>
      <c r="T7">
        <f t="shared" si="3"/>
        <v>29080.32</v>
      </c>
      <c r="U7" t="e">
        <f t="shared" si="4"/>
        <v>#N/A</v>
      </c>
      <c r="V7" t="e">
        <f t="shared" si="4"/>
        <v>#N/A</v>
      </c>
      <c r="W7" t="e">
        <f t="shared" si="5"/>
        <v>#N/A</v>
      </c>
      <c r="X7" t="e">
        <f t="shared" si="5"/>
        <v>#N/A</v>
      </c>
      <c r="Y7" t="e">
        <f t="shared" si="6"/>
        <v>#N/A</v>
      </c>
      <c r="Z7" t="e">
        <f t="shared" si="6"/>
        <v>#N/A</v>
      </c>
    </row>
    <row r="8" spans="1:26">
      <c r="A8">
        <f>IF(ISBLANK('[1]Точность устьев скважин'!A10),#N/A,'[1]Точность устьев скважин'!A10)</f>
        <v>12</v>
      </c>
      <c r="B8">
        <f>IF(ISBLANK('[1]Точность устьев скважин'!B10),#N/A,'[1]Точность устьев скважин'!B10)</f>
        <v>52185.16</v>
      </c>
      <c r="C8">
        <f>IF(ISBLANK('[1]Точность устьев скважин'!C10),#N/A,'[1]Точность устьев скважин'!C10)</f>
        <v>29079.040000000001</v>
      </c>
      <c r="D8">
        <f>IF(ISBLANK('[1]Точность устьев скважин'!D10),#N/A,'[1]Точность устьев скважин'!D10)</f>
        <v>63.76</v>
      </c>
      <c r="G8">
        <f>IF(ISBLANK('[1]Точность устьев скважин'!H10),#N/A,'[1]Точность устьев скважин'!H10)</f>
        <v>12</v>
      </c>
      <c r="H8">
        <f>IF(ISBLANK('[1]Точность устьев скважин'!I10),#N/A,'[1]Точность устьев скважин'!I10)</f>
        <v>52184.85</v>
      </c>
      <c r="I8">
        <f>IF(ISBLANK('[1]Точность устьев скважин'!J10),#N/A,'[1]Точность устьев скважин'!J10)</f>
        <v>29079.35</v>
      </c>
      <c r="J8">
        <f>IF(ISBLANK('[1]Точность устьев скважин'!K10),#N/A,'[1]Точность устьев скважин'!K10)</f>
        <v>63.87</v>
      </c>
      <c r="L8" s="63">
        <f t="shared" si="0"/>
        <v>0.4384062043375116</v>
      </c>
      <c r="O8" t="e">
        <f t="shared" si="1"/>
        <v>#N/A</v>
      </c>
      <c r="P8" t="e">
        <f t="shared" si="1"/>
        <v>#N/A</v>
      </c>
      <c r="Q8" t="e">
        <f t="shared" si="2"/>
        <v>#N/A</v>
      </c>
      <c r="R8" t="e">
        <f t="shared" si="2"/>
        <v>#N/A</v>
      </c>
      <c r="S8" t="e">
        <f t="shared" si="3"/>
        <v>#N/A</v>
      </c>
      <c r="T8" t="e">
        <f t="shared" si="3"/>
        <v>#N/A</v>
      </c>
      <c r="U8" t="e">
        <f t="shared" si="4"/>
        <v>#N/A</v>
      </c>
      <c r="V8" t="e">
        <f t="shared" si="4"/>
        <v>#N/A</v>
      </c>
      <c r="W8">
        <f t="shared" si="5"/>
        <v>52184.85</v>
      </c>
      <c r="X8">
        <f t="shared" si="5"/>
        <v>29079.35</v>
      </c>
      <c r="Y8" t="e">
        <f t="shared" si="6"/>
        <v>#N/A</v>
      </c>
      <c r="Z8" t="e">
        <f t="shared" si="6"/>
        <v>#N/A</v>
      </c>
    </row>
    <row r="9" spans="1:26">
      <c r="A9">
        <f>IF(ISBLANK('[1]Точность устьев скважин'!A11),#N/A,'[1]Точность устьев скважин'!A11)</f>
        <v>16</v>
      </c>
      <c r="B9">
        <f>IF(ISBLANK('[1]Точность устьев скважин'!B11),#N/A,'[1]Точность устьев скважин'!B11)</f>
        <v>52167.5</v>
      </c>
      <c r="C9">
        <f>IF(ISBLANK('[1]Точность устьев скважин'!C11),#N/A,'[1]Точность устьев скважин'!C11)</f>
        <v>29071.7</v>
      </c>
      <c r="D9">
        <f>IF(ISBLANK('[1]Точность устьев скважин'!D11),#N/A,'[1]Точность устьев скважин'!D11)</f>
        <v>63.98</v>
      </c>
      <c r="G9">
        <f>IF(ISBLANK('[1]Точность устьев скважин'!H11),#N/A,'[1]Точность устьев скважин'!H11)</f>
        <v>16</v>
      </c>
      <c r="H9">
        <f>IF(ISBLANK('[1]Точность устьев скважин'!I11),#N/A,'[1]Точность устьев скважин'!I11)</f>
        <v>52167.41</v>
      </c>
      <c r="I9">
        <f>IF(ISBLANK('[1]Точность устьев скважин'!J11),#N/A,'[1]Точность устьев скважин'!J11)</f>
        <v>29071.62</v>
      </c>
      <c r="J9">
        <f>IF(ISBLANK('[1]Точность устьев скважин'!K11),#N/A,'[1]Точность устьев скважин'!K11)</f>
        <v>64.14</v>
      </c>
      <c r="L9" s="63">
        <f t="shared" si="0"/>
        <v>0.12041594578647279</v>
      </c>
      <c r="O9" t="e">
        <f t="shared" si="1"/>
        <v>#N/A</v>
      </c>
      <c r="P9" t="e">
        <f t="shared" si="1"/>
        <v>#N/A</v>
      </c>
      <c r="Q9">
        <f t="shared" si="2"/>
        <v>52167.41</v>
      </c>
      <c r="R9">
        <f t="shared" si="2"/>
        <v>29071.62</v>
      </c>
      <c r="S9" t="e">
        <f t="shared" si="3"/>
        <v>#N/A</v>
      </c>
      <c r="T9" t="e">
        <f t="shared" si="3"/>
        <v>#N/A</v>
      </c>
      <c r="U9" t="e">
        <f t="shared" si="4"/>
        <v>#N/A</v>
      </c>
      <c r="V9" t="e">
        <f t="shared" si="4"/>
        <v>#N/A</v>
      </c>
      <c r="W9" t="e">
        <f t="shared" si="5"/>
        <v>#N/A</v>
      </c>
      <c r="X9" t="e">
        <f t="shared" si="5"/>
        <v>#N/A</v>
      </c>
      <c r="Y9" t="e">
        <f t="shared" si="6"/>
        <v>#N/A</v>
      </c>
      <c r="Z9" t="e">
        <f t="shared" si="6"/>
        <v>#N/A</v>
      </c>
    </row>
    <row r="10" spans="1:26">
      <c r="A10">
        <f>IF(ISBLANK('[1]Точность устьев скважин'!A12),#N/A,'[1]Точность устьев скважин'!A12)</f>
        <v>17</v>
      </c>
      <c r="B10">
        <f>IF(ISBLANK('[1]Точность устьев скважин'!B12),#N/A,'[1]Точность устьев скважин'!B12)</f>
        <v>52161.760000000002</v>
      </c>
      <c r="C10">
        <f>IF(ISBLANK('[1]Точность устьев скважин'!C12),#N/A,'[1]Точность устьев скважин'!C12)</f>
        <v>29068.67</v>
      </c>
      <c r="D10">
        <f>IF(ISBLANK('[1]Точность устьев скважин'!D12),#N/A,'[1]Точность устьев скважин'!D12)</f>
        <v>64.08</v>
      </c>
      <c r="G10">
        <f>IF(ISBLANK('[1]Точность устьев скважин'!H12),#N/A,'[1]Точность устьев скважин'!H12)</f>
        <v>17</v>
      </c>
      <c r="H10">
        <f>IF(ISBLANK('[1]Точность устьев скважин'!I12),#N/A,'[1]Точность устьев скважин'!I12)</f>
        <v>52161.48</v>
      </c>
      <c r="I10">
        <f>IF(ISBLANK('[1]Точность устьев скважин'!J12),#N/A,'[1]Точность устьев скважин'!J12)</f>
        <v>29069.279999999999</v>
      </c>
      <c r="J10">
        <f>IF(ISBLANK('[1]Точность устьев скважин'!K12),#N/A,'[1]Точность устьев скважин'!K12)</f>
        <v>64.14</v>
      </c>
      <c r="L10" s="63">
        <f t="shared" si="0"/>
        <v>0.67119296778203674</v>
      </c>
      <c r="O10" t="e">
        <f t="shared" si="1"/>
        <v>#N/A</v>
      </c>
      <c r="P10" t="e">
        <f t="shared" si="1"/>
        <v>#N/A</v>
      </c>
      <c r="Q10" t="e">
        <f t="shared" si="2"/>
        <v>#N/A</v>
      </c>
      <c r="R10" t="e">
        <f t="shared" si="2"/>
        <v>#N/A</v>
      </c>
      <c r="S10" t="e">
        <f t="shared" si="3"/>
        <v>#N/A</v>
      </c>
      <c r="T10" t="e">
        <f t="shared" si="3"/>
        <v>#N/A</v>
      </c>
      <c r="U10" t="e">
        <f t="shared" si="4"/>
        <v>#N/A</v>
      </c>
      <c r="V10" t="e">
        <f t="shared" si="4"/>
        <v>#N/A</v>
      </c>
      <c r="W10" t="e">
        <f t="shared" si="5"/>
        <v>#N/A</v>
      </c>
      <c r="X10" t="e">
        <f t="shared" si="5"/>
        <v>#N/A</v>
      </c>
      <c r="Y10">
        <f t="shared" si="6"/>
        <v>52161.48</v>
      </c>
      <c r="Z10">
        <f t="shared" si="6"/>
        <v>29069.279999999999</v>
      </c>
    </row>
    <row r="11" spans="1:26">
      <c r="A11">
        <f>IF(ISBLANK('[1]Точность устьев скважин'!A13),#N/A,'[1]Точность устьев скважин'!A13)</f>
        <v>18</v>
      </c>
      <c r="B11">
        <f>IF(ISBLANK('[1]Точность устьев скважин'!B13),#N/A,'[1]Точность устьев скважин'!B13)</f>
        <v>52159.27</v>
      </c>
      <c r="C11">
        <f>IF(ISBLANK('[1]Точность устьев скважин'!C13),#N/A,'[1]Точность устьев скважин'!C13)</f>
        <v>29067.53</v>
      </c>
      <c r="D11">
        <f>IF(ISBLANK('[1]Точность устьев скважин'!D13),#N/A,'[1]Точность устьев скважин'!D13)</f>
        <v>64.14</v>
      </c>
      <c r="G11">
        <f>IF(ISBLANK('[1]Точность устьев скважин'!H13),#N/A,'[1]Точность устьев скважин'!H13)</f>
        <v>18</v>
      </c>
      <c r="H11">
        <f>IF(ISBLANK('[1]Точность устьев скважин'!I13),#N/A,'[1]Точность устьев скважин'!I13)</f>
        <v>52159.25</v>
      </c>
      <c r="I11">
        <f>IF(ISBLANK('[1]Точность устьев скважин'!J13),#N/A,'[1]Точность устьев скважин'!J13)</f>
        <v>29067.73</v>
      </c>
      <c r="J11">
        <f>IF(ISBLANK('[1]Точность устьев скважин'!K13),#N/A,'[1]Точность устьев скважин'!K13)</f>
        <v>64.209999999999994</v>
      </c>
      <c r="L11" s="63">
        <f t="shared" si="0"/>
        <v>0.20099751242282324</v>
      </c>
      <c r="O11" t="e">
        <f t="shared" si="1"/>
        <v>#N/A</v>
      </c>
      <c r="P11" t="e">
        <f t="shared" si="1"/>
        <v>#N/A</v>
      </c>
      <c r="Q11" t="e">
        <f t="shared" si="2"/>
        <v>#N/A</v>
      </c>
      <c r="R11" t="e">
        <f t="shared" si="2"/>
        <v>#N/A</v>
      </c>
      <c r="S11">
        <f t="shared" si="3"/>
        <v>52159.25</v>
      </c>
      <c r="T11">
        <f t="shared" si="3"/>
        <v>29067.73</v>
      </c>
      <c r="U11" t="e">
        <f t="shared" si="4"/>
        <v>#N/A</v>
      </c>
      <c r="V11" t="e">
        <f t="shared" si="4"/>
        <v>#N/A</v>
      </c>
      <c r="W11" t="e">
        <f t="shared" si="5"/>
        <v>#N/A</v>
      </c>
      <c r="X11" t="e">
        <f t="shared" si="5"/>
        <v>#N/A</v>
      </c>
      <c r="Y11" t="e">
        <f t="shared" si="6"/>
        <v>#N/A</v>
      </c>
      <c r="Z11" t="e">
        <f t="shared" si="6"/>
        <v>#N/A</v>
      </c>
    </row>
    <row r="12" spans="1:26">
      <c r="A12">
        <f>IF(ISBLANK('[1]Точность устьев скважин'!A14),#N/A,'[1]Точность устьев скважин'!A14)</f>
        <v>19</v>
      </c>
      <c r="B12">
        <f>IF(ISBLANK('[1]Точность устьев скважин'!B14),#N/A,'[1]Точность устьев скважин'!B14)</f>
        <v>52230.63</v>
      </c>
      <c r="C12">
        <f>IF(ISBLANK('[1]Точность устьев скважин'!C14),#N/A,'[1]Точность устьев скважин'!C14)</f>
        <v>29105.38</v>
      </c>
      <c r="D12">
        <f>IF(ISBLANK('[1]Точность устьев скважин'!D14),#N/A,'[1]Точность устьев скважин'!D14)</f>
        <v>64.209999999999994</v>
      </c>
      <c r="G12">
        <f>IF(ISBLANK('[1]Точность устьев скважин'!H14),#N/A,'[1]Точность устьев скважин'!H14)</f>
        <v>19</v>
      </c>
      <c r="H12">
        <f>IF(ISBLANK('[1]Точность устьев скважин'!I14),#N/A,'[1]Точность устьев скважин'!I14)</f>
        <v>52230.38</v>
      </c>
      <c r="I12">
        <f>IF(ISBLANK('[1]Точность устьев скважин'!J14),#N/A,'[1]Точность устьев скважин'!J14)</f>
        <v>29105.43</v>
      </c>
      <c r="J12">
        <f>IF(ISBLANK('[1]Точность устьев скважин'!K14),#N/A,'[1]Точность устьев скважин'!K14)</f>
        <v>64.23</v>
      </c>
      <c r="L12" s="63">
        <f t="shared" si="0"/>
        <v>0.25495097567949654</v>
      </c>
      <c r="O12" t="e">
        <f t="shared" si="1"/>
        <v>#N/A</v>
      </c>
      <c r="P12" t="e">
        <f t="shared" si="1"/>
        <v>#N/A</v>
      </c>
      <c r="Q12" t="e">
        <f t="shared" si="2"/>
        <v>#N/A</v>
      </c>
      <c r="R12" t="e">
        <f t="shared" si="2"/>
        <v>#N/A</v>
      </c>
      <c r="S12">
        <f t="shared" si="3"/>
        <v>52230.38</v>
      </c>
      <c r="T12">
        <f t="shared" si="3"/>
        <v>29105.43</v>
      </c>
      <c r="U12" t="e">
        <f t="shared" si="4"/>
        <v>#N/A</v>
      </c>
      <c r="V12" t="e">
        <f t="shared" si="4"/>
        <v>#N/A</v>
      </c>
      <c r="W12" t="e">
        <f t="shared" si="5"/>
        <v>#N/A</v>
      </c>
      <c r="X12" t="e">
        <f t="shared" si="5"/>
        <v>#N/A</v>
      </c>
      <c r="Y12" t="e">
        <f t="shared" si="6"/>
        <v>#N/A</v>
      </c>
      <c r="Z12" t="e">
        <f t="shared" si="6"/>
        <v>#N/A</v>
      </c>
    </row>
    <row r="13" spans="1:26">
      <c r="A13">
        <f>IF(ISBLANK('[1]Точность устьев скважин'!A15),#N/A,'[1]Точность устьев скважин'!A15)</f>
        <v>20</v>
      </c>
      <c r="B13">
        <f>IF(ISBLANK('[1]Точность устьев скважин'!B15),#N/A,'[1]Точность устьев скважин'!B15)</f>
        <v>52224.69</v>
      </c>
      <c r="C13">
        <f>IF(ISBLANK('[1]Точность устьев скважин'!C15),#N/A,'[1]Точность устьев скважин'!C15)</f>
        <v>29102.74</v>
      </c>
      <c r="D13">
        <f>IF(ISBLANK('[1]Точность устьев скважин'!D15),#N/A,'[1]Точность устьев скважин'!D15)</f>
        <v>64.069999999999993</v>
      </c>
      <c r="G13">
        <f>IF(ISBLANK('[1]Точность устьев скважин'!H15),#N/A,'[1]Точность устьев скважин'!H15)</f>
        <v>20</v>
      </c>
      <c r="H13">
        <f>IF(ISBLANK('[1]Точность устьев скважин'!I15),#N/A,'[1]Точность устьев скважин'!I15)</f>
        <v>52224.42</v>
      </c>
      <c r="I13">
        <f>IF(ISBLANK('[1]Точность устьев скважин'!J15),#N/A,'[1]Точность устьев скважин'!J15)</f>
        <v>29102.58</v>
      </c>
      <c r="J13">
        <f>IF(ISBLANK('[1]Точность устьев скважин'!K15),#N/A,'[1]Точность устьев скважин'!K15)</f>
        <v>64.010000000000005</v>
      </c>
      <c r="L13" s="63">
        <f t="shared" si="0"/>
        <v>0.31384709653293541</v>
      </c>
      <c r="O13" t="e">
        <f t="shared" si="1"/>
        <v>#N/A</v>
      </c>
      <c r="P13" t="e">
        <f t="shared" si="1"/>
        <v>#N/A</v>
      </c>
      <c r="Q13" t="e">
        <f t="shared" si="2"/>
        <v>#N/A</v>
      </c>
      <c r="R13" t="e">
        <f t="shared" si="2"/>
        <v>#N/A</v>
      </c>
      <c r="S13" t="e">
        <f t="shared" si="3"/>
        <v>#N/A</v>
      </c>
      <c r="T13" t="e">
        <f t="shared" si="3"/>
        <v>#N/A</v>
      </c>
      <c r="U13">
        <f t="shared" si="4"/>
        <v>52224.42</v>
      </c>
      <c r="V13">
        <f t="shared" si="4"/>
        <v>29102.58</v>
      </c>
      <c r="W13" t="e">
        <f t="shared" si="5"/>
        <v>#N/A</v>
      </c>
      <c r="X13" t="e">
        <f t="shared" si="5"/>
        <v>#N/A</v>
      </c>
      <c r="Y13" t="e">
        <f t="shared" si="6"/>
        <v>#N/A</v>
      </c>
      <c r="Z13" t="e">
        <f t="shared" si="6"/>
        <v>#N/A</v>
      </c>
    </row>
    <row r="14" spans="1:26">
      <c r="A14">
        <f>IF(ISBLANK('[1]Точность устьев скважин'!A16),#N/A,'[1]Точность устьев скважин'!A16)</f>
        <v>21</v>
      </c>
      <c r="B14">
        <f>IF(ISBLANK('[1]Точность устьев скважин'!B16),#N/A,'[1]Точность устьев скважин'!B16)</f>
        <v>52218.75</v>
      </c>
      <c r="C14">
        <f>IF(ISBLANK('[1]Точность устьев скважин'!C16),#N/A,'[1]Точность устьев скважин'!C16)</f>
        <v>29100.09</v>
      </c>
      <c r="D14">
        <f>IF(ISBLANK('[1]Точность устьев скважин'!D16),#N/A,'[1]Точность устьев скважин'!D16)</f>
        <v>63.93</v>
      </c>
      <c r="G14">
        <f>IF(ISBLANK('[1]Точность устьев скважин'!H16),#N/A,'[1]Точность устьев скважин'!H16)</f>
        <v>21</v>
      </c>
      <c r="H14">
        <f>IF(ISBLANK('[1]Точность устьев скважин'!I16),#N/A,'[1]Точность устьев скважин'!I16)</f>
        <v>52218.7</v>
      </c>
      <c r="I14">
        <f>IF(ISBLANK('[1]Точность устьев скважин'!J16),#N/A,'[1]Точность устьев скважин'!J16)</f>
        <v>29099.88</v>
      </c>
      <c r="J14">
        <f>IF(ISBLANK('[1]Точность устьев скважин'!K16),#N/A,'[1]Точность устьев скважин'!K16)</f>
        <v>63.95</v>
      </c>
      <c r="L14" s="63">
        <f t="shared" si="0"/>
        <v>0.21587033144905377</v>
      </c>
      <c r="O14" t="e">
        <f t="shared" si="1"/>
        <v>#N/A</v>
      </c>
      <c r="P14" t="e">
        <f t="shared" si="1"/>
        <v>#N/A</v>
      </c>
      <c r="Q14" t="e">
        <f t="shared" si="2"/>
        <v>#N/A</v>
      </c>
      <c r="R14" t="e">
        <f t="shared" si="2"/>
        <v>#N/A</v>
      </c>
      <c r="S14">
        <f t="shared" si="3"/>
        <v>52218.7</v>
      </c>
      <c r="T14">
        <f t="shared" si="3"/>
        <v>29099.88</v>
      </c>
      <c r="U14" t="e">
        <f t="shared" si="4"/>
        <v>#N/A</v>
      </c>
      <c r="V14" t="e">
        <f t="shared" si="4"/>
        <v>#N/A</v>
      </c>
      <c r="W14" t="e">
        <f t="shared" si="5"/>
        <v>#N/A</v>
      </c>
      <c r="X14" t="e">
        <f t="shared" si="5"/>
        <v>#N/A</v>
      </c>
      <c r="Y14" t="e">
        <f t="shared" si="6"/>
        <v>#N/A</v>
      </c>
      <c r="Z14" t="e">
        <f t="shared" si="6"/>
        <v>#N/A</v>
      </c>
    </row>
    <row r="15" spans="1:26">
      <c r="A15">
        <f>IF(ISBLANK('[1]Точность устьев скважин'!A17),#N/A,'[1]Точность устьев скважин'!A17)</f>
        <v>22</v>
      </c>
      <c r="B15">
        <f>IF(ISBLANK('[1]Точность устьев скважин'!B17),#N/A,'[1]Точность устьев скважин'!B17)</f>
        <v>52212.82</v>
      </c>
      <c r="C15">
        <f>IF(ISBLANK('[1]Точность устьев скважин'!C17),#N/A,'[1]Точность устьев скважин'!C17)</f>
        <v>29097.45</v>
      </c>
      <c r="D15">
        <f>IF(ISBLANK('[1]Точность устьев скважин'!D17),#N/A,'[1]Точность устьев скважин'!D17)</f>
        <v>63.77</v>
      </c>
      <c r="G15">
        <f>IF(ISBLANK('[1]Точность устьев скважин'!H17),#N/A,'[1]Точность устьев скважин'!H17)</f>
        <v>22</v>
      </c>
      <c r="H15">
        <f>IF(ISBLANK('[1]Точность устьев скважин'!I17),#N/A,'[1]Точность устьев скважин'!I17)</f>
        <v>52212.59</v>
      </c>
      <c r="I15">
        <f>IF(ISBLANK('[1]Точность устьев скважин'!J17),#N/A,'[1]Точность устьев скважин'!J17)</f>
        <v>29097.3</v>
      </c>
      <c r="J15">
        <f>IF(ISBLANK('[1]Точность устьев скважин'!K17),#N/A,'[1]Точность устьев скважин'!K17)</f>
        <v>63.92</v>
      </c>
      <c r="L15" s="63">
        <f t="shared" si="0"/>
        <v>0.27459060435839605</v>
      </c>
      <c r="O15" t="e">
        <f t="shared" si="1"/>
        <v>#N/A</v>
      </c>
      <c r="P15" t="e">
        <f t="shared" si="1"/>
        <v>#N/A</v>
      </c>
      <c r="Q15" t="e">
        <f t="shared" si="2"/>
        <v>#N/A</v>
      </c>
      <c r="R15" t="e">
        <f t="shared" si="2"/>
        <v>#N/A</v>
      </c>
      <c r="S15">
        <f t="shared" si="3"/>
        <v>52212.59</v>
      </c>
      <c r="T15">
        <f t="shared" si="3"/>
        <v>29097.3</v>
      </c>
      <c r="U15" t="e">
        <f t="shared" si="4"/>
        <v>#N/A</v>
      </c>
      <c r="V15" t="e">
        <f t="shared" si="4"/>
        <v>#N/A</v>
      </c>
      <c r="W15" t="e">
        <f t="shared" si="5"/>
        <v>#N/A</v>
      </c>
      <c r="X15" t="e">
        <f t="shared" si="5"/>
        <v>#N/A</v>
      </c>
      <c r="Y15" t="e">
        <f t="shared" si="6"/>
        <v>#N/A</v>
      </c>
      <c r="Z15" t="e">
        <f t="shared" si="6"/>
        <v>#N/A</v>
      </c>
    </row>
    <row r="16" spans="1:26">
      <c r="A16">
        <f>IF(ISBLANK('[1]Точность устьев скважин'!A18),#N/A,'[1]Точность устьев скважин'!A18)</f>
        <v>24</v>
      </c>
      <c r="B16">
        <f>IF(ISBLANK('[1]Точность устьев скважин'!B18),#N/A,'[1]Точность устьев скважин'!B18)</f>
        <v>52200.94</v>
      </c>
      <c r="C16">
        <f>IF(ISBLANK('[1]Точность устьев скважин'!C18),#N/A,'[1]Точность устьев скважин'!C18)</f>
        <v>29092.16</v>
      </c>
      <c r="D16">
        <f>IF(ISBLANK('[1]Точность устьев скважин'!D18),#N/A,'[1]Точность устьев скважин'!D18)</f>
        <v>63.71</v>
      </c>
      <c r="G16">
        <f>IF(ISBLANK('[1]Точность устьев скважин'!H18),#N/A,'[1]Точность устьев скважин'!H18)</f>
        <v>24</v>
      </c>
      <c r="H16">
        <f>IF(ISBLANK('[1]Точность устьев скважин'!I18),#N/A,'[1]Точность устьев скважин'!I18)</f>
        <v>52200.92</v>
      </c>
      <c r="I16">
        <f>IF(ISBLANK('[1]Точность устьев скважин'!J18),#N/A,'[1]Точность устьев скважин'!J18)</f>
        <v>29092.45</v>
      </c>
      <c r="J16">
        <f>IF(ISBLANK('[1]Точность устьев скважин'!K18),#N/A,'[1]Точность устьев скважин'!K18)</f>
        <v>63.66</v>
      </c>
      <c r="L16" s="63">
        <f t="shared" si="0"/>
        <v>0.29068883707612403</v>
      </c>
      <c r="O16" t="e">
        <f t="shared" si="1"/>
        <v>#N/A</v>
      </c>
      <c r="P16" t="e">
        <f t="shared" si="1"/>
        <v>#N/A</v>
      </c>
      <c r="Q16" t="e">
        <f t="shared" si="2"/>
        <v>#N/A</v>
      </c>
      <c r="R16" t="e">
        <f t="shared" si="2"/>
        <v>#N/A</v>
      </c>
      <c r="S16">
        <f t="shared" si="3"/>
        <v>52200.92</v>
      </c>
      <c r="T16">
        <f t="shared" si="3"/>
        <v>29092.45</v>
      </c>
      <c r="U16" t="e">
        <f t="shared" si="4"/>
        <v>#N/A</v>
      </c>
      <c r="V16" t="e">
        <f t="shared" si="4"/>
        <v>#N/A</v>
      </c>
      <c r="W16" t="e">
        <f t="shared" si="5"/>
        <v>#N/A</v>
      </c>
      <c r="X16" t="e">
        <f t="shared" si="5"/>
        <v>#N/A</v>
      </c>
      <c r="Y16" t="e">
        <f t="shared" si="6"/>
        <v>#N/A</v>
      </c>
      <c r="Z16" t="e">
        <f t="shared" si="6"/>
        <v>#N/A</v>
      </c>
    </row>
    <row r="17" spans="1:26">
      <c r="A17">
        <f>IF(ISBLANK('[1]Точность устьев скважин'!A19),#N/A,'[1]Точность устьев скважин'!A19)</f>
        <v>25</v>
      </c>
      <c r="B17">
        <f>IF(ISBLANK('[1]Точность устьев скважин'!B19),#N/A,'[1]Точность устьев скважин'!B19)</f>
        <v>52195</v>
      </c>
      <c r="C17">
        <f>IF(ISBLANK('[1]Точность устьев скважин'!C19),#N/A,'[1]Точность устьев скважин'!C19)</f>
        <v>29089.52</v>
      </c>
      <c r="D17">
        <f>IF(ISBLANK('[1]Точность устьев скважин'!D19),#N/A,'[1]Точность устьев скважин'!D19)</f>
        <v>63.73</v>
      </c>
      <c r="G17">
        <f>IF(ISBLANK('[1]Точность устьев скважин'!H19),#N/A,'[1]Точность устьев скважин'!H19)</f>
        <v>25</v>
      </c>
      <c r="H17">
        <f>IF(ISBLANK('[1]Точность устьев скважин'!I19),#N/A,'[1]Точность устьев скважин'!I19)</f>
        <v>52194.85</v>
      </c>
      <c r="I17">
        <f>IF(ISBLANK('[1]Точность устьев скважин'!J19),#N/A,'[1]Точность устьев скважин'!J19)</f>
        <v>29089.91</v>
      </c>
      <c r="J17">
        <f>IF(ISBLANK('[1]Точность устьев скважин'!K19),#N/A,'[1]Точность устьев скважин'!K19)</f>
        <v>63.75</v>
      </c>
      <c r="L17" s="63">
        <f t="shared" si="0"/>
        <v>0.4178516483155027</v>
      </c>
      <c r="O17" t="e">
        <f t="shared" si="1"/>
        <v>#N/A</v>
      </c>
      <c r="P17" t="e">
        <f t="shared" si="1"/>
        <v>#N/A</v>
      </c>
      <c r="Q17" t="e">
        <f t="shared" si="2"/>
        <v>#N/A</v>
      </c>
      <c r="R17" t="e">
        <f t="shared" si="2"/>
        <v>#N/A</v>
      </c>
      <c r="S17" t="e">
        <f t="shared" si="3"/>
        <v>#N/A</v>
      </c>
      <c r="T17" t="e">
        <f t="shared" si="3"/>
        <v>#N/A</v>
      </c>
      <c r="U17" t="e">
        <f t="shared" si="4"/>
        <v>#N/A</v>
      </c>
      <c r="V17" t="e">
        <f t="shared" si="4"/>
        <v>#N/A</v>
      </c>
      <c r="W17">
        <f t="shared" si="5"/>
        <v>52194.85</v>
      </c>
      <c r="X17">
        <f t="shared" si="5"/>
        <v>29089.91</v>
      </c>
      <c r="Y17" t="e">
        <f t="shared" si="6"/>
        <v>#N/A</v>
      </c>
      <c r="Z17" t="e">
        <f t="shared" si="6"/>
        <v>#N/A</v>
      </c>
    </row>
    <row r="18" spans="1:26">
      <c r="A18">
        <f>IF(ISBLANK('[1]Точность устьев скважин'!A20),#N/A,'[1]Точность устьев скважин'!A20)</f>
        <v>26</v>
      </c>
      <c r="B18">
        <f>IF(ISBLANK('[1]Точность устьев скважин'!B20),#N/A,'[1]Точность устьев скважин'!B20)</f>
        <v>52189.06</v>
      </c>
      <c r="C18">
        <f>IF(ISBLANK('[1]Точность устьев скважин'!C20),#N/A,'[1]Точность устьев скважин'!C20)</f>
        <v>29086.880000000001</v>
      </c>
      <c r="D18">
        <f>IF(ISBLANK('[1]Точность устьев скважин'!D20),#N/A,'[1]Точность устьев скважин'!D20)</f>
        <v>63.76</v>
      </c>
      <c r="G18">
        <f>IF(ISBLANK('[1]Точность устьев скважин'!H20),#N/A,'[1]Точность устьев скважин'!H20)</f>
        <v>26</v>
      </c>
      <c r="H18">
        <f>IF(ISBLANK('[1]Точность устьев скважин'!I20),#N/A,'[1]Точность устьев скважин'!I20)</f>
        <v>52189.14</v>
      </c>
      <c r="I18">
        <f>IF(ISBLANK('[1]Точность устьев скважин'!J20),#N/A,'[1]Точность устьев скважин'!J20)</f>
        <v>29087.18</v>
      </c>
      <c r="J18">
        <f>IF(ISBLANK('[1]Точность устьев скважин'!K20),#N/A,'[1]Точность устьев скважин'!K20)</f>
        <v>63.81</v>
      </c>
      <c r="L18" s="63">
        <f t="shared" si="0"/>
        <v>0.3104834939249474</v>
      </c>
      <c r="O18" t="e">
        <f t="shared" si="1"/>
        <v>#N/A</v>
      </c>
      <c r="P18" t="e">
        <f t="shared" si="1"/>
        <v>#N/A</v>
      </c>
      <c r="Q18" t="e">
        <f t="shared" si="2"/>
        <v>#N/A</v>
      </c>
      <c r="R18" t="e">
        <f t="shared" si="2"/>
        <v>#N/A</v>
      </c>
      <c r="S18" t="e">
        <f t="shared" si="3"/>
        <v>#N/A</v>
      </c>
      <c r="T18" t="e">
        <f t="shared" si="3"/>
        <v>#N/A</v>
      </c>
      <c r="U18">
        <f t="shared" si="4"/>
        <v>52189.14</v>
      </c>
      <c r="V18">
        <f t="shared" si="4"/>
        <v>29087.18</v>
      </c>
      <c r="W18" t="e">
        <f t="shared" si="5"/>
        <v>#N/A</v>
      </c>
      <c r="X18" t="e">
        <f t="shared" si="5"/>
        <v>#N/A</v>
      </c>
      <c r="Y18" t="e">
        <f t="shared" si="6"/>
        <v>#N/A</v>
      </c>
      <c r="Z18" t="e">
        <f t="shared" si="6"/>
        <v>#N/A</v>
      </c>
    </row>
    <row r="19" spans="1:26">
      <c r="A19">
        <f>IF(ISBLANK('[1]Точность устьев скважин'!A21),#N/A,'[1]Точность устьев скважин'!A21)</f>
        <v>27</v>
      </c>
      <c r="B19">
        <f>IF(ISBLANK('[1]Точность устьев скважин'!B21),#N/A,'[1]Точность устьев скважин'!B21)</f>
        <v>52183.12</v>
      </c>
      <c r="C19">
        <f>IF(ISBLANK('[1]Точность устьев скважин'!C21),#N/A,'[1]Точность устьев скважин'!C21)</f>
        <v>29084.23</v>
      </c>
      <c r="D19">
        <f>IF(ISBLANK('[1]Точность устьев скважин'!D21),#N/A,'[1]Точность устьев скважин'!D21)</f>
        <v>63.78</v>
      </c>
      <c r="G19">
        <f>IF(ISBLANK('[1]Точность устьев скважин'!H21),#N/A,'[1]Точность устьев скважин'!H21)</f>
        <v>27</v>
      </c>
      <c r="H19">
        <f>IF(ISBLANK('[1]Точность устьев скважин'!I21),#N/A,'[1]Точность устьев скважин'!I21)</f>
        <v>52182.98</v>
      </c>
      <c r="I19">
        <f>IF(ISBLANK('[1]Точность устьев скважин'!J21),#N/A,'[1]Точность устьев скважин'!J21)</f>
        <v>29084.26</v>
      </c>
      <c r="J19">
        <f>IF(ISBLANK('[1]Точность устьев скважин'!K21),#N/A,'[1]Точность устьев скважин'!K21)</f>
        <v>63.8</v>
      </c>
      <c r="L19" s="63">
        <f t="shared" si="0"/>
        <v>0.14317821063195046</v>
      </c>
      <c r="O19" t="e">
        <f t="shared" si="1"/>
        <v>#N/A</v>
      </c>
      <c r="P19" t="e">
        <f t="shared" si="1"/>
        <v>#N/A</v>
      </c>
      <c r="Q19">
        <f t="shared" si="2"/>
        <v>52182.98</v>
      </c>
      <c r="R19">
        <f t="shared" si="2"/>
        <v>29084.26</v>
      </c>
      <c r="S19" t="e">
        <f t="shared" si="3"/>
        <v>#N/A</v>
      </c>
      <c r="T19" t="e">
        <f t="shared" si="3"/>
        <v>#N/A</v>
      </c>
      <c r="U19" t="e">
        <f t="shared" si="4"/>
        <v>#N/A</v>
      </c>
      <c r="V19" t="e">
        <f t="shared" si="4"/>
        <v>#N/A</v>
      </c>
      <c r="W19" t="e">
        <f t="shared" si="5"/>
        <v>#N/A</v>
      </c>
      <c r="X19" t="e">
        <f t="shared" si="5"/>
        <v>#N/A</v>
      </c>
      <c r="Y19" t="e">
        <f t="shared" si="6"/>
        <v>#N/A</v>
      </c>
      <c r="Z19" t="e">
        <f t="shared" si="6"/>
        <v>#N/A</v>
      </c>
    </row>
    <row r="20" spans="1:26">
      <c r="A20">
        <f>IF(ISBLANK('[1]Точность устьев скважин'!A22),#N/A,'[1]Точность устьев скважин'!A22)</f>
        <v>28</v>
      </c>
      <c r="B20">
        <f>IF(ISBLANK('[1]Точность устьев скважин'!B22),#N/A,'[1]Точность устьев скважин'!B22)</f>
        <v>52177.19</v>
      </c>
      <c r="C20">
        <f>IF(ISBLANK('[1]Точность устьев скважин'!C22),#N/A,'[1]Точность устьев скважин'!C22)</f>
        <v>29081.59</v>
      </c>
      <c r="D20">
        <f>IF(ISBLANK('[1]Точность устьев скважин'!D22),#N/A,'[1]Точность устьев скважин'!D22)</f>
        <v>63.8</v>
      </c>
      <c r="G20">
        <f>IF(ISBLANK('[1]Точность устьев скважин'!H22),#N/A,'[1]Точность устьев скважин'!H22)</f>
        <v>28</v>
      </c>
      <c r="H20">
        <f>IF(ISBLANK('[1]Точность устьев скважин'!I22),#N/A,'[1]Точность устьев скважин'!I22)</f>
        <v>52176.99</v>
      </c>
      <c r="I20">
        <f>IF(ISBLANK('[1]Точность устьев скважин'!J22),#N/A,'[1]Точность устьев скважин'!J22)</f>
        <v>29081.81</v>
      </c>
      <c r="J20">
        <f>IF(ISBLANK('[1]Точность устьев скважин'!K22),#N/A,'[1]Точность устьев скважин'!K22)</f>
        <v>63.72</v>
      </c>
      <c r="L20" s="63">
        <f t="shared" si="0"/>
        <v>0.29732137495016808</v>
      </c>
      <c r="O20" t="e">
        <f t="shared" si="1"/>
        <v>#N/A</v>
      </c>
      <c r="P20" t="e">
        <f t="shared" si="1"/>
        <v>#N/A</v>
      </c>
      <c r="Q20" t="e">
        <f t="shared" si="2"/>
        <v>#N/A</v>
      </c>
      <c r="R20" t="e">
        <f t="shared" si="2"/>
        <v>#N/A</v>
      </c>
      <c r="S20">
        <f t="shared" si="3"/>
        <v>52176.99</v>
      </c>
      <c r="T20">
        <f t="shared" si="3"/>
        <v>29081.81</v>
      </c>
      <c r="U20" t="e">
        <f t="shared" si="4"/>
        <v>#N/A</v>
      </c>
      <c r="V20" t="e">
        <f t="shared" si="4"/>
        <v>#N/A</v>
      </c>
      <c r="W20" t="e">
        <f t="shared" si="5"/>
        <v>#N/A</v>
      </c>
      <c r="X20" t="e">
        <f t="shared" si="5"/>
        <v>#N/A</v>
      </c>
      <c r="Y20" t="e">
        <f t="shared" si="6"/>
        <v>#N/A</v>
      </c>
      <c r="Z20" t="e">
        <f t="shared" si="6"/>
        <v>#N/A</v>
      </c>
    </row>
    <row r="21" spans="1:26">
      <c r="A21">
        <f>IF(ISBLANK('[1]Точность устьев скважин'!A23),#N/A,'[1]Точность устьев скважин'!A23)</f>
        <v>29</v>
      </c>
      <c r="B21">
        <f>IF(ISBLANK('[1]Точность устьев скважин'!B23),#N/A,'[1]Точность устьев скважин'!B23)</f>
        <v>52171.25</v>
      </c>
      <c r="C21">
        <f>IF(ISBLANK('[1]Точность устьев скважин'!C23),#N/A,'[1]Точность устьев скважин'!C23)</f>
        <v>29078.94</v>
      </c>
      <c r="D21">
        <f>IF(ISBLANK('[1]Точность устьев скважин'!D23),#N/A,'[1]Точность устьев скважин'!D23)</f>
        <v>63.83</v>
      </c>
      <c r="G21">
        <f>IF(ISBLANK('[1]Точность устьев скважин'!H23),#N/A,'[1]Точность устьев скважин'!H23)</f>
        <v>29</v>
      </c>
      <c r="H21">
        <f>IF(ISBLANK('[1]Точность устьев скважин'!I23),#N/A,'[1]Точность устьев скважин'!I23)</f>
        <v>52171.199999999997</v>
      </c>
      <c r="I21">
        <f>IF(ISBLANK('[1]Точность устьев скважин'!J23),#N/A,'[1]Точность устьев скважин'!J23)</f>
        <v>29078.92</v>
      </c>
      <c r="J21">
        <f>IF(ISBLANK('[1]Точность устьев скважин'!K23),#N/A,'[1]Точность устьев скважин'!K23)</f>
        <v>63.91</v>
      </c>
      <c r="L21" s="63">
        <f t="shared" si="0"/>
        <v>5.3851648074209398E-2</v>
      </c>
      <c r="O21">
        <f t="shared" si="1"/>
        <v>52171.199999999997</v>
      </c>
      <c r="P21">
        <f t="shared" si="1"/>
        <v>29078.92</v>
      </c>
      <c r="Q21" t="e">
        <f t="shared" si="2"/>
        <v>#N/A</v>
      </c>
      <c r="R21" t="e">
        <f t="shared" si="2"/>
        <v>#N/A</v>
      </c>
      <c r="S21" t="e">
        <f t="shared" si="3"/>
        <v>#N/A</v>
      </c>
      <c r="T21" t="e">
        <f t="shared" si="3"/>
        <v>#N/A</v>
      </c>
      <c r="U21" t="e">
        <f t="shared" si="4"/>
        <v>#N/A</v>
      </c>
      <c r="V21" t="e">
        <f t="shared" si="4"/>
        <v>#N/A</v>
      </c>
      <c r="W21" t="e">
        <f t="shared" si="5"/>
        <v>#N/A</v>
      </c>
      <c r="X21" t="e">
        <f t="shared" si="5"/>
        <v>#N/A</v>
      </c>
      <c r="Y21" t="e">
        <f t="shared" si="6"/>
        <v>#N/A</v>
      </c>
      <c r="Z21" t="e">
        <f t="shared" si="6"/>
        <v>#N/A</v>
      </c>
    </row>
    <row r="22" spans="1:26">
      <c r="A22">
        <f>IF(ISBLANK('[1]Точность устьев скважин'!A24),#N/A,'[1]Точность устьев скважин'!A24)</f>
        <v>30</v>
      </c>
      <c r="B22">
        <f>IF(ISBLANK('[1]Точность устьев скважин'!B24),#N/A,'[1]Точность устьев скважин'!B24)</f>
        <v>52165.31</v>
      </c>
      <c r="C22">
        <f>IF(ISBLANK('[1]Точность устьев скважин'!C24),#N/A,'[1]Точность устьев скважин'!C24)</f>
        <v>29076.3</v>
      </c>
      <c r="D22">
        <f>IF(ISBLANK('[1]Точность устьев скважин'!D24),#N/A,'[1]Точность устьев скважин'!D24)</f>
        <v>63.88</v>
      </c>
      <c r="G22">
        <f>IF(ISBLANK('[1]Точность устьев скважин'!H24),#N/A,'[1]Точность устьев скважин'!H24)</f>
        <v>30</v>
      </c>
      <c r="H22">
        <f>IF(ISBLANK('[1]Точность устьев скважин'!I24),#N/A,'[1]Точность устьев скважин'!I24)</f>
        <v>52165.73</v>
      </c>
      <c r="I22">
        <f>IF(ISBLANK('[1]Точность устьев скважин'!J24),#N/A,'[1]Точность устьев скважин'!J24)</f>
        <v>29076.44</v>
      </c>
      <c r="J22">
        <f>IF(ISBLANK('[1]Точность устьев скважин'!K24),#N/A,'[1]Точность устьев скважин'!K24)</f>
        <v>63.93</v>
      </c>
      <c r="L22" s="63">
        <f t="shared" si="0"/>
        <v>0.442718872428635</v>
      </c>
      <c r="O22" t="e">
        <f t="shared" si="1"/>
        <v>#N/A</v>
      </c>
      <c r="P22" t="e">
        <f t="shared" si="1"/>
        <v>#N/A</v>
      </c>
      <c r="Q22" t="e">
        <f t="shared" si="2"/>
        <v>#N/A</v>
      </c>
      <c r="R22" t="e">
        <f t="shared" si="2"/>
        <v>#N/A</v>
      </c>
      <c r="S22" t="e">
        <f t="shared" si="3"/>
        <v>#N/A</v>
      </c>
      <c r="T22" t="e">
        <f t="shared" si="3"/>
        <v>#N/A</v>
      </c>
      <c r="U22" t="e">
        <f t="shared" si="4"/>
        <v>#N/A</v>
      </c>
      <c r="V22" t="e">
        <f t="shared" si="4"/>
        <v>#N/A</v>
      </c>
      <c r="W22">
        <f t="shared" si="5"/>
        <v>52165.73</v>
      </c>
      <c r="X22">
        <f t="shared" si="5"/>
        <v>29076.44</v>
      </c>
      <c r="Y22" t="e">
        <f t="shared" si="6"/>
        <v>#N/A</v>
      </c>
      <c r="Z22" t="e">
        <f t="shared" si="6"/>
        <v>#N/A</v>
      </c>
    </row>
    <row r="23" spans="1:26">
      <c r="A23">
        <f>IF(ISBLANK('[1]Точность устьев скважин'!A25),#N/A,'[1]Точность устьев скважин'!A25)</f>
        <v>31</v>
      </c>
      <c r="B23">
        <f>IF(ISBLANK('[1]Точность устьев скважин'!B25),#N/A,'[1]Точность устьев скважин'!B25)</f>
        <v>52159.37</v>
      </c>
      <c r="C23">
        <f>IF(ISBLANK('[1]Точность устьев скважин'!C25),#N/A,'[1]Точность устьев скважин'!C25)</f>
        <v>29073.66</v>
      </c>
      <c r="D23">
        <f>IF(ISBLANK('[1]Точность устьев скважин'!D25),#N/A,'[1]Точность устьев скважин'!D25)</f>
        <v>63.97</v>
      </c>
      <c r="G23">
        <f>IF(ISBLANK('[1]Точность устьев скважин'!H25),#N/A,'[1]Точность устьев скважин'!H25)</f>
        <v>31</v>
      </c>
      <c r="H23">
        <f>IF(ISBLANK('[1]Точность устьев скважин'!I25),#N/A,'[1]Точность устьев скважин'!I25)</f>
        <v>52159.31</v>
      </c>
      <c r="I23">
        <f>IF(ISBLANK('[1]Точность устьев скважин'!J25),#N/A,'[1]Точность устьев скважин'!J25)</f>
        <v>29073.599999999999</v>
      </c>
      <c r="J23">
        <f>IF(ISBLANK('[1]Точность устьев скважин'!K25),#N/A,'[1]Точность устьев скважин'!K25)</f>
        <v>63.92</v>
      </c>
      <c r="L23" s="63">
        <f t="shared" si="0"/>
        <v>8.4852813746810293E-2</v>
      </c>
      <c r="O23">
        <f t="shared" si="1"/>
        <v>52159.31</v>
      </c>
      <c r="P23">
        <f t="shared" si="1"/>
        <v>29073.599999999999</v>
      </c>
      <c r="Q23" t="e">
        <f t="shared" si="2"/>
        <v>#N/A</v>
      </c>
      <c r="R23" t="e">
        <f t="shared" si="2"/>
        <v>#N/A</v>
      </c>
      <c r="S23" t="e">
        <f t="shared" si="3"/>
        <v>#N/A</v>
      </c>
      <c r="T23" t="e">
        <f t="shared" si="3"/>
        <v>#N/A</v>
      </c>
      <c r="U23" t="e">
        <f t="shared" si="4"/>
        <v>#N/A</v>
      </c>
      <c r="V23" t="e">
        <f t="shared" si="4"/>
        <v>#N/A</v>
      </c>
      <c r="W23" t="e">
        <f t="shared" si="5"/>
        <v>#N/A</v>
      </c>
      <c r="X23" t="e">
        <f t="shared" si="5"/>
        <v>#N/A</v>
      </c>
      <c r="Y23" t="e">
        <f t="shared" si="6"/>
        <v>#N/A</v>
      </c>
      <c r="Z23" t="e">
        <f t="shared" si="6"/>
        <v>#N/A</v>
      </c>
    </row>
    <row r="24" spans="1:26">
      <c r="A24">
        <f>IF(ISBLANK('[1]Точность устьев скважин'!A26),#N/A,'[1]Точность устьев скважин'!A26)</f>
        <v>32</v>
      </c>
      <c r="B24">
        <f>IF(ISBLANK('[1]Точность устьев скважин'!B26),#N/A,'[1]Точность устьев скважин'!B26)</f>
        <v>52225.38</v>
      </c>
      <c r="C24">
        <f>IF(ISBLANK('[1]Точность устьев скважин'!C26),#N/A,'[1]Точность устьев скважин'!C26)</f>
        <v>29109.18</v>
      </c>
      <c r="D24">
        <f>IF(ISBLANK('[1]Точность устьев скважин'!D26),#N/A,'[1]Точность устьев скважин'!D26)</f>
        <v>64.09</v>
      </c>
      <c r="G24">
        <f>IF(ISBLANK('[1]Точность устьев скважин'!H26),#N/A,'[1]Точность устьев скважин'!H26)</f>
        <v>32</v>
      </c>
      <c r="H24">
        <f>IF(ISBLANK('[1]Точность устьев скважин'!I26),#N/A,'[1]Точность устьев скважин'!I26)</f>
        <v>52225.67</v>
      </c>
      <c r="I24">
        <f>IF(ISBLANK('[1]Точность устьев скважин'!J26),#N/A,'[1]Точность устьев скважин'!J26)</f>
        <v>29109.18</v>
      </c>
      <c r="J24">
        <f>IF(ISBLANK('[1]Точность устьев скважин'!K26),#N/A,'[1]Точность устьев скважин'!K26)</f>
        <v>64.180000000000007</v>
      </c>
      <c r="L24" s="63">
        <f t="shared" si="0"/>
        <v>0.29000000000087311</v>
      </c>
      <c r="O24" t="e">
        <f t="shared" si="1"/>
        <v>#N/A</v>
      </c>
      <c r="P24" t="e">
        <f t="shared" si="1"/>
        <v>#N/A</v>
      </c>
      <c r="Q24" t="e">
        <f t="shared" si="2"/>
        <v>#N/A</v>
      </c>
      <c r="R24" t="e">
        <f t="shared" si="2"/>
        <v>#N/A</v>
      </c>
      <c r="S24">
        <f t="shared" si="3"/>
        <v>52225.67</v>
      </c>
      <c r="T24">
        <f t="shared" si="3"/>
        <v>29109.18</v>
      </c>
      <c r="U24" t="e">
        <f t="shared" si="4"/>
        <v>#N/A</v>
      </c>
      <c r="V24" t="e">
        <f t="shared" si="4"/>
        <v>#N/A</v>
      </c>
      <c r="W24" t="e">
        <f t="shared" si="5"/>
        <v>#N/A</v>
      </c>
      <c r="X24" t="e">
        <f t="shared" si="5"/>
        <v>#N/A</v>
      </c>
      <c r="Y24" t="e">
        <f t="shared" si="6"/>
        <v>#N/A</v>
      </c>
      <c r="Z24" t="e">
        <f t="shared" si="6"/>
        <v>#N/A</v>
      </c>
    </row>
    <row r="25" spans="1:26">
      <c r="A25">
        <f>IF(ISBLANK('[1]Точность устьев скважин'!A27),#N/A,'[1]Точность устьев скважин'!A27)</f>
        <v>33</v>
      </c>
      <c r="B25">
        <f>IF(ISBLANK('[1]Точность устьев скважин'!B27),#N/A,'[1]Точность устьев скважин'!B27)</f>
        <v>52219.56</v>
      </c>
      <c r="C25">
        <f>IF(ISBLANK('[1]Точность устьев скважин'!C27),#N/A,'[1]Точность устьев скважин'!C27)</f>
        <v>29105.49</v>
      </c>
      <c r="D25">
        <f>IF(ISBLANK('[1]Точность устьев скважин'!D27),#N/A,'[1]Точность устьев скважин'!D27)</f>
        <v>63.88</v>
      </c>
      <c r="G25">
        <f>IF(ISBLANK('[1]Точность устьев скважин'!H27),#N/A,'[1]Точность устьев скважин'!H27)</f>
        <v>33</v>
      </c>
      <c r="H25">
        <f>IF(ISBLANK('[1]Точность устьев скважин'!I27),#N/A,'[1]Точность устьев скважин'!I27)</f>
        <v>52219.45</v>
      </c>
      <c r="I25">
        <f>IF(ISBLANK('[1]Точность устьев скважин'!J27),#N/A,'[1]Точность устьев скважин'!J27)</f>
        <v>29105.3</v>
      </c>
      <c r="J25">
        <f>IF(ISBLANK('[1]Точность устьев скважин'!K27),#N/A,'[1]Точность устьев скважин'!K27)</f>
        <v>63.92</v>
      </c>
      <c r="L25" s="63">
        <f t="shared" si="0"/>
        <v>0.2195449840033081</v>
      </c>
      <c r="O25" t="e">
        <f t="shared" si="1"/>
        <v>#N/A</v>
      </c>
      <c r="P25" t="e">
        <f t="shared" si="1"/>
        <v>#N/A</v>
      </c>
      <c r="Q25" t="e">
        <f t="shared" si="2"/>
        <v>#N/A</v>
      </c>
      <c r="R25" t="e">
        <f t="shared" si="2"/>
        <v>#N/A</v>
      </c>
      <c r="S25">
        <f t="shared" si="3"/>
        <v>52219.45</v>
      </c>
      <c r="T25">
        <f t="shared" si="3"/>
        <v>29105.3</v>
      </c>
      <c r="U25" t="e">
        <f t="shared" si="4"/>
        <v>#N/A</v>
      </c>
      <c r="V25" t="e">
        <f t="shared" si="4"/>
        <v>#N/A</v>
      </c>
      <c r="W25" t="e">
        <f t="shared" si="5"/>
        <v>#N/A</v>
      </c>
      <c r="X25" t="e">
        <f t="shared" si="5"/>
        <v>#N/A</v>
      </c>
      <c r="Y25" t="e">
        <f t="shared" si="6"/>
        <v>#N/A</v>
      </c>
      <c r="Z25" t="e">
        <f t="shared" si="6"/>
        <v>#N/A</v>
      </c>
    </row>
    <row r="26" spans="1:26">
      <c r="A26">
        <f>IF(ISBLANK('[1]Точность устьев скважин'!A28),#N/A,'[1]Точность устьев скважин'!A28)</f>
        <v>34</v>
      </c>
      <c r="B26">
        <f>IF(ISBLANK('[1]Точность устьев скважин'!B28),#N/A,'[1]Точность устьев скважин'!B28)</f>
        <v>52213.51</v>
      </c>
      <c r="C26">
        <f>IF(ISBLANK('[1]Точность устьев скважин'!C28),#N/A,'[1]Точность устьев скважин'!C28)</f>
        <v>29103.89</v>
      </c>
      <c r="D26">
        <f>IF(ISBLANK('[1]Точность устьев скважин'!D28),#N/A,'[1]Точность устьев скважин'!D28)</f>
        <v>63.79</v>
      </c>
      <c r="G26">
        <f>IF(ISBLANK('[1]Точность устьев скважин'!H28),#N/A,'[1]Точность устьев скважин'!H28)</f>
        <v>34</v>
      </c>
      <c r="H26">
        <f>IF(ISBLANK('[1]Точность устьев скважин'!I28),#N/A,'[1]Точность устьев скважин'!I28)</f>
        <v>52213.81</v>
      </c>
      <c r="I26">
        <f>IF(ISBLANK('[1]Точность устьев скважин'!J28),#N/A,'[1]Точность устьев скважин'!J28)</f>
        <v>29103.62</v>
      </c>
      <c r="J26">
        <f>IF(ISBLANK('[1]Точность устьев скважин'!K28),#N/A,'[1]Точность устьев скважин'!K28)</f>
        <v>63.83</v>
      </c>
      <c r="L26" s="63">
        <f t="shared" si="0"/>
        <v>0.40360872140925846</v>
      </c>
      <c r="O26" t="e">
        <f t="shared" si="1"/>
        <v>#N/A</v>
      </c>
      <c r="P26" t="e">
        <f t="shared" si="1"/>
        <v>#N/A</v>
      </c>
      <c r="Q26" t="e">
        <f t="shared" si="2"/>
        <v>#N/A</v>
      </c>
      <c r="R26" t="e">
        <f t="shared" si="2"/>
        <v>#N/A</v>
      </c>
      <c r="S26" t="e">
        <f t="shared" si="3"/>
        <v>#N/A</v>
      </c>
      <c r="T26" t="e">
        <f t="shared" si="3"/>
        <v>#N/A</v>
      </c>
      <c r="U26" t="e">
        <f t="shared" si="4"/>
        <v>#N/A</v>
      </c>
      <c r="V26" t="e">
        <f t="shared" si="4"/>
        <v>#N/A</v>
      </c>
      <c r="W26">
        <f t="shared" si="5"/>
        <v>52213.81</v>
      </c>
      <c r="X26">
        <f t="shared" si="5"/>
        <v>29103.62</v>
      </c>
      <c r="Y26" t="e">
        <f t="shared" si="6"/>
        <v>#N/A</v>
      </c>
      <c r="Z26" t="e">
        <f t="shared" si="6"/>
        <v>#N/A</v>
      </c>
    </row>
    <row r="27" spans="1:26">
      <c r="A27">
        <f>IF(ISBLANK('[1]Точность устьев скважин'!A29),#N/A,'[1]Точность устьев скважин'!A29)</f>
        <v>35</v>
      </c>
      <c r="B27">
        <f>IF(ISBLANK('[1]Точность устьев скважин'!B29),#N/A,'[1]Точность устьев скважин'!B29)</f>
        <v>52207.57</v>
      </c>
      <c r="C27">
        <f>IF(ISBLANK('[1]Точность устьев скважин'!C29),#N/A,'[1]Точность устьев скважин'!C29)</f>
        <v>29101.24</v>
      </c>
      <c r="D27">
        <f>IF(ISBLANK('[1]Точность устьев скважин'!D29),#N/A,'[1]Точность устьев скважин'!D29)</f>
        <v>63.76</v>
      </c>
      <c r="G27">
        <f>IF(ISBLANK('[1]Точность устьев скважин'!H29),#N/A,'[1]Точность устьев скважин'!H29)</f>
        <v>35</v>
      </c>
      <c r="H27">
        <f>IF(ISBLANK('[1]Точность устьев скважин'!I29),#N/A,'[1]Точность устьев скважин'!I29)</f>
        <v>52207.69</v>
      </c>
      <c r="I27">
        <f>IF(ISBLANK('[1]Точность устьев скважин'!J29),#N/A,'[1]Точность устьев скважин'!J29)</f>
        <v>29101.27</v>
      </c>
      <c r="J27">
        <f>IF(ISBLANK('[1]Точность устьев скважин'!K29),#N/A,'[1]Точность устьев скважин'!K29)</f>
        <v>63.82</v>
      </c>
      <c r="L27" s="63">
        <f t="shared" si="0"/>
        <v>0.12369316877078861</v>
      </c>
      <c r="O27" t="e">
        <f t="shared" si="1"/>
        <v>#N/A</v>
      </c>
      <c r="P27" t="e">
        <f t="shared" si="1"/>
        <v>#N/A</v>
      </c>
      <c r="Q27">
        <f t="shared" si="2"/>
        <v>52207.69</v>
      </c>
      <c r="R27">
        <f t="shared" si="2"/>
        <v>29101.27</v>
      </c>
      <c r="S27" t="e">
        <f t="shared" si="3"/>
        <v>#N/A</v>
      </c>
      <c r="T27" t="e">
        <f t="shared" si="3"/>
        <v>#N/A</v>
      </c>
      <c r="U27" t="e">
        <f t="shared" si="4"/>
        <v>#N/A</v>
      </c>
      <c r="V27" t="e">
        <f t="shared" si="4"/>
        <v>#N/A</v>
      </c>
      <c r="W27" t="e">
        <f t="shared" si="5"/>
        <v>#N/A</v>
      </c>
      <c r="X27" t="e">
        <f t="shared" si="5"/>
        <v>#N/A</v>
      </c>
      <c r="Y27" t="e">
        <f t="shared" si="6"/>
        <v>#N/A</v>
      </c>
      <c r="Z27" t="e">
        <f t="shared" si="6"/>
        <v>#N/A</v>
      </c>
    </row>
    <row r="28" spans="1:26">
      <c r="A28">
        <f>IF(ISBLANK('[1]Точность устьев скважин'!A30),#N/A,'[1]Точность устьев скважин'!A30)</f>
        <v>36</v>
      </c>
      <c r="B28">
        <f>IF(ISBLANK('[1]Точность устьев скважин'!B30),#N/A,'[1]Точность устьев скважин'!B30)</f>
        <v>52201.63</v>
      </c>
      <c r="C28">
        <f>IF(ISBLANK('[1]Точность устьев скважин'!C30),#N/A,'[1]Точность устьев скважин'!C30)</f>
        <v>29098.6</v>
      </c>
      <c r="D28">
        <f>IF(ISBLANK('[1]Точность устьев скважин'!D30),#N/A,'[1]Точность устьев скважин'!D30)</f>
        <v>63.77</v>
      </c>
      <c r="G28">
        <f>IF(ISBLANK('[1]Точность устьев скважин'!H30),#N/A,'[1]Точность устьев скважин'!H30)</f>
        <v>36</v>
      </c>
      <c r="H28">
        <f>IF(ISBLANK('[1]Точность устьев скважин'!I30),#N/A,'[1]Точность устьев скважин'!I30)</f>
        <v>52201.89</v>
      </c>
      <c r="I28">
        <f>IF(ISBLANK('[1]Точность устьев скважин'!J30),#N/A,'[1]Точность устьев скважин'!J30)</f>
        <v>29098.93</v>
      </c>
      <c r="J28">
        <f>IF(ISBLANK('[1]Точность устьев скважин'!K30),#N/A,'[1]Точность устьев скважин'!K30)</f>
        <v>63.79</v>
      </c>
      <c r="L28" s="63">
        <f t="shared" si="0"/>
        <v>0.42011903075463253</v>
      </c>
      <c r="O28" t="e">
        <f t="shared" si="1"/>
        <v>#N/A</v>
      </c>
      <c r="P28" t="e">
        <f t="shared" si="1"/>
        <v>#N/A</v>
      </c>
      <c r="Q28" t="e">
        <f t="shared" si="2"/>
        <v>#N/A</v>
      </c>
      <c r="R28" t="e">
        <f t="shared" si="2"/>
        <v>#N/A</v>
      </c>
      <c r="S28" t="e">
        <f t="shared" si="3"/>
        <v>#N/A</v>
      </c>
      <c r="T28" t="e">
        <f t="shared" si="3"/>
        <v>#N/A</v>
      </c>
      <c r="U28" t="e">
        <f t="shared" si="4"/>
        <v>#N/A</v>
      </c>
      <c r="V28" t="e">
        <f t="shared" si="4"/>
        <v>#N/A</v>
      </c>
      <c r="W28">
        <f t="shared" si="5"/>
        <v>52201.89</v>
      </c>
      <c r="X28">
        <f t="shared" si="5"/>
        <v>29098.93</v>
      </c>
      <c r="Y28" t="e">
        <f t="shared" si="6"/>
        <v>#N/A</v>
      </c>
      <c r="Z28" t="e">
        <f t="shared" si="6"/>
        <v>#N/A</v>
      </c>
    </row>
    <row r="29" spans="1:26">
      <c r="A29">
        <f>IF(ISBLANK('[1]Точность устьев скважин'!A31),#N/A,'[1]Точность устьев скважин'!A31)</f>
        <v>37</v>
      </c>
      <c r="B29">
        <f>IF(ISBLANK('[1]Точность устьев скважин'!B31),#N/A,'[1]Точность устьев скважин'!B31)</f>
        <v>52195.69</v>
      </c>
      <c r="C29">
        <f>IF(ISBLANK('[1]Точность устьев скважин'!C31),#N/A,'[1]Точность устьев скважин'!C31)</f>
        <v>29095.96</v>
      </c>
      <c r="D29">
        <f>IF(ISBLANK('[1]Точность устьев скважин'!D31),#N/A,'[1]Точность устьев скважин'!D31)</f>
        <v>63.76</v>
      </c>
      <c r="G29">
        <f>IF(ISBLANK('[1]Точность устьев скважин'!H31),#N/A,'[1]Точность устьев скважин'!H31)</f>
        <v>37</v>
      </c>
      <c r="H29">
        <f>IF(ISBLANK('[1]Точность устьев скважин'!I31),#N/A,'[1]Точность устьев скважин'!I31)</f>
        <v>52196.07</v>
      </c>
      <c r="I29">
        <f>IF(ISBLANK('[1]Точность устьев скважин'!J31),#N/A,'[1]Точность устьев скважин'!J31)</f>
        <v>29096.46</v>
      </c>
      <c r="J29">
        <f>IF(ISBLANK('[1]Точность устьев скважин'!K31),#N/A,'[1]Точность устьев скважин'!K31)</f>
        <v>63.83</v>
      </c>
      <c r="L29" s="63">
        <f t="shared" si="0"/>
        <v>0.62801273872271834</v>
      </c>
      <c r="O29" t="e">
        <f t="shared" si="1"/>
        <v>#N/A</v>
      </c>
      <c r="P29" t="e">
        <f t="shared" si="1"/>
        <v>#N/A</v>
      </c>
      <c r="Q29" t="e">
        <f t="shared" si="2"/>
        <v>#N/A</v>
      </c>
      <c r="R29" t="e">
        <f t="shared" si="2"/>
        <v>#N/A</v>
      </c>
      <c r="S29" t="e">
        <f t="shared" si="3"/>
        <v>#N/A</v>
      </c>
      <c r="T29" t="e">
        <f t="shared" si="3"/>
        <v>#N/A</v>
      </c>
      <c r="U29" t="e">
        <f t="shared" si="4"/>
        <v>#N/A</v>
      </c>
      <c r="V29" t="e">
        <f t="shared" si="4"/>
        <v>#N/A</v>
      </c>
      <c r="W29" t="e">
        <f t="shared" si="5"/>
        <v>#N/A</v>
      </c>
      <c r="X29" t="e">
        <f t="shared" si="5"/>
        <v>#N/A</v>
      </c>
      <c r="Y29">
        <f t="shared" si="6"/>
        <v>52196.07</v>
      </c>
      <c r="Z29">
        <f t="shared" si="6"/>
        <v>29096.46</v>
      </c>
    </row>
    <row r="30" spans="1:26">
      <c r="A30">
        <f>IF(ISBLANK('[1]Точность устьев скважин'!A32),#N/A,'[1]Точность устьев скважин'!A32)</f>
        <v>38</v>
      </c>
      <c r="B30">
        <f>IF(ISBLANK('[1]Точность устьев скважин'!B32),#N/A,'[1]Точность устьев скважин'!B32)</f>
        <v>52189.75</v>
      </c>
      <c r="C30">
        <f>IF(ISBLANK('[1]Точность устьев скважин'!C32),#N/A,'[1]Точность устьев скважин'!C32)</f>
        <v>29093.31</v>
      </c>
      <c r="D30">
        <f>IF(ISBLANK('[1]Точность устьев скважин'!D32),#N/A,'[1]Точность устьев скважин'!D32)</f>
        <v>63.76</v>
      </c>
      <c r="G30">
        <f>IF(ISBLANK('[1]Точность устьев скважин'!H32),#N/A,'[1]Точность устьев скважин'!H32)</f>
        <v>38</v>
      </c>
      <c r="H30">
        <f>IF(ISBLANK('[1]Точность устьев скважин'!I32),#N/A,'[1]Точность устьев скважин'!I32)</f>
        <v>52189.57</v>
      </c>
      <c r="I30">
        <f>IF(ISBLANK('[1]Точность устьев скважин'!J32),#N/A,'[1]Точность устьев скважин'!J32)</f>
        <v>29093.25</v>
      </c>
      <c r="J30">
        <f>IF(ISBLANK('[1]Точность устьев скважин'!K32),#N/A,'[1]Точность устьев скважин'!K32)</f>
        <v>63.78</v>
      </c>
      <c r="L30" s="63">
        <f t="shared" si="0"/>
        <v>0.18973665961079303</v>
      </c>
      <c r="O30" t="e">
        <f t="shared" si="1"/>
        <v>#N/A</v>
      </c>
      <c r="P30" t="e">
        <f t="shared" si="1"/>
        <v>#N/A</v>
      </c>
      <c r="Q30">
        <f t="shared" si="2"/>
        <v>52189.57</v>
      </c>
      <c r="R30">
        <f t="shared" si="2"/>
        <v>29093.25</v>
      </c>
      <c r="S30" t="e">
        <f t="shared" si="3"/>
        <v>#N/A</v>
      </c>
      <c r="T30" t="e">
        <f t="shared" si="3"/>
        <v>#N/A</v>
      </c>
      <c r="U30" t="e">
        <f t="shared" si="4"/>
        <v>#N/A</v>
      </c>
      <c r="V30" t="e">
        <f t="shared" si="4"/>
        <v>#N/A</v>
      </c>
      <c r="W30" t="e">
        <f t="shared" si="5"/>
        <v>#N/A</v>
      </c>
      <c r="X30" t="e">
        <f t="shared" si="5"/>
        <v>#N/A</v>
      </c>
      <c r="Y30" t="e">
        <f t="shared" si="6"/>
        <v>#N/A</v>
      </c>
      <c r="Z30" t="e">
        <f t="shared" si="6"/>
        <v>#N/A</v>
      </c>
    </row>
    <row r="31" spans="1:26">
      <c r="A31">
        <f>IF(ISBLANK('[1]Точность устьев скважин'!A33),#N/A,'[1]Точность устьев скважин'!A33)</f>
        <v>39</v>
      </c>
      <c r="B31">
        <f>IF(ISBLANK('[1]Точность устьев скважин'!B33),#N/A,'[1]Точность устьев скважин'!B33)</f>
        <v>52183.82</v>
      </c>
      <c r="C31">
        <f>IF(ISBLANK('[1]Точность устьев скважин'!C33),#N/A,'[1]Точность устьев скважин'!C33)</f>
        <v>29090.67</v>
      </c>
      <c r="D31">
        <f>IF(ISBLANK('[1]Точность устьев скважин'!D33),#N/A,'[1]Точность устьев скважин'!D33)</f>
        <v>63.78</v>
      </c>
      <c r="G31">
        <f>IF(ISBLANK('[1]Точность устьев скважин'!H33),#N/A,'[1]Точность устьев скважин'!H33)</f>
        <v>39</v>
      </c>
      <c r="H31">
        <f>IF(ISBLANK('[1]Точность устьев скважин'!I33),#N/A,'[1]Точность устьев скважин'!I33)</f>
        <v>52183.83</v>
      </c>
      <c r="I31">
        <f>IF(ISBLANK('[1]Точность устьев скважин'!J33),#N/A,'[1]Точность устьев скважин'!J33)</f>
        <v>29090.7</v>
      </c>
      <c r="J31">
        <f>IF(ISBLANK('[1]Точность устьев скважин'!K33),#N/A,'[1]Точность устьев скважин'!K33)</f>
        <v>63.8</v>
      </c>
      <c r="L31" s="63">
        <f t="shared" si="0"/>
        <v>3.1622776604674913E-2</v>
      </c>
      <c r="O31">
        <f t="shared" si="1"/>
        <v>52183.83</v>
      </c>
      <c r="P31">
        <f t="shared" si="1"/>
        <v>29090.7</v>
      </c>
      <c r="Q31" t="e">
        <f t="shared" si="2"/>
        <v>#N/A</v>
      </c>
      <c r="R31" t="e">
        <f t="shared" si="2"/>
        <v>#N/A</v>
      </c>
      <c r="S31" t="e">
        <f t="shared" si="3"/>
        <v>#N/A</v>
      </c>
      <c r="T31" t="e">
        <f t="shared" si="3"/>
        <v>#N/A</v>
      </c>
      <c r="U31" t="e">
        <f t="shared" si="4"/>
        <v>#N/A</v>
      </c>
      <c r="V31" t="e">
        <f t="shared" si="4"/>
        <v>#N/A</v>
      </c>
      <c r="W31" t="e">
        <f t="shared" si="5"/>
        <v>#N/A</v>
      </c>
      <c r="X31" t="e">
        <f t="shared" si="5"/>
        <v>#N/A</v>
      </c>
      <c r="Y31" t="e">
        <f t="shared" si="6"/>
        <v>#N/A</v>
      </c>
      <c r="Z31" t="e">
        <f t="shared" si="6"/>
        <v>#N/A</v>
      </c>
    </row>
    <row r="32" spans="1:26">
      <c r="A32">
        <f>IF(ISBLANK('[1]Точность устьев скважин'!A34),#N/A,'[1]Точность устьев скважин'!A34)</f>
        <v>40</v>
      </c>
      <c r="B32">
        <f>IF(ISBLANK('[1]Точность устьев скважин'!B34),#N/A,'[1]Точность устьев скважин'!B34)</f>
        <v>52177.88</v>
      </c>
      <c r="C32">
        <f>IF(ISBLANK('[1]Точность устьев скважин'!C34),#N/A,'[1]Точность устьев скважин'!C34)</f>
        <v>29088.03</v>
      </c>
      <c r="D32">
        <f>IF(ISBLANK('[1]Точность устьев скважин'!D34),#N/A,'[1]Точность устьев скважин'!D34)</f>
        <v>63.77</v>
      </c>
      <c r="G32">
        <f>IF(ISBLANK('[1]Точность устьев скважин'!H34),#N/A,'[1]Точность устьев скважин'!H34)</f>
        <v>40</v>
      </c>
      <c r="H32">
        <f>IF(ISBLANK('[1]Точность устьев скважин'!I34),#N/A,'[1]Точность устьев скважин'!I34)</f>
        <v>52177.74</v>
      </c>
      <c r="I32">
        <f>IF(ISBLANK('[1]Точность устьев скважин'!J34),#N/A,'[1]Точность устьев скважин'!J34)</f>
        <v>29088.04</v>
      </c>
      <c r="J32">
        <f>IF(ISBLANK('[1]Точность устьев скважин'!K34),#N/A,'[1]Точность устьев скважин'!K34)</f>
        <v>63.79</v>
      </c>
      <c r="L32" s="63">
        <f t="shared" si="0"/>
        <v>0.14035668847574653</v>
      </c>
      <c r="O32" t="e">
        <f t="shared" si="1"/>
        <v>#N/A</v>
      </c>
      <c r="P32" t="e">
        <f t="shared" si="1"/>
        <v>#N/A</v>
      </c>
      <c r="Q32">
        <f t="shared" si="2"/>
        <v>52177.74</v>
      </c>
      <c r="R32">
        <f t="shared" si="2"/>
        <v>29088.04</v>
      </c>
      <c r="S32" t="e">
        <f t="shared" si="3"/>
        <v>#N/A</v>
      </c>
      <c r="T32" t="e">
        <f t="shared" si="3"/>
        <v>#N/A</v>
      </c>
      <c r="U32" t="e">
        <f t="shared" si="4"/>
        <v>#N/A</v>
      </c>
      <c r="V32" t="e">
        <f t="shared" si="4"/>
        <v>#N/A</v>
      </c>
      <c r="W32" t="e">
        <f t="shared" si="5"/>
        <v>#N/A</v>
      </c>
      <c r="X32" t="e">
        <f t="shared" si="5"/>
        <v>#N/A</v>
      </c>
      <c r="Y32" t="e">
        <f t="shared" si="6"/>
        <v>#N/A</v>
      </c>
      <c r="Z32" t="e">
        <f t="shared" si="6"/>
        <v>#N/A</v>
      </c>
    </row>
    <row r="33" spans="1:26">
      <c r="A33">
        <f>IF(ISBLANK('[1]Точность устьев скважин'!A35),#N/A,'[1]Точность устьев скважин'!A35)</f>
        <v>41</v>
      </c>
      <c r="B33">
        <f>IF(ISBLANK('[1]Точность устьев скважин'!B35),#N/A,'[1]Точность устьев скважин'!B35)</f>
        <v>52171.94</v>
      </c>
      <c r="C33">
        <f>IF(ISBLANK('[1]Точность устьев скважин'!C35),#N/A,'[1]Точность устьев скважин'!C35)</f>
        <v>29085.38</v>
      </c>
      <c r="D33">
        <f>IF(ISBLANK('[1]Точность устьев скважин'!D35),#N/A,'[1]Точность устьев скважин'!D35)</f>
        <v>63.76</v>
      </c>
      <c r="G33">
        <f>IF(ISBLANK('[1]Точность устьев скважин'!H35),#N/A,'[1]Точность устьев скважин'!H35)</f>
        <v>41</v>
      </c>
      <c r="H33">
        <f>IF(ISBLANK('[1]Точность устьев скважин'!I35),#N/A,'[1]Точность устьев скважин'!I35)</f>
        <v>52171.74</v>
      </c>
      <c r="I33">
        <f>IF(ISBLANK('[1]Точность устьев скважин'!J35),#N/A,'[1]Точность устьев скважин'!J35)</f>
        <v>29085.59</v>
      </c>
      <c r="J33">
        <f>IF(ISBLANK('[1]Точность устьев скважин'!K35),#N/A,'[1]Точность устьев скважин'!K35)</f>
        <v>63.77</v>
      </c>
      <c r="L33" s="63">
        <f t="shared" si="0"/>
        <v>0.29000000000237847</v>
      </c>
      <c r="O33" t="e">
        <f t="shared" si="1"/>
        <v>#N/A</v>
      </c>
      <c r="P33" t="e">
        <f t="shared" si="1"/>
        <v>#N/A</v>
      </c>
      <c r="Q33" t="e">
        <f t="shared" si="2"/>
        <v>#N/A</v>
      </c>
      <c r="R33" t="e">
        <f t="shared" si="2"/>
        <v>#N/A</v>
      </c>
      <c r="S33">
        <f t="shared" si="3"/>
        <v>52171.74</v>
      </c>
      <c r="T33">
        <f t="shared" si="3"/>
        <v>29085.59</v>
      </c>
      <c r="U33" t="e">
        <f t="shared" si="4"/>
        <v>#N/A</v>
      </c>
      <c r="V33" t="e">
        <f t="shared" si="4"/>
        <v>#N/A</v>
      </c>
      <c r="W33" t="e">
        <f t="shared" si="5"/>
        <v>#N/A</v>
      </c>
      <c r="X33" t="e">
        <f t="shared" si="5"/>
        <v>#N/A</v>
      </c>
      <c r="Y33" t="e">
        <f t="shared" si="6"/>
        <v>#N/A</v>
      </c>
      <c r="Z33" t="e">
        <f t="shared" si="6"/>
        <v>#N/A</v>
      </c>
    </row>
    <row r="34" spans="1:26">
      <c r="A34">
        <f>IF(ISBLANK('[1]Точность устьев скважин'!A36),#N/A,'[1]Точность устьев скважин'!A36)</f>
        <v>42</v>
      </c>
      <c r="B34">
        <f>IF(ISBLANK('[1]Точность устьев скважин'!B36),#N/A,'[1]Точность устьев скважин'!B36)</f>
        <v>52166</v>
      </c>
      <c r="C34">
        <f>IF(ISBLANK('[1]Точность устьев скважин'!C36),#N/A,'[1]Точность устьев скважин'!C36)</f>
        <v>29082.74</v>
      </c>
      <c r="D34">
        <f>IF(ISBLANK('[1]Точность устьев скважин'!D36),#N/A,'[1]Точность устьев скважин'!D36)</f>
        <v>63.76</v>
      </c>
      <c r="G34">
        <f>IF(ISBLANK('[1]Точность устьев скважин'!H36),#N/A,'[1]Точность устьев скважин'!H36)</f>
        <v>42</v>
      </c>
      <c r="H34">
        <f>IF(ISBLANK('[1]Точность устьев скважин'!I36),#N/A,'[1]Точность устьев скважин'!I36)</f>
        <v>52165.65</v>
      </c>
      <c r="I34">
        <f>IF(ISBLANK('[1]Точность устьев скважин'!J36),#N/A,'[1]Точность устьев скважин'!J36)</f>
        <v>29082.84</v>
      </c>
      <c r="J34">
        <f>IF(ISBLANK('[1]Точность устьев скважин'!K36),#N/A,'[1]Точность устьев скважин'!K36)</f>
        <v>63.81</v>
      </c>
      <c r="L34" s="63">
        <f t="shared" si="0"/>
        <v>0.36400549446222696</v>
      </c>
      <c r="O34" t="e">
        <f t="shared" si="1"/>
        <v>#N/A</v>
      </c>
      <c r="P34" t="e">
        <f t="shared" si="1"/>
        <v>#N/A</v>
      </c>
      <c r="Q34" t="e">
        <f t="shared" si="2"/>
        <v>#N/A</v>
      </c>
      <c r="R34" t="e">
        <f t="shared" si="2"/>
        <v>#N/A</v>
      </c>
      <c r="S34" t="e">
        <f t="shared" si="3"/>
        <v>#N/A</v>
      </c>
      <c r="T34" t="e">
        <f t="shared" si="3"/>
        <v>#N/A</v>
      </c>
      <c r="U34">
        <f t="shared" si="4"/>
        <v>52165.65</v>
      </c>
      <c r="V34">
        <f t="shared" si="4"/>
        <v>29082.84</v>
      </c>
      <c r="W34" t="e">
        <f t="shared" si="5"/>
        <v>#N/A</v>
      </c>
      <c r="X34" t="e">
        <f t="shared" si="5"/>
        <v>#N/A</v>
      </c>
      <c r="Y34" t="e">
        <f t="shared" si="6"/>
        <v>#N/A</v>
      </c>
      <c r="Z34" t="e">
        <f t="shared" si="6"/>
        <v>#N/A</v>
      </c>
    </row>
    <row r="35" spans="1:26">
      <c r="A35">
        <f>IF(ISBLANK('[1]Точность устьев скважин'!A37),#N/A,'[1]Точность устьев скважин'!A37)</f>
        <v>43</v>
      </c>
      <c r="B35">
        <f>IF(ISBLANK('[1]Точность устьев скважин'!B37),#N/A,'[1]Точность устьев скважин'!B37)</f>
        <v>52160.06</v>
      </c>
      <c r="C35">
        <f>IF(ISBLANK('[1]Точность устьев скважин'!C37),#N/A,'[1]Точность устьев скважин'!C37)</f>
        <v>29080.09</v>
      </c>
      <c r="D35">
        <f>IF(ISBLANK('[1]Точность устьев скважин'!D37),#N/A,'[1]Точность устьев скважин'!D37)</f>
        <v>63.86</v>
      </c>
      <c r="G35">
        <f>IF(ISBLANK('[1]Точность устьев скважин'!H37),#N/A,'[1]Точность устьев скважин'!H37)</f>
        <v>43</v>
      </c>
      <c r="H35">
        <f>IF(ISBLANK('[1]Точность устьев скважин'!I37),#N/A,'[1]Точность устьев скважин'!I37)</f>
        <v>52159.92</v>
      </c>
      <c r="I35">
        <f>IF(ISBLANK('[1]Точность устьев скважин'!J37),#N/A,'[1]Точность устьев скважин'!J37)</f>
        <v>29080.12</v>
      </c>
      <c r="J35">
        <f>IF(ISBLANK('[1]Точность устьев скважин'!K37),#N/A,'[1]Точность устьев скважин'!K37)</f>
        <v>63.88</v>
      </c>
      <c r="L35" s="63">
        <f t="shared" si="0"/>
        <v>0.14317821063195046</v>
      </c>
      <c r="O35" t="e">
        <f t="shared" si="1"/>
        <v>#N/A</v>
      </c>
      <c r="P35" t="e">
        <f t="shared" si="1"/>
        <v>#N/A</v>
      </c>
      <c r="Q35">
        <f t="shared" si="2"/>
        <v>52159.92</v>
      </c>
      <c r="R35">
        <f t="shared" si="2"/>
        <v>29080.12</v>
      </c>
      <c r="S35" t="e">
        <f t="shared" si="3"/>
        <v>#N/A</v>
      </c>
      <c r="T35" t="e">
        <f t="shared" si="3"/>
        <v>#N/A</v>
      </c>
      <c r="U35" t="e">
        <f t="shared" si="4"/>
        <v>#N/A</v>
      </c>
      <c r="V35" t="e">
        <f t="shared" si="4"/>
        <v>#N/A</v>
      </c>
      <c r="W35" t="e">
        <f t="shared" si="5"/>
        <v>#N/A</v>
      </c>
      <c r="X35" t="e">
        <f t="shared" si="5"/>
        <v>#N/A</v>
      </c>
      <c r="Y35" t="e">
        <f t="shared" si="6"/>
        <v>#N/A</v>
      </c>
      <c r="Z35" t="e">
        <f t="shared" si="6"/>
        <v>#N/A</v>
      </c>
    </row>
    <row r="36" spans="1:26">
      <c r="A36">
        <f>IF(ISBLANK('[1]Точность устьев скважин'!A38),#N/A,'[1]Точность устьев скважин'!A38)</f>
        <v>44</v>
      </c>
      <c r="B36">
        <f>IF(ISBLANK('[1]Точность устьев скважин'!B38),#N/A,'[1]Точность устьев скважин'!B38)</f>
        <v>52219.39</v>
      </c>
      <c r="C36">
        <f>IF(ISBLANK('[1]Точность устьев скважин'!C38),#N/A,'[1]Точность устьев скважин'!C38)</f>
        <v>29110.42</v>
      </c>
      <c r="D36">
        <f>IF(ISBLANK('[1]Точность устьев скважин'!D38),#N/A,'[1]Точность устьев скважин'!D38)</f>
        <v>63.98</v>
      </c>
      <c r="G36">
        <f>IF(ISBLANK('[1]Точность устьев скважин'!H38),#N/A,'[1]Точность устьев скважин'!H38)</f>
        <v>44</v>
      </c>
      <c r="H36">
        <f>IF(ISBLANK('[1]Точность устьев скважин'!I38),#N/A,'[1]Точность устьев скважин'!I38)</f>
        <v>52219.05</v>
      </c>
      <c r="I36">
        <f>IF(ISBLANK('[1]Точность устьев скважин'!J38),#N/A,'[1]Точность устьев скважин'!J38)</f>
        <v>29110.49</v>
      </c>
      <c r="J36">
        <f>IF(ISBLANK('[1]Точность устьев скважин'!K38),#N/A,'[1]Точность устьев скважин'!K38)</f>
        <v>63.89</v>
      </c>
      <c r="L36" s="63">
        <f t="shared" si="0"/>
        <v>0.34713109915144985</v>
      </c>
      <c r="O36" t="e">
        <f t="shared" si="1"/>
        <v>#N/A</v>
      </c>
      <c r="P36" t="e">
        <f t="shared" si="1"/>
        <v>#N/A</v>
      </c>
      <c r="Q36" t="e">
        <f t="shared" si="2"/>
        <v>#N/A</v>
      </c>
      <c r="R36" t="e">
        <f t="shared" si="2"/>
        <v>#N/A</v>
      </c>
      <c r="S36" t="e">
        <f t="shared" si="3"/>
        <v>#N/A</v>
      </c>
      <c r="T36" t="e">
        <f t="shared" si="3"/>
        <v>#N/A</v>
      </c>
      <c r="U36">
        <f t="shared" si="4"/>
        <v>52219.05</v>
      </c>
      <c r="V36">
        <f t="shared" si="4"/>
        <v>29110.49</v>
      </c>
      <c r="W36" t="e">
        <f t="shared" si="5"/>
        <v>#N/A</v>
      </c>
      <c r="X36" t="e">
        <f t="shared" si="5"/>
        <v>#N/A</v>
      </c>
      <c r="Y36" t="e">
        <f t="shared" si="6"/>
        <v>#N/A</v>
      </c>
      <c r="Z36" t="e">
        <f t="shared" si="6"/>
        <v>#N/A</v>
      </c>
    </row>
    <row r="37" spans="1:26">
      <c r="A37">
        <f>IF(ISBLANK('[1]Точность устьев скважин'!A39),#N/A,'[1]Точность устьев скважин'!A39)</f>
        <v>45</v>
      </c>
      <c r="B37">
        <f>IF(ISBLANK('[1]Точность устьев скважин'!B39),#N/A,'[1]Точность устьев скважин'!B39)</f>
        <v>52214.2</v>
      </c>
      <c r="C37">
        <f>IF(ISBLANK('[1]Точность устьев скважин'!C39),#N/A,'[1]Точность устьев скважин'!C39)</f>
        <v>29110.33</v>
      </c>
      <c r="D37">
        <f>IF(ISBLANK('[1]Точность устьев скважин'!D39),#N/A,'[1]Точность устьев скважин'!D39)</f>
        <v>63.93</v>
      </c>
      <c r="G37">
        <f>IF(ISBLANK('[1]Точность устьев скважин'!H39),#N/A,'[1]Точность устьев скважин'!H39)</f>
        <v>45</v>
      </c>
      <c r="H37">
        <f>IF(ISBLANK('[1]Точность устьев скважин'!I39),#N/A,'[1]Точность устьев скважин'!I39)</f>
        <v>52214.38</v>
      </c>
      <c r="I37">
        <f>IF(ISBLANK('[1]Точность устьев скважин'!J39),#N/A,'[1]Точность устьев скважин'!J39)</f>
        <v>29110.48</v>
      </c>
      <c r="J37">
        <f>IF(ISBLANK('[1]Точность устьев скважин'!K39),#N/A,'[1]Точность устьев скважин'!K39)</f>
        <v>63.94</v>
      </c>
      <c r="L37" s="63">
        <f t="shared" si="0"/>
        <v>0.23430749027602585</v>
      </c>
      <c r="O37" t="e">
        <f t="shared" si="1"/>
        <v>#N/A</v>
      </c>
      <c r="P37" t="e">
        <f t="shared" si="1"/>
        <v>#N/A</v>
      </c>
      <c r="Q37" t="e">
        <f t="shared" si="2"/>
        <v>#N/A</v>
      </c>
      <c r="R37" t="e">
        <f t="shared" si="2"/>
        <v>#N/A</v>
      </c>
      <c r="S37">
        <f t="shared" si="3"/>
        <v>52214.38</v>
      </c>
      <c r="T37">
        <f t="shared" si="3"/>
        <v>29110.48</v>
      </c>
      <c r="U37" t="e">
        <f t="shared" si="4"/>
        <v>#N/A</v>
      </c>
      <c r="V37" t="e">
        <f t="shared" si="4"/>
        <v>#N/A</v>
      </c>
      <c r="W37" t="e">
        <f t="shared" si="5"/>
        <v>#N/A</v>
      </c>
      <c r="X37" t="e">
        <f t="shared" si="5"/>
        <v>#N/A</v>
      </c>
      <c r="Y37" t="e">
        <f t="shared" si="6"/>
        <v>#N/A</v>
      </c>
      <c r="Z37" t="e">
        <f t="shared" si="6"/>
        <v>#N/A</v>
      </c>
    </row>
    <row r="38" spans="1:26">
      <c r="A38">
        <f>IF(ISBLANK('[1]Точность устьев скважин'!A40),#N/A,'[1]Точность устьев скважин'!A40)</f>
        <v>46</v>
      </c>
      <c r="B38">
        <f>IF(ISBLANK('[1]Точность устьев скважин'!B40),#N/A,'[1]Точность устьев скважин'!B40)</f>
        <v>52208.26</v>
      </c>
      <c r="C38">
        <f>IF(ISBLANK('[1]Точность устьев скважин'!C40),#N/A,'[1]Точность устьев скважин'!C40)</f>
        <v>29107.68</v>
      </c>
      <c r="D38">
        <f>IF(ISBLANK('[1]Точность устьев скважин'!D40),#N/A,'[1]Точность устьев скважин'!D40)</f>
        <v>63.83</v>
      </c>
      <c r="G38">
        <f>IF(ISBLANK('[1]Точность устьев скважин'!H40),#N/A,'[1]Точность устьев скважин'!H40)</f>
        <v>46</v>
      </c>
      <c r="H38">
        <f>IF(ISBLANK('[1]Точность устьев скважин'!I40),#N/A,'[1]Точность устьев скважин'!I40)</f>
        <v>52208.53</v>
      </c>
      <c r="I38">
        <f>IF(ISBLANK('[1]Точность устьев скважин'!J40),#N/A,'[1]Точность устьев скважин'!J40)</f>
        <v>29107.52</v>
      </c>
      <c r="J38">
        <f>IF(ISBLANK('[1]Точность устьев скважин'!K40),#N/A,'[1]Точность устьев скважин'!K40)</f>
        <v>63.81</v>
      </c>
      <c r="L38" s="63">
        <f t="shared" si="0"/>
        <v>0.31384709652667597</v>
      </c>
      <c r="O38" t="e">
        <f t="shared" si="1"/>
        <v>#N/A</v>
      </c>
      <c r="P38" t="e">
        <f t="shared" si="1"/>
        <v>#N/A</v>
      </c>
      <c r="Q38" t="e">
        <f t="shared" si="2"/>
        <v>#N/A</v>
      </c>
      <c r="R38" t="e">
        <f t="shared" si="2"/>
        <v>#N/A</v>
      </c>
      <c r="S38" t="e">
        <f t="shared" si="3"/>
        <v>#N/A</v>
      </c>
      <c r="T38" t="e">
        <f t="shared" si="3"/>
        <v>#N/A</v>
      </c>
      <c r="U38">
        <f t="shared" si="4"/>
        <v>52208.53</v>
      </c>
      <c r="V38">
        <f t="shared" si="4"/>
        <v>29107.52</v>
      </c>
      <c r="W38" t="e">
        <f t="shared" si="5"/>
        <v>#N/A</v>
      </c>
      <c r="X38" t="e">
        <f t="shared" si="5"/>
        <v>#N/A</v>
      </c>
      <c r="Y38" t="e">
        <f t="shared" si="6"/>
        <v>#N/A</v>
      </c>
      <c r="Z38" t="e">
        <f t="shared" si="6"/>
        <v>#N/A</v>
      </c>
    </row>
    <row r="39" spans="1:26">
      <c r="A39">
        <f>IF(ISBLANK('[1]Точность устьев скважин'!A41),#N/A,'[1]Точность устьев скважин'!A41)</f>
        <v>47</v>
      </c>
      <c r="B39">
        <f>IF(ISBLANK('[1]Точность устьев скважин'!B41),#N/A,'[1]Точность устьев скважин'!B41)</f>
        <v>52202.32</v>
      </c>
      <c r="C39">
        <f>IF(ISBLANK('[1]Точность устьев скважин'!C41),#N/A,'[1]Точность устьев скважин'!C41)</f>
        <v>29105.040000000001</v>
      </c>
      <c r="D39">
        <f>IF(ISBLANK('[1]Точность устьев скважин'!D41),#N/A,'[1]Точность устьев скважин'!D41)</f>
        <v>63.83</v>
      </c>
      <c r="G39">
        <f>IF(ISBLANK('[1]Точность устьев скважин'!H41),#N/A,'[1]Точность устьев скважин'!H41)</f>
        <v>47</v>
      </c>
      <c r="H39">
        <f>IF(ISBLANK('[1]Точность устьев скважин'!I41),#N/A,'[1]Точность устьев скважин'!I41)</f>
        <v>52202.32</v>
      </c>
      <c r="I39">
        <f>IF(ISBLANK('[1]Точность устьев скважин'!J41),#N/A,'[1]Точность устьев скважин'!J41)</f>
        <v>29104.74</v>
      </c>
      <c r="J39">
        <f>IF(ISBLANK('[1]Точность устьев скважин'!K41),#N/A,'[1]Точность устьев скважин'!K41)</f>
        <v>63.83</v>
      </c>
      <c r="L39" s="63">
        <f t="shared" si="0"/>
        <v>0.2999999999992724</v>
      </c>
      <c r="O39" t="e">
        <f t="shared" si="1"/>
        <v>#N/A</v>
      </c>
      <c r="P39" t="e">
        <f t="shared" si="1"/>
        <v>#N/A</v>
      </c>
      <c r="Q39" t="e">
        <f t="shared" si="2"/>
        <v>#N/A</v>
      </c>
      <c r="R39" t="e">
        <f t="shared" si="2"/>
        <v>#N/A</v>
      </c>
      <c r="S39">
        <f t="shared" si="3"/>
        <v>52202.32</v>
      </c>
      <c r="T39">
        <f t="shared" si="3"/>
        <v>29104.74</v>
      </c>
      <c r="U39" t="e">
        <f t="shared" si="4"/>
        <v>#N/A</v>
      </c>
      <c r="V39" t="e">
        <f t="shared" si="4"/>
        <v>#N/A</v>
      </c>
      <c r="W39" t="e">
        <f t="shared" si="5"/>
        <v>#N/A</v>
      </c>
      <c r="X39" t="e">
        <f t="shared" si="5"/>
        <v>#N/A</v>
      </c>
      <c r="Y39" t="e">
        <f t="shared" si="6"/>
        <v>#N/A</v>
      </c>
      <c r="Z39" t="e">
        <f t="shared" si="6"/>
        <v>#N/A</v>
      </c>
    </row>
    <row r="40" spans="1:26">
      <c r="A40">
        <f>IF(ISBLANK('[1]Точность устьев скважин'!A42),#N/A,'[1]Точность устьев скважин'!A42)</f>
        <v>48</v>
      </c>
      <c r="B40">
        <f>IF(ISBLANK('[1]Точность устьев скважин'!B42),#N/A,'[1]Точность устьев скважин'!B42)</f>
        <v>52196.38</v>
      </c>
      <c r="C40">
        <f>IF(ISBLANK('[1]Точность устьев скважин'!C42),#N/A,'[1]Точность устьев скважин'!C42)</f>
        <v>29102.400000000001</v>
      </c>
      <c r="D40">
        <f>IF(ISBLANK('[1]Точность устьев скважин'!D42),#N/A,'[1]Точность устьев скважин'!D42)</f>
        <v>63.85</v>
      </c>
      <c r="G40">
        <f>IF(ISBLANK('[1]Точность устьев скважин'!H42),#N/A,'[1]Точность устьев скважин'!H42)</f>
        <v>48</v>
      </c>
      <c r="H40">
        <f>IF(ISBLANK('[1]Точность устьев скважин'!I42),#N/A,'[1]Точность устьев скважин'!I42)</f>
        <v>52196.37</v>
      </c>
      <c r="I40">
        <f>IF(ISBLANK('[1]Точность устьев скважин'!J42),#N/A,'[1]Точность устьев скважин'!J42)</f>
        <v>29102.18</v>
      </c>
      <c r="J40">
        <f>IF(ISBLANK('[1]Точность устьев скважин'!K42),#N/A,'[1]Точность устьев скважин'!K42)</f>
        <v>63.89</v>
      </c>
      <c r="L40" s="63">
        <f t="shared" si="0"/>
        <v>0.22022715545637747</v>
      </c>
      <c r="O40" t="e">
        <f t="shared" si="1"/>
        <v>#N/A</v>
      </c>
      <c r="P40" t="e">
        <f t="shared" si="1"/>
        <v>#N/A</v>
      </c>
      <c r="Q40" t="e">
        <f t="shared" si="2"/>
        <v>#N/A</v>
      </c>
      <c r="R40" t="e">
        <f t="shared" si="2"/>
        <v>#N/A</v>
      </c>
      <c r="S40">
        <f t="shared" si="3"/>
        <v>52196.37</v>
      </c>
      <c r="T40">
        <f t="shared" si="3"/>
        <v>29102.18</v>
      </c>
      <c r="U40" t="e">
        <f t="shared" si="4"/>
        <v>#N/A</v>
      </c>
      <c r="V40" t="e">
        <f t="shared" si="4"/>
        <v>#N/A</v>
      </c>
      <c r="W40" t="e">
        <f t="shared" si="5"/>
        <v>#N/A</v>
      </c>
      <c r="X40" t="e">
        <f t="shared" si="5"/>
        <v>#N/A</v>
      </c>
      <c r="Y40" t="e">
        <f t="shared" si="6"/>
        <v>#N/A</v>
      </c>
      <c r="Z40" t="e">
        <f t="shared" si="6"/>
        <v>#N/A</v>
      </c>
    </row>
    <row r="41" spans="1:26">
      <c r="A41">
        <f>IF(ISBLANK('[1]Точность устьев скважин'!A43),#N/A,'[1]Точность устьев скважин'!A43)</f>
        <v>49</v>
      </c>
      <c r="B41">
        <f>IF(ISBLANK('[1]Точность устьев скважин'!B43),#N/A,'[1]Точность устьев скважин'!B43)</f>
        <v>52190.45</v>
      </c>
      <c r="C41">
        <f>IF(ISBLANK('[1]Точность устьев скважин'!C43),#N/A,'[1]Точность устьев скважин'!C43)</f>
        <v>29099.75</v>
      </c>
      <c r="D41">
        <f>IF(ISBLANK('[1]Точность устьев скважин'!D43),#N/A,'[1]Точность устьев скважин'!D43)</f>
        <v>63.81</v>
      </c>
      <c r="G41">
        <f>IF(ISBLANK('[1]Точность устьев скважин'!H43),#N/A,'[1]Точность устьев скважин'!H43)</f>
        <v>49</v>
      </c>
      <c r="H41">
        <f>IF(ISBLANK('[1]Точность устьев скважин'!I43),#N/A,'[1]Точность устьев скважин'!I43)</f>
        <v>52190.67</v>
      </c>
      <c r="I41">
        <f>IF(ISBLANK('[1]Точность устьев скважин'!J43),#N/A,'[1]Точность устьев скважин'!J43)</f>
        <v>29099.5</v>
      </c>
      <c r="J41">
        <f>IF(ISBLANK('[1]Точность устьев скважин'!K43),#N/A,'[1]Точность устьев скважин'!K43)</f>
        <v>63.94</v>
      </c>
      <c r="L41" s="63">
        <f t="shared" si="0"/>
        <v>0.33301651610770333</v>
      </c>
      <c r="O41" t="e">
        <f t="shared" ref="O41:P104" si="7">IF($L$1=0.5,IF(AND($L41&gt;0,$L41&lt;0.1),H41,#N/A),"")</f>
        <v>#N/A</v>
      </c>
      <c r="P41" t="e">
        <f t="shared" si="7"/>
        <v>#N/A</v>
      </c>
      <c r="Q41" t="e">
        <f t="shared" ref="Q41:R104" si="8">IF($L$1=0.5,IF(AND($L41&gt;=0.1,$L41&lt;0.2),H41,#N/A),"")</f>
        <v>#N/A</v>
      </c>
      <c r="R41" t="e">
        <f t="shared" si="8"/>
        <v>#N/A</v>
      </c>
      <c r="S41" t="e">
        <f t="shared" ref="S41:T104" si="9">IF($L$1=0.5,IF(AND($L41&gt;=0.2,$L41&lt;0.3),H41,#N/A),"")</f>
        <v>#N/A</v>
      </c>
      <c r="T41" t="e">
        <f t="shared" si="9"/>
        <v>#N/A</v>
      </c>
      <c r="U41">
        <f t="shared" ref="U41:V104" si="10">IF($L$1=0.5,IF(AND($L41&gt;=0.3,$L41&lt;0.4),H41,#N/A),"")</f>
        <v>52190.67</v>
      </c>
      <c r="V41">
        <f t="shared" si="10"/>
        <v>29099.5</v>
      </c>
      <c r="W41" t="e">
        <f t="shared" ref="W41:X104" si="11">IF($L$1=0.5,IF(AND($L41&gt;=0.4,$L41&lt;0.5),H41,#N/A),"")</f>
        <v>#N/A</v>
      </c>
      <c r="X41" t="e">
        <f t="shared" si="11"/>
        <v>#N/A</v>
      </c>
      <c r="Y41" t="e">
        <f t="shared" ref="Y41:Z56" si="12">IF($L$1=0.5,IF($L41&gt;=0.5,H41,#N/A),"")</f>
        <v>#N/A</v>
      </c>
      <c r="Z41" t="e">
        <f t="shared" si="12"/>
        <v>#N/A</v>
      </c>
    </row>
    <row r="42" spans="1:26">
      <c r="A42">
        <f>IF(ISBLANK('[1]Точность устьев скважин'!A44),#N/A,'[1]Точность устьев скважин'!A44)</f>
        <v>50</v>
      </c>
      <c r="B42">
        <f>IF(ISBLANK('[1]Точность устьев скважин'!B44),#N/A,'[1]Точность устьев скважин'!B44)</f>
        <v>52184.51</v>
      </c>
      <c r="C42">
        <f>IF(ISBLANK('[1]Точность устьев скважин'!C44),#N/A,'[1]Точность устьев скважин'!C44)</f>
        <v>29097.11</v>
      </c>
      <c r="D42">
        <f>IF(ISBLANK('[1]Точность устьев скважин'!D44),#N/A,'[1]Точность устьев скважин'!D44)</f>
        <v>63.8</v>
      </c>
      <c r="G42">
        <f>IF(ISBLANK('[1]Точность устьев скважин'!H44),#N/A,'[1]Точность устьев скважин'!H44)</f>
        <v>50</v>
      </c>
      <c r="H42">
        <f>IF(ISBLANK('[1]Точность устьев скважин'!I44),#N/A,'[1]Точность устьев скважин'!I44)</f>
        <v>52184.71</v>
      </c>
      <c r="I42">
        <f>IF(ISBLANK('[1]Точность устьев скважин'!J44),#N/A,'[1]Точность устьев скважин'!J44)</f>
        <v>29097.439999999999</v>
      </c>
      <c r="J42">
        <f>IF(ISBLANK('[1]Точность устьев скважин'!K44),#N/A,'[1]Точность устьев скважин'!K44)</f>
        <v>63.9</v>
      </c>
      <c r="L42" s="63">
        <f t="shared" si="0"/>
        <v>0.38587562762836847</v>
      </c>
      <c r="O42" t="e">
        <f t="shared" si="7"/>
        <v>#N/A</v>
      </c>
      <c r="P42" t="e">
        <f t="shared" si="7"/>
        <v>#N/A</v>
      </c>
      <c r="Q42" t="e">
        <f t="shared" si="8"/>
        <v>#N/A</v>
      </c>
      <c r="R42" t="e">
        <f t="shared" si="8"/>
        <v>#N/A</v>
      </c>
      <c r="S42" t="e">
        <f t="shared" si="9"/>
        <v>#N/A</v>
      </c>
      <c r="T42" t="e">
        <f t="shared" si="9"/>
        <v>#N/A</v>
      </c>
      <c r="U42">
        <f t="shared" si="10"/>
        <v>52184.71</v>
      </c>
      <c r="V42">
        <f t="shared" si="10"/>
        <v>29097.439999999999</v>
      </c>
      <c r="W42" t="e">
        <f t="shared" si="11"/>
        <v>#N/A</v>
      </c>
      <c r="X42" t="e">
        <f t="shared" si="11"/>
        <v>#N/A</v>
      </c>
      <c r="Y42" t="e">
        <f t="shared" si="12"/>
        <v>#N/A</v>
      </c>
      <c r="Z42" t="e">
        <f t="shared" si="12"/>
        <v>#N/A</v>
      </c>
    </row>
    <row r="43" spans="1:26">
      <c r="A43">
        <f>IF(ISBLANK('[1]Точность устьев скважин'!A45),#N/A,'[1]Точность устьев скважин'!A45)</f>
        <v>51</v>
      </c>
      <c r="B43">
        <f>IF(ISBLANK('[1]Точность устьев скважин'!B45),#N/A,'[1]Точность устьев скважин'!B45)</f>
        <v>52178.57</v>
      </c>
      <c r="C43">
        <f>IF(ISBLANK('[1]Точность устьев скважин'!C45),#N/A,'[1]Точность устьев скважин'!C45)</f>
        <v>29094.46</v>
      </c>
      <c r="D43">
        <f>IF(ISBLANK('[1]Точность устьев скважин'!D45),#N/A,'[1]Точность устьев скважин'!D45)</f>
        <v>63.77</v>
      </c>
      <c r="G43">
        <f>IF(ISBLANK('[1]Точность устьев скважин'!H45),#N/A,'[1]Точность устьев скважин'!H45)</f>
        <v>51</v>
      </c>
      <c r="H43">
        <f>IF(ISBLANK('[1]Точность устьев скважин'!I45),#N/A,'[1]Точность устьев скважин'!I45)</f>
        <v>52178.48</v>
      </c>
      <c r="I43">
        <f>IF(ISBLANK('[1]Точность устьев скважин'!J45),#N/A,'[1]Точность устьев скважин'!J45)</f>
        <v>29094.07</v>
      </c>
      <c r="J43">
        <f>IF(ISBLANK('[1]Точность устьев скважин'!K45),#N/A,'[1]Точность устьев скважин'!K45)</f>
        <v>63.78</v>
      </c>
      <c r="L43" s="63">
        <f t="shared" si="0"/>
        <v>0.40024992192243752</v>
      </c>
      <c r="O43" t="e">
        <f t="shared" si="7"/>
        <v>#N/A</v>
      </c>
      <c r="P43" t="e">
        <f t="shared" si="7"/>
        <v>#N/A</v>
      </c>
      <c r="Q43" t="e">
        <f t="shared" si="8"/>
        <v>#N/A</v>
      </c>
      <c r="R43" t="e">
        <f t="shared" si="8"/>
        <v>#N/A</v>
      </c>
      <c r="S43" t="e">
        <f t="shared" si="9"/>
        <v>#N/A</v>
      </c>
      <c r="T43" t="e">
        <f t="shared" si="9"/>
        <v>#N/A</v>
      </c>
      <c r="U43" t="e">
        <f t="shared" si="10"/>
        <v>#N/A</v>
      </c>
      <c r="V43" t="e">
        <f t="shared" si="10"/>
        <v>#N/A</v>
      </c>
      <c r="W43">
        <f t="shared" si="11"/>
        <v>52178.48</v>
      </c>
      <c r="X43">
        <f t="shared" si="11"/>
        <v>29094.07</v>
      </c>
      <c r="Y43" t="e">
        <f t="shared" si="12"/>
        <v>#N/A</v>
      </c>
      <c r="Z43" t="e">
        <f t="shared" si="12"/>
        <v>#N/A</v>
      </c>
    </row>
    <row r="44" spans="1:26">
      <c r="A44">
        <f>IF(ISBLANK('[1]Точность устьев скважин'!A46),#N/A,'[1]Точность устьев скважин'!A46)</f>
        <v>52</v>
      </c>
      <c r="B44">
        <f>IF(ISBLANK('[1]Точность устьев скважин'!B46),#N/A,'[1]Точность устьев скважин'!B46)</f>
        <v>52172.63</v>
      </c>
      <c r="C44">
        <f>IF(ISBLANK('[1]Точность устьев скважин'!C46),#N/A,'[1]Точность устьев скважин'!C46)</f>
        <v>29091.82</v>
      </c>
      <c r="D44">
        <f>IF(ISBLANK('[1]Точность устьев скважин'!D46),#N/A,'[1]Точность устьев скважин'!D46)</f>
        <v>63.75</v>
      </c>
      <c r="G44">
        <f>IF(ISBLANK('[1]Точность устьев скважин'!H46),#N/A,'[1]Точность устьев скважин'!H46)</f>
        <v>52</v>
      </c>
      <c r="H44">
        <f>IF(ISBLANK('[1]Точность устьев скважин'!I46),#N/A,'[1]Точность устьев скважин'!I46)</f>
        <v>52172.87</v>
      </c>
      <c r="I44">
        <f>IF(ISBLANK('[1]Точность устьев скважин'!J46),#N/A,'[1]Точность устьев скважин'!J46)</f>
        <v>29091.47</v>
      </c>
      <c r="J44">
        <f>IF(ISBLANK('[1]Точность устьев скважин'!K46),#N/A,'[1]Точность устьев скважин'!K46)</f>
        <v>63.85</v>
      </c>
      <c r="L44" s="63">
        <f t="shared" si="0"/>
        <v>0.42438190348022142</v>
      </c>
      <c r="O44" t="e">
        <f t="shared" si="7"/>
        <v>#N/A</v>
      </c>
      <c r="P44" t="e">
        <f t="shared" si="7"/>
        <v>#N/A</v>
      </c>
      <c r="Q44" t="e">
        <f t="shared" si="8"/>
        <v>#N/A</v>
      </c>
      <c r="R44" t="e">
        <f t="shared" si="8"/>
        <v>#N/A</v>
      </c>
      <c r="S44" t="e">
        <f t="shared" si="9"/>
        <v>#N/A</v>
      </c>
      <c r="T44" t="e">
        <f t="shared" si="9"/>
        <v>#N/A</v>
      </c>
      <c r="U44" t="e">
        <f t="shared" si="10"/>
        <v>#N/A</v>
      </c>
      <c r="V44" t="e">
        <f t="shared" si="10"/>
        <v>#N/A</v>
      </c>
      <c r="W44">
        <f t="shared" si="11"/>
        <v>52172.87</v>
      </c>
      <c r="X44">
        <f t="shared" si="11"/>
        <v>29091.47</v>
      </c>
      <c r="Y44" t="e">
        <f t="shared" si="12"/>
        <v>#N/A</v>
      </c>
      <c r="Z44" t="e">
        <f t="shared" si="12"/>
        <v>#N/A</v>
      </c>
    </row>
    <row r="45" spans="1:26">
      <c r="A45">
        <f>IF(ISBLANK('[1]Точность устьев скважин'!A47),#N/A,'[1]Точность устьев скважин'!A47)</f>
        <v>53</v>
      </c>
      <c r="B45">
        <f>IF(ISBLANK('[1]Точность устьев скважин'!B47),#N/A,'[1]Точность устьев скважин'!B47)</f>
        <v>52166.69</v>
      </c>
      <c r="C45">
        <f>IF(ISBLANK('[1]Точность устьев скважин'!C47),#N/A,'[1]Точность устьев скважин'!C47)</f>
        <v>29089.18</v>
      </c>
      <c r="D45">
        <f>IF(ISBLANK('[1]Точность устьев скважин'!D47),#N/A,'[1]Точность устьев скважин'!D47)</f>
        <v>63.75</v>
      </c>
      <c r="G45">
        <f>IF(ISBLANK('[1]Точность устьев скважин'!H47),#N/A,'[1]Точность устьев скважин'!H47)</f>
        <v>53</v>
      </c>
      <c r="H45">
        <f>IF(ISBLANK('[1]Точность устьев скважин'!I47),#N/A,'[1]Точность устьев скважин'!I47)</f>
        <v>52166.34</v>
      </c>
      <c r="I45">
        <f>IF(ISBLANK('[1]Точность устьев скважин'!J47),#N/A,'[1]Точность устьев скважин'!J47)</f>
        <v>29089.02</v>
      </c>
      <c r="J45">
        <f>IF(ISBLANK('[1]Точность устьев скважин'!K47),#N/A,'[1]Точность устьев скважин'!K47)</f>
        <v>63.75</v>
      </c>
      <c r="L45" s="63">
        <f t="shared" si="0"/>
        <v>0.38483762810311045</v>
      </c>
      <c r="O45" t="e">
        <f t="shared" si="7"/>
        <v>#N/A</v>
      </c>
      <c r="P45" t="e">
        <f t="shared" si="7"/>
        <v>#N/A</v>
      </c>
      <c r="Q45" t="e">
        <f t="shared" si="8"/>
        <v>#N/A</v>
      </c>
      <c r="R45" t="e">
        <f t="shared" si="8"/>
        <v>#N/A</v>
      </c>
      <c r="S45" t="e">
        <f t="shared" si="9"/>
        <v>#N/A</v>
      </c>
      <c r="T45" t="e">
        <f t="shared" si="9"/>
        <v>#N/A</v>
      </c>
      <c r="U45">
        <f t="shared" si="10"/>
        <v>52166.34</v>
      </c>
      <c r="V45">
        <f t="shared" si="10"/>
        <v>29089.02</v>
      </c>
      <c r="W45" t="e">
        <f t="shared" si="11"/>
        <v>#N/A</v>
      </c>
      <c r="X45" t="e">
        <f t="shared" si="11"/>
        <v>#N/A</v>
      </c>
      <c r="Y45" t="e">
        <f t="shared" si="12"/>
        <v>#N/A</v>
      </c>
      <c r="Z45" t="e">
        <f t="shared" si="12"/>
        <v>#N/A</v>
      </c>
    </row>
    <row r="46" spans="1:26">
      <c r="A46">
        <f>IF(ISBLANK('[1]Точность устьев скважин'!A48),#N/A,'[1]Точность устьев скважин'!A48)</f>
        <v>54</v>
      </c>
      <c r="B46">
        <f>IF(ISBLANK('[1]Точность устьев скважин'!B48),#N/A,'[1]Точность устьев скважин'!B48)</f>
        <v>52160.76</v>
      </c>
      <c r="C46">
        <f>IF(ISBLANK('[1]Точность устьев скважин'!C48),#N/A,'[1]Точность устьев скважин'!C48)</f>
        <v>29086.53</v>
      </c>
      <c r="D46">
        <f>IF(ISBLANK('[1]Точность устьев скважин'!D48),#N/A,'[1]Точность устьев скважин'!D48)</f>
        <v>63.83</v>
      </c>
      <c r="G46">
        <f>IF(ISBLANK('[1]Точность устьев скважин'!H48),#N/A,'[1]Точность устьев скважин'!H48)</f>
        <v>54</v>
      </c>
      <c r="H46">
        <f>IF(ISBLANK('[1]Точность устьев скважин'!I48),#N/A,'[1]Точность устьев скважин'!I48)</f>
        <v>52160.38</v>
      </c>
      <c r="I46">
        <f>IF(ISBLANK('[1]Точность устьев скважин'!J48),#N/A,'[1]Точность устьев скважин'!J48)</f>
        <v>29086.65</v>
      </c>
      <c r="J46">
        <f>IF(ISBLANK('[1]Точность устьев скважин'!K48),#N/A,'[1]Точность устьев скважин'!K48)</f>
        <v>63.99</v>
      </c>
      <c r="L46" s="63">
        <f t="shared" si="0"/>
        <v>0.39849717690865472</v>
      </c>
      <c r="O46" t="e">
        <f t="shared" si="7"/>
        <v>#N/A</v>
      </c>
      <c r="P46" t="e">
        <f t="shared" si="7"/>
        <v>#N/A</v>
      </c>
      <c r="Q46" t="e">
        <f t="shared" si="8"/>
        <v>#N/A</v>
      </c>
      <c r="R46" t="e">
        <f t="shared" si="8"/>
        <v>#N/A</v>
      </c>
      <c r="S46" t="e">
        <f t="shared" si="9"/>
        <v>#N/A</v>
      </c>
      <c r="T46" t="e">
        <f t="shared" si="9"/>
        <v>#N/A</v>
      </c>
      <c r="U46">
        <f t="shared" si="10"/>
        <v>52160.38</v>
      </c>
      <c r="V46">
        <f t="shared" si="10"/>
        <v>29086.65</v>
      </c>
      <c r="W46" t="e">
        <f t="shared" si="11"/>
        <v>#N/A</v>
      </c>
      <c r="X46" t="e">
        <f t="shared" si="11"/>
        <v>#N/A</v>
      </c>
      <c r="Y46" t="e">
        <f t="shared" si="12"/>
        <v>#N/A</v>
      </c>
      <c r="Z46" t="e">
        <f t="shared" si="12"/>
        <v>#N/A</v>
      </c>
    </row>
    <row r="47" spans="1:26">
      <c r="A47">
        <f>IF(ISBLANK('[1]Точность устьев скважин'!A49),#N/A,'[1]Точность устьев скважин'!A49)</f>
        <v>55</v>
      </c>
      <c r="B47">
        <f>IF(ISBLANK('[1]Точность устьев скважин'!B49),#N/A,'[1]Точность устьев скважин'!B49)</f>
        <v>52154.82</v>
      </c>
      <c r="C47">
        <f>IF(ISBLANK('[1]Точность устьев скважин'!C49),#N/A,'[1]Точность устьев скважин'!C49)</f>
        <v>29083.89</v>
      </c>
      <c r="D47">
        <f>IF(ISBLANK('[1]Точность устьев скважин'!D49),#N/A,'[1]Точность устьев скважин'!D49)</f>
        <v>63.95</v>
      </c>
      <c r="G47">
        <f>IF(ISBLANK('[1]Точность устьев скважин'!H49),#N/A,'[1]Точность устьев скважин'!H49)</f>
        <v>55</v>
      </c>
      <c r="H47">
        <f>IF(ISBLANK('[1]Точность устьев скважин'!I49),#N/A,'[1]Точность устьев скважин'!I49)</f>
        <v>52154.95</v>
      </c>
      <c r="I47">
        <f>IF(ISBLANK('[1]Точность устьев скважин'!J49),#N/A,'[1]Точность устьев скважин'!J49)</f>
        <v>29083.77</v>
      </c>
      <c r="J47">
        <f>IF(ISBLANK('[1]Точность устьев скважин'!K49),#N/A,'[1]Точность устьев скважин'!K49)</f>
        <v>63.97</v>
      </c>
      <c r="L47" s="63">
        <f t="shared" si="0"/>
        <v>0.17691806012692571</v>
      </c>
      <c r="O47" t="e">
        <f t="shared" si="7"/>
        <v>#N/A</v>
      </c>
      <c r="P47" t="e">
        <f t="shared" si="7"/>
        <v>#N/A</v>
      </c>
      <c r="Q47">
        <f t="shared" si="8"/>
        <v>52154.95</v>
      </c>
      <c r="R47">
        <f t="shared" si="8"/>
        <v>29083.77</v>
      </c>
      <c r="S47" t="e">
        <f t="shared" si="9"/>
        <v>#N/A</v>
      </c>
      <c r="T47" t="e">
        <f t="shared" si="9"/>
        <v>#N/A</v>
      </c>
      <c r="U47" t="e">
        <f t="shared" si="10"/>
        <v>#N/A</v>
      </c>
      <c r="V47" t="e">
        <f t="shared" si="10"/>
        <v>#N/A</v>
      </c>
      <c r="W47" t="e">
        <f t="shared" si="11"/>
        <v>#N/A</v>
      </c>
      <c r="X47" t="e">
        <f t="shared" si="11"/>
        <v>#N/A</v>
      </c>
      <c r="Y47" t="e">
        <f t="shared" si="12"/>
        <v>#N/A</v>
      </c>
      <c r="Z47" t="e">
        <f t="shared" si="12"/>
        <v>#N/A</v>
      </c>
    </row>
    <row r="48" spans="1:26">
      <c r="A48">
        <f>IF(ISBLANK('[1]Точность устьев скважин'!A50),#N/A,'[1]Точность устьев скважин'!A50)</f>
        <v>56</v>
      </c>
      <c r="B48">
        <f>IF(ISBLANK('[1]Точность устьев скважин'!B50),#N/A,'[1]Точность устьев скважин'!B50)</f>
        <v>52208.95</v>
      </c>
      <c r="C48">
        <f>IF(ISBLANK('[1]Точность устьев скважин'!C50),#N/A,'[1]Точность устьев скважин'!C50)</f>
        <v>29114.12</v>
      </c>
      <c r="D48">
        <f>IF(ISBLANK('[1]Точность устьев скважин'!D50),#N/A,'[1]Точность устьев скважин'!D50)</f>
        <v>63.85</v>
      </c>
      <c r="G48">
        <f>IF(ISBLANK('[1]Точность устьев скважин'!H50),#N/A,'[1]Точность устьев скважин'!H50)</f>
        <v>56</v>
      </c>
      <c r="H48">
        <f>IF(ISBLANK('[1]Точность устьев скважин'!I50),#N/A,'[1]Точность устьев скважин'!I50)</f>
        <v>52208.77</v>
      </c>
      <c r="I48">
        <f>IF(ISBLANK('[1]Точность устьев скважин'!J50),#N/A,'[1]Точность устьев скважин'!J50)</f>
        <v>29113.99</v>
      </c>
      <c r="J48">
        <f>IF(ISBLANK('[1]Точность устьев скважин'!K50),#N/A,'[1]Точность устьев скважин'!K50)</f>
        <v>63.97</v>
      </c>
      <c r="L48" s="63">
        <f t="shared" si="0"/>
        <v>0.22203603311044753</v>
      </c>
      <c r="O48" t="e">
        <f t="shared" si="7"/>
        <v>#N/A</v>
      </c>
      <c r="P48" t="e">
        <f t="shared" si="7"/>
        <v>#N/A</v>
      </c>
      <c r="Q48" t="e">
        <f t="shared" si="8"/>
        <v>#N/A</v>
      </c>
      <c r="R48" t="e">
        <f t="shared" si="8"/>
        <v>#N/A</v>
      </c>
      <c r="S48">
        <f t="shared" si="9"/>
        <v>52208.77</v>
      </c>
      <c r="T48">
        <f t="shared" si="9"/>
        <v>29113.99</v>
      </c>
      <c r="U48" t="e">
        <f t="shared" si="10"/>
        <v>#N/A</v>
      </c>
      <c r="V48" t="e">
        <f t="shared" si="10"/>
        <v>#N/A</v>
      </c>
      <c r="W48" t="e">
        <f t="shared" si="11"/>
        <v>#N/A</v>
      </c>
      <c r="X48" t="e">
        <f t="shared" si="11"/>
        <v>#N/A</v>
      </c>
      <c r="Y48" t="e">
        <f t="shared" si="12"/>
        <v>#N/A</v>
      </c>
      <c r="Z48" t="e">
        <f t="shared" si="12"/>
        <v>#N/A</v>
      </c>
    </row>
    <row r="49" spans="1:26">
      <c r="A49">
        <f>IF(ISBLANK('[1]Точность устьев скважин'!A51),#N/A,'[1]Точность устьев скважин'!A51)</f>
        <v>57</v>
      </c>
      <c r="B49">
        <f>IF(ISBLANK('[1]Точность устьев скважин'!B51),#N/A,'[1]Точность устьев скважин'!B51)</f>
        <v>52203.01</v>
      </c>
      <c r="C49">
        <f>IF(ISBLANK('[1]Точность устьев скважин'!C51),#N/A,'[1]Точность устьев скважин'!C51)</f>
        <v>29111.48</v>
      </c>
      <c r="D49">
        <f>IF(ISBLANK('[1]Точность устьев скважин'!D51),#N/A,'[1]Точность устьев скважин'!D51)</f>
        <v>63.87</v>
      </c>
      <c r="G49">
        <f>IF(ISBLANK('[1]Точность устьев скважин'!H51),#N/A,'[1]Точность устьев скважин'!H51)</f>
        <v>57</v>
      </c>
      <c r="H49">
        <f>IF(ISBLANK('[1]Точность устьев скважин'!I51),#N/A,'[1]Точность устьев скважин'!I51)</f>
        <v>52203.06</v>
      </c>
      <c r="I49">
        <f>IF(ISBLANK('[1]Точность устьев скважин'!J51),#N/A,'[1]Точность устьев скважин'!J51)</f>
        <v>29111.119999999999</v>
      </c>
      <c r="J49">
        <f>IF(ISBLANK('[1]Точность устьев скважин'!K51),#N/A,'[1]Точность устьев скважин'!K51)</f>
        <v>63.97</v>
      </c>
      <c r="L49" s="63">
        <f t="shared" si="0"/>
        <v>0.36345563690770094</v>
      </c>
      <c r="O49" t="e">
        <f t="shared" si="7"/>
        <v>#N/A</v>
      </c>
      <c r="P49" t="e">
        <f t="shared" si="7"/>
        <v>#N/A</v>
      </c>
      <c r="Q49" t="e">
        <f t="shared" si="8"/>
        <v>#N/A</v>
      </c>
      <c r="R49" t="e">
        <f t="shared" si="8"/>
        <v>#N/A</v>
      </c>
      <c r="S49" t="e">
        <f t="shared" si="9"/>
        <v>#N/A</v>
      </c>
      <c r="T49" t="e">
        <f t="shared" si="9"/>
        <v>#N/A</v>
      </c>
      <c r="U49">
        <f t="shared" si="10"/>
        <v>52203.06</v>
      </c>
      <c r="V49">
        <f t="shared" si="10"/>
        <v>29111.119999999999</v>
      </c>
      <c r="W49" t="e">
        <f t="shared" si="11"/>
        <v>#N/A</v>
      </c>
      <c r="X49" t="e">
        <f t="shared" si="11"/>
        <v>#N/A</v>
      </c>
      <c r="Y49" t="e">
        <f t="shared" si="12"/>
        <v>#N/A</v>
      </c>
      <c r="Z49" t="e">
        <f t="shared" si="12"/>
        <v>#N/A</v>
      </c>
    </row>
    <row r="50" spans="1:26">
      <c r="A50">
        <f>IF(ISBLANK('[1]Точность устьев скважин'!A52),#N/A,'[1]Точность устьев скважин'!A52)</f>
        <v>58</v>
      </c>
      <c r="B50">
        <f>IF(ISBLANK('[1]Точность устьев скважин'!B52),#N/A,'[1]Точность устьев скважин'!B52)</f>
        <v>52197.07</v>
      </c>
      <c r="C50">
        <f>IF(ISBLANK('[1]Точность устьев скважин'!C52),#N/A,'[1]Точность устьев скважин'!C52)</f>
        <v>29108.83</v>
      </c>
      <c r="D50">
        <f>IF(ISBLANK('[1]Точность устьев скважин'!D52),#N/A,'[1]Точность устьев скважин'!D52)</f>
        <v>63.95</v>
      </c>
      <c r="G50">
        <f>IF(ISBLANK('[1]Точность устьев скважин'!H52),#N/A,'[1]Точность устьев скважин'!H52)</f>
        <v>58</v>
      </c>
      <c r="H50">
        <f>IF(ISBLANK('[1]Точность устьев скважин'!I52),#N/A,'[1]Точность устьев скважин'!I52)</f>
        <v>52196.84</v>
      </c>
      <c r="I50">
        <f>IF(ISBLANK('[1]Точность устьев скважин'!J52),#N/A,'[1]Точность устьев скважин'!J52)</f>
        <v>29108.69</v>
      </c>
      <c r="J50">
        <f>IF(ISBLANK('[1]Точность устьев скважин'!K52),#N/A,'[1]Точность устьев скважин'!K52)</f>
        <v>63.88</v>
      </c>
      <c r="L50" s="63">
        <f t="shared" si="0"/>
        <v>0.26925824036104873</v>
      </c>
      <c r="O50" t="e">
        <f t="shared" si="7"/>
        <v>#N/A</v>
      </c>
      <c r="P50" t="e">
        <f t="shared" si="7"/>
        <v>#N/A</v>
      </c>
      <c r="Q50" t="e">
        <f t="shared" si="8"/>
        <v>#N/A</v>
      </c>
      <c r="R50" t="e">
        <f t="shared" si="8"/>
        <v>#N/A</v>
      </c>
      <c r="S50">
        <f t="shared" si="9"/>
        <v>52196.84</v>
      </c>
      <c r="T50">
        <f t="shared" si="9"/>
        <v>29108.69</v>
      </c>
      <c r="U50" t="e">
        <f t="shared" si="10"/>
        <v>#N/A</v>
      </c>
      <c r="V50" t="e">
        <f t="shared" si="10"/>
        <v>#N/A</v>
      </c>
      <c r="W50" t="e">
        <f t="shared" si="11"/>
        <v>#N/A</v>
      </c>
      <c r="X50" t="e">
        <f t="shared" si="11"/>
        <v>#N/A</v>
      </c>
      <c r="Y50" t="e">
        <f t="shared" si="12"/>
        <v>#N/A</v>
      </c>
      <c r="Z50" t="e">
        <f t="shared" si="12"/>
        <v>#N/A</v>
      </c>
    </row>
    <row r="51" spans="1:26">
      <c r="A51">
        <f>IF(ISBLANK('[1]Точность устьев скважин'!A53),#N/A,'[1]Точность устьев скважин'!A53)</f>
        <v>59</v>
      </c>
      <c r="B51">
        <f>IF(ISBLANK('[1]Точность устьев скважин'!B53),#N/A,'[1]Точность устьев скважин'!B53)</f>
        <v>52191.14</v>
      </c>
      <c r="C51">
        <f>IF(ISBLANK('[1]Точность устьев скважин'!C53),#N/A,'[1]Точность устьев скважин'!C53)</f>
        <v>29106.19</v>
      </c>
      <c r="D51">
        <f>IF(ISBLANK('[1]Точность устьев скважин'!D53),#N/A,'[1]Точность устьев скважин'!D53)</f>
        <v>63.94</v>
      </c>
      <c r="G51">
        <f>IF(ISBLANK('[1]Точность устьев скважин'!H53),#N/A,'[1]Точность устьев скважин'!H53)</f>
        <v>59</v>
      </c>
      <c r="H51">
        <f>IF(ISBLANK('[1]Точность устьев скважин'!I53),#N/A,'[1]Точность устьев скважин'!I53)</f>
        <v>52191.040000000001</v>
      </c>
      <c r="I51">
        <f>IF(ISBLANK('[1]Точность устьев скважин'!J53),#N/A,'[1]Точность устьев скважин'!J53)</f>
        <v>29106.31</v>
      </c>
      <c r="J51">
        <f>IF(ISBLANK('[1]Точность устьев скважин'!K53),#N/A,'[1]Точность устьев скважин'!K53)</f>
        <v>63.95</v>
      </c>
      <c r="L51" s="63">
        <f t="shared" si="0"/>
        <v>0.15620499351921374</v>
      </c>
      <c r="O51" t="e">
        <f t="shared" si="7"/>
        <v>#N/A</v>
      </c>
      <c r="P51" t="e">
        <f t="shared" si="7"/>
        <v>#N/A</v>
      </c>
      <c r="Q51">
        <f t="shared" si="8"/>
        <v>52191.040000000001</v>
      </c>
      <c r="R51">
        <f t="shared" si="8"/>
        <v>29106.31</v>
      </c>
      <c r="S51" t="e">
        <f t="shared" si="9"/>
        <v>#N/A</v>
      </c>
      <c r="T51" t="e">
        <f t="shared" si="9"/>
        <v>#N/A</v>
      </c>
      <c r="U51" t="e">
        <f t="shared" si="10"/>
        <v>#N/A</v>
      </c>
      <c r="V51" t="e">
        <f t="shared" si="10"/>
        <v>#N/A</v>
      </c>
      <c r="W51" t="e">
        <f t="shared" si="11"/>
        <v>#N/A</v>
      </c>
      <c r="X51" t="e">
        <f t="shared" si="11"/>
        <v>#N/A</v>
      </c>
      <c r="Y51" t="e">
        <f t="shared" si="12"/>
        <v>#N/A</v>
      </c>
      <c r="Z51" t="e">
        <f t="shared" si="12"/>
        <v>#N/A</v>
      </c>
    </row>
    <row r="52" spans="1:26">
      <c r="A52">
        <f>IF(ISBLANK('[1]Точность устьев скважин'!A54),#N/A,'[1]Точность устьев скважин'!A54)</f>
        <v>60</v>
      </c>
      <c r="B52">
        <f>IF(ISBLANK('[1]Точность устьев скважин'!B54),#N/A,'[1]Точность устьев скважин'!B54)</f>
        <v>52185.2</v>
      </c>
      <c r="C52">
        <f>IF(ISBLANK('[1]Точность устьев скважин'!C54),#N/A,'[1]Точность устьев скважин'!C54)</f>
        <v>29103.55</v>
      </c>
      <c r="D52">
        <f>IF(ISBLANK('[1]Точность устьев скважин'!D54),#N/A,'[1]Точность устьев скважин'!D54)</f>
        <v>63.9</v>
      </c>
      <c r="G52">
        <f>IF(ISBLANK('[1]Точность устьев скважин'!H54),#N/A,'[1]Точность устьев скважин'!H54)</f>
        <v>60</v>
      </c>
      <c r="H52">
        <f>IF(ISBLANK('[1]Точность устьев скважин'!I54),#N/A,'[1]Точность устьев скважин'!I54)</f>
        <v>52185.11</v>
      </c>
      <c r="I52">
        <f>IF(ISBLANK('[1]Точность устьев скважин'!J54),#N/A,'[1]Точность устьев скважин'!J54)</f>
        <v>29103.62</v>
      </c>
      <c r="J52">
        <f>IF(ISBLANK('[1]Точность устьев скважин'!K54),#N/A,'[1]Точность устьев скважин'!K54)</f>
        <v>63.9</v>
      </c>
      <c r="L52" s="63">
        <f t="shared" si="0"/>
        <v>0.11401754250697833</v>
      </c>
      <c r="O52" t="e">
        <f t="shared" si="7"/>
        <v>#N/A</v>
      </c>
      <c r="P52" t="e">
        <f t="shared" si="7"/>
        <v>#N/A</v>
      </c>
      <c r="Q52">
        <f t="shared" si="8"/>
        <v>52185.11</v>
      </c>
      <c r="R52">
        <f t="shared" si="8"/>
        <v>29103.62</v>
      </c>
      <c r="S52" t="e">
        <f t="shared" si="9"/>
        <v>#N/A</v>
      </c>
      <c r="T52" t="e">
        <f t="shared" si="9"/>
        <v>#N/A</v>
      </c>
      <c r="U52" t="e">
        <f t="shared" si="10"/>
        <v>#N/A</v>
      </c>
      <c r="V52" t="e">
        <f t="shared" si="10"/>
        <v>#N/A</v>
      </c>
      <c r="W52" t="e">
        <f t="shared" si="11"/>
        <v>#N/A</v>
      </c>
      <c r="X52" t="e">
        <f t="shared" si="11"/>
        <v>#N/A</v>
      </c>
      <c r="Y52" t="e">
        <f t="shared" si="12"/>
        <v>#N/A</v>
      </c>
      <c r="Z52" t="e">
        <f t="shared" si="12"/>
        <v>#N/A</v>
      </c>
    </row>
    <row r="53" spans="1:26">
      <c r="A53">
        <f>IF(ISBLANK('[1]Точность устьев скважин'!A55),#N/A,'[1]Точность устьев скважин'!A55)</f>
        <v>61</v>
      </c>
      <c r="B53">
        <f>IF(ISBLANK('[1]Точность устьев скважин'!B55),#N/A,'[1]Точность устьев скважин'!B55)</f>
        <v>52179.26</v>
      </c>
      <c r="C53">
        <f>IF(ISBLANK('[1]Точность устьев скважин'!C55),#N/A,'[1]Точность устьев скважин'!C55)</f>
        <v>29100.9</v>
      </c>
      <c r="D53">
        <f>IF(ISBLANK('[1]Точность устьев скважин'!D55),#N/A,'[1]Точность устьев скважин'!D55)</f>
        <v>63.88</v>
      </c>
      <c r="G53">
        <f>IF(ISBLANK('[1]Точность устьев скважин'!H55),#N/A,'[1]Точность устьев скважин'!H55)</f>
        <v>61</v>
      </c>
      <c r="H53">
        <f>IF(ISBLANK('[1]Точность устьев скважин'!I55),#N/A,'[1]Точность устьев скважин'!I55)</f>
        <v>52178.91</v>
      </c>
      <c r="I53">
        <f>IF(ISBLANK('[1]Точность устьев скважин'!J55),#N/A,'[1]Точность устьев скважин'!J55)</f>
        <v>29101.06</v>
      </c>
      <c r="J53">
        <f>IF(ISBLANK('[1]Точность устьев скважин'!K55),#N/A,'[1]Точность устьев скважин'!K55)</f>
        <v>63.83</v>
      </c>
      <c r="L53" s="63">
        <f t="shared" si="0"/>
        <v>0.38483762809649319</v>
      </c>
      <c r="O53" t="e">
        <f t="shared" si="7"/>
        <v>#N/A</v>
      </c>
      <c r="P53" t="e">
        <f t="shared" si="7"/>
        <v>#N/A</v>
      </c>
      <c r="Q53" t="e">
        <f t="shared" si="8"/>
        <v>#N/A</v>
      </c>
      <c r="R53" t="e">
        <f t="shared" si="8"/>
        <v>#N/A</v>
      </c>
      <c r="S53" t="e">
        <f t="shared" si="9"/>
        <v>#N/A</v>
      </c>
      <c r="T53" t="e">
        <f t="shared" si="9"/>
        <v>#N/A</v>
      </c>
      <c r="U53">
        <f t="shared" si="10"/>
        <v>52178.91</v>
      </c>
      <c r="V53">
        <f t="shared" si="10"/>
        <v>29101.06</v>
      </c>
      <c r="W53" t="e">
        <f t="shared" si="11"/>
        <v>#N/A</v>
      </c>
      <c r="X53" t="e">
        <f t="shared" si="11"/>
        <v>#N/A</v>
      </c>
      <c r="Y53" t="e">
        <f t="shared" si="12"/>
        <v>#N/A</v>
      </c>
      <c r="Z53" t="e">
        <f t="shared" si="12"/>
        <v>#N/A</v>
      </c>
    </row>
    <row r="54" spans="1:26">
      <c r="A54">
        <f>IF(ISBLANK('[1]Точность устьев скважин'!A56),#N/A,'[1]Точность устьев скважин'!A56)</f>
        <v>62</v>
      </c>
      <c r="B54">
        <f>IF(ISBLANK('[1]Точность устьев скважин'!B56),#N/A,'[1]Точность устьев скважин'!B56)</f>
        <v>52173.32</v>
      </c>
      <c r="C54">
        <f>IF(ISBLANK('[1]Точность устьев скважин'!C56),#N/A,'[1]Точность устьев скважин'!C56)</f>
        <v>29098.26</v>
      </c>
      <c r="D54">
        <f>IF(ISBLANK('[1]Точность устьев скважин'!D56),#N/A,'[1]Точность устьев скважин'!D56)</f>
        <v>63.85</v>
      </c>
      <c r="G54">
        <f>IF(ISBLANK('[1]Точность устьев скважин'!H56),#N/A,'[1]Точность устьев скважин'!H56)</f>
        <v>62</v>
      </c>
      <c r="H54">
        <f>IF(ISBLANK('[1]Точность устьев скважин'!I56),#N/A,'[1]Точность устьев скважин'!I56)</f>
        <v>52173.279999999999</v>
      </c>
      <c r="I54">
        <f>IF(ISBLANK('[1]Точность устьев скважин'!J56),#N/A,'[1]Точность устьев скважин'!J56)</f>
        <v>29098.32</v>
      </c>
      <c r="J54">
        <f>IF(ISBLANK('[1]Точность устьев скважин'!K56),#N/A,'[1]Точность устьев скважин'!K56)</f>
        <v>63.98</v>
      </c>
      <c r="L54" s="63">
        <f t="shared" si="0"/>
        <v>7.2111025510853813E-2</v>
      </c>
      <c r="O54">
        <f t="shared" si="7"/>
        <v>52173.279999999999</v>
      </c>
      <c r="P54">
        <f t="shared" si="7"/>
        <v>29098.32</v>
      </c>
      <c r="Q54" t="e">
        <f t="shared" si="8"/>
        <v>#N/A</v>
      </c>
      <c r="R54" t="e">
        <f t="shared" si="8"/>
        <v>#N/A</v>
      </c>
      <c r="S54" t="e">
        <f t="shared" si="9"/>
        <v>#N/A</v>
      </c>
      <c r="T54" t="e">
        <f t="shared" si="9"/>
        <v>#N/A</v>
      </c>
      <c r="U54" t="e">
        <f t="shared" si="10"/>
        <v>#N/A</v>
      </c>
      <c r="V54" t="e">
        <f t="shared" si="10"/>
        <v>#N/A</v>
      </c>
      <c r="W54" t="e">
        <f t="shared" si="11"/>
        <v>#N/A</v>
      </c>
      <c r="X54" t="e">
        <f t="shared" si="11"/>
        <v>#N/A</v>
      </c>
      <c r="Y54" t="e">
        <f t="shared" si="12"/>
        <v>#N/A</v>
      </c>
      <c r="Z54" t="e">
        <f t="shared" si="12"/>
        <v>#N/A</v>
      </c>
    </row>
    <row r="55" spans="1:26">
      <c r="A55">
        <f>IF(ISBLANK('[1]Точность устьев скважин'!A57),#N/A,'[1]Точность устьев скважин'!A57)</f>
        <v>63</v>
      </c>
      <c r="B55">
        <f>IF(ISBLANK('[1]Точность устьев скважин'!B57),#N/A,'[1]Точность устьев скважин'!B57)</f>
        <v>52167.38</v>
      </c>
      <c r="C55">
        <f>IF(ISBLANK('[1]Точность устьев скважин'!C57),#N/A,'[1]Точность устьев скважин'!C57)</f>
        <v>29095.61</v>
      </c>
      <c r="D55">
        <f>IF(ISBLANK('[1]Точность устьев скважин'!D57),#N/A,'[1]Точность устьев скважин'!D57)</f>
        <v>63.88</v>
      </c>
      <c r="G55">
        <f>IF(ISBLANK('[1]Точность устьев скважин'!H57),#N/A,'[1]Точность устьев скважин'!H57)</f>
        <v>63</v>
      </c>
      <c r="H55">
        <f>IF(ISBLANK('[1]Точность устьев скважин'!I57),#N/A,'[1]Точность устьев скважин'!I57)</f>
        <v>52167.38</v>
      </c>
      <c r="I55">
        <f>IF(ISBLANK('[1]Точность устьев скважин'!J57),#N/A,'[1]Точность устьев скважин'!J57)</f>
        <v>29095.56</v>
      </c>
      <c r="J55">
        <f>IF(ISBLANK('[1]Точность устьев скважин'!K57),#N/A,'[1]Точность устьев скважин'!K57)</f>
        <v>63.99</v>
      </c>
      <c r="L55" s="63">
        <f t="shared" si="0"/>
        <v>4.9999999999272404E-2</v>
      </c>
      <c r="O55">
        <f t="shared" si="7"/>
        <v>52167.38</v>
      </c>
      <c r="P55">
        <f t="shared" si="7"/>
        <v>29095.56</v>
      </c>
      <c r="Q55" t="e">
        <f t="shared" si="8"/>
        <v>#N/A</v>
      </c>
      <c r="R55" t="e">
        <f t="shared" si="8"/>
        <v>#N/A</v>
      </c>
      <c r="S55" t="e">
        <f t="shared" si="9"/>
        <v>#N/A</v>
      </c>
      <c r="T55" t="e">
        <f t="shared" si="9"/>
        <v>#N/A</v>
      </c>
      <c r="U55" t="e">
        <f t="shared" si="10"/>
        <v>#N/A</v>
      </c>
      <c r="V55" t="e">
        <f t="shared" si="10"/>
        <v>#N/A</v>
      </c>
      <c r="W55" t="e">
        <f t="shared" si="11"/>
        <v>#N/A</v>
      </c>
      <c r="X55" t="e">
        <f t="shared" si="11"/>
        <v>#N/A</v>
      </c>
      <c r="Y55" t="e">
        <f t="shared" si="12"/>
        <v>#N/A</v>
      </c>
      <c r="Z55" t="e">
        <f t="shared" si="12"/>
        <v>#N/A</v>
      </c>
    </row>
    <row r="56" spans="1:26">
      <c r="A56">
        <f>IF(ISBLANK('[1]Точность устьев скважин'!A58),#N/A,'[1]Точность устьев скважин'!A58)</f>
        <v>64</v>
      </c>
      <c r="B56">
        <f>IF(ISBLANK('[1]Точность устьев скважин'!B58),#N/A,'[1]Точность устьев скважин'!B58)</f>
        <v>52161.45</v>
      </c>
      <c r="C56">
        <f>IF(ISBLANK('[1]Точность устьев скважин'!C58),#N/A,'[1]Точность устьев скважин'!C58)</f>
        <v>29092.97</v>
      </c>
      <c r="D56">
        <f>IF(ISBLANK('[1]Точность устьев скважин'!D58),#N/A,'[1]Точность устьев скважин'!D58)</f>
        <v>63.94</v>
      </c>
      <c r="G56">
        <f>IF(ISBLANK('[1]Точность устьев скважин'!H58),#N/A,'[1]Точность устьев скважин'!H58)</f>
        <v>64</v>
      </c>
      <c r="H56">
        <f>IF(ISBLANK('[1]Точность устьев скважин'!I58),#N/A,'[1]Точность устьев скважин'!I58)</f>
        <v>52161.42</v>
      </c>
      <c r="I56">
        <f>IF(ISBLANK('[1]Точность устьев скважин'!J58),#N/A,'[1]Точность устьев скважин'!J58)</f>
        <v>29092.91</v>
      </c>
      <c r="J56">
        <f>IF(ISBLANK('[1]Точность устьев скважин'!K58),#N/A,'[1]Точность устьев скважин'!K58)</f>
        <v>63.92</v>
      </c>
      <c r="L56" s="63">
        <f t="shared" si="0"/>
        <v>6.708203932564448E-2</v>
      </c>
      <c r="O56">
        <f t="shared" si="7"/>
        <v>52161.42</v>
      </c>
      <c r="P56">
        <f t="shared" si="7"/>
        <v>29092.91</v>
      </c>
      <c r="Q56" t="e">
        <f t="shared" si="8"/>
        <v>#N/A</v>
      </c>
      <c r="R56" t="e">
        <f t="shared" si="8"/>
        <v>#N/A</v>
      </c>
      <c r="S56" t="e">
        <f t="shared" si="9"/>
        <v>#N/A</v>
      </c>
      <c r="T56" t="e">
        <f t="shared" si="9"/>
        <v>#N/A</v>
      </c>
      <c r="U56" t="e">
        <f t="shared" si="10"/>
        <v>#N/A</v>
      </c>
      <c r="V56" t="e">
        <f t="shared" si="10"/>
        <v>#N/A</v>
      </c>
      <c r="W56" t="e">
        <f t="shared" si="11"/>
        <v>#N/A</v>
      </c>
      <c r="X56" t="e">
        <f t="shared" si="11"/>
        <v>#N/A</v>
      </c>
      <c r="Y56" t="e">
        <f t="shared" si="12"/>
        <v>#N/A</v>
      </c>
      <c r="Z56" t="e">
        <f t="shared" si="12"/>
        <v>#N/A</v>
      </c>
    </row>
    <row r="57" spans="1:26">
      <c r="A57">
        <f>IF(ISBLANK('[1]Точность устьев скважин'!A59),#N/A,'[1]Точность устьев скважин'!A59)</f>
        <v>65</v>
      </c>
      <c r="B57">
        <f>IF(ISBLANK('[1]Точность устьев скважин'!B59),#N/A,'[1]Точность устьев скважин'!B59)</f>
        <v>52155.51</v>
      </c>
      <c r="C57">
        <f>IF(ISBLANK('[1]Точность устьев скважин'!C59),#N/A,'[1]Точность устьев скважин'!C59)</f>
        <v>29090.33</v>
      </c>
      <c r="D57">
        <f>IF(ISBLANK('[1]Точность устьев скважин'!D59),#N/A,'[1]Точность устьев скважин'!D59)</f>
        <v>64.03</v>
      </c>
      <c r="G57">
        <f>IF(ISBLANK('[1]Точность устьев скважин'!H59),#N/A,'[1]Точность устьев скважин'!H59)</f>
        <v>65</v>
      </c>
      <c r="H57">
        <f>IF(ISBLANK('[1]Точность устьев скважин'!I59),#N/A,'[1]Точность устьев скважин'!I59)</f>
        <v>52155.48</v>
      </c>
      <c r="I57">
        <f>IF(ISBLANK('[1]Точность устьев скважин'!J59),#N/A,'[1]Точность устьев скважин'!J59)</f>
        <v>29090.2</v>
      </c>
      <c r="J57">
        <f>IF(ISBLANK('[1]Точность устьев скважин'!K59),#N/A,'[1]Точность устьев скважин'!K59)</f>
        <v>63.99</v>
      </c>
      <c r="L57" s="63">
        <f t="shared" si="0"/>
        <v>0.13341664064199413</v>
      </c>
      <c r="O57" t="e">
        <f t="shared" si="7"/>
        <v>#N/A</v>
      </c>
      <c r="P57" t="e">
        <f t="shared" si="7"/>
        <v>#N/A</v>
      </c>
      <c r="Q57">
        <f t="shared" si="8"/>
        <v>52155.48</v>
      </c>
      <c r="R57">
        <f t="shared" si="8"/>
        <v>29090.2</v>
      </c>
      <c r="S57" t="e">
        <f t="shared" si="9"/>
        <v>#N/A</v>
      </c>
      <c r="T57" t="e">
        <f t="shared" si="9"/>
        <v>#N/A</v>
      </c>
      <c r="U57" t="e">
        <f t="shared" si="10"/>
        <v>#N/A</v>
      </c>
      <c r="V57" t="e">
        <f t="shared" si="10"/>
        <v>#N/A</v>
      </c>
      <c r="W57" t="e">
        <f t="shared" si="11"/>
        <v>#N/A</v>
      </c>
      <c r="X57" t="e">
        <f t="shared" si="11"/>
        <v>#N/A</v>
      </c>
      <c r="Y57" t="e">
        <f t="shared" ref="Y57:Z117" si="13">IF($L$1=0.5,IF($L57&gt;=0.5,H57,#N/A),"")</f>
        <v>#N/A</v>
      </c>
      <c r="Z57" t="e">
        <f t="shared" si="13"/>
        <v>#N/A</v>
      </c>
    </row>
    <row r="58" spans="1:26">
      <c r="A58">
        <f>IF(ISBLANK('[1]Точность устьев скважин'!A60),#N/A,'[1]Точность устьев скважин'!A60)</f>
        <v>66</v>
      </c>
      <c r="B58">
        <f>IF(ISBLANK('[1]Точность устьев скважин'!B60),#N/A,'[1]Точность устьев скважин'!B60)</f>
        <v>52197.77</v>
      </c>
      <c r="C58">
        <f>IF(ISBLANK('[1]Точность устьев скважин'!C60),#N/A,'[1]Точность устьев скважин'!C60)</f>
        <v>29115.27</v>
      </c>
      <c r="D58">
        <f>IF(ISBLANK('[1]Точность устьев скважин'!D60),#N/A,'[1]Точность устьев скважин'!D60)</f>
        <v>63.94</v>
      </c>
      <c r="G58">
        <f>IF(ISBLANK('[1]Точность устьев скважин'!H60),#N/A,'[1]Точность устьев скважин'!H60)</f>
        <v>66</v>
      </c>
      <c r="H58">
        <f>IF(ISBLANK('[1]Точность устьев скважин'!I60),#N/A,'[1]Точность устьев скважин'!I60)</f>
        <v>52198.1</v>
      </c>
      <c r="I58">
        <f>IF(ISBLANK('[1]Точность устьев скважин'!J60),#N/A,'[1]Точность устьев скважин'!J60)</f>
        <v>29115</v>
      </c>
      <c r="J58">
        <f>IF(ISBLANK('[1]Точность устьев скважин'!K60),#N/A,'[1]Точность устьев скважин'!K60)</f>
        <v>63.97</v>
      </c>
      <c r="L58" s="63">
        <f t="shared" si="0"/>
        <v>0.42638011210818483</v>
      </c>
      <c r="O58" t="e">
        <f t="shared" si="7"/>
        <v>#N/A</v>
      </c>
      <c r="P58" t="e">
        <f t="shared" si="7"/>
        <v>#N/A</v>
      </c>
      <c r="Q58" t="e">
        <f t="shared" si="8"/>
        <v>#N/A</v>
      </c>
      <c r="R58" t="e">
        <f t="shared" si="8"/>
        <v>#N/A</v>
      </c>
      <c r="S58" t="e">
        <f t="shared" si="9"/>
        <v>#N/A</v>
      </c>
      <c r="T58" t="e">
        <f t="shared" si="9"/>
        <v>#N/A</v>
      </c>
      <c r="U58" t="e">
        <f t="shared" si="10"/>
        <v>#N/A</v>
      </c>
      <c r="V58" t="e">
        <f t="shared" si="10"/>
        <v>#N/A</v>
      </c>
      <c r="W58">
        <f t="shared" si="11"/>
        <v>52198.1</v>
      </c>
      <c r="X58">
        <f t="shared" si="11"/>
        <v>29115</v>
      </c>
      <c r="Y58" t="e">
        <f t="shared" si="13"/>
        <v>#N/A</v>
      </c>
      <c r="Z58" t="e">
        <f t="shared" si="13"/>
        <v>#N/A</v>
      </c>
    </row>
    <row r="59" spans="1:26">
      <c r="A59">
        <f>IF(ISBLANK('[1]Точность устьев скважин'!A61),#N/A,'[1]Точность устьев скважин'!A61)</f>
        <v>67</v>
      </c>
      <c r="B59">
        <f>IF(ISBLANK('[1]Точность устьев скважин'!B61),#N/A,'[1]Точность устьев скважин'!B61)</f>
        <v>52191.83</v>
      </c>
      <c r="C59">
        <f>IF(ISBLANK('[1]Точность устьев скважин'!C61),#N/A,'[1]Точность устьев скважин'!C61)</f>
        <v>29112.63</v>
      </c>
      <c r="D59">
        <f>IF(ISBLANK('[1]Точность устьев скважин'!D61),#N/A,'[1]Точность устьев скважин'!D61)</f>
        <v>64.05</v>
      </c>
      <c r="G59">
        <f>IF(ISBLANK('[1]Точность устьев скважин'!H61),#N/A,'[1]Точность устьев скважин'!H61)</f>
        <v>67</v>
      </c>
      <c r="H59">
        <f>IF(ISBLANK('[1]Точность устьев скважин'!I61),#N/A,'[1]Точность устьев скважин'!I61)</f>
        <v>52191.67</v>
      </c>
      <c r="I59">
        <f>IF(ISBLANK('[1]Точность устьев скважин'!J61),#N/A,'[1]Точность устьев скважин'!J61)</f>
        <v>29112.25</v>
      </c>
      <c r="J59">
        <f>IF(ISBLANK('[1]Точность устьев скважин'!K61),#N/A,'[1]Точность устьев скважин'!K61)</f>
        <v>64.11</v>
      </c>
      <c r="L59" s="63">
        <f t="shared" si="0"/>
        <v>0.41231056256406012</v>
      </c>
      <c r="O59" t="e">
        <f t="shared" si="7"/>
        <v>#N/A</v>
      </c>
      <c r="P59" t="e">
        <f t="shared" si="7"/>
        <v>#N/A</v>
      </c>
      <c r="Q59" t="e">
        <f t="shared" si="8"/>
        <v>#N/A</v>
      </c>
      <c r="R59" t="e">
        <f t="shared" si="8"/>
        <v>#N/A</v>
      </c>
      <c r="S59" t="e">
        <f t="shared" si="9"/>
        <v>#N/A</v>
      </c>
      <c r="T59" t="e">
        <f t="shared" si="9"/>
        <v>#N/A</v>
      </c>
      <c r="U59" t="e">
        <f t="shared" si="10"/>
        <v>#N/A</v>
      </c>
      <c r="V59" t="e">
        <f t="shared" si="10"/>
        <v>#N/A</v>
      </c>
      <c r="W59">
        <f t="shared" si="11"/>
        <v>52191.67</v>
      </c>
      <c r="X59">
        <f t="shared" si="11"/>
        <v>29112.25</v>
      </c>
      <c r="Y59" t="e">
        <f t="shared" si="13"/>
        <v>#N/A</v>
      </c>
      <c r="Z59" t="e">
        <f t="shared" si="13"/>
        <v>#N/A</v>
      </c>
    </row>
    <row r="60" spans="1:26">
      <c r="A60">
        <f>IF(ISBLANK('[1]Точность устьев скважин'!A62),#N/A,'[1]Точность устьев скважин'!A62)</f>
        <v>68</v>
      </c>
      <c r="B60">
        <f>IF(ISBLANK('[1]Точность устьев скважин'!B62),#N/A,'[1]Точность устьев скважин'!B62)</f>
        <v>52185.89</v>
      </c>
      <c r="C60">
        <f>IF(ISBLANK('[1]Точность устьев скважин'!C62),#N/A,'[1]Точность устьев скважин'!C62)</f>
        <v>29109.98</v>
      </c>
      <c r="D60">
        <f>IF(ISBLANK('[1]Точность устьев скважин'!D62),#N/A,'[1]Точность устьев скважин'!D62)</f>
        <v>64.040000000000006</v>
      </c>
      <c r="G60">
        <f>IF(ISBLANK('[1]Точность устьев скважин'!H62),#N/A,'[1]Точность устьев скважин'!H62)</f>
        <v>68</v>
      </c>
      <c r="H60">
        <f>IF(ISBLANK('[1]Точность устьев скважин'!I62),#N/A,'[1]Точность устьев скважин'!I62)</f>
        <v>52185.66</v>
      </c>
      <c r="I60">
        <f>IF(ISBLANK('[1]Точность устьев скважин'!J62),#N/A,'[1]Точность устьев скважин'!J62)</f>
        <v>29109.93</v>
      </c>
      <c r="J60">
        <f>IF(ISBLANK('[1]Точность устьев скважин'!K62),#N/A,'[1]Точность устьев скважин'!K62)</f>
        <v>64.06</v>
      </c>
      <c r="L60" s="63">
        <f t="shared" si="0"/>
        <v>0.23537204591466029</v>
      </c>
      <c r="O60" t="e">
        <f t="shared" si="7"/>
        <v>#N/A</v>
      </c>
      <c r="P60" t="e">
        <f t="shared" si="7"/>
        <v>#N/A</v>
      </c>
      <c r="Q60" t="e">
        <f t="shared" si="8"/>
        <v>#N/A</v>
      </c>
      <c r="R60" t="e">
        <f t="shared" si="8"/>
        <v>#N/A</v>
      </c>
      <c r="S60">
        <f t="shared" si="9"/>
        <v>52185.66</v>
      </c>
      <c r="T60">
        <f t="shared" si="9"/>
        <v>29109.93</v>
      </c>
      <c r="U60" t="e">
        <f t="shared" si="10"/>
        <v>#N/A</v>
      </c>
      <c r="V60" t="e">
        <f t="shared" si="10"/>
        <v>#N/A</v>
      </c>
      <c r="W60" t="e">
        <f t="shared" si="11"/>
        <v>#N/A</v>
      </c>
      <c r="X60" t="e">
        <f t="shared" si="11"/>
        <v>#N/A</v>
      </c>
      <c r="Y60" t="e">
        <f t="shared" si="13"/>
        <v>#N/A</v>
      </c>
      <c r="Z60" t="e">
        <f t="shared" si="13"/>
        <v>#N/A</v>
      </c>
    </row>
    <row r="61" spans="1:26">
      <c r="A61">
        <f>IF(ISBLANK('[1]Точность устьев скважин'!A63),#N/A,'[1]Точность устьев скважин'!A63)</f>
        <v>69</v>
      </c>
      <c r="B61">
        <f>IF(ISBLANK('[1]Точность устьев скважин'!B63),#N/A,'[1]Точность устьев скважин'!B63)</f>
        <v>52179.95</v>
      </c>
      <c r="C61">
        <f>IF(ISBLANK('[1]Точность устьев скважин'!C63),#N/A,'[1]Точность устьев скважин'!C63)</f>
        <v>29107.34</v>
      </c>
      <c r="D61">
        <f>IF(ISBLANK('[1]Точность устьев скважин'!D63),#N/A,'[1]Точность устьев скважин'!D63)</f>
        <v>64.010000000000005</v>
      </c>
      <c r="G61">
        <f>IF(ISBLANK('[1]Точность устьев скважин'!H63),#N/A,'[1]Точность устьев скважин'!H63)</f>
        <v>69</v>
      </c>
      <c r="H61">
        <f>IF(ISBLANK('[1]Точность устьев скважин'!I63),#N/A,'[1]Точность устьев скважин'!I63)</f>
        <v>52180.04</v>
      </c>
      <c r="I61">
        <f>IF(ISBLANK('[1]Точность устьев скважин'!J63),#N/A,'[1]Точность устьев скважин'!J63)</f>
        <v>29106.91</v>
      </c>
      <c r="J61">
        <f>IF(ISBLANK('[1]Точность устьев скважин'!K63),#N/A,'[1]Точность устьев скважин'!K63)</f>
        <v>64.08</v>
      </c>
      <c r="L61" s="63">
        <f t="shared" si="0"/>
        <v>0.43931765273083589</v>
      </c>
      <c r="O61" t="e">
        <f t="shared" si="7"/>
        <v>#N/A</v>
      </c>
      <c r="P61" t="e">
        <f t="shared" si="7"/>
        <v>#N/A</v>
      </c>
      <c r="Q61" t="e">
        <f t="shared" si="8"/>
        <v>#N/A</v>
      </c>
      <c r="R61" t="e">
        <f t="shared" si="8"/>
        <v>#N/A</v>
      </c>
      <c r="S61" t="e">
        <f t="shared" si="9"/>
        <v>#N/A</v>
      </c>
      <c r="T61" t="e">
        <f t="shared" si="9"/>
        <v>#N/A</v>
      </c>
      <c r="U61" t="e">
        <f t="shared" si="10"/>
        <v>#N/A</v>
      </c>
      <c r="V61" t="e">
        <f t="shared" si="10"/>
        <v>#N/A</v>
      </c>
      <c r="W61">
        <f t="shared" si="11"/>
        <v>52180.04</v>
      </c>
      <c r="X61">
        <f t="shared" si="11"/>
        <v>29106.91</v>
      </c>
      <c r="Y61" t="e">
        <f t="shared" si="13"/>
        <v>#N/A</v>
      </c>
      <c r="Z61" t="e">
        <f t="shared" si="13"/>
        <v>#N/A</v>
      </c>
    </row>
    <row r="62" spans="1:26">
      <c r="A62">
        <f>IF(ISBLANK('[1]Точность устьев скважин'!A64),#N/A,'[1]Точность устьев скважин'!A64)</f>
        <v>70</v>
      </c>
      <c r="B62">
        <f>IF(ISBLANK('[1]Точность устьев скважин'!B64),#N/A,'[1]Точность устьев скважин'!B64)</f>
        <v>52174.01</v>
      </c>
      <c r="C62">
        <f>IF(ISBLANK('[1]Точность устьев скважин'!C64),#N/A,'[1]Точность устьев скважин'!C64)</f>
        <v>29104.7</v>
      </c>
      <c r="D62">
        <f>IF(ISBLANK('[1]Точность устьев скважин'!D64),#N/A,'[1]Точность устьев скважин'!D64)</f>
        <v>63.98</v>
      </c>
      <c r="G62">
        <f>IF(ISBLANK('[1]Точность устьев скважин'!H64),#N/A,'[1]Точность устьев скважин'!H64)</f>
        <v>70</v>
      </c>
      <c r="H62">
        <f>IF(ISBLANK('[1]Точность устьев скважин'!I64),#N/A,'[1]Точность устьев скважин'!I64)</f>
        <v>52173.85</v>
      </c>
      <c r="I62">
        <f>IF(ISBLANK('[1]Точность устьев скважин'!J64),#N/A,'[1]Точность устьев скважин'!J64)</f>
        <v>29104.66</v>
      </c>
      <c r="J62">
        <f>IF(ISBLANK('[1]Точность устьев скважин'!K64),#N/A,'[1]Точность устьев скважин'!K64)</f>
        <v>64.14</v>
      </c>
      <c r="L62" s="63">
        <f t="shared" si="0"/>
        <v>0.16492422502830636</v>
      </c>
      <c r="O62" t="e">
        <f t="shared" si="7"/>
        <v>#N/A</v>
      </c>
      <c r="P62" t="e">
        <f t="shared" si="7"/>
        <v>#N/A</v>
      </c>
      <c r="Q62">
        <f t="shared" si="8"/>
        <v>52173.85</v>
      </c>
      <c r="R62">
        <f t="shared" si="8"/>
        <v>29104.66</v>
      </c>
      <c r="S62" t="e">
        <f t="shared" si="9"/>
        <v>#N/A</v>
      </c>
      <c r="T62" t="e">
        <f t="shared" si="9"/>
        <v>#N/A</v>
      </c>
      <c r="U62" t="e">
        <f t="shared" si="10"/>
        <v>#N/A</v>
      </c>
      <c r="V62" t="e">
        <f t="shared" si="10"/>
        <v>#N/A</v>
      </c>
      <c r="W62" t="e">
        <f t="shared" si="11"/>
        <v>#N/A</v>
      </c>
      <c r="X62" t="e">
        <f t="shared" si="11"/>
        <v>#N/A</v>
      </c>
      <c r="Y62" t="e">
        <f t="shared" si="13"/>
        <v>#N/A</v>
      </c>
      <c r="Z62" t="e">
        <f t="shared" si="13"/>
        <v>#N/A</v>
      </c>
    </row>
    <row r="63" spans="1:26">
      <c r="A63">
        <f>IF(ISBLANK('[1]Точность устьев скважин'!A65),#N/A,'[1]Точность устьев скважин'!A65)</f>
        <v>71</v>
      </c>
      <c r="B63">
        <f>IF(ISBLANK('[1]Точность устьев скважин'!B65),#N/A,'[1]Точность устьев скважин'!B65)</f>
        <v>52168.08</v>
      </c>
      <c r="C63">
        <f>IF(ISBLANK('[1]Точность устьев скважин'!C65),#N/A,'[1]Точность устьев скважин'!C65)</f>
        <v>29102.05</v>
      </c>
      <c r="D63">
        <f>IF(ISBLANK('[1]Точность устьев скважин'!D65),#N/A,'[1]Точность устьев скважин'!D65)</f>
        <v>63.96</v>
      </c>
      <c r="G63">
        <f>IF(ISBLANK('[1]Точность устьев скважин'!H65),#N/A,'[1]Точность устьев скважин'!H65)</f>
        <v>71</v>
      </c>
      <c r="H63">
        <f>IF(ISBLANK('[1]Точность устьев скважин'!I65),#N/A,'[1]Точность устьев скважин'!I65)</f>
        <v>52168.1</v>
      </c>
      <c r="I63">
        <f>IF(ISBLANK('[1]Точность устьев скважин'!J65),#N/A,'[1]Точность устьев скважин'!J65)</f>
        <v>29102.02</v>
      </c>
      <c r="J63">
        <f>IF(ISBLANK('[1]Точность устьев скважин'!K65),#N/A,'[1]Точность устьев скважин'!K65)</f>
        <v>64.069999999999993</v>
      </c>
      <c r="L63" s="63">
        <f t="shared" si="0"/>
        <v>3.6055512751895433E-2</v>
      </c>
      <c r="O63">
        <f t="shared" si="7"/>
        <v>52168.1</v>
      </c>
      <c r="P63">
        <f t="shared" si="7"/>
        <v>29102.02</v>
      </c>
      <c r="Q63" t="e">
        <f t="shared" si="8"/>
        <v>#N/A</v>
      </c>
      <c r="R63" t="e">
        <f t="shared" si="8"/>
        <v>#N/A</v>
      </c>
      <c r="S63" t="e">
        <f t="shared" si="9"/>
        <v>#N/A</v>
      </c>
      <c r="T63" t="e">
        <f t="shared" si="9"/>
        <v>#N/A</v>
      </c>
      <c r="U63" t="e">
        <f t="shared" si="10"/>
        <v>#N/A</v>
      </c>
      <c r="V63" t="e">
        <f t="shared" si="10"/>
        <v>#N/A</v>
      </c>
      <c r="W63" t="e">
        <f t="shared" si="11"/>
        <v>#N/A</v>
      </c>
      <c r="X63" t="e">
        <f t="shared" si="11"/>
        <v>#N/A</v>
      </c>
      <c r="Y63" t="e">
        <f t="shared" si="13"/>
        <v>#N/A</v>
      </c>
      <c r="Z63" t="e">
        <f t="shared" si="13"/>
        <v>#N/A</v>
      </c>
    </row>
    <row r="64" spans="1:26">
      <c r="A64">
        <f>IF(ISBLANK('[1]Точность устьев скважин'!A66),#N/A,'[1]Точность устьев скважин'!A66)</f>
        <v>72</v>
      </c>
      <c r="B64">
        <f>IF(ISBLANK('[1]Точность устьев скважин'!B66),#N/A,'[1]Точность устьев скважин'!B66)</f>
        <v>52162.14</v>
      </c>
      <c r="C64">
        <f>IF(ISBLANK('[1]Точность устьев скважин'!C66),#N/A,'[1]Точность устьев скважин'!C66)</f>
        <v>29099.41</v>
      </c>
      <c r="D64">
        <f>IF(ISBLANK('[1]Точность устьев скважин'!D66),#N/A,'[1]Точность устьев скважин'!D66)</f>
        <v>63.95</v>
      </c>
      <c r="G64">
        <f>IF(ISBLANK('[1]Точность устьев скважин'!H66),#N/A,'[1]Точность устьев скважин'!H66)</f>
        <v>72</v>
      </c>
      <c r="H64">
        <f>IF(ISBLANK('[1]Точность устьев скважин'!I66),#N/A,'[1]Точность устьев скважин'!I66)</f>
        <v>52161.8</v>
      </c>
      <c r="I64">
        <f>IF(ISBLANK('[1]Точность устьев скважин'!J66),#N/A,'[1]Точность устьев скважин'!J66)</f>
        <v>29099.45</v>
      </c>
      <c r="J64">
        <f>IF(ISBLANK('[1]Точность устьев скважин'!K66),#N/A,'[1]Точность устьев скважин'!K66)</f>
        <v>64.08</v>
      </c>
      <c r="L64" s="63">
        <f t="shared" si="0"/>
        <v>0.3423448553691073</v>
      </c>
      <c r="O64" t="e">
        <f t="shared" si="7"/>
        <v>#N/A</v>
      </c>
      <c r="P64" t="e">
        <f t="shared" si="7"/>
        <v>#N/A</v>
      </c>
      <c r="Q64" t="e">
        <f t="shared" si="8"/>
        <v>#N/A</v>
      </c>
      <c r="R64" t="e">
        <f t="shared" si="8"/>
        <v>#N/A</v>
      </c>
      <c r="S64" t="e">
        <f t="shared" si="9"/>
        <v>#N/A</v>
      </c>
      <c r="T64" t="e">
        <f t="shared" si="9"/>
        <v>#N/A</v>
      </c>
      <c r="U64">
        <f t="shared" si="10"/>
        <v>52161.8</v>
      </c>
      <c r="V64">
        <f t="shared" si="10"/>
        <v>29099.45</v>
      </c>
      <c r="W64" t="e">
        <f t="shared" si="11"/>
        <v>#N/A</v>
      </c>
      <c r="X64" t="e">
        <f t="shared" si="11"/>
        <v>#N/A</v>
      </c>
      <c r="Y64" t="e">
        <f t="shared" si="13"/>
        <v>#N/A</v>
      </c>
      <c r="Z64" t="e">
        <f t="shared" si="13"/>
        <v>#N/A</v>
      </c>
    </row>
    <row r="65" spans="1:26">
      <c r="A65">
        <f>IF(ISBLANK('[1]Точность устьев скважин'!A67),#N/A,'[1]Точность устьев скважин'!A67)</f>
        <v>73</v>
      </c>
      <c r="B65">
        <f>IF(ISBLANK('[1]Точность устьев скважин'!B67),#N/A,'[1]Точность устьев скважин'!B67)</f>
        <v>52156.2</v>
      </c>
      <c r="C65">
        <f>IF(ISBLANK('[1]Точность устьев скважин'!C67),#N/A,'[1]Точность устьев скважин'!C67)</f>
        <v>29096.76</v>
      </c>
      <c r="D65">
        <f>IF(ISBLANK('[1]Точность устьев скважин'!D67),#N/A,'[1]Точность устьев скважин'!D67)</f>
        <v>64.03</v>
      </c>
      <c r="G65">
        <f>IF(ISBLANK('[1]Точность устьев скважин'!H67),#N/A,'[1]Точность устьев скважин'!H67)</f>
        <v>73</v>
      </c>
      <c r="H65">
        <f>IF(ISBLANK('[1]Точность устьев скважин'!I67),#N/A,'[1]Точность устьев скважин'!I67)</f>
        <v>52156.25</v>
      </c>
      <c r="I65">
        <f>IF(ISBLANK('[1]Точность устьев скважин'!J67),#N/A,'[1]Точность устьев скважин'!J67)</f>
        <v>29096.78</v>
      </c>
      <c r="J65">
        <f>IF(ISBLANK('[1]Точность устьев скважин'!K67),#N/A,'[1]Точность устьев скважин'!K67)</f>
        <v>64</v>
      </c>
      <c r="L65" s="63">
        <f t="shared" si="0"/>
        <v>5.3851648074209398E-2</v>
      </c>
      <c r="O65">
        <f t="shared" si="7"/>
        <v>52156.25</v>
      </c>
      <c r="P65">
        <f t="shared" si="7"/>
        <v>29096.78</v>
      </c>
      <c r="Q65" t="e">
        <f t="shared" si="8"/>
        <v>#N/A</v>
      </c>
      <c r="R65" t="e">
        <f t="shared" si="8"/>
        <v>#N/A</v>
      </c>
      <c r="S65" t="e">
        <f t="shared" si="9"/>
        <v>#N/A</v>
      </c>
      <c r="T65" t="e">
        <f t="shared" si="9"/>
        <v>#N/A</v>
      </c>
      <c r="U65" t="e">
        <f t="shared" si="10"/>
        <v>#N/A</v>
      </c>
      <c r="V65" t="e">
        <f t="shared" si="10"/>
        <v>#N/A</v>
      </c>
      <c r="W65" t="e">
        <f t="shared" si="11"/>
        <v>#N/A</v>
      </c>
      <c r="X65" t="e">
        <f t="shared" si="11"/>
        <v>#N/A</v>
      </c>
      <c r="Y65" t="e">
        <f t="shared" si="13"/>
        <v>#N/A</v>
      </c>
      <c r="Z65" t="e">
        <f t="shared" si="13"/>
        <v>#N/A</v>
      </c>
    </row>
    <row r="66" spans="1:26">
      <c r="A66">
        <f>IF(ISBLANK('[1]Точность устьев скважин'!A68),#N/A,'[1]Точность устьев скважин'!A68)</f>
        <v>74</v>
      </c>
      <c r="B66">
        <f>IF(ISBLANK('[1]Точность устьев скважин'!B68),#N/A,'[1]Точность устьев скважин'!B68)</f>
        <v>52150.26</v>
      </c>
      <c r="C66">
        <f>IF(ISBLANK('[1]Точность устьев скважин'!C68),#N/A,'[1]Точность устьев скважин'!C68)</f>
        <v>29094.12</v>
      </c>
      <c r="D66">
        <f>IF(ISBLANK('[1]Точность устьев скважин'!D68),#N/A,'[1]Точность устьев скважин'!D68)</f>
        <v>64.17</v>
      </c>
      <c r="G66">
        <f>IF(ISBLANK('[1]Точность устьев скважин'!H68),#N/A,'[1]Точность устьев скважин'!H68)</f>
        <v>74</v>
      </c>
      <c r="H66">
        <f>IF(ISBLANK('[1]Точность устьев скважин'!I68),#N/A,'[1]Точность устьев скважин'!I68)</f>
        <v>52150.14</v>
      </c>
      <c r="I66">
        <f>IF(ISBLANK('[1]Точность устьев скважин'!J68),#N/A,'[1]Точность устьев скважин'!J68)</f>
        <v>29094.07</v>
      </c>
      <c r="J66">
        <f>IF(ISBLANK('[1]Точность устьев скважин'!K68),#N/A,'[1]Точность устьев скважин'!K68)</f>
        <v>64.17</v>
      </c>
      <c r="L66" s="63">
        <f t="shared" si="0"/>
        <v>0.13000000000213802</v>
      </c>
      <c r="O66" t="e">
        <f t="shared" si="7"/>
        <v>#N/A</v>
      </c>
      <c r="P66" t="e">
        <f t="shared" si="7"/>
        <v>#N/A</v>
      </c>
      <c r="Q66">
        <f t="shared" si="8"/>
        <v>52150.14</v>
      </c>
      <c r="R66">
        <f t="shared" si="8"/>
        <v>29094.07</v>
      </c>
      <c r="S66" t="e">
        <f t="shared" si="9"/>
        <v>#N/A</v>
      </c>
      <c r="T66" t="e">
        <f t="shared" si="9"/>
        <v>#N/A</v>
      </c>
      <c r="U66" t="e">
        <f t="shared" si="10"/>
        <v>#N/A</v>
      </c>
      <c r="V66" t="e">
        <f t="shared" si="10"/>
        <v>#N/A</v>
      </c>
      <c r="W66" t="e">
        <f t="shared" si="11"/>
        <v>#N/A</v>
      </c>
      <c r="X66" t="e">
        <f t="shared" si="11"/>
        <v>#N/A</v>
      </c>
      <c r="Y66" t="e">
        <f t="shared" si="13"/>
        <v>#N/A</v>
      </c>
      <c r="Z66" t="e">
        <f t="shared" si="13"/>
        <v>#N/A</v>
      </c>
    </row>
    <row r="67" spans="1:26">
      <c r="A67">
        <f>IF(ISBLANK('[1]Точность устьев скважин'!A69),#N/A,'[1]Точность устьев скважин'!A69)</f>
        <v>75</v>
      </c>
      <c r="B67">
        <f>IF(ISBLANK('[1]Точность устьев скважин'!B69),#N/A,'[1]Точность устьев скважин'!B69)</f>
        <v>52192.49</v>
      </c>
      <c r="C67">
        <f>IF(ISBLANK('[1]Точность устьев скважин'!C69),#N/A,'[1]Точность устьев скважин'!C69)</f>
        <v>29116.76</v>
      </c>
      <c r="D67">
        <f>IF(ISBLANK('[1]Точность устьев скважин'!D69),#N/A,'[1]Точность устьев скважин'!D69)</f>
        <v>64.05</v>
      </c>
      <c r="G67">
        <f>IF(ISBLANK('[1]Точность устьев скважин'!H69),#N/A,'[1]Точность устьев скважин'!H69)</f>
        <v>75</v>
      </c>
      <c r="H67">
        <f>IF(ISBLANK('[1]Точность устьев скважин'!I69),#N/A,'[1]Точность устьев скважин'!I69)</f>
        <v>52192.27</v>
      </c>
      <c r="I67">
        <f>IF(ISBLANK('[1]Точность устьев скважин'!J69),#N/A,'[1]Точность устьев скважин'!J69)</f>
        <v>29116.45</v>
      </c>
      <c r="J67">
        <f>IF(ISBLANK('[1]Точность устьев скважин'!K69),#N/A,'[1]Точность устьев скважин'!K69)</f>
        <v>64.14</v>
      </c>
      <c r="L67" s="63">
        <f t="shared" si="0"/>
        <v>0.38013155617373923</v>
      </c>
      <c r="O67" t="e">
        <f t="shared" si="7"/>
        <v>#N/A</v>
      </c>
      <c r="P67" t="e">
        <f t="shared" si="7"/>
        <v>#N/A</v>
      </c>
      <c r="Q67" t="e">
        <f t="shared" si="8"/>
        <v>#N/A</v>
      </c>
      <c r="R67" t="e">
        <f t="shared" si="8"/>
        <v>#N/A</v>
      </c>
      <c r="S67" t="e">
        <f t="shared" si="9"/>
        <v>#N/A</v>
      </c>
      <c r="T67" t="e">
        <f t="shared" si="9"/>
        <v>#N/A</v>
      </c>
      <c r="U67">
        <f t="shared" si="10"/>
        <v>52192.27</v>
      </c>
      <c r="V67">
        <f t="shared" si="10"/>
        <v>29116.45</v>
      </c>
      <c r="W67" t="e">
        <f t="shared" si="11"/>
        <v>#N/A</v>
      </c>
      <c r="X67" t="e">
        <f t="shared" si="11"/>
        <v>#N/A</v>
      </c>
      <c r="Y67" t="e">
        <f t="shared" si="13"/>
        <v>#N/A</v>
      </c>
      <c r="Z67" t="e">
        <f t="shared" si="13"/>
        <v>#N/A</v>
      </c>
    </row>
    <row r="68" spans="1:26">
      <c r="A68">
        <f>IF(ISBLANK('[1]Точность устьев скважин'!A70),#N/A,'[1]Точность устьев скважин'!A70)</f>
        <v>76</v>
      </c>
      <c r="B68">
        <f>IF(ISBLANK('[1]Точность устьев скважин'!B70),#N/A,'[1]Точность устьев скважин'!B70)</f>
        <v>52186.58</v>
      </c>
      <c r="C68">
        <f>IF(ISBLANK('[1]Точность устьев скважин'!C70),#N/A,'[1]Точность устьев скважин'!C70)</f>
        <v>29116.42</v>
      </c>
      <c r="D68">
        <f>IF(ISBLANK('[1]Точность устьев скважин'!D70),#N/A,'[1]Точность устьев скважин'!D70)</f>
        <v>64.2</v>
      </c>
      <c r="G68">
        <f>IF(ISBLANK('[1]Точность устьев скважин'!H70),#N/A,'[1]Точность устьев скважин'!H70)</f>
        <v>76</v>
      </c>
      <c r="H68">
        <f>IF(ISBLANK('[1]Точность устьев скважин'!I70),#N/A,'[1]Точность устьев скважин'!I70)</f>
        <v>52186.58</v>
      </c>
      <c r="I68">
        <f>IF(ISBLANK('[1]Точность устьев скважин'!J70),#N/A,'[1]Точность устьев скважин'!J70)</f>
        <v>29116.1</v>
      </c>
      <c r="J68">
        <f>IF(ISBLANK('[1]Точность устьев скважин'!K70),#N/A,'[1]Точность устьев скважин'!K70)</f>
        <v>64.239999999999995</v>
      </c>
      <c r="L68" s="63">
        <f t="shared" ref="L68:L131" si="14">IF(B68="","",(SQRT((H68-B68)^2+(I68-C68)^2)))</f>
        <v>0.31999999999970896</v>
      </c>
      <c r="O68" t="e">
        <f t="shared" si="7"/>
        <v>#N/A</v>
      </c>
      <c r="P68" t="e">
        <f t="shared" si="7"/>
        <v>#N/A</v>
      </c>
      <c r="Q68" t="e">
        <f t="shared" si="8"/>
        <v>#N/A</v>
      </c>
      <c r="R68" t="e">
        <f t="shared" si="8"/>
        <v>#N/A</v>
      </c>
      <c r="S68" t="e">
        <f t="shared" si="9"/>
        <v>#N/A</v>
      </c>
      <c r="T68" t="e">
        <f t="shared" si="9"/>
        <v>#N/A</v>
      </c>
      <c r="U68">
        <f t="shared" si="10"/>
        <v>52186.58</v>
      </c>
      <c r="V68">
        <f t="shared" si="10"/>
        <v>29116.1</v>
      </c>
      <c r="W68" t="e">
        <f t="shared" si="11"/>
        <v>#N/A</v>
      </c>
      <c r="X68" t="e">
        <f t="shared" si="11"/>
        <v>#N/A</v>
      </c>
      <c r="Y68" t="e">
        <f t="shared" si="13"/>
        <v>#N/A</v>
      </c>
      <c r="Z68" t="e">
        <f t="shared" si="13"/>
        <v>#N/A</v>
      </c>
    </row>
    <row r="69" spans="1:26">
      <c r="A69">
        <f>IF(ISBLANK('[1]Точность устьев скважин'!A71),#N/A,'[1]Точность устьев скважин'!A71)</f>
        <v>77</v>
      </c>
      <c r="B69">
        <f>IF(ISBLANK('[1]Точность устьев скважин'!B71),#N/A,'[1]Точность устьев скважин'!B71)</f>
        <v>52180.639999999999</v>
      </c>
      <c r="C69">
        <f>IF(ISBLANK('[1]Точность устьев скважин'!C71),#N/A,'[1]Точность устьев скважин'!C71)</f>
        <v>29113.78</v>
      </c>
      <c r="D69">
        <f>IF(ISBLANK('[1]Точность устьев скважин'!D71),#N/A,'[1]Точность устьев скважин'!D71)</f>
        <v>64.16</v>
      </c>
      <c r="G69">
        <f>IF(ISBLANK('[1]Точность устьев скважин'!H71),#N/A,'[1]Точность устьев скважин'!H71)</f>
        <v>77</v>
      </c>
      <c r="H69">
        <f>IF(ISBLANK('[1]Точность устьев скважин'!I71),#N/A,'[1]Точность устьев скважин'!I71)</f>
        <v>52180.51</v>
      </c>
      <c r="I69">
        <f>IF(ISBLANK('[1]Точность устьев скважин'!J71),#N/A,'[1]Точность устьев скважин'!J71)</f>
        <v>29113.88</v>
      </c>
      <c r="J69">
        <f>IF(ISBLANK('[1]Точность устьев скважин'!K71),#N/A,'[1]Точность устьев скважин'!K71)</f>
        <v>64.22</v>
      </c>
      <c r="L69" s="63">
        <f t="shared" si="14"/>
        <v>0.16401219466782196</v>
      </c>
      <c r="O69" t="e">
        <f t="shared" si="7"/>
        <v>#N/A</v>
      </c>
      <c r="P69" t="e">
        <f t="shared" si="7"/>
        <v>#N/A</v>
      </c>
      <c r="Q69">
        <f t="shared" si="8"/>
        <v>52180.51</v>
      </c>
      <c r="R69">
        <f t="shared" si="8"/>
        <v>29113.88</v>
      </c>
      <c r="S69" t="e">
        <f t="shared" si="9"/>
        <v>#N/A</v>
      </c>
      <c r="T69" t="e">
        <f t="shared" si="9"/>
        <v>#N/A</v>
      </c>
      <c r="U69" t="e">
        <f t="shared" si="10"/>
        <v>#N/A</v>
      </c>
      <c r="V69" t="e">
        <f t="shared" si="10"/>
        <v>#N/A</v>
      </c>
      <c r="W69" t="e">
        <f t="shared" si="11"/>
        <v>#N/A</v>
      </c>
      <c r="X69" t="e">
        <f t="shared" si="11"/>
        <v>#N/A</v>
      </c>
      <c r="Y69" t="e">
        <f t="shared" si="13"/>
        <v>#N/A</v>
      </c>
      <c r="Z69" t="e">
        <f t="shared" si="13"/>
        <v>#N/A</v>
      </c>
    </row>
    <row r="70" spans="1:26">
      <c r="A70">
        <f>IF(ISBLANK('[1]Точность устьев скважин'!A72),#N/A,'[1]Точность устьев скважин'!A72)</f>
        <v>78</v>
      </c>
      <c r="B70">
        <f>IF(ISBLANK('[1]Точность устьев скважин'!B72),#N/A,'[1]Точность устьев скважин'!B72)</f>
        <v>52174.71</v>
      </c>
      <c r="C70">
        <f>IF(ISBLANK('[1]Точность устьев скважин'!C72),#N/A,'[1]Точность устьев скважин'!C72)</f>
        <v>29111.13</v>
      </c>
      <c r="D70">
        <f>IF(ISBLANK('[1]Точность устьев скважин'!D72),#N/A,'[1]Точность устьев скважин'!D72)</f>
        <v>64.099999999999994</v>
      </c>
      <c r="G70">
        <f>IF(ISBLANK('[1]Точность устьев скважин'!H72),#N/A,'[1]Точность устьев скважин'!H72)</f>
        <v>78</v>
      </c>
      <c r="H70">
        <f>IF(ISBLANK('[1]Точность устьев скважин'!I72),#N/A,'[1]Точность устьев скважин'!I72)</f>
        <v>52174.46</v>
      </c>
      <c r="I70">
        <f>IF(ISBLANK('[1]Точность устьев скважин'!J72),#N/A,'[1]Точность устьев скважин'!J72)</f>
        <v>29111.1</v>
      </c>
      <c r="J70">
        <f>IF(ISBLANK('[1]Точность устьев скважин'!K72),#N/A,'[1]Точность устьев скважин'!K72)</f>
        <v>64.09</v>
      </c>
      <c r="L70" s="63">
        <f t="shared" si="14"/>
        <v>0.25179356624057819</v>
      </c>
      <c r="O70" t="e">
        <f t="shared" si="7"/>
        <v>#N/A</v>
      </c>
      <c r="P70" t="e">
        <f t="shared" si="7"/>
        <v>#N/A</v>
      </c>
      <c r="Q70" t="e">
        <f t="shared" si="8"/>
        <v>#N/A</v>
      </c>
      <c r="R70" t="e">
        <f t="shared" si="8"/>
        <v>#N/A</v>
      </c>
      <c r="S70">
        <f t="shared" si="9"/>
        <v>52174.46</v>
      </c>
      <c r="T70">
        <f t="shared" si="9"/>
        <v>29111.1</v>
      </c>
      <c r="U70" t="e">
        <f t="shared" si="10"/>
        <v>#N/A</v>
      </c>
      <c r="V70" t="e">
        <f t="shared" si="10"/>
        <v>#N/A</v>
      </c>
      <c r="W70" t="e">
        <f t="shared" si="11"/>
        <v>#N/A</v>
      </c>
      <c r="X70" t="e">
        <f t="shared" si="11"/>
        <v>#N/A</v>
      </c>
      <c r="Y70" t="e">
        <f t="shared" si="13"/>
        <v>#N/A</v>
      </c>
      <c r="Z70" t="e">
        <f t="shared" si="13"/>
        <v>#N/A</v>
      </c>
    </row>
    <row r="71" spans="1:26">
      <c r="A71">
        <f>IF(ISBLANK('[1]Точность устьев скважин'!A73),#N/A,'[1]Точность устьев скважин'!A73)</f>
        <v>79</v>
      </c>
      <c r="B71">
        <f>IF(ISBLANK('[1]Точность устьев скважин'!B73),#N/A,'[1]Точность устьев скважин'!B73)</f>
        <v>52168.77</v>
      </c>
      <c r="C71">
        <f>IF(ISBLANK('[1]Точность устьев скважин'!C73),#N/A,'[1]Точность устьев скважин'!C73)</f>
        <v>29108.49</v>
      </c>
      <c r="D71">
        <f>IF(ISBLANK('[1]Точность устьев скважин'!D73),#N/A,'[1]Точность устьев скважин'!D73)</f>
        <v>64.069999999999993</v>
      </c>
      <c r="G71">
        <f>IF(ISBLANK('[1]Точность устьев скважин'!H73),#N/A,'[1]Точность устьев скважин'!H73)</f>
        <v>79</v>
      </c>
      <c r="H71">
        <f>IF(ISBLANK('[1]Точность устьев скважин'!I73),#N/A,'[1]Точность устьев скважин'!I73)</f>
        <v>52168.7</v>
      </c>
      <c r="I71">
        <f>IF(ISBLANK('[1]Точность устьев скважин'!J73),#N/A,'[1]Точность устьев скважин'!J73)</f>
        <v>29108.38</v>
      </c>
      <c r="J71">
        <f>IF(ISBLANK('[1]Точность устьев скважин'!K73),#N/A,'[1]Точность устьев скважин'!K73)</f>
        <v>64.03</v>
      </c>
      <c r="L71" s="63">
        <f t="shared" si="14"/>
        <v>0.13038404810438781</v>
      </c>
      <c r="O71" t="e">
        <f t="shared" si="7"/>
        <v>#N/A</v>
      </c>
      <c r="P71" t="e">
        <f t="shared" si="7"/>
        <v>#N/A</v>
      </c>
      <c r="Q71">
        <f t="shared" si="8"/>
        <v>52168.7</v>
      </c>
      <c r="R71">
        <f t="shared" si="8"/>
        <v>29108.38</v>
      </c>
      <c r="S71" t="e">
        <f t="shared" si="9"/>
        <v>#N/A</v>
      </c>
      <c r="T71" t="e">
        <f t="shared" si="9"/>
        <v>#N/A</v>
      </c>
      <c r="U71" t="e">
        <f t="shared" si="10"/>
        <v>#N/A</v>
      </c>
      <c r="V71" t="e">
        <f t="shared" si="10"/>
        <v>#N/A</v>
      </c>
      <c r="W71" t="e">
        <f t="shared" si="11"/>
        <v>#N/A</v>
      </c>
      <c r="X71" t="e">
        <f t="shared" si="11"/>
        <v>#N/A</v>
      </c>
      <c r="Y71" t="e">
        <f t="shared" si="13"/>
        <v>#N/A</v>
      </c>
      <c r="Z71" t="e">
        <f t="shared" si="13"/>
        <v>#N/A</v>
      </c>
    </row>
    <row r="72" spans="1:26">
      <c r="A72">
        <f>IF(ISBLANK('[1]Точность устьев скважин'!A74),#N/A,'[1]Точность устьев скважин'!A74)</f>
        <v>80</v>
      </c>
      <c r="B72">
        <f>IF(ISBLANK('[1]Точность устьев скважин'!B74),#N/A,'[1]Точность устьев скважин'!B74)</f>
        <v>52162.83</v>
      </c>
      <c r="C72">
        <f>IF(ISBLANK('[1]Точность устьев скважин'!C74),#N/A,'[1]Точность устьев скважин'!C74)</f>
        <v>29105.85</v>
      </c>
      <c r="D72">
        <f>IF(ISBLANK('[1]Точность устьев скважин'!D74),#N/A,'[1]Точность устьев скважин'!D74)</f>
        <v>63.98</v>
      </c>
      <c r="G72">
        <f>IF(ISBLANK('[1]Точность устьев скважин'!H74),#N/A,'[1]Точность устьев скважин'!H74)</f>
        <v>80</v>
      </c>
      <c r="H72">
        <f>IF(ISBLANK('[1]Точность устьев скважин'!I74),#N/A,'[1]Точность устьев скважин'!I74)</f>
        <v>52162.6</v>
      </c>
      <c r="I72">
        <f>IF(ISBLANK('[1]Точность устьев скважин'!J74),#N/A,'[1]Точность устьев скважин'!J74)</f>
        <v>29105.71</v>
      </c>
      <c r="J72">
        <f>IF(ISBLANK('[1]Точность устьев скважин'!K74),#N/A,'[1]Точность устьев скважин'!K74)</f>
        <v>63.95</v>
      </c>
      <c r="L72" s="63">
        <f t="shared" si="14"/>
        <v>0.26925824035915719</v>
      </c>
      <c r="O72" t="e">
        <f t="shared" si="7"/>
        <v>#N/A</v>
      </c>
      <c r="P72" t="e">
        <f t="shared" si="7"/>
        <v>#N/A</v>
      </c>
      <c r="Q72" t="e">
        <f t="shared" si="8"/>
        <v>#N/A</v>
      </c>
      <c r="R72" t="e">
        <f t="shared" si="8"/>
        <v>#N/A</v>
      </c>
      <c r="S72">
        <f t="shared" si="9"/>
        <v>52162.6</v>
      </c>
      <c r="T72">
        <f t="shared" si="9"/>
        <v>29105.71</v>
      </c>
      <c r="U72" t="e">
        <f t="shared" si="10"/>
        <v>#N/A</v>
      </c>
      <c r="V72" t="e">
        <f t="shared" si="10"/>
        <v>#N/A</v>
      </c>
      <c r="W72" t="e">
        <f t="shared" si="11"/>
        <v>#N/A</v>
      </c>
      <c r="X72" t="e">
        <f t="shared" si="11"/>
        <v>#N/A</v>
      </c>
      <c r="Y72" t="e">
        <f t="shared" si="13"/>
        <v>#N/A</v>
      </c>
      <c r="Z72" t="e">
        <f t="shared" si="13"/>
        <v>#N/A</v>
      </c>
    </row>
    <row r="73" spans="1:26">
      <c r="A73">
        <f>IF(ISBLANK('[1]Точность устьев скважин'!A75),#N/A,'[1]Точность устьев скважин'!A75)</f>
        <v>81</v>
      </c>
      <c r="B73">
        <f>IF(ISBLANK('[1]Точность устьев скважин'!B75),#N/A,'[1]Точность устьев скважин'!B75)</f>
        <v>52156.89</v>
      </c>
      <c r="C73">
        <f>IF(ISBLANK('[1]Точность устьев скважин'!C75),#N/A,'[1]Точность устьев скважин'!C75)</f>
        <v>29103.200000000001</v>
      </c>
      <c r="D73">
        <f>IF(ISBLANK('[1]Точность устьев скважин'!D75),#N/A,'[1]Точность устьев скважин'!D75)</f>
        <v>63.94</v>
      </c>
      <c r="G73">
        <f>IF(ISBLANK('[1]Точность устьев скважин'!H75),#N/A,'[1]Точность устьев скважин'!H75)</f>
        <v>81</v>
      </c>
      <c r="H73">
        <f>IF(ISBLANK('[1]Точность устьев скважин'!I75),#N/A,'[1]Точность устьев скважин'!I75)</f>
        <v>52156.84</v>
      </c>
      <c r="I73">
        <f>IF(ISBLANK('[1]Точность устьев скважин'!J75),#N/A,'[1]Точность устьев скважин'!J75)</f>
        <v>29103.040000000001</v>
      </c>
      <c r="J73">
        <f>IF(ISBLANK('[1]Точность устьев скважин'!K75),#N/A,'[1]Точность устьев скважин'!K75)</f>
        <v>63.85</v>
      </c>
      <c r="L73" s="63">
        <f t="shared" si="14"/>
        <v>0.1676305461431313</v>
      </c>
      <c r="O73" t="e">
        <f t="shared" si="7"/>
        <v>#N/A</v>
      </c>
      <c r="P73" t="e">
        <f t="shared" si="7"/>
        <v>#N/A</v>
      </c>
      <c r="Q73">
        <f t="shared" si="8"/>
        <v>52156.84</v>
      </c>
      <c r="R73">
        <f t="shared" si="8"/>
        <v>29103.040000000001</v>
      </c>
      <c r="S73" t="e">
        <f t="shared" si="9"/>
        <v>#N/A</v>
      </c>
      <c r="T73" t="e">
        <f t="shared" si="9"/>
        <v>#N/A</v>
      </c>
      <c r="U73" t="e">
        <f t="shared" si="10"/>
        <v>#N/A</v>
      </c>
      <c r="V73" t="e">
        <f t="shared" si="10"/>
        <v>#N/A</v>
      </c>
      <c r="W73" t="e">
        <f t="shared" si="11"/>
        <v>#N/A</v>
      </c>
      <c r="X73" t="e">
        <f t="shared" si="11"/>
        <v>#N/A</v>
      </c>
      <c r="Y73" t="e">
        <f t="shared" si="13"/>
        <v>#N/A</v>
      </c>
      <c r="Z73" t="e">
        <f t="shared" si="13"/>
        <v>#N/A</v>
      </c>
    </row>
    <row r="74" spans="1:26">
      <c r="A74">
        <f>IF(ISBLANK('[1]Точность устьев скважин'!A76),#N/A,'[1]Точность устьев скважин'!A76)</f>
        <v>82</v>
      </c>
      <c r="B74">
        <f>IF(ISBLANK('[1]Точность устьев скважин'!B76),#N/A,'[1]Точность устьев скважин'!B76)</f>
        <v>52150.95</v>
      </c>
      <c r="C74">
        <f>IF(ISBLANK('[1]Точность устьев скважин'!C76),#N/A,'[1]Точность устьев скважин'!C76)</f>
        <v>29100.560000000001</v>
      </c>
      <c r="D74">
        <f>IF(ISBLANK('[1]Точность устьев скважин'!D76),#N/A,'[1]Точность устьев скважин'!D76)</f>
        <v>64.11</v>
      </c>
      <c r="G74">
        <f>IF(ISBLANK('[1]Точность устьев скважин'!H76),#N/A,'[1]Точность устьев скважин'!H76)</f>
        <v>82</v>
      </c>
      <c r="H74">
        <f>IF(ISBLANK('[1]Точность устьев скважин'!I76),#N/A,'[1]Точность устьев скважин'!I76)</f>
        <v>52150.66</v>
      </c>
      <c r="I74">
        <f>IF(ISBLANK('[1]Точность устьев скважин'!J76),#N/A,'[1]Точность устьев скважин'!J76)</f>
        <v>29100.52</v>
      </c>
      <c r="J74">
        <f>IF(ISBLANK('[1]Точность устьев скважин'!K76),#N/A,'[1]Точность устьев скважин'!K76)</f>
        <v>63.87</v>
      </c>
      <c r="L74" s="63">
        <f t="shared" si="14"/>
        <v>0.29274562335986548</v>
      </c>
      <c r="O74" t="e">
        <f t="shared" si="7"/>
        <v>#N/A</v>
      </c>
      <c r="P74" t="e">
        <f t="shared" si="7"/>
        <v>#N/A</v>
      </c>
      <c r="Q74" t="e">
        <f t="shared" si="8"/>
        <v>#N/A</v>
      </c>
      <c r="R74" t="e">
        <f t="shared" si="8"/>
        <v>#N/A</v>
      </c>
      <c r="S74">
        <f t="shared" si="9"/>
        <v>52150.66</v>
      </c>
      <c r="T74">
        <f t="shared" si="9"/>
        <v>29100.52</v>
      </c>
      <c r="U74" t="e">
        <f t="shared" si="10"/>
        <v>#N/A</v>
      </c>
      <c r="V74" t="e">
        <f t="shared" si="10"/>
        <v>#N/A</v>
      </c>
      <c r="W74" t="e">
        <f t="shared" si="11"/>
        <v>#N/A</v>
      </c>
      <c r="X74" t="e">
        <f t="shared" si="11"/>
        <v>#N/A</v>
      </c>
      <c r="Y74" t="e">
        <f t="shared" si="13"/>
        <v>#N/A</v>
      </c>
      <c r="Z74" t="e">
        <f t="shared" si="13"/>
        <v>#N/A</v>
      </c>
    </row>
    <row r="75" spans="1:26">
      <c r="A75">
        <f>IF(ISBLANK('[1]Точность устьев скважин'!A77),#N/A,'[1]Точность устьев скважин'!A77)</f>
        <v>83</v>
      </c>
      <c r="B75">
        <f>IF(ISBLANK('[1]Точность устьев скважин'!B77),#N/A,'[1]Точность устьев скважин'!B77)</f>
        <v>52175.8</v>
      </c>
      <c r="C75">
        <f>IF(ISBLANK('[1]Точность устьев скважин'!C77),#N/A,'[1]Точность устьев скважин'!C77)</f>
        <v>29115.1</v>
      </c>
      <c r="D75">
        <f>IF(ISBLANK('[1]Точность устьев скважин'!D77),#N/A,'[1]Точность устьев скважин'!D77)</f>
        <v>64.19</v>
      </c>
      <c r="G75">
        <f>IF(ISBLANK('[1]Точность устьев скважин'!H77),#N/A,'[1]Точность устьев скважин'!H77)</f>
        <v>83</v>
      </c>
      <c r="H75">
        <f>IF(ISBLANK('[1]Точность устьев скважин'!I77),#N/A,'[1]Точность устьев скважин'!I77)</f>
        <v>52175.77</v>
      </c>
      <c r="I75">
        <f>IF(ISBLANK('[1]Точность устьев скважин'!J77),#N/A,'[1]Точность устьев скважин'!J77)</f>
        <v>29114.92</v>
      </c>
      <c r="J75">
        <f>IF(ISBLANK('[1]Точность устьев скважин'!K77),#N/A,'[1]Точность устьев скважин'!K77)</f>
        <v>64.23</v>
      </c>
      <c r="L75" s="63">
        <f t="shared" si="14"/>
        <v>0.18248287591023846</v>
      </c>
      <c r="O75" t="e">
        <f t="shared" si="7"/>
        <v>#N/A</v>
      </c>
      <c r="P75" t="e">
        <f t="shared" si="7"/>
        <v>#N/A</v>
      </c>
      <c r="Q75">
        <f t="shared" si="8"/>
        <v>52175.77</v>
      </c>
      <c r="R75">
        <f t="shared" si="8"/>
        <v>29114.92</v>
      </c>
      <c r="S75" t="e">
        <f t="shared" si="9"/>
        <v>#N/A</v>
      </c>
      <c r="T75" t="e">
        <f t="shared" si="9"/>
        <v>#N/A</v>
      </c>
      <c r="U75" t="e">
        <f t="shared" si="10"/>
        <v>#N/A</v>
      </c>
      <c r="V75" t="e">
        <f t="shared" si="10"/>
        <v>#N/A</v>
      </c>
      <c r="W75" t="e">
        <f t="shared" si="11"/>
        <v>#N/A</v>
      </c>
      <c r="X75" t="e">
        <f t="shared" si="11"/>
        <v>#N/A</v>
      </c>
      <c r="Y75" t="e">
        <f t="shared" si="13"/>
        <v>#N/A</v>
      </c>
      <c r="Z75" t="e">
        <f t="shared" si="13"/>
        <v>#N/A</v>
      </c>
    </row>
    <row r="76" spans="1:26">
      <c r="A76">
        <f>IF(ISBLANK('[1]Точность устьев скважин'!A78),#N/A,'[1]Точность устьев скважин'!A78)</f>
        <v>84</v>
      </c>
      <c r="B76">
        <f>IF(ISBLANK('[1]Точность устьев скважин'!B78),#N/A,'[1]Точность устьев скважин'!B78)</f>
        <v>52169.46</v>
      </c>
      <c r="C76">
        <f>IF(ISBLANK('[1]Точность устьев скважин'!C78),#N/A,'[1]Точность устьев скважин'!C78)</f>
        <v>29114.93</v>
      </c>
      <c r="D76">
        <f>IF(ISBLANK('[1]Точность устьев скважин'!D78),#N/A,'[1]Точность устьев скважин'!D78)</f>
        <v>64.180000000000007</v>
      </c>
      <c r="G76">
        <f>IF(ISBLANK('[1]Точность устьев скважин'!H78),#N/A,'[1]Точность устьев скважин'!H78)</f>
        <v>84</v>
      </c>
      <c r="H76">
        <f>IF(ISBLANK('[1]Точность устьев скважин'!I78),#N/A,'[1]Точность устьев скважин'!I78)</f>
        <v>52169.599999999999</v>
      </c>
      <c r="I76">
        <f>IF(ISBLANK('[1]Точность устьев скважин'!J78),#N/A,'[1]Точность устьев скважин'!J78)</f>
        <v>29114.84</v>
      </c>
      <c r="J76">
        <f>IF(ISBLANK('[1]Точность устьев скважин'!K78),#N/A,'[1]Точность устьев скважин'!K78)</f>
        <v>64.16</v>
      </c>
      <c r="L76" s="63">
        <f t="shared" si="14"/>
        <v>0.16643316977052144</v>
      </c>
      <c r="O76" t="e">
        <f t="shared" si="7"/>
        <v>#N/A</v>
      </c>
      <c r="P76" t="e">
        <f t="shared" si="7"/>
        <v>#N/A</v>
      </c>
      <c r="Q76">
        <f t="shared" si="8"/>
        <v>52169.599999999999</v>
      </c>
      <c r="R76">
        <f t="shared" si="8"/>
        <v>29114.84</v>
      </c>
      <c r="S76" t="e">
        <f t="shared" si="9"/>
        <v>#N/A</v>
      </c>
      <c r="T76" t="e">
        <f t="shared" si="9"/>
        <v>#N/A</v>
      </c>
      <c r="U76" t="e">
        <f t="shared" si="10"/>
        <v>#N/A</v>
      </c>
      <c r="V76" t="e">
        <f t="shared" si="10"/>
        <v>#N/A</v>
      </c>
      <c r="W76" t="e">
        <f t="shared" si="11"/>
        <v>#N/A</v>
      </c>
      <c r="X76" t="e">
        <f t="shared" si="11"/>
        <v>#N/A</v>
      </c>
      <c r="Y76" t="e">
        <f t="shared" si="13"/>
        <v>#N/A</v>
      </c>
      <c r="Z76" t="e">
        <f t="shared" si="13"/>
        <v>#N/A</v>
      </c>
    </row>
    <row r="77" spans="1:26">
      <c r="A77">
        <f>IF(ISBLANK('[1]Точность устьев скважин'!A79),#N/A,'[1]Точность устьев скважин'!A79)</f>
        <v>85</v>
      </c>
      <c r="B77">
        <f>IF(ISBLANK('[1]Точность устьев скважин'!B79),#N/A,'[1]Точность устьев скважин'!B79)</f>
        <v>52163.519999999997</v>
      </c>
      <c r="C77">
        <f>IF(ISBLANK('[1]Точность устьев скважин'!C79),#N/A,'[1]Точность устьев скважин'!C79)</f>
        <v>29112.28</v>
      </c>
      <c r="D77">
        <f>IF(ISBLANK('[1]Точность устьев скважин'!D79),#N/A,'[1]Точность устьев скважин'!D79)</f>
        <v>64.02</v>
      </c>
      <c r="G77">
        <f>IF(ISBLANK('[1]Точность устьев скважин'!H79),#N/A,'[1]Точность устьев скважин'!H79)</f>
        <v>85</v>
      </c>
      <c r="H77">
        <f>IF(ISBLANK('[1]Точность устьев скважин'!I79),#N/A,'[1]Точность устьев скважин'!I79)</f>
        <v>52163.41</v>
      </c>
      <c r="I77">
        <f>IF(ISBLANK('[1]Точность устьев скважин'!J79),#N/A,'[1]Точность устьев скважин'!J79)</f>
        <v>29112.32</v>
      </c>
      <c r="J77">
        <f>IF(ISBLANK('[1]Точность устьев скважин'!K79),#N/A,'[1]Точность устьев скважин'!K79)</f>
        <v>64</v>
      </c>
      <c r="L77" s="63">
        <f t="shared" si="14"/>
        <v>0.11704699910120377</v>
      </c>
      <c r="O77" t="e">
        <f t="shared" si="7"/>
        <v>#N/A</v>
      </c>
      <c r="P77" t="e">
        <f t="shared" si="7"/>
        <v>#N/A</v>
      </c>
      <c r="Q77">
        <f t="shared" si="8"/>
        <v>52163.41</v>
      </c>
      <c r="R77">
        <f t="shared" si="8"/>
        <v>29112.32</v>
      </c>
      <c r="S77" t="e">
        <f t="shared" si="9"/>
        <v>#N/A</v>
      </c>
      <c r="T77" t="e">
        <f t="shared" si="9"/>
        <v>#N/A</v>
      </c>
      <c r="U77" t="e">
        <f t="shared" si="10"/>
        <v>#N/A</v>
      </c>
      <c r="V77" t="e">
        <f t="shared" si="10"/>
        <v>#N/A</v>
      </c>
      <c r="W77" t="e">
        <f t="shared" si="11"/>
        <v>#N/A</v>
      </c>
      <c r="X77" t="e">
        <f t="shared" si="11"/>
        <v>#N/A</v>
      </c>
      <c r="Y77" t="e">
        <f t="shared" si="13"/>
        <v>#N/A</v>
      </c>
      <c r="Z77" t="e">
        <f t="shared" si="13"/>
        <v>#N/A</v>
      </c>
    </row>
    <row r="78" spans="1:26">
      <c r="A78">
        <f>IF(ISBLANK('[1]Точность устьев скважин'!A80),#N/A,'[1]Точность устьев скважин'!A80)</f>
        <v>86</v>
      </c>
      <c r="B78">
        <f>IF(ISBLANK('[1]Точность устьев скважин'!B80),#N/A,'[1]Точность устьев скважин'!B80)</f>
        <v>52157.58</v>
      </c>
      <c r="C78">
        <f>IF(ISBLANK('[1]Точность устьев скважин'!C80),#N/A,'[1]Точность устьев скважин'!C80)</f>
        <v>29109.64</v>
      </c>
      <c r="D78">
        <f>IF(ISBLANK('[1]Точность устьев скважин'!D80),#N/A,'[1]Точность устьев скважин'!D80)</f>
        <v>63.89</v>
      </c>
      <c r="G78">
        <f>IF(ISBLANK('[1]Точность устьев скважин'!H80),#N/A,'[1]Точность устьев скважин'!H80)</f>
        <v>86</v>
      </c>
      <c r="H78">
        <f>IF(ISBLANK('[1]Точность устьев скважин'!I80),#N/A,'[1]Точность устьев скважин'!I80)</f>
        <v>52157.38</v>
      </c>
      <c r="I78">
        <f>IF(ISBLANK('[1]Точность устьев скважин'!J80),#N/A,'[1]Точность устьев скважин'!J80)</f>
        <v>29109.81</v>
      </c>
      <c r="J78">
        <f>IF(ISBLANK('[1]Точность устьев скважин'!K80),#N/A,'[1]Точность устьев скважин'!K80)</f>
        <v>63.92</v>
      </c>
      <c r="L78" s="63">
        <f t="shared" si="14"/>
        <v>0.26248809497268522</v>
      </c>
      <c r="O78" t="e">
        <f t="shared" si="7"/>
        <v>#N/A</v>
      </c>
      <c r="P78" t="e">
        <f t="shared" si="7"/>
        <v>#N/A</v>
      </c>
      <c r="Q78" t="e">
        <f t="shared" si="8"/>
        <v>#N/A</v>
      </c>
      <c r="R78" t="e">
        <f t="shared" si="8"/>
        <v>#N/A</v>
      </c>
      <c r="S78">
        <f t="shared" si="9"/>
        <v>52157.38</v>
      </c>
      <c r="T78">
        <f t="shared" si="9"/>
        <v>29109.81</v>
      </c>
      <c r="U78" t="e">
        <f t="shared" si="10"/>
        <v>#N/A</v>
      </c>
      <c r="V78" t="e">
        <f t="shared" si="10"/>
        <v>#N/A</v>
      </c>
      <c r="W78" t="e">
        <f t="shared" si="11"/>
        <v>#N/A</v>
      </c>
      <c r="X78" t="e">
        <f t="shared" si="11"/>
        <v>#N/A</v>
      </c>
      <c r="Y78" t="e">
        <f t="shared" si="13"/>
        <v>#N/A</v>
      </c>
      <c r="Z78" t="e">
        <f t="shared" si="13"/>
        <v>#N/A</v>
      </c>
    </row>
    <row r="79" spans="1:26">
      <c r="A79">
        <f>IF(ISBLANK('[1]Точность устьев скважин'!A81),#N/A,'[1]Точность устьев скважин'!A81)</f>
        <v>87</v>
      </c>
      <c r="B79">
        <f>IF(ISBLANK('[1]Точность устьев скважин'!B81),#N/A,'[1]Точность устьев скважин'!B81)</f>
        <v>52151.64</v>
      </c>
      <c r="C79">
        <f>IF(ISBLANK('[1]Точность устьев скважин'!C81),#N/A,'[1]Точность устьев скважин'!C81)</f>
        <v>29107</v>
      </c>
      <c r="D79">
        <f>IF(ISBLANK('[1]Точность устьев скважин'!D81),#N/A,'[1]Точность устьев скважин'!D81)</f>
        <v>63.98</v>
      </c>
      <c r="G79">
        <f>IF(ISBLANK('[1]Точность устьев скважин'!H81),#N/A,'[1]Точность устьев скважин'!H81)</f>
        <v>87</v>
      </c>
      <c r="H79">
        <f>IF(ISBLANK('[1]Точность устьев скважин'!I81),#N/A,'[1]Точность устьев скважин'!I81)</f>
        <v>52151.44</v>
      </c>
      <c r="I79">
        <f>IF(ISBLANK('[1]Точность устьев скважин'!J81),#N/A,'[1]Точность устьев скважин'!J81)</f>
        <v>29107.27</v>
      </c>
      <c r="J79">
        <f>IF(ISBLANK('[1]Точность устьев скважин'!K81),#N/A,'[1]Точность устьев скважин'!K81)</f>
        <v>63.86</v>
      </c>
      <c r="L79" s="63">
        <f t="shared" si="14"/>
        <v>0.33600595232684727</v>
      </c>
      <c r="O79" t="e">
        <f t="shared" si="7"/>
        <v>#N/A</v>
      </c>
      <c r="P79" t="e">
        <f t="shared" si="7"/>
        <v>#N/A</v>
      </c>
      <c r="Q79" t="e">
        <f t="shared" si="8"/>
        <v>#N/A</v>
      </c>
      <c r="R79" t="e">
        <f t="shared" si="8"/>
        <v>#N/A</v>
      </c>
      <c r="S79" t="e">
        <f t="shared" si="9"/>
        <v>#N/A</v>
      </c>
      <c r="T79" t="e">
        <f t="shared" si="9"/>
        <v>#N/A</v>
      </c>
      <c r="U79">
        <f t="shared" si="10"/>
        <v>52151.44</v>
      </c>
      <c r="V79">
        <f t="shared" si="10"/>
        <v>29107.27</v>
      </c>
      <c r="W79" t="e">
        <f t="shared" si="11"/>
        <v>#N/A</v>
      </c>
      <c r="X79" t="e">
        <f t="shared" si="11"/>
        <v>#N/A</v>
      </c>
      <c r="Y79" t="e">
        <f t="shared" si="13"/>
        <v>#N/A</v>
      </c>
      <c r="Z79" t="e">
        <f t="shared" si="13"/>
        <v>#N/A</v>
      </c>
    </row>
    <row r="80" spans="1:26">
      <c r="A80">
        <f>IF(ISBLANK('[1]Точность устьев скважин'!A82),#N/A,'[1]Точность устьев скважин'!A82)</f>
        <v>88</v>
      </c>
      <c r="B80">
        <f>IF(ISBLANK('[1]Точность устьев скважин'!B82),#N/A,'[1]Точность устьев скважин'!B82)</f>
        <v>52145.71</v>
      </c>
      <c r="C80">
        <f>IF(ISBLANK('[1]Точность устьев скважин'!C82),#N/A,'[1]Точность устьев скважин'!C82)</f>
        <v>29104.35</v>
      </c>
      <c r="D80">
        <f>IF(ISBLANK('[1]Точность устьев скважин'!D82),#N/A,'[1]Точность устьев скважин'!D82)</f>
        <v>64.16</v>
      </c>
      <c r="G80">
        <f>IF(ISBLANK('[1]Точность устьев скважин'!H82),#N/A,'[1]Точность устьев скважин'!H82)</f>
        <v>88</v>
      </c>
      <c r="H80">
        <f>IF(ISBLANK('[1]Точность устьев скважин'!I82),#N/A,'[1]Точность устьев скважин'!I82)</f>
        <v>52145.82</v>
      </c>
      <c r="I80">
        <f>IF(ISBLANK('[1]Точность устьев скважин'!J82),#N/A,'[1]Точность устьев скважин'!J82)</f>
        <v>29104.45</v>
      </c>
      <c r="J80">
        <f>IF(ISBLANK('[1]Точность устьев скважин'!K82),#N/A,'[1]Точность устьев скважин'!K82)</f>
        <v>64.03</v>
      </c>
      <c r="L80" s="63">
        <f t="shared" si="14"/>
        <v>0.14866068747508404</v>
      </c>
      <c r="O80" t="e">
        <f t="shared" si="7"/>
        <v>#N/A</v>
      </c>
      <c r="P80" t="e">
        <f t="shared" si="7"/>
        <v>#N/A</v>
      </c>
      <c r="Q80">
        <f t="shared" si="8"/>
        <v>52145.82</v>
      </c>
      <c r="R80">
        <f t="shared" si="8"/>
        <v>29104.45</v>
      </c>
      <c r="S80" t="e">
        <f t="shared" si="9"/>
        <v>#N/A</v>
      </c>
      <c r="T80" t="e">
        <f t="shared" si="9"/>
        <v>#N/A</v>
      </c>
      <c r="U80" t="e">
        <f t="shared" si="10"/>
        <v>#N/A</v>
      </c>
      <c r="V80" t="e">
        <f t="shared" si="10"/>
        <v>#N/A</v>
      </c>
      <c r="W80" t="e">
        <f t="shared" si="11"/>
        <v>#N/A</v>
      </c>
      <c r="X80" t="e">
        <f t="shared" si="11"/>
        <v>#N/A</v>
      </c>
      <c r="Y80" t="e">
        <f t="shared" si="13"/>
        <v>#N/A</v>
      </c>
      <c r="Z80" t="e">
        <f t="shared" si="13"/>
        <v>#N/A</v>
      </c>
    </row>
    <row r="81" spans="1:26">
      <c r="A81">
        <f>IF(ISBLANK('[1]Точность устьев скважин'!A83),#N/A,'[1]Точность устьев скважин'!A83)</f>
        <v>89</v>
      </c>
      <c r="B81">
        <f>IF(ISBLANK('[1]Точность устьев скважин'!B83),#N/A,'[1]Точность устьев скважин'!B83)</f>
        <v>52159.01</v>
      </c>
      <c r="C81">
        <f>IF(ISBLANK('[1]Точность устьев скважин'!C83),#N/A,'[1]Точность устьев скважин'!C83)</f>
        <v>29113.49</v>
      </c>
      <c r="D81">
        <f>IF(ISBLANK('[1]Точность устьев скважин'!D83),#N/A,'[1]Точность устьев скважин'!D83)</f>
        <v>63.89</v>
      </c>
      <c r="G81">
        <f>IF(ISBLANK('[1]Точность устьев скважин'!H83),#N/A,'[1]Точность устьев скважин'!H83)</f>
        <v>89</v>
      </c>
      <c r="H81">
        <f>IF(ISBLANK('[1]Точность устьев скважин'!I83),#N/A,'[1]Точность устьев скважин'!I83)</f>
        <v>52158.8</v>
      </c>
      <c r="I81">
        <f>IF(ISBLANK('[1]Точность устьев скважин'!J83),#N/A,'[1]Точность устьев скважин'!J83)</f>
        <v>29113.439999999999</v>
      </c>
      <c r="J81">
        <f>IF(ISBLANK('[1]Точность устьев скважин'!K83),#N/A,'[1]Точность устьев скважин'!K83)</f>
        <v>63.85</v>
      </c>
      <c r="L81" s="63">
        <f t="shared" si="14"/>
        <v>0.21587033144905377</v>
      </c>
      <c r="O81" t="e">
        <f t="shared" si="7"/>
        <v>#N/A</v>
      </c>
      <c r="P81" t="e">
        <f t="shared" si="7"/>
        <v>#N/A</v>
      </c>
      <c r="Q81" t="e">
        <f t="shared" si="8"/>
        <v>#N/A</v>
      </c>
      <c r="R81" t="e">
        <f t="shared" si="8"/>
        <v>#N/A</v>
      </c>
      <c r="S81">
        <f t="shared" si="9"/>
        <v>52158.8</v>
      </c>
      <c r="T81">
        <f t="shared" si="9"/>
        <v>29113.439999999999</v>
      </c>
      <c r="U81" t="e">
        <f t="shared" si="10"/>
        <v>#N/A</v>
      </c>
      <c r="V81" t="e">
        <f t="shared" si="10"/>
        <v>#N/A</v>
      </c>
      <c r="W81" t="e">
        <f t="shared" si="11"/>
        <v>#N/A</v>
      </c>
      <c r="X81" t="e">
        <f t="shared" si="11"/>
        <v>#N/A</v>
      </c>
      <c r="Y81" t="e">
        <f t="shared" si="13"/>
        <v>#N/A</v>
      </c>
      <c r="Z81" t="e">
        <f t="shared" si="13"/>
        <v>#N/A</v>
      </c>
    </row>
    <row r="82" spans="1:26">
      <c r="A82">
        <f>IF(ISBLANK('[1]Точность устьев скважин'!A84),#N/A,'[1]Точность устьев скважин'!A84)</f>
        <v>90</v>
      </c>
      <c r="B82">
        <f>IF(ISBLANK('[1]Точность устьев скважин'!B84),#N/A,'[1]Точность устьев скважин'!B84)</f>
        <v>52152.6</v>
      </c>
      <c r="C82">
        <f>IF(ISBLANK('[1]Точность устьев скважин'!C84),#N/A,'[1]Точность устьев скважин'!C84)</f>
        <v>29112.46</v>
      </c>
      <c r="D82">
        <f>IF(ISBLANK('[1]Точность устьев скважин'!D84),#N/A,'[1]Точность устьев скважин'!D84)</f>
        <v>63.89</v>
      </c>
      <c r="G82">
        <f>IF(ISBLANK('[1]Точность устьев скважин'!H84),#N/A,'[1]Точность устьев скважин'!H84)</f>
        <v>90</v>
      </c>
      <c r="H82">
        <f>IF(ISBLANK('[1]Точность устьев скважин'!I84),#N/A,'[1]Точность устьев скважин'!I84)</f>
        <v>52152.51</v>
      </c>
      <c r="I82">
        <f>IF(ISBLANK('[1]Точность устьев скважин'!J84),#N/A,'[1]Точность устьев скважин'!J84)</f>
        <v>29112.39</v>
      </c>
      <c r="J82">
        <f>IF(ISBLANK('[1]Точность устьев скважин'!K84),#N/A,'[1]Точность устьев скважин'!K84)</f>
        <v>63.91</v>
      </c>
      <c r="L82" s="63">
        <f t="shared" si="14"/>
        <v>0.11401754250697833</v>
      </c>
      <c r="O82" t="e">
        <f t="shared" si="7"/>
        <v>#N/A</v>
      </c>
      <c r="P82" t="e">
        <f t="shared" si="7"/>
        <v>#N/A</v>
      </c>
      <c r="Q82">
        <f t="shared" si="8"/>
        <v>52152.51</v>
      </c>
      <c r="R82">
        <f t="shared" si="8"/>
        <v>29112.39</v>
      </c>
      <c r="S82" t="e">
        <f t="shared" si="9"/>
        <v>#N/A</v>
      </c>
      <c r="T82" t="e">
        <f t="shared" si="9"/>
        <v>#N/A</v>
      </c>
      <c r="U82" t="e">
        <f t="shared" si="10"/>
        <v>#N/A</v>
      </c>
      <c r="V82" t="e">
        <f t="shared" si="10"/>
        <v>#N/A</v>
      </c>
      <c r="W82" t="e">
        <f t="shared" si="11"/>
        <v>#N/A</v>
      </c>
      <c r="X82" t="e">
        <f t="shared" si="11"/>
        <v>#N/A</v>
      </c>
      <c r="Y82" t="e">
        <f t="shared" si="13"/>
        <v>#N/A</v>
      </c>
      <c r="Z82" t="e">
        <f t="shared" si="13"/>
        <v>#N/A</v>
      </c>
    </row>
    <row r="83" spans="1:26">
      <c r="A83">
        <f>IF(ISBLANK('[1]Точность устьев скважин'!A85),#N/A,'[1]Точность устьев скважин'!A85)</f>
        <v>91</v>
      </c>
      <c r="B83">
        <f>IF(ISBLANK('[1]Точность устьев скважин'!B85),#N/A,'[1]Точность устьев скважин'!B85)</f>
        <v>52146.400000000001</v>
      </c>
      <c r="C83">
        <f>IF(ISBLANK('[1]Точность устьев скважин'!C85),#N/A,'[1]Точность устьев скважин'!C85)</f>
        <v>29110.79</v>
      </c>
      <c r="D83">
        <f>IF(ISBLANK('[1]Точность устьев скважин'!D85),#N/A,'[1]Точность устьев скважин'!D85)</f>
        <v>63.98</v>
      </c>
      <c r="G83">
        <f>IF(ISBLANK('[1]Точность устьев скважин'!H85),#N/A,'[1]Точность устьев скважин'!H85)</f>
        <v>91</v>
      </c>
      <c r="H83">
        <f>IF(ISBLANK('[1]Точность устьев скважин'!I85),#N/A,'[1]Точность устьев скважин'!I85)</f>
        <v>52146.26</v>
      </c>
      <c r="I83">
        <f>IF(ISBLANK('[1]Точность устьев скважин'!J85),#N/A,'[1]Точность устьев скважин'!J85)</f>
        <v>29110.78</v>
      </c>
      <c r="J83">
        <f>IF(ISBLANK('[1]Точность устьев скважин'!K85),#N/A,'[1]Точность устьев скважин'!K85)</f>
        <v>63.95</v>
      </c>
      <c r="L83" s="63">
        <f t="shared" si="14"/>
        <v>0.14035668847574653</v>
      </c>
      <c r="O83" t="e">
        <f t="shared" si="7"/>
        <v>#N/A</v>
      </c>
      <c r="P83" t="e">
        <f t="shared" si="7"/>
        <v>#N/A</v>
      </c>
      <c r="Q83">
        <f t="shared" si="8"/>
        <v>52146.26</v>
      </c>
      <c r="R83">
        <f t="shared" si="8"/>
        <v>29110.78</v>
      </c>
      <c r="S83" t="e">
        <f t="shared" si="9"/>
        <v>#N/A</v>
      </c>
      <c r="T83" t="e">
        <f t="shared" si="9"/>
        <v>#N/A</v>
      </c>
      <c r="U83" t="e">
        <f t="shared" si="10"/>
        <v>#N/A</v>
      </c>
      <c r="V83" t="e">
        <f t="shared" si="10"/>
        <v>#N/A</v>
      </c>
      <c r="W83" t="e">
        <f t="shared" si="11"/>
        <v>#N/A</v>
      </c>
      <c r="X83" t="e">
        <f t="shared" si="11"/>
        <v>#N/A</v>
      </c>
      <c r="Y83" t="e">
        <f t="shared" si="13"/>
        <v>#N/A</v>
      </c>
      <c r="Z83" t="e">
        <f t="shared" si="13"/>
        <v>#N/A</v>
      </c>
    </row>
    <row r="84" spans="1:26">
      <c r="A84">
        <f>IF(ISBLANK('[1]Точность устьев скважин'!A86),#N/A,'[1]Точность устьев скважин'!A86)</f>
        <v>92</v>
      </c>
      <c r="B84">
        <f>IF(ISBLANK('[1]Точность устьев скважин'!B86),#N/A,'[1]Точность устьев скважин'!B86)</f>
        <v>52153.43</v>
      </c>
      <c r="C84">
        <f>IF(ISBLANK('[1]Точность устьев скважин'!C86),#N/A,'[1]Точность устьев скважин'!C86)</f>
        <v>29071.01</v>
      </c>
      <c r="D84">
        <f>IF(ISBLANK('[1]Точность устьев скважин'!D86),#N/A,'[1]Точность устьев скважин'!D86)</f>
        <v>64.150000000000006</v>
      </c>
      <c r="G84">
        <f>IF(ISBLANK('[1]Точность устьев скважин'!H86),#N/A,'[1]Точность устьев скважин'!H86)</f>
        <v>92</v>
      </c>
      <c r="H84">
        <f>IF(ISBLANK('[1]Точность устьев скважин'!I86),#N/A,'[1]Точность устьев скважин'!I86)</f>
        <v>52153.56</v>
      </c>
      <c r="I84">
        <f>IF(ISBLANK('[1]Точность устьев скважин'!J86),#N/A,'[1]Точность устьев скважин'!J86)</f>
        <v>29071.06</v>
      </c>
      <c r="J84">
        <f>IF(ISBLANK('[1]Точность устьев скважин'!K86),#N/A,'[1]Точность устьев скважин'!K86)</f>
        <v>64.05</v>
      </c>
      <c r="L84" s="63">
        <f t="shared" si="14"/>
        <v>0.13928388277044121</v>
      </c>
      <c r="O84" t="e">
        <f t="shared" si="7"/>
        <v>#N/A</v>
      </c>
      <c r="P84" t="e">
        <f t="shared" si="7"/>
        <v>#N/A</v>
      </c>
      <c r="Q84">
        <f t="shared" si="8"/>
        <v>52153.56</v>
      </c>
      <c r="R84">
        <f t="shared" si="8"/>
        <v>29071.06</v>
      </c>
      <c r="S84" t="e">
        <f t="shared" si="9"/>
        <v>#N/A</v>
      </c>
      <c r="T84" t="e">
        <f t="shared" si="9"/>
        <v>#N/A</v>
      </c>
      <c r="U84" t="e">
        <f t="shared" si="10"/>
        <v>#N/A</v>
      </c>
      <c r="V84" t="e">
        <f t="shared" si="10"/>
        <v>#N/A</v>
      </c>
      <c r="W84" t="e">
        <f t="shared" si="11"/>
        <v>#N/A</v>
      </c>
      <c r="X84" t="e">
        <f t="shared" si="11"/>
        <v>#N/A</v>
      </c>
      <c r="Y84" t="e">
        <f t="shared" si="13"/>
        <v>#N/A</v>
      </c>
      <c r="Z84" t="e">
        <f t="shared" si="13"/>
        <v>#N/A</v>
      </c>
    </row>
    <row r="85" spans="1:26">
      <c r="A85">
        <f>IF(ISBLANK('[1]Точность устьев скважин'!A87),#N/A,'[1]Точность устьев скважин'!A87)</f>
        <v>93</v>
      </c>
      <c r="B85">
        <f>IF(ISBLANK('[1]Точность устьев скважин'!B87),#N/A,'[1]Точность устьев скважин'!B87)</f>
        <v>52147.5</v>
      </c>
      <c r="C85">
        <f>IF(ISBLANK('[1]Точность устьев скважин'!C87),#N/A,'[1]Точность устьев скважин'!C87)</f>
        <v>29068.37</v>
      </c>
      <c r="D85">
        <f>IF(ISBLANK('[1]Точность устьев скважин'!D87),#N/A,'[1]Точность устьев скважин'!D87)</f>
        <v>64.459999999999994</v>
      </c>
      <c r="G85">
        <f>IF(ISBLANK('[1]Точность устьев скважин'!H87),#N/A,'[1]Точность устьев скважин'!H87)</f>
        <v>93</v>
      </c>
      <c r="H85">
        <f>IF(ISBLANK('[1]Точность устьев скважин'!I87),#N/A,'[1]Точность устьев скважин'!I87)</f>
        <v>52147.66</v>
      </c>
      <c r="I85">
        <f>IF(ISBLANK('[1]Точность устьев скважин'!J87),#N/A,'[1]Точность устьев скважин'!J87)</f>
        <v>29068.5</v>
      </c>
      <c r="J85">
        <f>IF(ISBLANK('[1]Точность устьев скважин'!K87),#N/A,'[1]Точность устьев скважин'!K87)</f>
        <v>64.37</v>
      </c>
      <c r="L85" s="63">
        <f t="shared" si="14"/>
        <v>0.20615528128423591</v>
      </c>
      <c r="O85" t="e">
        <f t="shared" si="7"/>
        <v>#N/A</v>
      </c>
      <c r="P85" t="e">
        <f t="shared" si="7"/>
        <v>#N/A</v>
      </c>
      <c r="Q85" t="e">
        <f t="shared" si="8"/>
        <v>#N/A</v>
      </c>
      <c r="R85" t="e">
        <f t="shared" si="8"/>
        <v>#N/A</v>
      </c>
      <c r="S85">
        <f t="shared" si="9"/>
        <v>52147.66</v>
      </c>
      <c r="T85">
        <f t="shared" si="9"/>
        <v>29068.5</v>
      </c>
      <c r="U85" t="e">
        <f t="shared" si="10"/>
        <v>#N/A</v>
      </c>
      <c r="V85" t="e">
        <f t="shared" si="10"/>
        <v>#N/A</v>
      </c>
      <c r="W85" t="e">
        <f t="shared" si="11"/>
        <v>#N/A</v>
      </c>
      <c r="X85" t="e">
        <f t="shared" si="11"/>
        <v>#N/A</v>
      </c>
      <c r="Y85" t="e">
        <f t="shared" si="13"/>
        <v>#N/A</v>
      </c>
      <c r="Z85" t="e">
        <f t="shared" si="13"/>
        <v>#N/A</v>
      </c>
    </row>
    <row r="86" spans="1:26">
      <c r="A86">
        <f>IF(ISBLANK('[1]Точность устьев скважин'!A88),#N/A,'[1]Точность устьев скважин'!A88)</f>
        <v>94</v>
      </c>
      <c r="B86">
        <f>IF(ISBLANK('[1]Точность устьев скважин'!B88),#N/A,'[1]Точность устьев скважин'!B88)</f>
        <v>52141.56</v>
      </c>
      <c r="C86">
        <f>IF(ISBLANK('[1]Точность устьев скважин'!C88),#N/A,'[1]Точность устьев скважин'!C88)</f>
        <v>29065.73</v>
      </c>
      <c r="D86">
        <f>IF(ISBLANK('[1]Точность устьев скважин'!D88),#N/A,'[1]Точность устьев скважин'!D88)</f>
        <v>64.900000000000006</v>
      </c>
      <c r="G86">
        <f>IF(ISBLANK('[1]Точность устьев скважин'!H88),#N/A,'[1]Точность устьев скважин'!H88)</f>
        <v>94</v>
      </c>
      <c r="H86">
        <f>IF(ISBLANK('[1]Точность устьев скважин'!I88),#N/A,'[1]Точность устьев скважин'!I88)</f>
        <v>52141.97</v>
      </c>
      <c r="I86">
        <f>IF(ISBLANK('[1]Точность устьев скважин'!J88),#N/A,'[1]Точность устьев скважин'!J88)</f>
        <v>29065.95</v>
      </c>
      <c r="J86">
        <f>IF(ISBLANK('[1]Точность устьев скважин'!K88),#N/A,'[1]Точность устьев скважин'!K88)</f>
        <v>64.760000000000005</v>
      </c>
      <c r="L86" s="63">
        <f t="shared" si="14"/>
        <v>0.46529560496890149</v>
      </c>
      <c r="O86" t="e">
        <f t="shared" si="7"/>
        <v>#N/A</v>
      </c>
      <c r="P86" t="e">
        <f t="shared" si="7"/>
        <v>#N/A</v>
      </c>
      <c r="Q86" t="e">
        <f t="shared" si="8"/>
        <v>#N/A</v>
      </c>
      <c r="R86" t="e">
        <f t="shared" si="8"/>
        <v>#N/A</v>
      </c>
      <c r="S86" t="e">
        <f t="shared" si="9"/>
        <v>#N/A</v>
      </c>
      <c r="T86" t="e">
        <f t="shared" si="9"/>
        <v>#N/A</v>
      </c>
      <c r="U86" t="e">
        <f t="shared" si="10"/>
        <v>#N/A</v>
      </c>
      <c r="V86" t="e">
        <f t="shared" si="10"/>
        <v>#N/A</v>
      </c>
      <c r="W86">
        <f t="shared" si="11"/>
        <v>52141.97</v>
      </c>
      <c r="X86">
        <f t="shared" si="11"/>
        <v>29065.95</v>
      </c>
      <c r="Y86" t="e">
        <f t="shared" si="13"/>
        <v>#N/A</v>
      </c>
      <c r="Z86" t="e">
        <f t="shared" si="13"/>
        <v>#N/A</v>
      </c>
    </row>
    <row r="87" spans="1:26">
      <c r="A87">
        <f>IF(ISBLANK('[1]Точность устьев скважин'!A89),#N/A,'[1]Точность устьев скважин'!A89)</f>
        <v>95</v>
      </c>
      <c r="B87">
        <f>IF(ISBLANK('[1]Точность устьев скважин'!B89),#N/A,'[1]Точность устьев скважин'!B89)</f>
        <v>52154.13</v>
      </c>
      <c r="C87">
        <f>IF(ISBLANK('[1]Точность устьев скважин'!C89),#N/A,'[1]Точность устьев скважин'!C89)</f>
        <v>29077.45</v>
      </c>
      <c r="D87">
        <f>IF(ISBLANK('[1]Точность устьев скважин'!D89),#N/A,'[1]Точность устьев скважин'!D89)</f>
        <v>63.9</v>
      </c>
      <c r="G87">
        <f>IF(ISBLANK('[1]Точность устьев скважин'!H89),#N/A,'[1]Точность устьев скважин'!H89)</f>
        <v>95</v>
      </c>
      <c r="H87">
        <f>IF(ISBLANK('[1]Точность устьев скважин'!I89),#N/A,'[1]Точность устьев скважин'!I89)</f>
        <v>52153.760000000002</v>
      </c>
      <c r="I87">
        <f>IF(ISBLANK('[1]Точность устьев скважин'!J89),#N/A,'[1]Точность устьев скважин'!J89)</f>
        <v>29077.41</v>
      </c>
      <c r="J87">
        <f>IF(ISBLANK('[1]Точность устьев скважин'!K89),#N/A,'[1]Точность устьев скважин'!K89)</f>
        <v>63.84</v>
      </c>
      <c r="L87" s="63">
        <f t="shared" si="14"/>
        <v>0.3721558813140321</v>
      </c>
      <c r="O87" t="e">
        <f t="shared" si="7"/>
        <v>#N/A</v>
      </c>
      <c r="P87" t="e">
        <f t="shared" si="7"/>
        <v>#N/A</v>
      </c>
      <c r="Q87" t="e">
        <f t="shared" si="8"/>
        <v>#N/A</v>
      </c>
      <c r="R87" t="e">
        <f t="shared" si="8"/>
        <v>#N/A</v>
      </c>
      <c r="S87" t="e">
        <f t="shared" si="9"/>
        <v>#N/A</v>
      </c>
      <c r="T87" t="e">
        <f t="shared" si="9"/>
        <v>#N/A</v>
      </c>
      <c r="U87">
        <f t="shared" si="10"/>
        <v>52153.760000000002</v>
      </c>
      <c r="V87">
        <f t="shared" si="10"/>
        <v>29077.41</v>
      </c>
      <c r="W87" t="e">
        <f t="shared" si="11"/>
        <v>#N/A</v>
      </c>
      <c r="X87" t="e">
        <f t="shared" si="11"/>
        <v>#N/A</v>
      </c>
      <c r="Y87" t="e">
        <f t="shared" si="13"/>
        <v>#N/A</v>
      </c>
      <c r="Z87" t="e">
        <f t="shared" si="13"/>
        <v>#N/A</v>
      </c>
    </row>
    <row r="88" spans="1:26">
      <c r="A88">
        <f>IF(ISBLANK('[1]Точность устьев скважин'!A90),#N/A,'[1]Точность устьев скважин'!A90)</f>
        <v>96</v>
      </c>
      <c r="B88">
        <f>IF(ISBLANK('[1]Точность устьев скважин'!B90),#N/A,'[1]Точность устьев скважин'!B90)</f>
        <v>52148.19</v>
      </c>
      <c r="C88">
        <f>IF(ISBLANK('[1]Точность устьев скважин'!C90),#N/A,'[1]Точность устьев скважин'!C90)</f>
        <v>29074.81</v>
      </c>
      <c r="D88">
        <f>IF(ISBLANK('[1]Точность устьев скважин'!D90),#N/A,'[1]Точность устьев скважин'!D90)</f>
        <v>64.180000000000007</v>
      </c>
      <c r="G88">
        <f>IF(ISBLANK('[1]Точность устьев скважин'!H90),#N/A,'[1]Точность устьев скважин'!H90)</f>
        <v>96</v>
      </c>
      <c r="H88">
        <f>IF(ISBLANK('[1]Точность устьев скважин'!I90),#N/A,'[1]Точность устьев скважин'!I90)</f>
        <v>52147.99</v>
      </c>
      <c r="I88">
        <f>IF(ISBLANK('[1]Точность устьев скважин'!J90),#N/A,'[1]Точность устьев скважин'!J90)</f>
        <v>29075.09</v>
      </c>
      <c r="J88">
        <f>IF(ISBLANK('[1]Точность устьев скважин'!K90),#N/A,'[1]Точность устьев скважин'!K90)</f>
        <v>64.150000000000006</v>
      </c>
      <c r="L88" s="63">
        <f t="shared" si="14"/>
        <v>0.34409301068329518</v>
      </c>
      <c r="O88" t="e">
        <f t="shared" si="7"/>
        <v>#N/A</v>
      </c>
      <c r="P88" t="e">
        <f t="shared" si="7"/>
        <v>#N/A</v>
      </c>
      <c r="Q88" t="e">
        <f t="shared" si="8"/>
        <v>#N/A</v>
      </c>
      <c r="R88" t="e">
        <f t="shared" si="8"/>
        <v>#N/A</v>
      </c>
      <c r="S88" t="e">
        <f t="shared" si="9"/>
        <v>#N/A</v>
      </c>
      <c r="T88" t="e">
        <f t="shared" si="9"/>
        <v>#N/A</v>
      </c>
      <c r="U88">
        <f t="shared" si="10"/>
        <v>52147.99</v>
      </c>
      <c r="V88">
        <f t="shared" si="10"/>
        <v>29075.09</v>
      </c>
      <c r="W88" t="e">
        <f t="shared" si="11"/>
        <v>#N/A</v>
      </c>
      <c r="X88" t="e">
        <f t="shared" si="11"/>
        <v>#N/A</v>
      </c>
      <c r="Y88" t="e">
        <f t="shared" si="13"/>
        <v>#N/A</v>
      </c>
      <c r="Z88" t="e">
        <f t="shared" si="13"/>
        <v>#N/A</v>
      </c>
    </row>
    <row r="89" spans="1:26">
      <c r="A89">
        <f>IF(ISBLANK('[1]Точность устьев скважин'!A91),#N/A,'[1]Точность устьев скважин'!A91)</f>
        <v>97</v>
      </c>
      <c r="B89">
        <f>IF(ISBLANK('[1]Точность устьев скважин'!B91),#N/A,'[1]Точность устьев скважин'!B91)</f>
        <v>52142.25</v>
      </c>
      <c r="C89">
        <f>IF(ISBLANK('[1]Точность устьев скважин'!C91),#N/A,'[1]Точность устьев скважин'!C91)</f>
        <v>29072.16</v>
      </c>
      <c r="D89">
        <f>IF(ISBLANK('[1]Точность устьев скважин'!D91),#N/A,'[1]Точность устьев скважин'!D91)</f>
        <v>64.67</v>
      </c>
      <c r="G89">
        <f>IF(ISBLANK('[1]Точность устьев скважин'!H91),#N/A,'[1]Точность устьев скважин'!H91)</f>
        <v>97</v>
      </c>
      <c r="H89">
        <f>IF(ISBLANK('[1]Точность устьев скважин'!I91),#N/A,'[1]Точность устьев скважин'!I91)</f>
        <v>52142.45</v>
      </c>
      <c r="I89">
        <f>IF(ISBLANK('[1]Точность устьев скважин'!J91),#N/A,'[1]Точность устьев скважин'!J91)</f>
        <v>29072.13</v>
      </c>
      <c r="J89">
        <f>IF(ISBLANK('[1]Точность устьев скважин'!K91),#N/A,'[1]Точность устьев скважин'!K91)</f>
        <v>64.56</v>
      </c>
      <c r="L89" s="63">
        <f t="shared" si="14"/>
        <v>0.20223748415851597</v>
      </c>
      <c r="O89" t="e">
        <f t="shared" si="7"/>
        <v>#N/A</v>
      </c>
      <c r="P89" t="e">
        <f t="shared" si="7"/>
        <v>#N/A</v>
      </c>
      <c r="Q89" t="e">
        <f t="shared" si="8"/>
        <v>#N/A</v>
      </c>
      <c r="R89" t="e">
        <f t="shared" si="8"/>
        <v>#N/A</v>
      </c>
      <c r="S89">
        <f t="shared" si="9"/>
        <v>52142.45</v>
      </c>
      <c r="T89">
        <f t="shared" si="9"/>
        <v>29072.13</v>
      </c>
      <c r="U89" t="e">
        <f t="shared" si="10"/>
        <v>#N/A</v>
      </c>
      <c r="V89" t="e">
        <f t="shared" si="10"/>
        <v>#N/A</v>
      </c>
      <c r="W89" t="e">
        <f t="shared" si="11"/>
        <v>#N/A</v>
      </c>
      <c r="X89" t="e">
        <f t="shared" si="11"/>
        <v>#N/A</v>
      </c>
      <c r="Y89" t="e">
        <f t="shared" si="13"/>
        <v>#N/A</v>
      </c>
      <c r="Z89" t="e">
        <f t="shared" si="13"/>
        <v>#N/A</v>
      </c>
    </row>
    <row r="90" spans="1:26">
      <c r="A90">
        <f>IF(ISBLANK('[1]Точность устьев скважин'!A92),#N/A,'[1]Точность устьев скважин'!A92)</f>
        <v>98</v>
      </c>
      <c r="B90">
        <f>IF(ISBLANK('[1]Точность устьев скважин'!B92),#N/A,'[1]Точность устьев скважин'!B92)</f>
        <v>52136.31</v>
      </c>
      <c r="C90">
        <f>IF(ISBLANK('[1]Точность устьев скважин'!C92),#N/A,'[1]Точность устьев скважин'!C92)</f>
        <v>29069.52</v>
      </c>
      <c r="D90">
        <f>IF(ISBLANK('[1]Точность устьев скважин'!D92),#N/A,'[1]Точность устьев скважин'!D92)</f>
        <v>65.19</v>
      </c>
      <c r="G90">
        <f>IF(ISBLANK('[1]Точность устьев скважин'!H92),#N/A,'[1]Точность устьев скважин'!H92)</f>
        <v>98</v>
      </c>
      <c r="H90">
        <f>IF(ISBLANK('[1]Точность устьев скважин'!I92),#N/A,'[1]Точность устьев скважин'!I92)</f>
        <v>52136.75</v>
      </c>
      <c r="I90">
        <f>IF(ISBLANK('[1]Точность устьев скважин'!J92),#N/A,'[1]Точность устьев скважин'!J92)</f>
        <v>29069.48</v>
      </c>
      <c r="J90">
        <f>IF(ISBLANK('[1]Точность устьев скважин'!K92),#N/A,'[1]Точность устьев скважин'!K92)</f>
        <v>65.08</v>
      </c>
      <c r="L90" s="63">
        <f t="shared" si="14"/>
        <v>0.44181444068988823</v>
      </c>
      <c r="O90" t="e">
        <f t="shared" si="7"/>
        <v>#N/A</v>
      </c>
      <c r="P90" t="e">
        <f t="shared" si="7"/>
        <v>#N/A</v>
      </c>
      <c r="Q90" t="e">
        <f t="shared" si="8"/>
        <v>#N/A</v>
      </c>
      <c r="R90" t="e">
        <f t="shared" si="8"/>
        <v>#N/A</v>
      </c>
      <c r="S90" t="e">
        <f t="shared" si="9"/>
        <v>#N/A</v>
      </c>
      <c r="T90" t="e">
        <f t="shared" si="9"/>
        <v>#N/A</v>
      </c>
      <c r="U90" t="e">
        <f t="shared" si="10"/>
        <v>#N/A</v>
      </c>
      <c r="V90" t="e">
        <f t="shared" si="10"/>
        <v>#N/A</v>
      </c>
      <c r="W90">
        <f t="shared" si="11"/>
        <v>52136.75</v>
      </c>
      <c r="X90">
        <f t="shared" si="11"/>
        <v>29069.48</v>
      </c>
      <c r="Y90" t="e">
        <f t="shared" si="13"/>
        <v>#N/A</v>
      </c>
      <c r="Z90" t="e">
        <f t="shared" si="13"/>
        <v>#N/A</v>
      </c>
    </row>
    <row r="91" spans="1:26">
      <c r="A91">
        <f>IF(ISBLANK('[1]Точность устьев скважин'!A93),#N/A,'[1]Точность устьев скважин'!A93)</f>
        <v>99</v>
      </c>
      <c r="B91">
        <f>IF(ISBLANK('[1]Точность устьев скважин'!B93),#N/A,'[1]Точность устьев скважин'!B93)</f>
        <v>52148.88</v>
      </c>
      <c r="C91">
        <f>IF(ISBLANK('[1]Точность устьев скважин'!C93),#N/A,'[1]Точность устьев скважин'!C93)</f>
        <v>29081.24</v>
      </c>
      <c r="D91">
        <f>IF(ISBLANK('[1]Точность устьев скважин'!D93),#N/A,'[1]Точность устьев скважин'!D93)</f>
        <v>64.11</v>
      </c>
      <c r="G91">
        <f>IF(ISBLANK('[1]Точность устьев скважин'!H93),#N/A,'[1]Точность устьев скважин'!H93)</f>
        <v>99</v>
      </c>
      <c r="H91">
        <f>IF(ISBLANK('[1]Точность устьев скважин'!I93),#N/A,'[1]Точность устьев скважин'!I93)</f>
        <v>52148.89</v>
      </c>
      <c r="I91">
        <f>IF(ISBLANK('[1]Точность устьев скважин'!J93),#N/A,'[1]Точность устьев скважин'!J93)</f>
        <v>29081.360000000001</v>
      </c>
      <c r="J91">
        <f>IF(ISBLANK('[1]Точность устьев скважин'!K93),#N/A,'[1]Точность устьев скважин'!K93)</f>
        <v>64.010000000000005</v>
      </c>
      <c r="L91" s="63">
        <f t="shared" si="14"/>
        <v>0.12041594578707703</v>
      </c>
      <c r="O91" t="e">
        <f t="shared" si="7"/>
        <v>#N/A</v>
      </c>
      <c r="P91" t="e">
        <f t="shared" si="7"/>
        <v>#N/A</v>
      </c>
      <c r="Q91">
        <f t="shared" si="8"/>
        <v>52148.89</v>
      </c>
      <c r="R91">
        <f t="shared" si="8"/>
        <v>29081.360000000001</v>
      </c>
      <c r="S91" t="e">
        <f t="shared" si="9"/>
        <v>#N/A</v>
      </c>
      <c r="T91" t="e">
        <f t="shared" si="9"/>
        <v>#N/A</v>
      </c>
      <c r="U91" t="e">
        <f t="shared" si="10"/>
        <v>#N/A</v>
      </c>
      <c r="V91" t="e">
        <f t="shared" si="10"/>
        <v>#N/A</v>
      </c>
      <c r="W91" t="e">
        <f t="shared" si="11"/>
        <v>#N/A</v>
      </c>
      <c r="X91" t="e">
        <f t="shared" si="11"/>
        <v>#N/A</v>
      </c>
      <c r="Y91" t="e">
        <f t="shared" si="13"/>
        <v>#N/A</v>
      </c>
      <c r="Z91" t="e">
        <f t="shared" si="13"/>
        <v>#N/A</v>
      </c>
    </row>
    <row r="92" spans="1:26">
      <c r="A92">
        <f>IF(ISBLANK('[1]Точность устьев скважин'!A94),#N/A,'[1]Точность устьев скважин'!A94)</f>
        <v>100</v>
      </c>
      <c r="B92">
        <f>IF(ISBLANK('[1]Точность устьев скважин'!B94),#N/A,'[1]Точность устьев скважин'!B94)</f>
        <v>52142.94</v>
      </c>
      <c r="C92">
        <f>IF(ISBLANK('[1]Точность устьев скважин'!C94),#N/A,'[1]Точность устьев скважин'!C94)</f>
        <v>29078.6</v>
      </c>
      <c r="D92">
        <f>IF(ISBLANK('[1]Точность устьев скважин'!D94),#N/A,'[1]Точность устьев скважин'!D94)</f>
        <v>64.48</v>
      </c>
      <c r="G92">
        <f>IF(ISBLANK('[1]Точность устьев скважин'!H94),#N/A,'[1]Точность устьев скважин'!H94)</f>
        <v>100</v>
      </c>
      <c r="H92">
        <f>IF(ISBLANK('[1]Точность устьев скважин'!I94),#N/A,'[1]Точность устьев скважин'!I94)</f>
        <v>52143.38</v>
      </c>
      <c r="I92">
        <f>IF(ISBLANK('[1]Точность устьев скважин'!J94),#N/A,'[1]Точность устьев скважин'!J94)</f>
        <v>29078.93</v>
      </c>
      <c r="J92">
        <f>IF(ISBLANK('[1]Точность устьев скважин'!K94),#N/A,'[1]Точность устьев скважин'!K94)</f>
        <v>64.39</v>
      </c>
      <c r="L92" s="63">
        <f t="shared" si="14"/>
        <v>0.54999999999708959</v>
      </c>
      <c r="O92" t="e">
        <f t="shared" si="7"/>
        <v>#N/A</v>
      </c>
      <c r="P92" t="e">
        <f t="shared" si="7"/>
        <v>#N/A</v>
      </c>
      <c r="Q92" t="e">
        <f t="shared" si="8"/>
        <v>#N/A</v>
      </c>
      <c r="R92" t="e">
        <f t="shared" si="8"/>
        <v>#N/A</v>
      </c>
      <c r="S92" t="e">
        <f t="shared" si="9"/>
        <v>#N/A</v>
      </c>
      <c r="T92" t="e">
        <f t="shared" si="9"/>
        <v>#N/A</v>
      </c>
      <c r="U92" t="e">
        <f t="shared" si="10"/>
        <v>#N/A</v>
      </c>
      <c r="V92" t="e">
        <f t="shared" si="10"/>
        <v>#N/A</v>
      </c>
      <c r="W92" t="e">
        <f t="shared" si="11"/>
        <v>#N/A</v>
      </c>
      <c r="X92" t="e">
        <f t="shared" si="11"/>
        <v>#N/A</v>
      </c>
      <c r="Y92">
        <f t="shared" si="13"/>
        <v>52143.38</v>
      </c>
      <c r="Z92">
        <f t="shared" si="13"/>
        <v>29078.93</v>
      </c>
    </row>
    <row r="93" spans="1:26">
      <c r="A93">
        <f>IF(ISBLANK('[1]Точность устьев скважин'!A95),#N/A,'[1]Точность устьев скважин'!A95)</f>
        <v>101</v>
      </c>
      <c r="B93">
        <f>IF(ISBLANK('[1]Точность устьев скважин'!B95),#N/A,'[1]Точность устьев скважин'!B95)</f>
        <v>52137</v>
      </c>
      <c r="C93">
        <f>IF(ISBLANK('[1]Точность устьев скважин'!C95),#N/A,'[1]Точность устьев скважин'!C95)</f>
        <v>29075.96</v>
      </c>
      <c r="D93">
        <f>IF(ISBLANK('[1]Точность устьев скважин'!D95),#N/A,'[1]Точность устьев скважин'!D95)</f>
        <v>64.97</v>
      </c>
      <c r="G93">
        <f>IF(ISBLANK('[1]Точность устьев скважин'!H95),#N/A,'[1]Точность устьев скважин'!H95)</f>
        <v>101</v>
      </c>
      <c r="H93">
        <f>IF(ISBLANK('[1]Точность устьев скважин'!I95),#N/A,'[1]Точность устьев скважин'!I95)</f>
        <v>52137.09</v>
      </c>
      <c r="I93">
        <f>IF(ISBLANK('[1]Точность устьев скважин'!J95),#N/A,'[1]Точность устьев скважин'!J95)</f>
        <v>29076.240000000002</v>
      </c>
      <c r="J93">
        <f>IF(ISBLANK('[1]Точность устьев скважин'!K95),#N/A,'[1]Точность устьев скважин'!K95)</f>
        <v>65</v>
      </c>
      <c r="L93" s="63">
        <f t="shared" si="14"/>
        <v>0.29410882339834127</v>
      </c>
      <c r="O93" t="e">
        <f t="shared" si="7"/>
        <v>#N/A</v>
      </c>
      <c r="P93" t="e">
        <f t="shared" si="7"/>
        <v>#N/A</v>
      </c>
      <c r="Q93" t="e">
        <f t="shared" si="8"/>
        <v>#N/A</v>
      </c>
      <c r="R93" t="e">
        <f t="shared" si="8"/>
        <v>#N/A</v>
      </c>
      <c r="S93">
        <f t="shared" si="9"/>
        <v>52137.09</v>
      </c>
      <c r="T93">
        <f t="shared" si="9"/>
        <v>29076.240000000002</v>
      </c>
      <c r="U93" t="e">
        <f t="shared" si="10"/>
        <v>#N/A</v>
      </c>
      <c r="V93" t="e">
        <f t="shared" si="10"/>
        <v>#N/A</v>
      </c>
      <c r="W93" t="e">
        <f t="shared" si="11"/>
        <v>#N/A</v>
      </c>
      <c r="X93" t="e">
        <f t="shared" si="11"/>
        <v>#N/A</v>
      </c>
      <c r="Y93" t="e">
        <f t="shared" si="13"/>
        <v>#N/A</v>
      </c>
      <c r="Z93" t="e">
        <f t="shared" si="13"/>
        <v>#N/A</v>
      </c>
    </row>
    <row r="94" spans="1:26">
      <c r="A94">
        <f>IF(ISBLANK('[1]Точность устьев скважин'!A96),#N/A,'[1]Точность устьев скважин'!A96)</f>
        <v>102</v>
      </c>
      <c r="B94">
        <f>IF(ISBLANK('[1]Точность устьев скважин'!B96),#N/A,'[1]Точность устьев скважин'!B96)</f>
        <v>52131.07</v>
      </c>
      <c r="C94">
        <f>IF(ISBLANK('[1]Точность устьев скважин'!C96),#N/A,'[1]Точность устьев скважин'!C96)</f>
        <v>29073.31</v>
      </c>
      <c r="D94">
        <f>IF(ISBLANK('[1]Точность устьев скважин'!D96),#N/A,'[1]Точность устьев скважин'!D96)</f>
        <v>65.55</v>
      </c>
      <c r="G94">
        <f>IF(ISBLANK('[1]Точность устьев скважин'!H96),#N/A,'[1]Точность устьев скважин'!H96)</f>
        <v>102</v>
      </c>
      <c r="H94">
        <f>IF(ISBLANK('[1]Точность устьев скважин'!I96),#N/A,'[1]Точность устьев скважин'!I96)</f>
        <v>52130.99</v>
      </c>
      <c r="I94">
        <f>IF(ISBLANK('[1]Точность устьев скважин'!J96),#N/A,'[1]Точность устьев скважин'!J96)</f>
        <v>29073.439999999999</v>
      </c>
      <c r="J94">
        <f>IF(ISBLANK('[1]Точность устьев скважин'!K96),#N/A,'[1]Точность устьев скважин'!K96)</f>
        <v>65.349999999999994</v>
      </c>
      <c r="L94" s="63">
        <f t="shared" si="14"/>
        <v>0.15264337522342189</v>
      </c>
      <c r="O94" t="e">
        <f t="shared" si="7"/>
        <v>#N/A</v>
      </c>
      <c r="P94" t="e">
        <f t="shared" si="7"/>
        <v>#N/A</v>
      </c>
      <c r="Q94">
        <f t="shared" si="8"/>
        <v>52130.99</v>
      </c>
      <c r="R94">
        <f t="shared" si="8"/>
        <v>29073.439999999999</v>
      </c>
      <c r="S94" t="e">
        <f t="shared" si="9"/>
        <v>#N/A</v>
      </c>
      <c r="T94" t="e">
        <f t="shared" si="9"/>
        <v>#N/A</v>
      </c>
      <c r="U94" t="e">
        <f t="shared" si="10"/>
        <v>#N/A</v>
      </c>
      <c r="V94" t="e">
        <f t="shared" si="10"/>
        <v>#N/A</v>
      </c>
      <c r="W94" t="e">
        <f t="shared" si="11"/>
        <v>#N/A</v>
      </c>
      <c r="X94" t="e">
        <f t="shared" si="11"/>
        <v>#N/A</v>
      </c>
      <c r="Y94" t="e">
        <f t="shared" si="13"/>
        <v>#N/A</v>
      </c>
      <c r="Z94" t="e">
        <f t="shared" si="13"/>
        <v>#N/A</v>
      </c>
    </row>
    <row r="95" spans="1:26">
      <c r="A95">
        <f>IF(ISBLANK('[1]Точность устьев скважин'!A97),#N/A,'[1]Точность устьев скважин'!A97)</f>
        <v>103</v>
      </c>
      <c r="B95">
        <f>IF(ISBLANK('[1]Точность устьев скважин'!B97),#N/A,'[1]Точность устьев скважин'!B97)</f>
        <v>52149.57</v>
      </c>
      <c r="C95">
        <f>IF(ISBLANK('[1]Точность устьев скважин'!C97),#N/A,'[1]Точность устьев скважин'!C97)</f>
        <v>29087.68</v>
      </c>
      <c r="D95">
        <f>IF(ISBLANK('[1]Точность устьев скважин'!D97),#N/A,'[1]Точность устьев скважин'!D97)</f>
        <v>64.180000000000007</v>
      </c>
      <c r="G95">
        <f>IF(ISBLANK('[1]Точность устьев скважин'!H97),#N/A,'[1]Точность устьев скважин'!H97)</f>
        <v>103</v>
      </c>
      <c r="H95">
        <f>IF(ISBLANK('[1]Точность устьев скважин'!I97),#N/A,'[1]Точность устьев скважин'!I97)</f>
        <v>52149.4</v>
      </c>
      <c r="I95">
        <f>IF(ISBLANK('[1]Точность устьев скважин'!J97),#N/A,'[1]Точность устьев скважин'!J97)</f>
        <v>29087.47</v>
      </c>
      <c r="J95">
        <f>IF(ISBLANK('[1]Точность устьев скважин'!K97),#N/A,'[1]Точность устьев скважин'!K97)</f>
        <v>64.22</v>
      </c>
      <c r="L95" s="63">
        <f t="shared" si="14"/>
        <v>0.27018512172034859</v>
      </c>
      <c r="O95" t="e">
        <f t="shared" si="7"/>
        <v>#N/A</v>
      </c>
      <c r="P95" t="e">
        <f t="shared" si="7"/>
        <v>#N/A</v>
      </c>
      <c r="Q95" t="e">
        <f t="shared" si="8"/>
        <v>#N/A</v>
      </c>
      <c r="R95" t="e">
        <f t="shared" si="8"/>
        <v>#N/A</v>
      </c>
      <c r="S95">
        <f t="shared" si="9"/>
        <v>52149.4</v>
      </c>
      <c r="T95">
        <f t="shared" si="9"/>
        <v>29087.47</v>
      </c>
      <c r="U95" t="e">
        <f t="shared" si="10"/>
        <v>#N/A</v>
      </c>
      <c r="V95" t="e">
        <f t="shared" si="10"/>
        <v>#N/A</v>
      </c>
      <c r="W95" t="e">
        <f t="shared" si="11"/>
        <v>#N/A</v>
      </c>
      <c r="X95" t="e">
        <f t="shared" si="11"/>
        <v>#N/A</v>
      </c>
      <c r="Y95" t="e">
        <f t="shared" si="13"/>
        <v>#N/A</v>
      </c>
      <c r="Z95" t="e">
        <f t="shared" si="13"/>
        <v>#N/A</v>
      </c>
    </row>
    <row r="96" spans="1:26">
      <c r="A96">
        <f>IF(ISBLANK('[1]Точность устьев скважин'!A98),#N/A,'[1]Точность устьев скважин'!A98)</f>
        <v>104</v>
      </c>
      <c r="B96">
        <f>IF(ISBLANK('[1]Точность устьев скважин'!B98),#N/A,'[1]Точность устьев скважин'!B98)</f>
        <v>52143.63</v>
      </c>
      <c r="C96">
        <f>IF(ISBLANK('[1]Точность устьев скважин'!C98),#N/A,'[1]Точность устьев скважин'!C98)</f>
        <v>29085.040000000001</v>
      </c>
      <c r="D96">
        <f>IF(ISBLANK('[1]Точность устьев скважин'!D98),#N/A,'[1]Точность устьев скважин'!D98)</f>
        <v>64.5</v>
      </c>
      <c r="G96">
        <f>IF(ISBLANK('[1]Точность устьев скважин'!H98),#N/A,'[1]Точность устьев скважин'!H98)</f>
        <v>104</v>
      </c>
      <c r="H96">
        <f>IF(ISBLANK('[1]Точность устьев скважин'!I98),#N/A,'[1]Точность устьев скважин'!I98)</f>
        <v>52143.54</v>
      </c>
      <c r="I96">
        <f>IF(ISBLANK('[1]Точность устьев скважин'!J98),#N/A,'[1]Точность устьев скважин'!J98)</f>
        <v>29085.3</v>
      </c>
      <c r="J96">
        <f>IF(ISBLANK('[1]Точность устьев скважин'!K98),#N/A,'[1]Точность устьев скважин'!K98)</f>
        <v>64.5</v>
      </c>
      <c r="L96" s="63">
        <f t="shared" si="14"/>
        <v>0.27513632984129704</v>
      </c>
      <c r="O96" t="e">
        <f t="shared" si="7"/>
        <v>#N/A</v>
      </c>
      <c r="P96" t="e">
        <f t="shared" si="7"/>
        <v>#N/A</v>
      </c>
      <c r="Q96" t="e">
        <f t="shared" si="8"/>
        <v>#N/A</v>
      </c>
      <c r="R96" t="e">
        <f t="shared" si="8"/>
        <v>#N/A</v>
      </c>
      <c r="S96">
        <f t="shared" si="9"/>
        <v>52143.54</v>
      </c>
      <c r="T96">
        <f t="shared" si="9"/>
        <v>29085.3</v>
      </c>
      <c r="U96" t="e">
        <f t="shared" si="10"/>
        <v>#N/A</v>
      </c>
      <c r="V96" t="e">
        <f t="shared" si="10"/>
        <v>#N/A</v>
      </c>
      <c r="W96" t="e">
        <f t="shared" si="11"/>
        <v>#N/A</v>
      </c>
      <c r="X96" t="e">
        <f t="shared" si="11"/>
        <v>#N/A</v>
      </c>
      <c r="Y96" t="e">
        <f t="shared" si="13"/>
        <v>#N/A</v>
      </c>
      <c r="Z96" t="e">
        <f t="shared" si="13"/>
        <v>#N/A</v>
      </c>
    </row>
    <row r="97" spans="1:26">
      <c r="A97">
        <f>IF(ISBLANK('[1]Точность устьев скважин'!A99),#N/A,'[1]Точность устьев скважин'!A99)</f>
        <v>105</v>
      </c>
      <c r="B97">
        <f>IF(ISBLANK('[1]Точность устьев скважин'!B99),#N/A,'[1]Точность устьев скважин'!B99)</f>
        <v>52137.69</v>
      </c>
      <c r="C97">
        <f>IF(ISBLANK('[1]Точность устьев скважин'!C99),#N/A,'[1]Точность устьев скважин'!C99)</f>
        <v>29082.400000000001</v>
      </c>
      <c r="D97">
        <f>IF(ISBLANK('[1]Точность устьев скважин'!D99),#N/A,'[1]Точность устьев скважин'!D99)</f>
        <v>64.930000000000007</v>
      </c>
      <c r="G97">
        <f>IF(ISBLANK('[1]Точность устьев скважин'!H99),#N/A,'[1]Точность устьев скважин'!H99)</f>
        <v>105</v>
      </c>
      <c r="H97">
        <f>IF(ISBLANK('[1]Точность устьев скважин'!I99),#N/A,'[1]Точность устьев скважин'!I99)</f>
        <v>52138.09</v>
      </c>
      <c r="I97">
        <f>IF(ISBLANK('[1]Точность устьев скважин'!J99),#N/A,'[1]Точность устьев скважин'!J99)</f>
        <v>29082.560000000001</v>
      </c>
      <c r="J97">
        <f>IF(ISBLANK('[1]Точность устьев скважин'!K99),#N/A,'[1]Точность устьев скважин'!K99)</f>
        <v>64.84</v>
      </c>
      <c r="L97" s="63">
        <f t="shared" si="14"/>
        <v>0.43081318456530182</v>
      </c>
      <c r="O97" t="e">
        <f t="shared" si="7"/>
        <v>#N/A</v>
      </c>
      <c r="P97" t="e">
        <f t="shared" si="7"/>
        <v>#N/A</v>
      </c>
      <c r="Q97" t="e">
        <f t="shared" si="8"/>
        <v>#N/A</v>
      </c>
      <c r="R97" t="e">
        <f t="shared" si="8"/>
        <v>#N/A</v>
      </c>
      <c r="S97" t="e">
        <f t="shared" si="9"/>
        <v>#N/A</v>
      </c>
      <c r="T97" t="e">
        <f t="shared" si="9"/>
        <v>#N/A</v>
      </c>
      <c r="U97" t="e">
        <f t="shared" si="10"/>
        <v>#N/A</v>
      </c>
      <c r="V97" t="e">
        <f t="shared" si="10"/>
        <v>#N/A</v>
      </c>
      <c r="W97">
        <f t="shared" si="11"/>
        <v>52138.09</v>
      </c>
      <c r="X97">
        <f t="shared" si="11"/>
        <v>29082.560000000001</v>
      </c>
      <c r="Y97" t="e">
        <f t="shared" si="13"/>
        <v>#N/A</v>
      </c>
      <c r="Z97" t="e">
        <f t="shared" si="13"/>
        <v>#N/A</v>
      </c>
    </row>
    <row r="98" spans="1:26">
      <c r="A98">
        <f>IF(ISBLANK('[1]Точность устьев скважин'!A100),#N/A,'[1]Точность устьев скважин'!A100)</f>
        <v>106</v>
      </c>
      <c r="B98">
        <f>IF(ISBLANK('[1]Точность устьев скважин'!B100),#N/A,'[1]Точность устьев скважин'!B100)</f>
        <v>52131.76</v>
      </c>
      <c r="C98">
        <f>IF(ISBLANK('[1]Точность устьев скважин'!C100),#N/A,'[1]Точность устьев скважин'!C100)</f>
        <v>29079.75</v>
      </c>
      <c r="D98">
        <f>IF(ISBLANK('[1]Точность устьев скважин'!D100),#N/A,'[1]Точность устьев скважин'!D100)</f>
        <v>65.53</v>
      </c>
      <c r="G98">
        <f>IF(ISBLANK('[1]Точность устьев скважин'!H100),#N/A,'[1]Точность устьев скважин'!H100)</f>
        <v>106</v>
      </c>
      <c r="H98">
        <f>IF(ISBLANK('[1]Точность устьев скважин'!I100),#N/A,'[1]Точность устьев скважин'!I100)</f>
        <v>52131.78</v>
      </c>
      <c r="I98">
        <f>IF(ISBLANK('[1]Точность устьев скважин'!J100),#N/A,'[1]Точность устьев скважин'!J100)</f>
        <v>29079.87</v>
      </c>
      <c r="J98">
        <f>IF(ISBLANK('[1]Точность устьев скважин'!K100),#N/A,'[1]Точность устьев скважин'!K100)</f>
        <v>65.430000000000007</v>
      </c>
      <c r="L98" s="63">
        <f t="shared" si="14"/>
        <v>0.12165525060443332</v>
      </c>
      <c r="O98" t="e">
        <f t="shared" si="7"/>
        <v>#N/A</v>
      </c>
      <c r="P98" t="e">
        <f t="shared" si="7"/>
        <v>#N/A</v>
      </c>
      <c r="Q98">
        <f t="shared" si="8"/>
        <v>52131.78</v>
      </c>
      <c r="R98">
        <f t="shared" si="8"/>
        <v>29079.87</v>
      </c>
      <c r="S98" t="e">
        <f t="shared" si="9"/>
        <v>#N/A</v>
      </c>
      <c r="T98" t="e">
        <f t="shared" si="9"/>
        <v>#N/A</v>
      </c>
      <c r="U98" t="e">
        <f t="shared" si="10"/>
        <v>#N/A</v>
      </c>
      <c r="V98" t="e">
        <f t="shared" si="10"/>
        <v>#N/A</v>
      </c>
      <c r="W98" t="e">
        <f t="shared" si="11"/>
        <v>#N/A</v>
      </c>
      <c r="X98" t="e">
        <f t="shared" si="11"/>
        <v>#N/A</v>
      </c>
      <c r="Y98" t="e">
        <f t="shared" si="13"/>
        <v>#N/A</v>
      </c>
      <c r="Z98" t="e">
        <f t="shared" si="13"/>
        <v>#N/A</v>
      </c>
    </row>
    <row r="99" spans="1:26">
      <c r="A99">
        <f>IF(ISBLANK('[1]Точность устьев скважин'!A101),#N/A,'[1]Точность устьев скважин'!A101)</f>
        <v>107</v>
      </c>
      <c r="B99">
        <f>IF(ISBLANK('[1]Точность устьев скважин'!B101),#N/A,'[1]Точность устьев скважин'!B101)</f>
        <v>52125.82</v>
      </c>
      <c r="C99">
        <f>IF(ISBLANK('[1]Точность устьев скважин'!C101),#N/A,'[1]Точность устьев скважин'!C101)</f>
        <v>29077.11</v>
      </c>
      <c r="D99">
        <f>IF(ISBLANK('[1]Точность устьев скважин'!D101),#N/A,'[1]Точность устьев скважин'!D101)</f>
        <v>66.03</v>
      </c>
      <c r="G99">
        <f>IF(ISBLANK('[1]Точность устьев скважин'!H101),#N/A,'[1]Точность устьев скважин'!H101)</f>
        <v>107</v>
      </c>
      <c r="H99">
        <f>IF(ISBLANK('[1]Точность устьев скважин'!I101),#N/A,'[1]Точность устьев скважин'!I101)</f>
        <v>52125.71</v>
      </c>
      <c r="I99">
        <f>IF(ISBLANK('[1]Точность устьев скважин'!J101),#N/A,'[1]Точность устьев скважин'!J101)</f>
        <v>29077.09</v>
      </c>
      <c r="J99">
        <f>IF(ISBLANK('[1]Точность устьев скважин'!K101),#N/A,'[1]Точность устьев скважин'!K101)</f>
        <v>65.92</v>
      </c>
      <c r="L99" s="63">
        <f t="shared" si="14"/>
        <v>0.11180339887564027</v>
      </c>
      <c r="O99" t="e">
        <f t="shared" si="7"/>
        <v>#N/A</v>
      </c>
      <c r="P99" t="e">
        <f t="shared" si="7"/>
        <v>#N/A</v>
      </c>
      <c r="Q99">
        <f t="shared" si="8"/>
        <v>52125.71</v>
      </c>
      <c r="R99">
        <f t="shared" si="8"/>
        <v>29077.09</v>
      </c>
      <c r="S99" t="e">
        <f t="shared" si="9"/>
        <v>#N/A</v>
      </c>
      <c r="T99" t="e">
        <f t="shared" si="9"/>
        <v>#N/A</v>
      </c>
      <c r="U99" t="e">
        <f t="shared" si="10"/>
        <v>#N/A</v>
      </c>
      <c r="V99" t="e">
        <f t="shared" si="10"/>
        <v>#N/A</v>
      </c>
      <c r="W99" t="e">
        <f t="shared" si="11"/>
        <v>#N/A</v>
      </c>
      <c r="X99" t="e">
        <f t="shared" si="11"/>
        <v>#N/A</v>
      </c>
      <c r="Y99" t="e">
        <f t="shared" si="13"/>
        <v>#N/A</v>
      </c>
      <c r="Z99" t="e">
        <f t="shared" si="13"/>
        <v>#N/A</v>
      </c>
    </row>
    <row r="100" spans="1:26">
      <c r="A100">
        <f>IF(ISBLANK('[1]Точность устьев скважин'!A102),#N/A,'[1]Точность устьев скважин'!A102)</f>
        <v>108</v>
      </c>
      <c r="B100">
        <f>IF(ISBLANK('[1]Точность устьев скважин'!B102),#N/A,'[1]Точность устьев скважин'!B102)</f>
        <v>52144.32</v>
      </c>
      <c r="C100">
        <f>IF(ISBLANK('[1]Точность устьев скважин'!C102),#N/A,'[1]Точность устьев скважин'!C102)</f>
        <v>29091.48</v>
      </c>
      <c r="D100">
        <f>IF(ISBLANK('[1]Точность устьев скважин'!D102),#N/A,'[1]Точность устьев скважин'!D102)</f>
        <v>64.41</v>
      </c>
      <c r="G100">
        <f>IF(ISBLANK('[1]Точность устьев скважин'!H102),#N/A,'[1]Точность устьев скважин'!H102)</f>
        <v>108</v>
      </c>
      <c r="H100">
        <f>IF(ISBLANK('[1]Точность устьев скважин'!I102),#N/A,'[1]Точность устьев скважин'!I102)</f>
        <v>52144.38</v>
      </c>
      <c r="I100">
        <f>IF(ISBLANK('[1]Точность устьев скважин'!J102),#N/A,'[1]Точность устьев скважин'!J102)</f>
        <v>29091.45</v>
      </c>
      <c r="J100">
        <f>IF(ISBLANK('[1]Точность устьев скважин'!K102),#N/A,'[1]Точность устьев скважин'!K102)</f>
        <v>64.540000000000006</v>
      </c>
      <c r="L100" s="63">
        <f t="shared" si="14"/>
        <v>6.7082039322390569E-2</v>
      </c>
      <c r="O100">
        <f t="shared" si="7"/>
        <v>52144.38</v>
      </c>
      <c r="P100">
        <f t="shared" si="7"/>
        <v>29091.45</v>
      </c>
      <c r="Q100" t="e">
        <f t="shared" si="8"/>
        <v>#N/A</v>
      </c>
      <c r="R100" t="e">
        <f t="shared" si="8"/>
        <v>#N/A</v>
      </c>
      <c r="S100" t="e">
        <f t="shared" si="9"/>
        <v>#N/A</v>
      </c>
      <c r="T100" t="e">
        <f t="shared" si="9"/>
        <v>#N/A</v>
      </c>
      <c r="U100" t="e">
        <f t="shared" si="10"/>
        <v>#N/A</v>
      </c>
      <c r="V100" t="e">
        <f t="shared" si="10"/>
        <v>#N/A</v>
      </c>
      <c r="W100" t="e">
        <f t="shared" si="11"/>
        <v>#N/A</v>
      </c>
      <c r="X100" t="e">
        <f t="shared" si="11"/>
        <v>#N/A</v>
      </c>
      <c r="Y100" t="e">
        <f t="shared" si="13"/>
        <v>#N/A</v>
      </c>
      <c r="Z100" t="e">
        <f t="shared" si="13"/>
        <v>#N/A</v>
      </c>
    </row>
    <row r="101" spans="1:26">
      <c r="A101">
        <f>IF(ISBLANK('[1]Точность устьев скважин'!A103),#N/A,'[1]Точность устьев скважин'!A103)</f>
        <v>109</v>
      </c>
      <c r="B101">
        <f>IF(ISBLANK('[1]Точность устьев скважин'!B103),#N/A,'[1]Точность устьев скважин'!B103)</f>
        <v>52138.39</v>
      </c>
      <c r="C101">
        <f>IF(ISBLANK('[1]Точность устьев скважин'!C103),#N/A,'[1]Точность устьев скважин'!C103)</f>
        <v>29088.83</v>
      </c>
      <c r="D101">
        <f>IF(ISBLANK('[1]Точность устьев скважин'!D103),#N/A,'[1]Точность устьев скважин'!D103)</f>
        <v>65.010000000000005</v>
      </c>
      <c r="G101">
        <f>IF(ISBLANK('[1]Точность устьев скважин'!H103),#N/A,'[1]Точность устьев скважин'!H103)</f>
        <v>109</v>
      </c>
      <c r="H101">
        <f>IF(ISBLANK('[1]Точность устьев скважин'!I103),#N/A,'[1]Точность устьев скважин'!I103)</f>
        <v>52138.400000000001</v>
      </c>
      <c r="I101">
        <f>IF(ISBLANK('[1]Точность устьев скважин'!J103),#N/A,'[1]Точность устьев скважин'!J103)</f>
        <v>29088.62</v>
      </c>
      <c r="J101">
        <f>IF(ISBLANK('[1]Точность устьев скважин'!K103),#N/A,'[1]Точность устьев скважин'!K103)</f>
        <v>65.03</v>
      </c>
      <c r="L101" s="63">
        <f t="shared" si="14"/>
        <v>0.21023796041914503</v>
      </c>
      <c r="O101" t="e">
        <f t="shared" si="7"/>
        <v>#N/A</v>
      </c>
      <c r="P101" t="e">
        <f t="shared" si="7"/>
        <v>#N/A</v>
      </c>
      <c r="Q101" t="e">
        <f t="shared" si="8"/>
        <v>#N/A</v>
      </c>
      <c r="R101" t="e">
        <f t="shared" si="8"/>
        <v>#N/A</v>
      </c>
      <c r="S101">
        <f t="shared" si="9"/>
        <v>52138.400000000001</v>
      </c>
      <c r="T101">
        <f t="shared" si="9"/>
        <v>29088.62</v>
      </c>
      <c r="U101" t="e">
        <f t="shared" si="10"/>
        <v>#N/A</v>
      </c>
      <c r="V101" t="e">
        <f t="shared" si="10"/>
        <v>#N/A</v>
      </c>
      <c r="W101" t="e">
        <f t="shared" si="11"/>
        <v>#N/A</v>
      </c>
      <c r="X101" t="e">
        <f t="shared" si="11"/>
        <v>#N/A</v>
      </c>
      <c r="Y101" t="e">
        <f t="shared" si="13"/>
        <v>#N/A</v>
      </c>
      <c r="Z101" t="e">
        <f t="shared" si="13"/>
        <v>#N/A</v>
      </c>
    </row>
    <row r="102" spans="1:26">
      <c r="A102">
        <f>IF(ISBLANK('[1]Точность устьев скважин'!A104),#N/A,'[1]Точность устьев скважин'!A104)</f>
        <v>110</v>
      </c>
      <c r="B102">
        <f>IF(ISBLANK('[1]Точность устьев скважин'!B104),#N/A,'[1]Точность устьев скважин'!B104)</f>
        <v>52132.45</v>
      </c>
      <c r="C102">
        <f>IF(ISBLANK('[1]Точность устьев скважин'!C104),#N/A,'[1]Точность устьев скважин'!C104)</f>
        <v>29086.19</v>
      </c>
      <c r="D102">
        <f>IF(ISBLANK('[1]Точность устьев скважин'!D104),#N/A,'[1]Точность устьев скважин'!D104)</f>
        <v>65.48</v>
      </c>
      <c r="G102">
        <f>IF(ISBLANK('[1]Точность устьев скважин'!H104),#N/A,'[1]Точность устьев скважин'!H104)</f>
        <v>110</v>
      </c>
      <c r="H102">
        <f>IF(ISBLANK('[1]Точность устьев скважин'!I104),#N/A,'[1]Точность устьев скважин'!I104)</f>
        <v>52132.66</v>
      </c>
      <c r="I102">
        <f>IF(ISBLANK('[1]Точность устьев скважин'!J104),#N/A,'[1]Точность устьев скважин'!J104)</f>
        <v>29086.2</v>
      </c>
      <c r="J102">
        <f>IF(ISBLANK('[1]Точность устьев скважин'!K104),#N/A,'[1]Точность устьев скважин'!K104)</f>
        <v>65.28</v>
      </c>
      <c r="L102" s="63">
        <f t="shared" si="14"/>
        <v>0.2102379604227789</v>
      </c>
      <c r="O102" t="e">
        <f t="shared" si="7"/>
        <v>#N/A</v>
      </c>
      <c r="P102" t="e">
        <f t="shared" si="7"/>
        <v>#N/A</v>
      </c>
      <c r="Q102" t="e">
        <f t="shared" si="8"/>
        <v>#N/A</v>
      </c>
      <c r="R102" t="e">
        <f t="shared" si="8"/>
        <v>#N/A</v>
      </c>
      <c r="S102">
        <f t="shared" si="9"/>
        <v>52132.66</v>
      </c>
      <c r="T102">
        <f t="shared" si="9"/>
        <v>29086.2</v>
      </c>
      <c r="U102" t="e">
        <f t="shared" si="10"/>
        <v>#N/A</v>
      </c>
      <c r="V102" t="e">
        <f t="shared" si="10"/>
        <v>#N/A</v>
      </c>
      <c r="W102" t="e">
        <f t="shared" si="11"/>
        <v>#N/A</v>
      </c>
      <c r="X102" t="e">
        <f t="shared" si="11"/>
        <v>#N/A</v>
      </c>
      <c r="Y102" t="e">
        <f t="shared" si="13"/>
        <v>#N/A</v>
      </c>
      <c r="Z102" t="e">
        <f t="shared" si="13"/>
        <v>#N/A</v>
      </c>
    </row>
    <row r="103" spans="1:26">
      <c r="A103">
        <f>IF(ISBLANK('[1]Точность устьев скважин'!A105),#N/A,'[1]Точность устьев скважин'!A105)</f>
        <v>111</v>
      </c>
      <c r="B103">
        <f>IF(ISBLANK('[1]Точность устьев скважин'!B105),#N/A,'[1]Точность устьев скважин'!B105)</f>
        <v>52126.51</v>
      </c>
      <c r="C103">
        <f>IF(ISBLANK('[1]Точность устьев скважин'!C105),#N/A,'[1]Точность устьев скважин'!C105)</f>
        <v>29083.55</v>
      </c>
      <c r="D103">
        <f>IF(ISBLANK('[1]Точность устьев скважин'!D105),#N/A,'[1]Точность устьев скважин'!D105)</f>
        <v>66.11</v>
      </c>
      <c r="G103">
        <f>IF(ISBLANK('[1]Точность устьев скважин'!H105),#N/A,'[1]Точность устьев скважин'!H105)</f>
        <v>111</v>
      </c>
      <c r="H103">
        <f>IF(ISBLANK('[1]Точность устьев скважин'!I105),#N/A,'[1]Точность устьев скважин'!I105)</f>
        <v>52127</v>
      </c>
      <c r="I103">
        <f>IF(ISBLANK('[1]Точность устьев скважин'!J105),#N/A,'[1]Точность устьев скважин'!J105)</f>
        <v>29083.82</v>
      </c>
      <c r="J103">
        <f>IF(ISBLANK('[1]Точность устьев скважин'!K105),#N/A,'[1]Точность устьев скважин'!K105)</f>
        <v>66.069999999999993</v>
      </c>
      <c r="L103" s="63">
        <f t="shared" si="14"/>
        <v>0.55946402922640093</v>
      </c>
      <c r="O103" t="e">
        <f t="shared" si="7"/>
        <v>#N/A</v>
      </c>
      <c r="P103" t="e">
        <f t="shared" si="7"/>
        <v>#N/A</v>
      </c>
      <c r="Q103" t="e">
        <f t="shared" si="8"/>
        <v>#N/A</v>
      </c>
      <c r="R103" t="e">
        <f t="shared" si="8"/>
        <v>#N/A</v>
      </c>
      <c r="S103" t="e">
        <f t="shared" si="9"/>
        <v>#N/A</v>
      </c>
      <c r="T103" t="e">
        <f t="shared" si="9"/>
        <v>#N/A</v>
      </c>
      <c r="U103" t="e">
        <f t="shared" si="10"/>
        <v>#N/A</v>
      </c>
      <c r="V103" t="e">
        <f t="shared" si="10"/>
        <v>#N/A</v>
      </c>
      <c r="W103" t="e">
        <f t="shared" si="11"/>
        <v>#N/A</v>
      </c>
      <c r="X103" t="e">
        <f t="shared" si="11"/>
        <v>#N/A</v>
      </c>
      <c r="Y103">
        <f t="shared" si="13"/>
        <v>52127</v>
      </c>
      <c r="Z103">
        <f t="shared" si="13"/>
        <v>29083.82</v>
      </c>
    </row>
    <row r="104" spans="1:26">
      <c r="A104">
        <f>IF(ISBLANK('[1]Точность устьев скважин'!A106),#N/A,'[1]Точность устьев скважин'!A106)</f>
        <v>112</v>
      </c>
      <c r="B104">
        <f>IF(ISBLANK('[1]Точность устьев скважин'!B106),#N/A,'[1]Точность устьев скважин'!B106)</f>
        <v>52120.57</v>
      </c>
      <c r="C104">
        <f>IF(ISBLANK('[1]Точность устьев скважин'!C106),#N/A,'[1]Точность устьев скважин'!C106)</f>
        <v>29080.9</v>
      </c>
      <c r="D104">
        <f>IF(ISBLANK('[1]Точность устьев скважин'!D106),#N/A,'[1]Точность устьев скважин'!D106)</f>
        <v>66.42</v>
      </c>
      <c r="G104">
        <f>IF(ISBLANK('[1]Точность устьев скважин'!H106),#N/A,'[1]Точность устьев скважин'!H106)</f>
        <v>112</v>
      </c>
      <c r="H104">
        <f>IF(ISBLANK('[1]Точность устьев скважин'!I106),#N/A,'[1]Точность устьев скважин'!I106)</f>
        <v>52120.37</v>
      </c>
      <c r="I104">
        <f>IF(ISBLANK('[1]Точность устьев скважин'!J106),#N/A,'[1]Точность устьев скважин'!J106)</f>
        <v>29080.94</v>
      </c>
      <c r="J104">
        <f>IF(ISBLANK('[1]Точность устьев скважин'!K106),#N/A,'[1]Точность устьев скважин'!K106)</f>
        <v>66.540000000000006</v>
      </c>
      <c r="L104" s="63">
        <f t="shared" si="14"/>
        <v>0.2039607805403153</v>
      </c>
      <c r="O104" t="e">
        <f t="shared" si="7"/>
        <v>#N/A</v>
      </c>
      <c r="P104" t="e">
        <f t="shared" si="7"/>
        <v>#N/A</v>
      </c>
      <c r="Q104" t="e">
        <f t="shared" si="8"/>
        <v>#N/A</v>
      </c>
      <c r="R104" t="e">
        <f t="shared" si="8"/>
        <v>#N/A</v>
      </c>
      <c r="S104">
        <f t="shared" si="9"/>
        <v>52120.37</v>
      </c>
      <c r="T104">
        <f t="shared" si="9"/>
        <v>29080.94</v>
      </c>
      <c r="U104" t="e">
        <f t="shared" si="10"/>
        <v>#N/A</v>
      </c>
      <c r="V104" t="e">
        <f t="shared" si="10"/>
        <v>#N/A</v>
      </c>
      <c r="W104" t="e">
        <f t="shared" si="11"/>
        <v>#N/A</v>
      </c>
      <c r="X104" t="e">
        <f t="shared" si="11"/>
        <v>#N/A</v>
      </c>
      <c r="Y104" t="e">
        <f t="shared" si="13"/>
        <v>#N/A</v>
      </c>
      <c r="Z104" t="e">
        <f t="shared" si="13"/>
        <v>#N/A</v>
      </c>
    </row>
    <row r="105" spans="1:26">
      <c r="A105">
        <f>IF(ISBLANK('[1]Точность устьев скважин'!A107),#N/A,'[1]Точность устьев скважин'!A107)</f>
        <v>113</v>
      </c>
      <c r="B105">
        <f>IF(ISBLANK('[1]Точность устьев скважин'!B107),#N/A,'[1]Точность устьев скважин'!B107)</f>
        <v>52145.02</v>
      </c>
      <c r="C105">
        <f>IF(ISBLANK('[1]Точность устьев скважин'!C107),#N/A,'[1]Точность устьев скважин'!C107)</f>
        <v>29097.91</v>
      </c>
      <c r="D105">
        <f>IF(ISBLANK('[1]Точность устьев скважин'!D107),#N/A,'[1]Точность устьев скважин'!D107)</f>
        <v>64.27</v>
      </c>
      <c r="G105">
        <f>IF(ISBLANK('[1]Точность устьев скважин'!H107),#N/A,'[1]Точность устьев скважин'!H107)</f>
        <v>113</v>
      </c>
      <c r="H105">
        <f>IF(ISBLANK('[1]Точность устьев скважин'!I107),#N/A,'[1]Точность устьев скважин'!I107)</f>
        <v>52144.58</v>
      </c>
      <c r="I105">
        <f>IF(ISBLANK('[1]Точность устьев скважин'!J107),#N/A,'[1]Точность устьев скважин'!J107)</f>
        <v>29098.01</v>
      </c>
      <c r="J105">
        <f>IF(ISBLANK('[1]Точность устьев скважин'!K107),#N/A,'[1]Точность устьев скважин'!K107)</f>
        <v>64.44</v>
      </c>
      <c r="L105" s="63">
        <f t="shared" si="14"/>
        <v>0.45122056690199197</v>
      </c>
      <c r="O105" t="e">
        <f t="shared" ref="O105:P168" si="15">IF($L$1=0.5,IF(AND($L105&gt;0,$L105&lt;0.1),H105,#N/A),"")</f>
        <v>#N/A</v>
      </c>
      <c r="P105" t="e">
        <f t="shared" si="15"/>
        <v>#N/A</v>
      </c>
      <c r="Q105" t="e">
        <f t="shared" ref="Q105:R168" si="16">IF($L$1=0.5,IF(AND($L105&gt;=0.1,$L105&lt;0.2),H105,#N/A),"")</f>
        <v>#N/A</v>
      </c>
      <c r="R105" t="e">
        <f t="shared" si="16"/>
        <v>#N/A</v>
      </c>
      <c r="S105" t="e">
        <f t="shared" ref="S105:T168" si="17">IF($L$1=0.5,IF(AND($L105&gt;=0.2,$L105&lt;0.3),H105,#N/A),"")</f>
        <v>#N/A</v>
      </c>
      <c r="T105" t="e">
        <f t="shared" si="17"/>
        <v>#N/A</v>
      </c>
      <c r="U105" t="e">
        <f t="shared" ref="U105:V168" si="18">IF($L$1=0.5,IF(AND($L105&gt;=0.3,$L105&lt;0.4),H105,#N/A),"")</f>
        <v>#N/A</v>
      </c>
      <c r="V105" t="e">
        <f t="shared" si="18"/>
        <v>#N/A</v>
      </c>
      <c r="W105">
        <f t="shared" ref="W105:X168" si="19">IF($L$1=0.5,IF(AND($L105&gt;=0.4,$L105&lt;0.5),H105,#N/A),"")</f>
        <v>52144.58</v>
      </c>
      <c r="X105">
        <f t="shared" si="19"/>
        <v>29098.01</v>
      </c>
      <c r="Y105" t="e">
        <f t="shared" si="13"/>
        <v>#N/A</v>
      </c>
      <c r="Z105" t="e">
        <f t="shared" si="13"/>
        <v>#N/A</v>
      </c>
    </row>
    <row r="106" spans="1:26">
      <c r="A106">
        <f>IF(ISBLANK('[1]Точность устьев скважин'!A108),#N/A,'[1]Точность устьев скважин'!A108)</f>
        <v>114</v>
      </c>
      <c r="B106">
        <f>IF(ISBLANK('[1]Точность устьев скважин'!B108),#N/A,'[1]Точность устьев скважин'!B108)</f>
        <v>52139.08</v>
      </c>
      <c r="C106">
        <f>IF(ISBLANK('[1]Точность устьев скважин'!C108),#N/A,'[1]Точность устьев скважин'!C108)</f>
        <v>29095.27</v>
      </c>
      <c r="D106">
        <f>IF(ISBLANK('[1]Точность устьев скважин'!D108),#N/A,'[1]Точность устьев скважин'!D108)</f>
        <v>64.73</v>
      </c>
      <c r="G106">
        <f>IF(ISBLANK('[1]Точность устьев скважин'!H108),#N/A,'[1]Точность устьев скважин'!H108)</f>
        <v>114</v>
      </c>
      <c r="H106">
        <f>IF(ISBLANK('[1]Точность устьев скважин'!I108),#N/A,'[1]Точность устьев скважин'!I108)</f>
        <v>52138.86</v>
      </c>
      <c r="I106">
        <f>IF(ISBLANK('[1]Точность устьев скважин'!J108),#N/A,'[1]Точность устьев скважин'!J108)</f>
        <v>29095.38</v>
      </c>
      <c r="J106">
        <f>IF(ISBLANK('[1]Точность устьев скважин'!K108),#N/A,'[1]Точность устьев скважин'!K108)</f>
        <v>64.739999999999995</v>
      </c>
      <c r="L106" s="63">
        <f t="shared" si="14"/>
        <v>0.24596747752627843</v>
      </c>
      <c r="O106" t="e">
        <f t="shared" si="15"/>
        <v>#N/A</v>
      </c>
      <c r="P106" t="e">
        <f t="shared" si="15"/>
        <v>#N/A</v>
      </c>
      <c r="Q106" t="e">
        <f t="shared" si="16"/>
        <v>#N/A</v>
      </c>
      <c r="R106" t="e">
        <f t="shared" si="16"/>
        <v>#N/A</v>
      </c>
      <c r="S106">
        <f t="shared" si="17"/>
        <v>52138.86</v>
      </c>
      <c r="T106">
        <f t="shared" si="17"/>
        <v>29095.38</v>
      </c>
      <c r="U106" t="e">
        <f t="shared" si="18"/>
        <v>#N/A</v>
      </c>
      <c r="V106" t="e">
        <f t="shared" si="18"/>
        <v>#N/A</v>
      </c>
      <c r="W106" t="e">
        <f t="shared" si="19"/>
        <v>#N/A</v>
      </c>
      <c r="X106" t="e">
        <f t="shared" si="19"/>
        <v>#N/A</v>
      </c>
      <c r="Y106" t="e">
        <f t="shared" si="13"/>
        <v>#N/A</v>
      </c>
      <c r="Z106" t="e">
        <f t="shared" si="13"/>
        <v>#N/A</v>
      </c>
    </row>
    <row r="107" spans="1:26">
      <c r="A107">
        <f>IF(ISBLANK('[1]Точность устьев скважин'!A109),#N/A,'[1]Точность устьев скважин'!A109)</f>
        <v>115</v>
      </c>
      <c r="B107">
        <f>IF(ISBLANK('[1]Точность устьев скважин'!B109),#N/A,'[1]Точность устьев скважин'!B109)</f>
        <v>52133.14</v>
      </c>
      <c r="C107">
        <f>IF(ISBLANK('[1]Точность устьев скважин'!C109),#N/A,'[1]Точность устьев скважин'!C109)</f>
        <v>29092.63</v>
      </c>
      <c r="D107">
        <f>IF(ISBLANK('[1]Точность устьев скважин'!D109),#N/A,'[1]Точность устьев скважин'!D109)</f>
        <v>65.349999999999994</v>
      </c>
      <c r="G107">
        <f>IF(ISBLANK('[1]Точность устьев скважин'!H109),#N/A,'[1]Точность устьев скважин'!H109)</f>
        <v>115</v>
      </c>
      <c r="H107">
        <f>IF(ISBLANK('[1]Точность устьев скважин'!I109),#N/A,'[1]Точность устьев скважин'!I109)</f>
        <v>52133.18</v>
      </c>
      <c r="I107">
        <f>IF(ISBLANK('[1]Точность устьев скважин'!J109),#N/A,'[1]Точность устьев скважин'!J109)</f>
        <v>29092.84</v>
      </c>
      <c r="J107">
        <f>IF(ISBLANK('[1]Точность устьев скважин'!K109),#N/A,'[1]Точность устьев скважин'!K109)</f>
        <v>65.36</v>
      </c>
      <c r="L107" s="63">
        <f t="shared" si="14"/>
        <v>0.2137755832636252</v>
      </c>
      <c r="O107" t="e">
        <f t="shared" si="15"/>
        <v>#N/A</v>
      </c>
      <c r="P107" t="e">
        <f t="shared" si="15"/>
        <v>#N/A</v>
      </c>
      <c r="Q107" t="e">
        <f t="shared" si="16"/>
        <v>#N/A</v>
      </c>
      <c r="R107" t="e">
        <f t="shared" si="16"/>
        <v>#N/A</v>
      </c>
      <c r="S107">
        <f t="shared" si="17"/>
        <v>52133.18</v>
      </c>
      <c r="T107">
        <f t="shared" si="17"/>
        <v>29092.84</v>
      </c>
      <c r="U107" t="e">
        <f t="shared" si="18"/>
        <v>#N/A</v>
      </c>
      <c r="V107" t="e">
        <f t="shared" si="18"/>
        <v>#N/A</v>
      </c>
      <c r="W107" t="e">
        <f t="shared" si="19"/>
        <v>#N/A</v>
      </c>
      <c r="X107" t="e">
        <f t="shared" si="19"/>
        <v>#N/A</v>
      </c>
      <c r="Y107" t="e">
        <f t="shared" si="13"/>
        <v>#N/A</v>
      </c>
      <c r="Z107" t="e">
        <f t="shared" si="13"/>
        <v>#N/A</v>
      </c>
    </row>
    <row r="108" spans="1:26">
      <c r="A108">
        <f>IF(ISBLANK('[1]Точность устьев скважин'!A110),#N/A,'[1]Точность устьев скважин'!A110)</f>
        <v>116</v>
      </c>
      <c r="B108">
        <f>IF(ISBLANK('[1]Точность устьев скважин'!B110),#N/A,'[1]Точность устьев скважин'!B110)</f>
        <v>52127.199999999997</v>
      </c>
      <c r="C108">
        <f>IF(ISBLANK('[1]Точность устьев скважин'!C110),#N/A,'[1]Точность устьев скважин'!C110)</f>
        <v>29089.98</v>
      </c>
      <c r="D108">
        <f>IF(ISBLANK('[1]Точность устьев скважин'!D110),#N/A,'[1]Точность устьев скважин'!D110)</f>
        <v>65.92</v>
      </c>
      <c r="G108">
        <f>IF(ISBLANK('[1]Точность устьев скважин'!H110),#N/A,'[1]Точность устьев скважин'!H110)</f>
        <v>116</v>
      </c>
      <c r="H108">
        <f>IF(ISBLANK('[1]Точность устьев скважин'!I110),#N/A,'[1]Точность устьев скважин'!I110)</f>
        <v>52127.41</v>
      </c>
      <c r="I108">
        <f>IF(ISBLANK('[1]Точность устьев скважин'!J110),#N/A,'[1]Точность устьев скважин'!J110)</f>
        <v>29089.95</v>
      </c>
      <c r="J108">
        <f>IF(ISBLANK('[1]Точность устьев скважин'!K110),#N/A,'[1]Точность устьев скважин'!K110)</f>
        <v>66.05</v>
      </c>
      <c r="L108" s="63">
        <f t="shared" si="14"/>
        <v>0.21213203436213812</v>
      </c>
      <c r="O108" t="e">
        <f t="shared" si="15"/>
        <v>#N/A</v>
      </c>
      <c r="P108" t="e">
        <f t="shared" si="15"/>
        <v>#N/A</v>
      </c>
      <c r="Q108" t="e">
        <f t="shared" si="16"/>
        <v>#N/A</v>
      </c>
      <c r="R108" t="e">
        <f t="shared" si="16"/>
        <v>#N/A</v>
      </c>
      <c r="S108">
        <f t="shared" si="17"/>
        <v>52127.41</v>
      </c>
      <c r="T108">
        <f t="shared" si="17"/>
        <v>29089.95</v>
      </c>
      <c r="U108" t="e">
        <f t="shared" si="18"/>
        <v>#N/A</v>
      </c>
      <c r="V108" t="e">
        <f t="shared" si="18"/>
        <v>#N/A</v>
      </c>
      <c r="W108" t="e">
        <f t="shared" si="19"/>
        <v>#N/A</v>
      </c>
      <c r="X108" t="e">
        <f t="shared" si="19"/>
        <v>#N/A</v>
      </c>
      <c r="Y108" t="e">
        <f t="shared" si="13"/>
        <v>#N/A</v>
      </c>
      <c r="Z108" t="e">
        <f t="shared" si="13"/>
        <v>#N/A</v>
      </c>
    </row>
    <row r="109" spans="1:26">
      <c r="A109">
        <f>IF(ISBLANK('[1]Точность устьев скважин'!A111),#N/A,'[1]Точность устьев скважин'!A111)</f>
        <v>117</v>
      </c>
      <c r="B109">
        <f>IF(ISBLANK('[1]Точность устьев скважин'!B111),#N/A,'[1]Точность устьев скважин'!B111)</f>
        <v>52121.26</v>
      </c>
      <c r="C109">
        <f>IF(ISBLANK('[1]Точность устьев скважин'!C111),#N/A,'[1]Точность устьев скважин'!C111)</f>
        <v>29087.34</v>
      </c>
      <c r="D109">
        <f>IF(ISBLANK('[1]Точность устьев скважин'!D111),#N/A,'[1]Точность устьев скважин'!D111)</f>
        <v>66.349999999999994</v>
      </c>
      <c r="G109">
        <f>IF(ISBLANK('[1]Точность устьев скважин'!H111),#N/A,'[1]Точность устьев скважин'!H111)</f>
        <v>117</v>
      </c>
      <c r="H109">
        <f>IF(ISBLANK('[1]Точность устьев скважин'!I111),#N/A,'[1]Точность устьев скважин'!I111)</f>
        <v>52121.46</v>
      </c>
      <c r="I109">
        <f>IF(ISBLANK('[1]Точность устьев скважин'!J111),#N/A,'[1]Точность устьев скважин'!J111)</f>
        <v>29087.25</v>
      </c>
      <c r="J109">
        <f>IF(ISBLANK('[1]Точность устьев скважин'!K111),#N/A,'[1]Точность устьев скважин'!K111)</f>
        <v>66.650000000000006</v>
      </c>
      <c r="L109" s="63">
        <f t="shared" si="14"/>
        <v>0.21931712199201875</v>
      </c>
      <c r="O109" t="e">
        <f t="shared" si="15"/>
        <v>#N/A</v>
      </c>
      <c r="P109" t="e">
        <f t="shared" si="15"/>
        <v>#N/A</v>
      </c>
      <c r="Q109" t="e">
        <f t="shared" si="16"/>
        <v>#N/A</v>
      </c>
      <c r="R109" t="e">
        <f t="shared" si="16"/>
        <v>#N/A</v>
      </c>
      <c r="S109">
        <f t="shared" si="17"/>
        <v>52121.46</v>
      </c>
      <c r="T109">
        <f t="shared" si="17"/>
        <v>29087.25</v>
      </c>
      <c r="U109" t="e">
        <f t="shared" si="18"/>
        <v>#N/A</v>
      </c>
      <c r="V109" t="e">
        <f t="shared" si="18"/>
        <v>#N/A</v>
      </c>
      <c r="W109" t="e">
        <f t="shared" si="19"/>
        <v>#N/A</v>
      </c>
      <c r="X109" t="e">
        <f t="shared" si="19"/>
        <v>#N/A</v>
      </c>
      <c r="Y109" t="e">
        <f t="shared" si="13"/>
        <v>#N/A</v>
      </c>
      <c r="Z109" t="e">
        <f t="shared" si="13"/>
        <v>#N/A</v>
      </c>
    </row>
    <row r="110" spans="1:26">
      <c r="A110">
        <f>IF(ISBLANK('[1]Точность устьев скважин'!A112),#N/A,'[1]Точность устьев скважин'!A112)</f>
        <v>118</v>
      </c>
      <c r="B110">
        <f>IF(ISBLANK('[1]Точность устьев скважин'!B112),#N/A,'[1]Точность устьев скважин'!B112)</f>
        <v>52139.77</v>
      </c>
      <c r="C110">
        <f>IF(ISBLANK('[1]Точность устьев скважин'!C112),#N/A,'[1]Точность устьев скважин'!C112)</f>
        <v>29101.71</v>
      </c>
      <c r="D110">
        <f>IF(ISBLANK('[1]Точность устьев скважин'!D112),#N/A,'[1]Точность устьев скважин'!D112)</f>
        <v>64.48</v>
      </c>
      <c r="G110">
        <f>IF(ISBLANK('[1]Точность устьев скважин'!H112),#N/A,'[1]Точность устьев скважин'!H112)</f>
        <v>118</v>
      </c>
      <c r="H110">
        <f>IF(ISBLANK('[1]Точность устьев скважин'!I112),#N/A,'[1]Точность устьев скважин'!I112)</f>
        <v>52139.82</v>
      </c>
      <c r="I110">
        <f>IF(ISBLANK('[1]Точность устьев скважин'!J112),#N/A,'[1]Точность устьев скважин'!J112)</f>
        <v>29101.98</v>
      </c>
      <c r="J110">
        <f>IF(ISBLANK('[1]Точность устьев скважин'!K112),#N/A,'[1]Точность устьев скважин'!K112)</f>
        <v>64.41</v>
      </c>
      <c r="L110" s="63">
        <f t="shared" si="14"/>
        <v>0.27459060435587879</v>
      </c>
      <c r="O110" t="e">
        <f t="shared" si="15"/>
        <v>#N/A</v>
      </c>
      <c r="P110" t="e">
        <f t="shared" si="15"/>
        <v>#N/A</v>
      </c>
      <c r="Q110" t="e">
        <f t="shared" si="16"/>
        <v>#N/A</v>
      </c>
      <c r="R110" t="e">
        <f t="shared" si="16"/>
        <v>#N/A</v>
      </c>
      <c r="S110">
        <f t="shared" si="17"/>
        <v>52139.82</v>
      </c>
      <c r="T110">
        <f t="shared" si="17"/>
        <v>29101.98</v>
      </c>
      <c r="U110" t="e">
        <f t="shared" si="18"/>
        <v>#N/A</v>
      </c>
      <c r="V110" t="e">
        <f t="shared" si="18"/>
        <v>#N/A</v>
      </c>
      <c r="W110" t="e">
        <f t="shared" si="19"/>
        <v>#N/A</v>
      </c>
      <c r="X110" t="e">
        <f t="shared" si="19"/>
        <v>#N/A</v>
      </c>
      <c r="Y110" t="e">
        <f t="shared" si="13"/>
        <v>#N/A</v>
      </c>
      <c r="Z110" t="e">
        <f t="shared" si="13"/>
        <v>#N/A</v>
      </c>
    </row>
    <row r="111" spans="1:26">
      <c r="A111">
        <f>IF(ISBLANK('[1]Точность устьев скважин'!A113),#N/A,'[1]Точность устьев скважин'!A113)</f>
        <v>119</v>
      </c>
      <c r="B111">
        <f>IF(ISBLANK('[1]Точность устьев скважин'!B113),#N/A,'[1]Точность устьев скважин'!B113)</f>
        <v>52133.83</v>
      </c>
      <c r="C111">
        <f>IF(ISBLANK('[1]Точность устьев скважин'!C113),#N/A,'[1]Точность устьев скважин'!C113)</f>
        <v>29099.06</v>
      </c>
      <c r="D111">
        <f>IF(ISBLANK('[1]Точность устьев скважин'!D113),#N/A,'[1]Точность устьев скважин'!D113)</f>
        <v>65.02</v>
      </c>
      <c r="G111">
        <f>IF(ISBLANK('[1]Точность устьев скважин'!H113),#N/A,'[1]Точность устьев скважин'!H113)</f>
        <v>119</v>
      </c>
      <c r="H111">
        <f>IF(ISBLANK('[1]Точность устьев скважин'!I113),#N/A,'[1]Точность устьев скважин'!I113)</f>
        <v>52133.72</v>
      </c>
      <c r="I111">
        <f>IF(ISBLANK('[1]Точность устьев скважин'!J113),#N/A,'[1]Точность устьев скважин'!J113)</f>
        <v>29098.93</v>
      </c>
      <c r="J111">
        <f>IF(ISBLANK('[1]Точность устьев скважин'!K113),#N/A,'[1]Точность устьев скважин'!K113)</f>
        <v>64.98</v>
      </c>
      <c r="L111" s="63">
        <f t="shared" si="14"/>
        <v>0.1702938636604176</v>
      </c>
      <c r="O111" t="e">
        <f t="shared" si="15"/>
        <v>#N/A</v>
      </c>
      <c r="P111" t="e">
        <f t="shared" si="15"/>
        <v>#N/A</v>
      </c>
      <c r="Q111">
        <f t="shared" si="16"/>
        <v>52133.72</v>
      </c>
      <c r="R111">
        <f t="shared" si="16"/>
        <v>29098.93</v>
      </c>
      <c r="S111" t="e">
        <f t="shared" si="17"/>
        <v>#N/A</v>
      </c>
      <c r="T111" t="e">
        <f t="shared" si="17"/>
        <v>#N/A</v>
      </c>
      <c r="U111" t="e">
        <f t="shared" si="18"/>
        <v>#N/A</v>
      </c>
      <c r="V111" t="e">
        <f t="shared" si="18"/>
        <v>#N/A</v>
      </c>
      <c r="W111" t="e">
        <f t="shared" si="19"/>
        <v>#N/A</v>
      </c>
      <c r="X111" t="e">
        <f t="shared" si="19"/>
        <v>#N/A</v>
      </c>
      <c r="Y111" t="e">
        <f t="shared" si="13"/>
        <v>#N/A</v>
      </c>
      <c r="Z111" t="e">
        <f t="shared" si="13"/>
        <v>#N/A</v>
      </c>
    </row>
    <row r="112" spans="1:26">
      <c r="A112">
        <f>IF(ISBLANK('[1]Точность устьев скважин'!A114),#N/A,'[1]Точность устьев скважин'!A114)</f>
        <v>120</v>
      </c>
      <c r="B112">
        <f>IF(ISBLANK('[1]Точность устьев скважин'!B114),#N/A,'[1]Точность устьев скважин'!B114)</f>
        <v>52127.89</v>
      </c>
      <c r="C112">
        <f>IF(ISBLANK('[1]Точность устьев скважин'!C114),#N/A,'[1]Точность устьев скважин'!C114)</f>
        <v>29096.42</v>
      </c>
      <c r="D112">
        <f>IF(ISBLANK('[1]Точность устьев скважин'!D114),#N/A,'[1]Точность устьев скважин'!D114)</f>
        <v>65.569999999999993</v>
      </c>
      <c r="G112">
        <f>IF(ISBLANK('[1]Точность устьев скважин'!H114),#N/A,'[1]Точность устьев скважин'!H114)</f>
        <v>120</v>
      </c>
      <c r="H112">
        <f>IF(ISBLANK('[1]Точность устьев скважин'!I114),#N/A,'[1]Точность устьев скважин'!I114)</f>
        <v>52128.01</v>
      </c>
      <c r="I112">
        <f>IF(ISBLANK('[1]Точность устьев скважин'!J114),#N/A,'[1]Точность устьев скважин'!J114)</f>
        <v>29096.39</v>
      </c>
      <c r="J112">
        <f>IF(ISBLANK('[1]Точность устьев скважин'!K114),#N/A,'[1]Точность устьев скважин'!K114)</f>
        <v>65.599999999999994</v>
      </c>
      <c r="L112" s="63">
        <f t="shared" si="14"/>
        <v>0.12369316877078861</v>
      </c>
      <c r="O112" t="e">
        <f t="shared" si="15"/>
        <v>#N/A</v>
      </c>
      <c r="P112" t="e">
        <f t="shared" si="15"/>
        <v>#N/A</v>
      </c>
      <c r="Q112">
        <f t="shared" si="16"/>
        <v>52128.01</v>
      </c>
      <c r="R112">
        <f t="shared" si="16"/>
        <v>29096.39</v>
      </c>
      <c r="S112" t="e">
        <f t="shared" si="17"/>
        <v>#N/A</v>
      </c>
      <c r="T112" t="e">
        <f t="shared" si="17"/>
        <v>#N/A</v>
      </c>
      <c r="U112" t="e">
        <f t="shared" si="18"/>
        <v>#N/A</v>
      </c>
      <c r="V112" t="e">
        <f t="shared" si="18"/>
        <v>#N/A</v>
      </c>
      <c r="W112" t="e">
        <f t="shared" si="19"/>
        <v>#N/A</v>
      </c>
      <c r="X112" t="e">
        <f t="shared" si="19"/>
        <v>#N/A</v>
      </c>
      <c r="Y112" t="e">
        <f t="shared" si="13"/>
        <v>#N/A</v>
      </c>
      <c r="Z112" t="e">
        <f t="shared" si="13"/>
        <v>#N/A</v>
      </c>
    </row>
    <row r="113" spans="1:26">
      <c r="A113">
        <f>IF(ISBLANK('[1]Точность устьев скважин'!A115),#N/A,'[1]Точность устьев скважин'!A115)</f>
        <v>121</v>
      </c>
      <c r="B113">
        <f>IF(ISBLANK('[1]Точность устьев скважин'!B115),#N/A,'[1]Точность устьев скважин'!B115)</f>
        <v>52140.46</v>
      </c>
      <c r="C113">
        <f>IF(ISBLANK('[1]Точность устьев скважин'!C115),#N/A,'[1]Точность устьев скважин'!C115)</f>
        <v>29108.15</v>
      </c>
      <c r="D113">
        <f>IF(ISBLANK('[1]Точность устьев скважин'!D115),#N/A,'[1]Точность устьев скважин'!D115)</f>
        <v>64.180000000000007</v>
      </c>
      <c r="G113">
        <f>IF(ISBLANK('[1]Точность устьев скважин'!H115),#N/A,'[1]Точность устьев скважин'!H115)</f>
        <v>121</v>
      </c>
      <c r="H113">
        <f>IF(ISBLANK('[1]Точность устьев скважин'!I115),#N/A,'[1]Точность устьев скважин'!I115)</f>
        <v>52140.36</v>
      </c>
      <c r="I113">
        <f>IF(ISBLANK('[1]Точность устьев скважин'!J115),#N/A,'[1]Точность устьев скважин'!J115)</f>
        <v>29108.14</v>
      </c>
      <c r="J113">
        <f>IF(ISBLANK('[1]Точность устьев скважин'!K115),#N/A,'[1]Точность устьев скважин'!K115)</f>
        <v>64.19</v>
      </c>
      <c r="L113" s="63">
        <f t="shared" si="14"/>
        <v>0.10049875620996365</v>
      </c>
      <c r="O113" t="e">
        <f t="shared" si="15"/>
        <v>#N/A</v>
      </c>
      <c r="P113" t="e">
        <f t="shared" si="15"/>
        <v>#N/A</v>
      </c>
      <c r="Q113">
        <f t="shared" si="16"/>
        <v>52140.36</v>
      </c>
      <c r="R113">
        <f t="shared" si="16"/>
        <v>29108.14</v>
      </c>
      <c r="S113" t="e">
        <f t="shared" si="17"/>
        <v>#N/A</v>
      </c>
      <c r="T113" t="e">
        <f t="shared" si="17"/>
        <v>#N/A</v>
      </c>
      <c r="U113" t="e">
        <f t="shared" si="18"/>
        <v>#N/A</v>
      </c>
      <c r="V113" t="e">
        <f t="shared" si="18"/>
        <v>#N/A</v>
      </c>
      <c r="W113" t="e">
        <f t="shared" si="19"/>
        <v>#N/A</v>
      </c>
      <c r="X113" t="e">
        <f t="shared" si="19"/>
        <v>#N/A</v>
      </c>
      <c r="Y113" t="e">
        <f t="shared" si="13"/>
        <v>#N/A</v>
      </c>
      <c r="Z113" t="e">
        <f t="shared" si="13"/>
        <v>#N/A</v>
      </c>
    </row>
    <row r="114" spans="1:26">
      <c r="A114">
        <f>IF(ISBLANK('[1]Точность устьев скважин'!A116),#N/A,'[1]Точность устьев скважин'!A116)</f>
        <v>122</v>
      </c>
      <c r="B114">
        <f>IF(ISBLANK('[1]Точность устьев скважин'!B116),#N/A,'[1]Точность устьев скважин'!B116)</f>
        <v>52134.9</v>
      </c>
      <c r="C114">
        <f>IF(ISBLANK('[1]Точность устьев скважин'!C116),#N/A,'[1]Точность устьев скважин'!C116)</f>
        <v>29104.69</v>
      </c>
      <c r="D114">
        <f>IF(ISBLANK('[1]Точность устьев скважин'!D116),#N/A,'[1]Точность устьев скважин'!D116)</f>
        <v>64.73</v>
      </c>
      <c r="G114">
        <f>IF(ISBLANK('[1]Точность устьев скважин'!H116),#N/A,'[1]Точность устьев скважин'!H116)</f>
        <v>122</v>
      </c>
      <c r="H114">
        <f>IF(ISBLANK('[1]Точность устьев скважин'!I116),#N/A,'[1]Точность устьев скважин'!I116)</f>
        <v>52135.23</v>
      </c>
      <c r="I114">
        <f>IF(ISBLANK('[1]Точность устьев скважин'!J116),#N/A,'[1]Точность устьев скважин'!J116)</f>
        <v>29104.77</v>
      </c>
      <c r="J114">
        <f>IF(ISBLANK('[1]Точность устьев скважин'!K116),#N/A,'[1]Точность устьев скважин'!K116)</f>
        <v>64.569999999999993</v>
      </c>
      <c r="L114" s="63">
        <f t="shared" si="14"/>
        <v>0.33955853692910137</v>
      </c>
      <c r="O114" t="e">
        <f t="shared" si="15"/>
        <v>#N/A</v>
      </c>
      <c r="P114" t="e">
        <f t="shared" si="15"/>
        <v>#N/A</v>
      </c>
      <c r="Q114" t="e">
        <f t="shared" si="16"/>
        <v>#N/A</v>
      </c>
      <c r="R114" t="e">
        <f t="shared" si="16"/>
        <v>#N/A</v>
      </c>
      <c r="S114" t="e">
        <f t="shared" si="17"/>
        <v>#N/A</v>
      </c>
      <c r="T114" t="e">
        <f t="shared" si="17"/>
        <v>#N/A</v>
      </c>
      <c r="U114">
        <f t="shared" si="18"/>
        <v>52135.23</v>
      </c>
      <c r="V114">
        <f t="shared" si="18"/>
        <v>29104.77</v>
      </c>
      <c r="W114" t="e">
        <f t="shared" si="19"/>
        <v>#N/A</v>
      </c>
      <c r="X114" t="e">
        <f t="shared" si="19"/>
        <v>#N/A</v>
      </c>
      <c r="Y114" t="e">
        <f t="shared" si="13"/>
        <v>#N/A</v>
      </c>
      <c r="Z114" t="e">
        <f t="shared" si="13"/>
        <v>#N/A</v>
      </c>
    </row>
    <row r="115" spans="1:26">
      <c r="A115">
        <f>IF(ISBLANK('[1]Точность устьев скважин'!A117),#N/A,'[1]Точность устьев скважин'!A117)</f>
        <v>128</v>
      </c>
      <c r="B115">
        <f>IF(ISBLANK('[1]Точность устьев скважин'!B117),#N/A,'[1]Точность устьев скважин'!B117)</f>
        <v>52148.72</v>
      </c>
      <c r="C115">
        <f>IF(ISBLANK('[1]Точность устьев скважин'!C117),#N/A,'[1]Точность устьев скважин'!C117)</f>
        <v>29042.91</v>
      </c>
      <c r="D115">
        <f>IF(ISBLANK('[1]Точность устьев скважин'!D117),#N/A,'[1]Точность устьев скважин'!D117)</f>
        <v>63.88</v>
      </c>
      <c r="G115">
        <f>IF(ISBLANK('[1]Точность устьев скважин'!H117),#N/A,'[1]Точность устьев скважин'!H117)</f>
        <v>128</v>
      </c>
      <c r="H115">
        <f>IF(ISBLANK('[1]Точность устьев скважин'!I117),#N/A,'[1]Точность устьев скважин'!I117)</f>
        <v>52148.79</v>
      </c>
      <c r="I115">
        <f>IF(ISBLANK('[1]Точность устьев скважин'!J117),#N/A,'[1]Точность устьев скважин'!J117)</f>
        <v>29042.76</v>
      </c>
      <c r="J115">
        <f>IF(ISBLANK('[1]Точность устьев скважин'!K117),#N/A,'[1]Точность устьев скважин'!K117)</f>
        <v>64.11</v>
      </c>
      <c r="L115" s="63">
        <f t="shared" si="14"/>
        <v>0.16552945357366408</v>
      </c>
      <c r="O115" t="e">
        <f t="shared" si="15"/>
        <v>#N/A</v>
      </c>
      <c r="P115" t="e">
        <f t="shared" si="15"/>
        <v>#N/A</v>
      </c>
      <c r="Q115">
        <f t="shared" si="16"/>
        <v>52148.79</v>
      </c>
      <c r="R115">
        <f t="shared" si="16"/>
        <v>29042.76</v>
      </c>
      <c r="S115" t="e">
        <f t="shared" si="17"/>
        <v>#N/A</v>
      </c>
      <c r="T115" t="e">
        <f t="shared" si="17"/>
        <v>#N/A</v>
      </c>
      <c r="U115" t="e">
        <f t="shared" si="18"/>
        <v>#N/A</v>
      </c>
      <c r="V115" t="e">
        <f t="shared" si="18"/>
        <v>#N/A</v>
      </c>
      <c r="W115" t="e">
        <f t="shared" si="19"/>
        <v>#N/A</v>
      </c>
      <c r="X115" t="e">
        <f t="shared" si="19"/>
        <v>#N/A</v>
      </c>
      <c r="Y115" t="e">
        <f t="shared" si="13"/>
        <v>#N/A</v>
      </c>
      <c r="Z115" t="e">
        <f t="shared" si="13"/>
        <v>#N/A</v>
      </c>
    </row>
    <row r="116" spans="1:26">
      <c r="A116">
        <f>IF(ISBLANK('[1]Точность устьев скважин'!A118),#N/A,'[1]Точность устьев скважин'!A118)</f>
        <v>131</v>
      </c>
      <c r="B116">
        <f>IF(ISBLANK('[1]Точность устьев скважин'!B118),#N/A,'[1]Точность устьев скважин'!B118)</f>
        <v>52142.55</v>
      </c>
      <c r="C116">
        <f>IF(ISBLANK('[1]Точность устьев скважин'!C118),#N/A,'[1]Точность устьев скважин'!C118)</f>
        <v>29035.48</v>
      </c>
      <c r="D116">
        <f>IF(ISBLANK('[1]Точность устьев скважин'!D118),#N/A,'[1]Точность устьев скважин'!D118)</f>
        <v>63.72</v>
      </c>
      <c r="G116">
        <f>IF(ISBLANK('[1]Точность устьев скважин'!H118),#N/A,'[1]Точность устьев скважин'!H118)</f>
        <v>131</v>
      </c>
      <c r="H116">
        <f>IF(ISBLANK('[1]Точность устьев скважин'!I118),#N/A,'[1]Точность устьев скважин'!I118)</f>
        <v>52142.29</v>
      </c>
      <c r="I116">
        <f>IF(ISBLANK('[1]Точность устьев скважин'!J118),#N/A,'[1]Точность устьев скважин'!J118)</f>
        <v>29035.58</v>
      </c>
      <c r="J116">
        <f>IF(ISBLANK('[1]Точность устьев скважин'!K118),#N/A,'[1]Точность устьев скважин'!K118)</f>
        <v>63.88</v>
      </c>
      <c r="L116" s="63">
        <f t="shared" si="14"/>
        <v>0.27856776554636747</v>
      </c>
      <c r="O116" t="e">
        <f t="shared" si="15"/>
        <v>#N/A</v>
      </c>
      <c r="P116" t="e">
        <f t="shared" si="15"/>
        <v>#N/A</v>
      </c>
      <c r="Q116" t="e">
        <f t="shared" si="16"/>
        <v>#N/A</v>
      </c>
      <c r="R116" t="e">
        <f t="shared" si="16"/>
        <v>#N/A</v>
      </c>
      <c r="S116">
        <f t="shared" si="17"/>
        <v>52142.29</v>
      </c>
      <c r="T116">
        <f t="shared" si="17"/>
        <v>29035.58</v>
      </c>
      <c r="U116" t="e">
        <f t="shared" si="18"/>
        <v>#N/A</v>
      </c>
      <c r="V116" t="e">
        <f t="shared" si="18"/>
        <v>#N/A</v>
      </c>
      <c r="W116" t="e">
        <f t="shared" si="19"/>
        <v>#N/A</v>
      </c>
      <c r="X116" t="e">
        <f t="shared" si="19"/>
        <v>#N/A</v>
      </c>
      <c r="Y116" t="e">
        <f t="shared" si="13"/>
        <v>#N/A</v>
      </c>
      <c r="Z116" t="e">
        <f t="shared" si="13"/>
        <v>#N/A</v>
      </c>
    </row>
    <row r="117" spans="1:26">
      <c r="A117">
        <f>IF(ISBLANK('[1]Точность устьев скважин'!A119),#N/A,'[1]Точность устьев скважин'!A119)</f>
        <v>132</v>
      </c>
      <c r="B117">
        <f>IF(ISBLANK('[1]Точность устьев скважин'!B119),#N/A,'[1]Точность устьев скважин'!B119)</f>
        <v>52140.23</v>
      </c>
      <c r="C117">
        <f>IF(ISBLANK('[1]Точность устьев скважин'!C119),#N/A,'[1]Точность устьев скважин'!C119)</f>
        <v>29033.79</v>
      </c>
      <c r="D117">
        <f>IF(ISBLANK('[1]Точность устьев скважин'!D119),#N/A,'[1]Точность устьев скважин'!D119)</f>
        <v>63.65</v>
      </c>
      <c r="G117">
        <f>IF(ISBLANK('[1]Точность устьев скважин'!H119),#N/A,'[1]Точность устьев скважин'!H119)</f>
        <v>132</v>
      </c>
      <c r="H117">
        <f>IF(ISBLANK('[1]Точность устьев скважин'!I119),#N/A,'[1]Точность устьев скважин'!I119)</f>
        <v>52140</v>
      </c>
      <c r="I117">
        <f>IF(ISBLANK('[1]Точность устьев скважин'!J119),#N/A,'[1]Точность устьев скважин'!J119)</f>
        <v>29033.89</v>
      </c>
      <c r="J117">
        <f>IF(ISBLANK('[1]Точность устьев скважин'!K119),#N/A,'[1]Точность устьев скважин'!K119)</f>
        <v>63.82</v>
      </c>
      <c r="L117" s="63">
        <f t="shared" si="14"/>
        <v>0.25079872408204473</v>
      </c>
      <c r="O117" t="e">
        <f t="shared" si="15"/>
        <v>#N/A</v>
      </c>
      <c r="P117" t="e">
        <f t="shared" si="15"/>
        <v>#N/A</v>
      </c>
      <c r="Q117" t="e">
        <f t="shared" si="16"/>
        <v>#N/A</v>
      </c>
      <c r="R117" t="e">
        <f t="shared" si="16"/>
        <v>#N/A</v>
      </c>
      <c r="S117">
        <f t="shared" si="17"/>
        <v>52140</v>
      </c>
      <c r="T117">
        <f t="shared" si="17"/>
        <v>29033.89</v>
      </c>
      <c r="U117" t="e">
        <f t="shared" si="18"/>
        <v>#N/A</v>
      </c>
      <c r="V117" t="e">
        <f t="shared" si="18"/>
        <v>#N/A</v>
      </c>
      <c r="W117" t="e">
        <f t="shared" si="19"/>
        <v>#N/A</v>
      </c>
      <c r="X117" t="e">
        <f t="shared" si="19"/>
        <v>#N/A</v>
      </c>
      <c r="Y117" t="e">
        <f t="shared" si="13"/>
        <v>#N/A</v>
      </c>
      <c r="Z117" t="e">
        <f t="shared" si="13"/>
        <v>#N/A</v>
      </c>
    </row>
    <row r="118" spans="1:26">
      <c r="A118">
        <f>IF(ISBLANK('[1]Точность устьев скважин'!A120),#N/A,'[1]Точность устьев скважин'!A120)</f>
        <v>134</v>
      </c>
      <c r="B118">
        <f>IF(ISBLANK('[1]Точность устьев скважин'!B120),#N/A,'[1]Точность устьев скважин'!B120)</f>
        <v>52134.76</v>
      </c>
      <c r="C118">
        <f>IF(ISBLANK('[1]Точность устьев скважин'!C120),#N/A,'[1]Точность устьев скважин'!C120)</f>
        <v>29026.07</v>
      </c>
      <c r="D118">
        <f>IF(ISBLANK('[1]Точность устьев скважин'!D120),#N/A,'[1]Точность устьев скважин'!D120)</f>
        <v>63.47</v>
      </c>
      <c r="G118">
        <f>IF(ISBLANK('[1]Точность устьев скважин'!H120),#N/A,'[1]Точность устьев скважин'!H120)</f>
        <v>134</v>
      </c>
      <c r="H118">
        <f>IF(ISBLANK('[1]Точность устьев скважин'!I120),#N/A,'[1]Точность устьев скважин'!I120)</f>
        <v>52134.85</v>
      </c>
      <c r="I118">
        <f>IF(ISBLANK('[1]Точность устьев скважин'!J120),#N/A,'[1]Точность устьев скважин'!J120)</f>
        <v>29026.3</v>
      </c>
      <c r="J118">
        <f>IF(ISBLANK('[1]Точность устьев скважин'!K120),#N/A,'[1]Точность устьев скважин'!K120)</f>
        <v>63.72</v>
      </c>
      <c r="L118" s="63">
        <f t="shared" si="14"/>
        <v>0.24698178070289017</v>
      </c>
      <c r="O118" t="e">
        <f t="shared" si="15"/>
        <v>#N/A</v>
      </c>
      <c r="P118" t="e">
        <f t="shared" si="15"/>
        <v>#N/A</v>
      </c>
      <c r="Q118" t="e">
        <f t="shared" si="16"/>
        <v>#N/A</v>
      </c>
      <c r="R118" t="e">
        <f t="shared" si="16"/>
        <v>#N/A</v>
      </c>
      <c r="S118">
        <f t="shared" si="17"/>
        <v>52134.85</v>
      </c>
      <c r="T118">
        <f t="shared" si="17"/>
        <v>29026.3</v>
      </c>
      <c r="U118" t="e">
        <f t="shared" si="18"/>
        <v>#N/A</v>
      </c>
      <c r="V118" t="e">
        <f t="shared" si="18"/>
        <v>#N/A</v>
      </c>
      <c r="W118" t="e">
        <f t="shared" si="19"/>
        <v>#N/A</v>
      </c>
      <c r="X118" t="e">
        <f t="shared" si="19"/>
        <v>#N/A</v>
      </c>
      <c r="Y118" t="e">
        <f t="shared" ref="Y118:Z181" si="20">IF($L$1=0.5,IF($L118&gt;=0.5,H118,#N/A),"")</f>
        <v>#N/A</v>
      </c>
      <c r="Z118" t="e">
        <f t="shared" si="20"/>
        <v>#N/A</v>
      </c>
    </row>
    <row r="119" spans="1:26">
      <c r="A119">
        <f>IF(ISBLANK('[1]Точность устьев скважин'!A121),#N/A,'[1]Точность устьев скважин'!A121)</f>
        <v>135</v>
      </c>
      <c r="B119">
        <f>IF(ISBLANK('[1]Точность устьев скважин'!B121),#N/A,'[1]Точность устьев скважин'!B121)</f>
        <v>52133.49</v>
      </c>
      <c r="C119">
        <f>IF(ISBLANK('[1]Точность устьев скважин'!C121),#N/A,'[1]Точность устьев скважин'!C121)</f>
        <v>29019.94</v>
      </c>
      <c r="D119">
        <f>IF(ISBLANK('[1]Точность устьев скважин'!D121),#N/A,'[1]Точность устьев скважин'!D121)</f>
        <v>63.43</v>
      </c>
      <c r="G119">
        <f>IF(ISBLANK('[1]Точность устьев скважин'!H121),#N/A,'[1]Точность устьев скважин'!H121)</f>
        <v>135</v>
      </c>
      <c r="H119">
        <f>IF(ISBLANK('[1]Точность устьев скважин'!I121),#N/A,'[1]Точность устьев скважин'!I121)</f>
        <v>52133.37</v>
      </c>
      <c r="I119">
        <f>IF(ISBLANK('[1]Точность устьев скважин'!J121),#N/A,'[1]Точность устьев скважин'!J121)</f>
        <v>29020.04</v>
      </c>
      <c r="J119">
        <f>IF(ISBLANK('[1]Точность устьев скважин'!K121),#N/A,'[1]Точность устьев скважин'!K121)</f>
        <v>63.46</v>
      </c>
      <c r="L119" s="63">
        <f t="shared" si="14"/>
        <v>0.15620499351595316</v>
      </c>
      <c r="O119" t="e">
        <f t="shared" si="15"/>
        <v>#N/A</v>
      </c>
      <c r="P119" t="e">
        <f t="shared" si="15"/>
        <v>#N/A</v>
      </c>
      <c r="Q119">
        <f t="shared" si="16"/>
        <v>52133.37</v>
      </c>
      <c r="R119">
        <f t="shared" si="16"/>
        <v>29020.04</v>
      </c>
      <c r="S119" t="e">
        <f t="shared" si="17"/>
        <v>#N/A</v>
      </c>
      <c r="T119" t="e">
        <f t="shared" si="17"/>
        <v>#N/A</v>
      </c>
      <c r="U119" t="e">
        <f t="shared" si="18"/>
        <v>#N/A</v>
      </c>
      <c r="V119" t="e">
        <f t="shared" si="18"/>
        <v>#N/A</v>
      </c>
      <c r="W119" t="e">
        <f t="shared" si="19"/>
        <v>#N/A</v>
      </c>
      <c r="X119" t="e">
        <f t="shared" si="19"/>
        <v>#N/A</v>
      </c>
      <c r="Y119" t="e">
        <f t="shared" si="20"/>
        <v>#N/A</v>
      </c>
      <c r="Z119" t="e">
        <f t="shared" si="20"/>
        <v>#N/A</v>
      </c>
    </row>
    <row r="120" spans="1:26">
      <c r="A120">
        <f>IF(ISBLANK('[1]Точность устьев скважин'!A122),#N/A,'[1]Точность устьев скважин'!A122)</f>
        <v>136</v>
      </c>
      <c r="B120">
        <f>IF(ISBLANK('[1]Точность устьев скважин'!B122),#N/A,'[1]Точность устьев скважин'!B122)</f>
        <v>52130.94</v>
      </c>
      <c r="C120">
        <f>IF(ISBLANK('[1]Точность устьев скважин'!C122),#N/A,'[1]Точность устьев скважин'!C122)</f>
        <v>29018.07</v>
      </c>
      <c r="D120">
        <f>IF(ISBLANK('[1]Точность устьев скважин'!D122),#N/A,'[1]Точность устьев скважин'!D122)</f>
        <v>63.38</v>
      </c>
      <c r="G120">
        <f>IF(ISBLANK('[1]Точность устьев скважин'!H122),#N/A,'[1]Точность устьев скважин'!H122)</f>
        <v>136</v>
      </c>
      <c r="H120">
        <f>IF(ISBLANK('[1]Точность устьев скважин'!I122),#N/A,'[1]Точность устьев скважин'!I122)</f>
        <v>52130.97</v>
      </c>
      <c r="I120">
        <f>IF(ISBLANK('[1]Точность устьев скважин'!J122),#N/A,'[1]Точность устьев скважин'!J122)</f>
        <v>29018.42</v>
      </c>
      <c r="J120">
        <f>IF(ISBLANK('[1]Точность устьев скважин'!K122),#N/A,'[1]Точность устьев скважин'!K122)</f>
        <v>63.44</v>
      </c>
      <c r="L120" s="63">
        <f t="shared" si="14"/>
        <v>0.35128336140345662</v>
      </c>
      <c r="O120" t="e">
        <f t="shared" si="15"/>
        <v>#N/A</v>
      </c>
      <c r="P120" t="e">
        <f t="shared" si="15"/>
        <v>#N/A</v>
      </c>
      <c r="Q120" t="e">
        <f t="shared" si="16"/>
        <v>#N/A</v>
      </c>
      <c r="R120" t="e">
        <f t="shared" si="16"/>
        <v>#N/A</v>
      </c>
      <c r="S120" t="e">
        <f t="shared" si="17"/>
        <v>#N/A</v>
      </c>
      <c r="T120" t="e">
        <f t="shared" si="17"/>
        <v>#N/A</v>
      </c>
      <c r="U120">
        <f t="shared" si="18"/>
        <v>52130.97</v>
      </c>
      <c r="V120">
        <f t="shared" si="18"/>
        <v>29018.42</v>
      </c>
      <c r="W120" t="e">
        <f t="shared" si="19"/>
        <v>#N/A</v>
      </c>
      <c r="X120" t="e">
        <f t="shared" si="19"/>
        <v>#N/A</v>
      </c>
      <c r="Y120" t="e">
        <f t="shared" si="20"/>
        <v>#N/A</v>
      </c>
      <c r="Z120" t="e">
        <f t="shared" si="20"/>
        <v>#N/A</v>
      </c>
    </row>
    <row r="121" spans="1:26">
      <c r="A121">
        <f>IF(ISBLANK('[1]Точность устьев скважин'!A123),#N/A,'[1]Точность устьев скважин'!A123)</f>
        <v>139</v>
      </c>
      <c r="B121">
        <f>IF(ISBLANK('[1]Точность устьев скважин'!B123),#N/A,'[1]Точность устьев скважин'!B123)</f>
        <v>52119.45</v>
      </c>
      <c r="C121">
        <f>IF(ISBLANK('[1]Точность устьев скважин'!C123),#N/A,'[1]Точность устьев скважин'!C123)</f>
        <v>29007.81</v>
      </c>
      <c r="D121">
        <f>IF(ISBLANK('[1]Точность устьев скважин'!D123),#N/A,'[1]Точность устьев скважин'!D123)</f>
        <v>63.26</v>
      </c>
      <c r="G121">
        <f>IF(ISBLANK('[1]Точность устьев скважин'!H123),#N/A,'[1]Точность устьев скважин'!H123)</f>
        <v>139</v>
      </c>
      <c r="H121">
        <f>IF(ISBLANK('[1]Точность устьев скважин'!I123),#N/A,'[1]Точность устьев скважин'!I123)</f>
        <v>52119.58</v>
      </c>
      <c r="I121">
        <f>IF(ISBLANK('[1]Точность устьев скважин'!J123),#N/A,'[1]Точность устьев скважин'!J123)</f>
        <v>29008</v>
      </c>
      <c r="J121">
        <f>IF(ISBLANK('[1]Точность устьев скважин'!K123),#N/A,'[1]Точность устьев скважин'!K123)</f>
        <v>63.45</v>
      </c>
      <c r="L121" s="63">
        <f t="shared" si="14"/>
        <v>0.23021728866597541</v>
      </c>
      <c r="O121" t="e">
        <f t="shared" si="15"/>
        <v>#N/A</v>
      </c>
      <c r="P121" t="e">
        <f t="shared" si="15"/>
        <v>#N/A</v>
      </c>
      <c r="Q121" t="e">
        <f t="shared" si="16"/>
        <v>#N/A</v>
      </c>
      <c r="R121" t="e">
        <f t="shared" si="16"/>
        <v>#N/A</v>
      </c>
      <c r="S121">
        <f t="shared" si="17"/>
        <v>52119.58</v>
      </c>
      <c r="T121">
        <f t="shared" si="17"/>
        <v>29008</v>
      </c>
      <c r="U121" t="e">
        <f t="shared" si="18"/>
        <v>#N/A</v>
      </c>
      <c r="V121" t="e">
        <f t="shared" si="18"/>
        <v>#N/A</v>
      </c>
      <c r="W121" t="e">
        <f t="shared" si="19"/>
        <v>#N/A</v>
      </c>
      <c r="X121" t="e">
        <f t="shared" si="19"/>
        <v>#N/A</v>
      </c>
      <c r="Y121" t="e">
        <f t="shared" si="20"/>
        <v>#N/A</v>
      </c>
      <c r="Z121" t="e">
        <f t="shared" si="20"/>
        <v>#N/A</v>
      </c>
    </row>
    <row r="122" spans="1:26">
      <c r="A122">
        <f>IF(ISBLANK('[1]Точность устьев скважин'!A124),#N/A,'[1]Точность устьев скважин'!A124)</f>
        <v>140</v>
      </c>
      <c r="B122">
        <f>IF(ISBLANK('[1]Точность устьев скважин'!B124),#N/A,'[1]Точность устьев скважин'!B124)</f>
        <v>52117.01</v>
      </c>
      <c r="C122">
        <f>IF(ISBLANK('[1]Точность устьев скважин'!C124),#N/A,'[1]Точность устьев скважин'!C124)</f>
        <v>29006.26</v>
      </c>
      <c r="D122">
        <f>IF(ISBLANK('[1]Точность устьев скважин'!D124),#N/A,'[1]Точность устьев скважин'!D124)</f>
        <v>63.27</v>
      </c>
      <c r="G122">
        <f>IF(ISBLANK('[1]Точность устьев скважин'!H124),#N/A,'[1]Точность устьев скважин'!H124)</f>
        <v>140</v>
      </c>
      <c r="H122">
        <f>IF(ISBLANK('[1]Точность устьев скважин'!I124),#N/A,'[1]Точность устьев скважин'!I124)</f>
        <v>52116.94</v>
      </c>
      <c r="I122">
        <f>IF(ISBLANK('[1]Точность устьев скважин'!J124),#N/A,'[1]Точность устьев скважин'!J124)</f>
        <v>29006.61</v>
      </c>
      <c r="J122">
        <f>IF(ISBLANK('[1]Точность устьев скважин'!K124),#N/A,'[1]Точность устьев скважин'!K124)</f>
        <v>63.42</v>
      </c>
      <c r="L122" s="63">
        <f t="shared" si="14"/>
        <v>0.35693136595357827</v>
      </c>
      <c r="O122" t="e">
        <f t="shared" si="15"/>
        <v>#N/A</v>
      </c>
      <c r="P122" t="e">
        <f t="shared" si="15"/>
        <v>#N/A</v>
      </c>
      <c r="Q122" t="e">
        <f t="shared" si="16"/>
        <v>#N/A</v>
      </c>
      <c r="R122" t="e">
        <f t="shared" si="16"/>
        <v>#N/A</v>
      </c>
      <c r="S122" t="e">
        <f t="shared" si="17"/>
        <v>#N/A</v>
      </c>
      <c r="T122" t="e">
        <f t="shared" si="17"/>
        <v>#N/A</v>
      </c>
      <c r="U122">
        <f t="shared" si="18"/>
        <v>52116.94</v>
      </c>
      <c r="V122">
        <f t="shared" si="18"/>
        <v>29006.61</v>
      </c>
      <c r="W122" t="e">
        <f t="shared" si="19"/>
        <v>#N/A</v>
      </c>
      <c r="X122" t="e">
        <f t="shared" si="19"/>
        <v>#N/A</v>
      </c>
      <c r="Y122" t="e">
        <f t="shared" si="20"/>
        <v>#N/A</v>
      </c>
      <c r="Z122" t="e">
        <f t="shared" si="20"/>
        <v>#N/A</v>
      </c>
    </row>
    <row r="123" spans="1:26">
      <c r="A123">
        <f>IF(ISBLANK('[1]Точность устьев скважин'!A125),#N/A,'[1]Точность устьев скважин'!A125)</f>
        <v>142</v>
      </c>
      <c r="B123">
        <f>IF(ISBLANK('[1]Точность устьев скважин'!B125),#N/A,'[1]Точность устьев скважин'!B125)</f>
        <v>52107.77</v>
      </c>
      <c r="C123">
        <f>IF(ISBLANK('[1]Точность устьев скважин'!C125),#N/A,'[1]Точность устьев скважин'!C125)</f>
        <v>29000.97</v>
      </c>
      <c r="D123">
        <f>IF(ISBLANK('[1]Точность устьев скважин'!D125),#N/A,'[1]Точность устьев скважин'!D125)</f>
        <v>63.31</v>
      </c>
      <c r="G123">
        <f>IF(ISBLANK('[1]Точность устьев скважин'!H125),#N/A,'[1]Точность устьев скважин'!H125)</f>
        <v>142</v>
      </c>
      <c r="H123">
        <f>IF(ISBLANK('[1]Точность устьев скважин'!I125),#N/A,'[1]Точность устьев скважин'!I125)</f>
        <v>52107.92</v>
      </c>
      <c r="I123">
        <f>IF(ISBLANK('[1]Точность устьев скважин'!J125),#N/A,'[1]Точность устьев скважин'!J125)</f>
        <v>29000.77</v>
      </c>
      <c r="J123">
        <f>IF(ISBLANK('[1]Точность устьев скважин'!K125),#N/A,'[1]Точность устьев скважин'!K125)</f>
        <v>63.43</v>
      </c>
      <c r="L123" s="63">
        <f t="shared" si="14"/>
        <v>0.25000000000145517</v>
      </c>
      <c r="O123" t="e">
        <f t="shared" si="15"/>
        <v>#N/A</v>
      </c>
      <c r="P123" t="e">
        <f t="shared" si="15"/>
        <v>#N/A</v>
      </c>
      <c r="Q123" t="e">
        <f t="shared" si="16"/>
        <v>#N/A</v>
      </c>
      <c r="R123" t="e">
        <f t="shared" si="16"/>
        <v>#N/A</v>
      </c>
      <c r="S123">
        <f t="shared" si="17"/>
        <v>52107.92</v>
      </c>
      <c r="T123">
        <f t="shared" si="17"/>
        <v>29000.77</v>
      </c>
      <c r="U123" t="e">
        <f t="shared" si="18"/>
        <v>#N/A</v>
      </c>
      <c r="V123" t="e">
        <f t="shared" si="18"/>
        <v>#N/A</v>
      </c>
      <c r="W123" t="e">
        <f t="shared" si="19"/>
        <v>#N/A</v>
      </c>
      <c r="X123" t="e">
        <f t="shared" si="19"/>
        <v>#N/A</v>
      </c>
      <c r="Y123" t="e">
        <f t="shared" si="20"/>
        <v>#N/A</v>
      </c>
      <c r="Z123" t="e">
        <f t="shared" si="20"/>
        <v>#N/A</v>
      </c>
    </row>
    <row r="124" spans="1:26">
      <c r="A124">
        <f>IF(ISBLANK('[1]Точность устьев скважин'!A126),#N/A,'[1]Точность устьев скважин'!A126)</f>
        <v>143</v>
      </c>
      <c r="B124">
        <f>IF(ISBLANK('[1]Точность устьев скважин'!B126),#N/A,'[1]Точность устьев скважин'!B126)</f>
        <v>52102.1</v>
      </c>
      <c r="C124">
        <f>IF(ISBLANK('[1]Точность устьев скважин'!C126),#N/A,'[1]Точность устьев скважин'!C126)</f>
        <v>28999.93</v>
      </c>
      <c r="D124">
        <f>IF(ISBLANK('[1]Точность устьев скважин'!D126),#N/A,'[1]Точность устьев скважин'!D126)</f>
        <v>63.55</v>
      </c>
      <c r="G124">
        <f>IF(ISBLANK('[1]Точность устьев скважин'!H126),#N/A,'[1]Точность устьев скважин'!H126)</f>
        <v>143</v>
      </c>
      <c r="H124">
        <f>IF(ISBLANK('[1]Точность устьев скважин'!I126),#N/A,'[1]Точность устьев скважин'!I126)</f>
        <v>52102.03</v>
      </c>
      <c r="I124">
        <f>IF(ISBLANK('[1]Точность устьев скважин'!J126),#N/A,'[1]Точность устьев скважин'!J126)</f>
        <v>29000.09</v>
      </c>
      <c r="J124">
        <f>IF(ISBLANK('[1]Точность устьев скважин'!K126),#N/A,'[1]Точность устьев скважин'!K126)</f>
        <v>63.74</v>
      </c>
      <c r="L124" s="63">
        <f t="shared" si="14"/>
        <v>0.17464249196547982</v>
      </c>
      <c r="O124" t="e">
        <f t="shared" si="15"/>
        <v>#N/A</v>
      </c>
      <c r="P124" t="e">
        <f t="shared" si="15"/>
        <v>#N/A</v>
      </c>
      <c r="Q124">
        <f t="shared" si="16"/>
        <v>52102.03</v>
      </c>
      <c r="R124">
        <f t="shared" si="16"/>
        <v>29000.09</v>
      </c>
      <c r="S124" t="e">
        <f t="shared" si="17"/>
        <v>#N/A</v>
      </c>
      <c r="T124" t="e">
        <f t="shared" si="17"/>
        <v>#N/A</v>
      </c>
      <c r="U124" t="e">
        <f t="shared" si="18"/>
        <v>#N/A</v>
      </c>
      <c r="V124" t="e">
        <f t="shared" si="18"/>
        <v>#N/A</v>
      </c>
      <c r="W124" t="e">
        <f t="shared" si="19"/>
        <v>#N/A</v>
      </c>
      <c r="X124" t="e">
        <f t="shared" si="19"/>
        <v>#N/A</v>
      </c>
      <c r="Y124" t="e">
        <f t="shared" si="20"/>
        <v>#N/A</v>
      </c>
      <c r="Z124" t="e">
        <f t="shared" si="20"/>
        <v>#N/A</v>
      </c>
    </row>
    <row r="125" spans="1:26">
      <c r="A125">
        <f>IF(ISBLANK('[1]Точность устьев скважин'!A127),#N/A,'[1]Точность устьев скважин'!A127)</f>
        <v>146</v>
      </c>
      <c r="B125">
        <f>IF(ISBLANK('[1]Точность устьев скважин'!B127),#N/A,'[1]Точность устьев скважин'!B127)</f>
        <v>52090.82</v>
      </c>
      <c r="C125">
        <f>IF(ISBLANK('[1]Точность устьев скважин'!C127),#N/A,'[1]Точность устьев скважин'!C127)</f>
        <v>28994.99</v>
      </c>
      <c r="D125">
        <f>IF(ISBLANK('[1]Точность устьев скважин'!D127),#N/A,'[1]Точность устьев скважин'!D127)</f>
        <v>63.86</v>
      </c>
      <c r="G125">
        <f>IF(ISBLANK('[1]Точность устьев скважин'!H127),#N/A,'[1]Точность устьев скважин'!H127)</f>
        <v>146</v>
      </c>
      <c r="H125">
        <f>IF(ISBLANK('[1]Точность устьев скважин'!I127),#N/A,'[1]Точность устьев скважин'!I127)</f>
        <v>52090.55</v>
      </c>
      <c r="I125">
        <f>IF(ISBLANK('[1]Точность устьев скважин'!J127),#N/A,'[1]Точность устьев скважин'!J127)</f>
        <v>28995.119999999999</v>
      </c>
      <c r="J125">
        <f>IF(ISBLANK('[1]Точность устьев скважин'!K127),#N/A,'[1]Точность устьев скважин'!K127)</f>
        <v>64.010000000000005</v>
      </c>
      <c r="L125" s="63">
        <f t="shared" si="14"/>
        <v>0.29966648127141315</v>
      </c>
      <c r="O125" t="e">
        <f t="shared" si="15"/>
        <v>#N/A</v>
      </c>
      <c r="P125" t="e">
        <f t="shared" si="15"/>
        <v>#N/A</v>
      </c>
      <c r="Q125" t="e">
        <f t="shared" si="16"/>
        <v>#N/A</v>
      </c>
      <c r="R125" t="e">
        <f t="shared" si="16"/>
        <v>#N/A</v>
      </c>
      <c r="S125">
        <f t="shared" si="17"/>
        <v>52090.55</v>
      </c>
      <c r="T125">
        <f t="shared" si="17"/>
        <v>28995.119999999999</v>
      </c>
      <c r="U125" t="e">
        <f t="shared" si="18"/>
        <v>#N/A</v>
      </c>
      <c r="V125" t="e">
        <f t="shared" si="18"/>
        <v>#N/A</v>
      </c>
      <c r="W125" t="e">
        <f t="shared" si="19"/>
        <v>#N/A</v>
      </c>
      <c r="X125" t="e">
        <f t="shared" si="19"/>
        <v>#N/A</v>
      </c>
      <c r="Y125" t="e">
        <f t="shared" si="20"/>
        <v>#N/A</v>
      </c>
      <c r="Z125" t="e">
        <f t="shared" si="20"/>
        <v>#N/A</v>
      </c>
    </row>
    <row r="126" spans="1:26">
      <c r="A126">
        <f>IF(ISBLANK('[1]Точность устьев скважин'!A128),#N/A,'[1]Точность устьев скважин'!A128)</f>
        <v>147</v>
      </c>
      <c r="B126">
        <f>IF(ISBLANK('[1]Точность устьев скважин'!B128),#N/A,'[1]Точность устьев скважин'!B128)</f>
        <v>52111.08</v>
      </c>
      <c r="C126">
        <f>IF(ISBLANK('[1]Точность устьев скважин'!C128),#N/A,'[1]Точность устьев скважин'!C128)</f>
        <v>29003.69</v>
      </c>
      <c r="D126">
        <f>IF(ISBLANK('[1]Точность устьев скважин'!D128),#N/A,'[1]Точность устьев скважин'!D128)</f>
        <v>63.26</v>
      </c>
      <c r="G126">
        <f>IF(ISBLANK('[1]Точность устьев скважин'!H128),#N/A,'[1]Точность устьев скважин'!H128)</f>
        <v>147</v>
      </c>
      <c r="H126">
        <f>IF(ISBLANK('[1]Точность устьев скважин'!I128),#N/A,'[1]Точность устьев скважин'!I128)</f>
        <v>52111.199999999997</v>
      </c>
      <c r="I126">
        <f>IF(ISBLANK('[1]Точность устьев скважин'!J128),#N/A,'[1]Точность устьев скважин'!J128)</f>
        <v>29003.64</v>
      </c>
      <c r="J126">
        <f>IF(ISBLANK('[1]Точность устьев скважин'!K128),#N/A,'[1]Точность устьев скважин'!K128)</f>
        <v>63.25</v>
      </c>
      <c r="L126" s="63">
        <f t="shared" si="14"/>
        <v>0.12999999999542175</v>
      </c>
      <c r="O126" t="e">
        <f t="shared" si="15"/>
        <v>#N/A</v>
      </c>
      <c r="P126" t="e">
        <f t="shared" si="15"/>
        <v>#N/A</v>
      </c>
      <c r="Q126">
        <f t="shared" si="16"/>
        <v>52111.199999999997</v>
      </c>
      <c r="R126">
        <f t="shared" si="16"/>
        <v>29003.64</v>
      </c>
      <c r="S126" t="e">
        <f t="shared" si="17"/>
        <v>#N/A</v>
      </c>
      <c r="T126" t="e">
        <f t="shared" si="17"/>
        <v>#N/A</v>
      </c>
      <c r="U126" t="e">
        <f t="shared" si="18"/>
        <v>#N/A</v>
      </c>
      <c r="V126" t="e">
        <f t="shared" si="18"/>
        <v>#N/A</v>
      </c>
      <c r="W126" t="e">
        <f t="shared" si="19"/>
        <v>#N/A</v>
      </c>
      <c r="X126" t="e">
        <f t="shared" si="19"/>
        <v>#N/A</v>
      </c>
      <c r="Y126" t="e">
        <f t="shared" si="20"/>
        <v>#N/A</v>
      </c>
      <c r="Z126" t="e">
        <f t="shared" si="20"/>
        <v>#N/A</v>
      </c>
    </row>
    <row r="127" spans="1:26">
      <c r="A127">
        <f>IF(ISBLANK('[1]Точность устьев скважин'!A129),#N/A,'[1]Точность устьев скважин'!A129)</f>
        <v>149</v>
      </c>
      <c r="B127">
        <f>IF(ISBLANK('[1]Точность устьев скважин'!B129),#N/A,'[1]Точность устьев скважин'!B129)</f>
        <v>52147.5</v>
      </c>
      <c r="C127">
        <f>IF(ISBLANK('[1]Точность устьев скважин'!C129),#N/A,'[1]Точность устьев скважин'!C129)</f>
        <v>29042.12</v>
      </c>
      <c r="D127">
        <f>IF(ISBLANK('[1]Точность устьев скважин'!D129),#N/A,'[1]Точность устьев скважин'!D129)</f>
        <v>63.85</v>
      </c>
      <c r="G127">
        <f>IF(ISBLANK('[1]Точность устьев скважин'!H129),#N/A,'[1]Точность устьев скважин'!H129)</f>
        <v>149</v>
      </c>
      <c r="H127">
        <f>IF(ISBLANK('[1]Точность устьев скважин'!I129),#N/A,'[1]Точность устьев скважин'!I129)</f>
        <v>52147.6</v>
      </c>
      <c r="I127">
        <f>IF(ISBLANK('[1]Точность устьев скважин'!J129),#N/A,'[1]Точность устьев скважин'!J129)</f>
        <v>29041.98</v>
      </c>
      <c r="J127">
        <f>IF(ISBLANK('[1]Точность устьев скважин'!K129),#N/A,'[1]Точность устьев скважин'!K129)</f>
        <v>64</v>
      </c>
      <c r="L127" s="63">
        <f t="shared" si="14"/>
        <v>0.17204650533953308</v>
      </c>
      <c r="O127" t="e">
        <f t="shared" si="15"/>
        <v>#N/A</v>
      </c>
      <c r="P127" t="e">
        <f t="shared" si="15"/>
        <v>#N/A</v>
      </c>
      <c r="Q127">
        <f t="shared" si="16"/>
        <v>52147.6</v>
      </c>
      <c r="R127">
        <f t="shared" si="16"/>
        <v>29041.98</v>
      </c>
      <c r="S127" t="e">
        <f t="shared" si="17"/>
        <v>#N/A</v>
      </c>
      <c r="T127" t="e">
        <f t="shared" si="17"/>
        <v>#N/A</v>
      </c>
      <c r="U127" t="e">
        <f t="shared" si="18"/>
        <v>#N/A</v>
      </c>
      <c r="V127" t="e">
        <f t="shared" si="18"/>
        <v>#N/A</v>
      </c>
      <c r="W127" t="e">
        <f t="shared" si="19"/>
        <v>#N/A</v>
      </c>
      <c r="X127" t="e">
        <f t="shared" si="19"/>
        <v>#N/A</v>
      </c>
      <c r="Y127" t="e">
        <f t="shared" si="20"/>
        <v>#N/A</v>
      </c>
      <c r="Z127" t="e">
        <f t="shared" si="20"/>
        <v>#N/A</v>
      </c>
    </row>
    <row r="128" spans="1:26">
      <c r="A128">
        <f>IF(ISBLANK('[1]Точность устьев скважин'!A130),#N/A,'[1]Точность устьев скважин'!A130)</f>
        <v>149</v>
      </c>
      <c r="B128">
        <f>IF(ISBLANK('[1]Точность устьев скважин'!B130),#N/A,'[1]Точность устьев скважин'!B130)</f>
        <v>52118.91</v>
      </c>
      <c r="C128">
        <f>IF(ISBLANK('[1]Точность устьев скважин'!C130),#N/A,'[1]Точность устьев скважин'!C130)</f>
        <v>29012.73</v>
      </c>
      <c r="D128">
        <f>IF(ISBLANK('[1]Точность устьев скважин'!D130),#N/A,'[1]Точность устьев скважин'!D130)</f>
        <v>63.28</v>
      </c>
      <c r="G128">
        <f>IF(ISBLANK('[1]Точность устьев скважин'!H130),#N/A,'[1]Точность устьев скважин'!H130)</f>
        <v>149</v>
      </c>
      <c r="H128">
        <f>IF(ISBLANK('[1]Точность устьев скважин'!I130),#N/A,'[1]Точность устьев скважин'!I130)</f>
        <v>52118.77</v>
      </c>
      <c r="I128">
        <f>IF(ISBLANK('[1]Точность устьев скважин'!J130),#N/A,'[1]Точность устьев скважин'!J130)</f>
        <v>29012.59</v>
      </c>
      <c r="J128">
        <f>IF(ISBLANK('[1]Точность устьев скважин'!K130),#N/A,'[1]Точность устьев скважин'!K130)</f>
        <v>63.36</v>
      </c>
      <c r="L128" s="63">
        <f t="shared" si="14"/>
        <v>0.19798989873655501</v>
      </c>
      <c r="O128" t="e">
        <f t="shared" si="15"/>
        <v>#N/A</v>
      </c>
      <c r="P128" t="e">
        <f t="shared" si="15"/>
        <v>#N/A</v>
      </c>
      <c r="Q128">
        <f t="shared" si="16"/>
        <v>52118.77</v>
      </c>
      <c r="R128">
        <f t="shared" si="16"/>
        <v>29012.59</v>
      </c>
      <c r="S128" t="e">
        <f t="shared" si="17"/>
        <v>#N/A</v>
      </c>
      <c r="T128" t="e">
        <f t="shared" si="17"/>
        <v>#N/A</v>
      </c>
      <c r="U128" t="e">
        <f t="shared" si="18"/>
        <v>#N/A</v>
      </c>
      <c r="V128" t="e">
        <f t="shared" si="18"/>
        <v>#N/A</v>
      </c>
      <c r="W128" t="e">
        <f t="shared" si="19"/>
        <v>#N/A</v>
      </c>
      <c r="X128" t="e">
        <f t="shared" si="19"/>
        <v>#N/A</v>
      </c>
      <c r="Y128" t="e">
        <f t="shared" si="20"/>
        <v>#N/A</v>
      </c>
      <c r="Z128" t="e">
        <f t="shared" si="20"/>
        <v>#N/A</v>
      </c>
    </row>
    <row r="129" spans="1:26">
      <c r="A129">
        <f>IF(ISBLANK('[1]Точность устьев скважин'!A131),#N/A,'[1]Точность устьев скважин'!A131)</f>
        <v>150</v>
      </c>
      <c r="B129">
        <f>IF(ISBLANK('[1]Точность устьев скважин'!B131),#N/A,'[1]Точность устьев скважин'!B131)</f>
        <v>52112.97</v>
      </c>
      <c r="C129">
        <f>IF(ISBLANK('[1]Точность устьев скважин'!C131),#N/A,'[1]Точность устьев скважин'!C131)</f>
        <v>29010.09</v>
      </c>
      <c r="D129">
        <f>IF(ISBLANK('[1]Точность устьев скважин'!D131),#N/A,'[1]Точность устьев скважин'!D131)</f>
        <v>63.24</v>
      </c>
      <c r="G129">
        <f>IF(ISBLANK('[1]Точность устьев скважин'!H131),#N/A,'[1]Точность устьев скважин'!H131)</f>
        <v>150</v>
      </c>
      <c r="H129">
        <f>IF(ISBLANK('[1]Точность устьев скважин'!I131),#N/A,'[1]Точность устьев скважин'!I131)</f>
        <v>52112.76</v>
      </c>
      <c r="I129">
        <f>IF(ISBLANK('[1]Точность устьев скважин'!J131),#N/A,'[1]Точность устьев скважин'!J131)</f>
        <v>29010.31</v>
      </c>
      <c r="J129">
        <f>IF(ISBLANK('[1]Точность устьев скважин'!K131),#N/A,'[1]Точность устьев скважин'!K131)</f>
        <v>63.19</v>
      </c>
      <c r="L129" s="63">
        <f t="shared" si="14"/>
        <v>0.30413812651515021</v>
      </c>
      <c r="O129" t="e">
        <f t="shared" si="15"/>
        <v>#N/A</v>
      </c>
      <c r="P129" t="e">
        <f t="shared" si="15"/>
        <v>#N/A</v>
      </c>
      <c r="Q129" t="e">
        <f t="shared" si="16"/>
        <v>#N/A</v>
      </c>
      <c r="R129" t="e">
        <f t="shared" si="16"/>
        <v>#N/A</v>
      </c>
      <c r="S129" t="e">
        <f t="shared" si="17"/>
        <v>#N/A</v>
      </c>
      <c r="T129" t="e">
        <f t="shared" si="17"/>
        <v>#N/A</v>
      </c>
      <c r="U129">
        <f t="shared" si="18"/>
        <v>52112.76</v>
      </c>
      <c r="V129">
        <f t="shared" si="18"/>
        <v>29010.31</v>
      </c>
      <c r="W129" t="e">
        <f t="shared" si="19"/>
        <v>#N/A</v>
      </c>
      <c r="X129" t="e">
        <f t="shared" si="19"/>
        <v>#N/A</v>
      </c>
      <c r="Y129" t="e">
        <f t="shared" si="20"/>
        <v>#N/A</v>
      </c>
      <c r="Z129" t="e">
        <f t="shared" si="20"/>
        <v>#N/A</v>
      </c>
    </row>
    <row r="130" spans="1:26">
      <c r="A130">
        <f>IF(ISBLANK('[1]Точность устьев скважин'!A132),#N/A,'[1]Точность устьев скважин'!A132)</f>
        <v>151</v>
      </c>
      <c r="B130">
        <f>IF(ISBLANK('[1]Точность устьев скважин'!B132),#N/A,'[1]Точность устьев скважин'!B132)</f>
        <v>52107.03</v>
      </c>
      <c r="C130">
        <f>IF(ISBLANK('[1]Точность устьев скважин'!C132),#N/A,'[1]Точность устьев скважин'!C132)</f>
        <v>29007.439999999999</v>
      </c>
      <c r="D130">
        <f>IF(ISBLANK('[1]Точность устьев скважин'!D132),#N/A,'[1]Точность устьев скважин'!D132)</f>
        <v>63.22</v>
      </c>
      <c r="G130">
        <f>IF(ISBLANK('[1]Точность устьев скважин'!H132),#N/A,'[1]Точность устьев скважин'!H132)</f>
        <v>151</v>
      </c>
      <c r="H130">
        <f>IF(ISBLANK('[1]Точность устьев скважин'!I132),#N/A,'[1]Точность устьев скважин'!I132)</f>
        <v>52106.83</v>
      </c>
      <c r="I130">
        <f>IF(ISBLANK('[1]Точность устьев скважин'!J132),#N/A,'[1]Точность устьев скважин'!J132)</f>
        <v>29007.43</v>
      </c>
      <c r="J130">
        <f>IF(ISBLANK('[1]Точность устьев скважин'!K132),#N/A,'[1]Точность устьев скважин'!K132)</f>
        <v>63.38</v>
      </c>
      <c r="L130" s="63">
        <f t="shared" si="14"/>
        <v>0.20024984394202117</v>
      </c>
      <c r="O130" t="e">
        <f t="shared" si="15"/>
        <v>#N/A</v>
      </c>
      <c r="P130" t="e">
        <f t="shared" si="15"/>
        <v>#N/A</v>
      </c>
      <c r="Q130" t="e">
        <f t="shared" si="16"/>
        <v>#N/A</v>
      </c>
      <c r="R130" t="e">
        <f t="shared" si="16"/>
        <v>#N/A</v>
      </c>
      <c r="S130">
        <f t="shared" si="17"/>
        <v>52106.83</v>
      </c>
      <c r="T130">
        <f t="shared" si="17"/>
        <v>29007.43</v>
      </c>
      <c r="U130" t="e">
        <f t="shared" si="18"/>
        <v>#N/A</v>
      </c>
      <c r="V130" t="e">
        <f t="shared" si="18"/>
        <v>#N/A</v>
      </c>
      <c r="W130" t="e">
        <f t="shared" si="19"/>
        <v>#N/A</v>
      </c>
      <c r="X130" t="e">
        <f t="shared" si="19"/>
        <v>#N/A</v>
      </c>
      <c r="Y130" t="e">
        <f t="shared" si="20"/>
        <v>#N/A</v>
      </c>
      <c r="Z130" t="e">
        <f t="shared" si="20"/>
        <v>#N/A</v>
      </c>
    </row>
    <row r="131" spans="1:26">
      <c r="A131">
        <f>IF(ISBLANK('[1]Точность устьев скважин'!A133),#N/A,'[1]Точность устьев скважин'!A133)</f>
        <v>152</v>
      </c>
      <c r="B131">
        <f>IF(ISBLANK('[1]Точность устьев скважин'!B133),#N/A,'[1]Точность устьев скважин'!B133)</f>
        <v>52101.09</v>
      </c>
      <c r="C131">
        <f>IF(ISBLANK('[1]Точность устьев скважин'!C133),#N/A,'[1]Точность устьев скважин'!C133)</f>
        <v>29004.799999999999</v>
      </c>
      <c r="D131">
        <f>IF(ISBLANK('[1]Точность устьев скважин'!D133),#N/A,'[1]Точность устьев скважин'!D133)</f>
        <v>63.47</v>
      </c>
      <c r="G131">
        <f>IF(ISBLANK('[1]Точность устьев скважин'!H133),#N/A,'[1]Точность устьев скважин'!H133)</f>
        <v>152</v>
      </c>
      <c r="H131">
        <f>IF(ISBLANK('[1]Точность устьев скважин'!I133),#N/A,'[1]Точность устьев скважин'!I133)</f>
        <v>52100.84</v>
      </c>
      <c r="I131">
        <f>IF(ISBLANK('[1]Точность устьев скважин'!J133),#N/A,'[1]Точность устьев скважин'!J133)</f>
        <v>29004.799999999999</v>
      </c>
      <c r="J131">
        <f>IF(ISBLANK('[1]Точность устьев скважин'!K133),#N/A,'[1]Точность устьев скважин'!K133)</f>
        <v>63.52</v>
      </c>
      <c r="L131" s="63">
        <f t="shared" si="14"/>
        <v>0.25</v>
      </c>
      <c r="O131" t="e">
        <f t="shared" si="15"/>
        <v>#N/A</v>
      </c>
      <c r="P131" t="e">
        <f t="shared" si="15"/>
        <v>#N/A</v>
      </c>
      <c r="Q131" t="e">
        <f t="shared" si="16"/>
        <v>#N/A</v>
      </c>
      <c r="R131" t="e">
        <f t="shared" si="16"/>
        <v>#N/A</v>
      </c>
      <c r="S131">
        <f t="shared" si="17"/>
        <v>52100.84</v>
      </c>
      <c r="T131">
        <f t="shared" si="17"/>
        <v>29004.799999999999</v>
      </c>
      <c r="U131" t="e">
        <f t="shared" si="18"/>
        <v>#N/A</v>
      </c>
      <c r="V131" t="e">
        <f t="shared" si="18"/>
        <v>#N/A</v>
      </c>
      <c r="W131" t="e">
        <f t="shared" si="19"/>
        <v>#N/A</v>
      </c>
      <c r="X131" t="e">
        <f t="shared" si="19"/>
        <v>#N/A</v>
      </c>
      <c r="Y131" t="e">
        <f t="shared" si="20"/>
        <v>#N/A</v>
      </c>
      <c r="Z131" t="e">
        <f t="shared" si="20"/>
        <v>#N/A</v>
      </c>
    </row>
    <row r="132" spans="1:26">
      <c r="A132">
        <f>IF(ISBLANK('[1]Точность устьев скважин'!A134),#N/A,'[1]Точность устьев скважин'!A134)</f>
        <v>153</v>
      </c>
      <c r="B132">
        <f>IF(ISBLANK('[1]Точность устьев скважин'!B134),#N/A,'[1]Точность устьев скважин'!B134)</f>
        <v>52095.15</v>
      </c>
      <c r="C132">
        <f>IF(ISBLANK('[1]Точность устьев скважин'!C134),#N/A,'[1]Точность устьев скважин'!C134)</f>
        <v>29002.15</v>
      </c>
      <c r="D132">
        <f>IF(ISBLANK('[1]Точность устьев скважин'!D134),#N/A,'[1]Точность устьев скважин'!D134)</f>
        <v>63.71</v>
      </c>
      <c r="G132">
        <f>IF(ISBLANK('[1]Точность устьев скважин'!H134),#N/A,'[1]Точность устьев скважин'!H134)</f>
        <v>153</v>
      </c>
      <c r="H132">
        <f>IF(ISBLANK('[1]Точность устьев скважин'!I134),#N/A,'[1]Точность устьев скважин'!I134)</f>
        <v>52095.15</v>
      </c>
      <c r="I132">
        <f>IF(ISBLANK('[1]Точность устьев скважин'!J134),#N/A,'[1]Точность устьев скважин'!J134)</f>
        <v>29001.94</v>
      </c>
      <c r="J132">
        <f>IF(ISBLANK('[1]Точность устьев скважин'!K134),#N/A,'[1]Точность устьев скважин'!K134)</f>
        <v>63.81</v>
      </c>
      <c r="L132" s="63">
        <f t="shared" ref="L132:L195" si="21">IF(B132="","",(SQRT((H132-B132)^2+(I132-C132)^2)))</f>
        <v>0.21000000000276486</v>
      </c>
      <c r="O132" t="e">
        <f t="shared" si="15"/>
        <v>#N/A</v>
      </c>
      <c r="P132" t="e">
        <f t="shared" si="15"/>
        <v>#N/A</v>
      </c>
      <c r="Q132" t="e">
        <f t="shared" si="16"/>
        <v>#N/A</v>
      </c>
      <c r="R132" t="e">
        <f t="shared" si="16"/>
        <v>#N/A</v>
      </c>
      <c r="S132">
        <f t="shared" si="17"/>
        <v>52095.15</v>
      </c>
      <c r="T132">
        <f t="shared" si="17"/>
        <v>29001.94</v>
      </c>
      <c r="U132" t="e">
        <f t="shared" si="18"/>
        <v>#N/A</v>
      </c>
      <c r="V132" t="e">
        <f t="shared" si="18"/>
        <v>#N/A</v>
      </c>
      <c r="W132" t="e">
        <f t="shared" si="19"/>
        <v>#N/A</v>
      </c>
      <c r="X132" t="e">
        <f t="shared" si="19"/>
        <v>#N/A</v>
      </c>
      <c r="Y132" t="e">
        <f t="shared" si="20"/>
        <v>#N/A</v>
      </c>
      <c r="Z132" t="e">
        <f t="shared" si="20"/>
        <v>#N/A</v>
      </c>
    </row>
    <row r="133" spans="1:26">
      <c r="A133">
        <f>IF(ISBLANK('[1]Точность устьев скважин'!A135),#N/A,'[1]Точность устьев скважин'!A135)</f>
        <v>154</v>
      </c>
      <c r="B133">
        <f>IF(ISBLANK('[1]Точность устьев скважин'!B135),#N/A,'[1]Точность устьев скважин'!B135)</f>
        <v>52089.22</v>
      </c>
      <c r="C133">
        <f>IF(ISBLANK('[1]Точность устьев скважин'!C135),#N/A,'[1]Точность устьев скважин'!C135)</f>
        <v>28999.51</v>
      </c>
      <c r="D133">
        <f>IF(ISBLANK('[1]Точность устьев скважин'!D135),#N/A,'[1]Точность устьев скважин'!D135)</f>
        <v>63.76</v>
      </c>
      <c r="G133">
        <f>IF(ISBLANK('[1]Точность устьев скважин'!H135),#N/A,'[1]Точность устьев скважин'!H135)</f>
        <v>154</v>
      </c>
      <c r="H133">
        <f>IF(ISBLANK('[1]Точность устьев скважин'!I135),#N/A,'[1]Точность устьев скважин'!I135)</f>
        <v>52089.26</v>
      </c>
      <c r="I133">
        <f>IF(ISBLANK('[1]Точность устьев скважин'!J135),#N/A,'[1]Точность устьев скважин'!J135)</f>
        <v>28999.85</v>
      </c>
      <c r="J133">
        <f>IF(ISBLANK('[1]Точность устьев скважин'!K135),#N/A,'[1]Точность устьев скважин'!K135)</f>
        <v>64.03</v>
      </c>
      <c r="L133" s="63">
        <f t="shared" si="21"/>
        <v>0.34234485537272036</v>
      </c>
      <c r="O133" t="e">
        <f t="shared" si="15"/>
        <v>#N/A</v>
      </c>
      <c r="P133" t="e">
        <f t="shared" si="15"/>
        <v>#N/A</v>
      </c>
      <c r="Q133" t="e">
        <f t="shared" si="16"/>
        <v>#N/A</v>
      </c>
      <c r="R133" t="e">
        <f t="shared" si="16"/>
        <v>#N/A</v>
      </c>
      <c r="S133" t="e">
        <f t="shared" si="17"/>
        <v>#N/A</v>
      </c>
      <c r="T133" t="e">
        <f t="shared" si="17"/>
        <v>#N/A</v>
      </c>
      <c r="U133">
        <f t="shared" si="18"/>
        <v>52089.26</v>
      </c>
      <c r="V133">
        <f t="shared" si="18"/>
        <v>28999.85</v>
      </c>
      <c r="W133" t="e">
        <f t="shared" si="19"/>
        <v>#N/A</v>
      </c>
      <c r="X133" t="e">
        <f t="shared" si="19"/>
        <v>#N/A</v>
      </c>
      <c r="Y133" t="e">
        <f t="shared" si="20"/>
        <v>#N/A</v>
      </c>
      <c r="Z133" t="e">
        <f t="shared" si="20"/>
        <v>#N/A</v>
      </c>
    </row>
    <row r="134" spans="1:26">
      <c r="A134">
        <f>IF(ISBLANK('[1]Точность устьев скважин'!A136),#N/A,'[1]Точность устьев скважин'!A136)</f>
        <v>155</v>
      </c>
      <c r="B134">
        <f>IF(ISBLANK('[1]Точность устьев скважин'!B136),#N/A,'[1]Точность устьев скважин'!B136)</f>
        <v>52130.42</v>
      </c>
      <c r="C134">
        <f>IF(ISBLANK('[1]Точность устьев скважин'!C136),#N/A,'[1]Точность устьев скважин'!C136)</f>
        <v>29024.07</v>
      </c>
      <c r="D134">
        <f>IF(ISBLANK('[1]Точность устьев скважин'!D136),#N/A,'[1]Точность устьев скважин'!D136)</f>
        <v>63.41</v>
      </c>
      <c r="G134">
        <f>IF(ISBLANK('[1]Точность устьев скважин'!H136),#N/A,'[1]Точность устьев скважин'!H136)</f>
        <v>155</v>
      </c>
      <c r="H134">
        <f>IF(ISBLANK('[1]Точность устьев скважин'!I136),#N/A,'[1]Точность устьев скважин'!I136)</f>
        <v>52130.48</v>
      </c>
      <c r="I134">
        <f>IF(ISBLANK('[1]Точность устьев скважин'!J136),#N/A,'[1]Точность устьев скважин'!J136)</f>
        <v>29024.28</v>
      </c>
      <c r="J134">
        <f>IF(ISBLANK('[1]Точность устьев скважин'!K136),#N/A,'[1]Точность устьев скважин'!K136)</f>
        <v>63.51</v>
      </c>
      <c r="L134" s="63">
        <f t="shared" si="21"/>
        <v>0.21840329667893527</v>
      </c>
      <c r="O134" t="e">
        <f t="shared" si="15"/>
        <v>#N/A</v>
      </c>
      <c r="P134" t="e">
        <f t="shared" si="15"/>
        <v>#N/A</v>
      </c>
      <c r="Q134" t="e">
        <f t="shared" si="16"/>
        <v>#N/A</v>
      </c>
      <c r="R134" t="e">
        <f t="shared" si="16"/>
        <v>#N/A</v>
      </c>
      <c r="S134">
        <f t="shared" si="17"/>
        <v>52130.48</v>
      </c>
      <c r="T134">
        <f t="shared" si="17"/>
        <v>29024.28</v>
      </c>
      <c r="U134" t="e">
        <f t="shared" si="18"/>
        <v>#N/A</v>
      </c>
      <c r="V134" t="e">
        <f t="shared" si="18"/>
        <v>#N/A</v>
      </c>
      <c r="W134" t="e">
        <f t="shared" si="19"/>
        <v>#N/A</v>
      </c>
      <c r="X134" t="e">
        <f t="shared" si="19"/>
        <v>#N/A</v>
      </c>
      <c r="Y134" t="e">
        <f t="shared" si="20"/>
        <v>#N/A</v>
      </c>
      <c r="Z134" t="e">
        <f t="shared" si="20"/>
        <v>#N/A</v>
      </c>
    </row>
    <row r="135" spans="1:26">
      <c r="A135">
        <f>IF(ISBLANK('[1]Точность устьев скважин'!A137),#N/A,'[1]Точность устьев скважин'!A137)</f>
        <v>156</v>
      </c>
      <c r="B135">
        <f>IF(ISBLANK('[1]Точность устьев скважин'!B137),#N/A,'[1]Точность устьев скважин'!B137)</f>
        <v>52125.53</v>
      </c>
      <c r="C135">
        <f>IF(ISBLANK('[1]Точность устьев скважин'!C137),#N/A,'[1]Точность устьев скважин'!C137)</f>
        <v>29021.81</v>
      </c>
      <c r="D135">
        <f>IF(ISBLANK('[1]Точность устьев скважин'!D137),#N/A,'[1]Точность устьев скважин'!D137)</f>
        <v>63.33</v>
      </c>
      <c r="G135">
        <f>IF(ISBLANK('[1]Точность устьев скважин'!H137),#N/A,'[1]Точность устьев скважин'!H137)</f>
        <v>156</v>
      </c>
      <c r="H135">
        <f>IF(ISBLANK('[1]Точность устьев скважин'!I137),#N/A,'[1]Точность устьев скважин'!I137)</f>
        <v>52125.24</v>
      </c>
      <c r="I135">
        <f>IF(ISBLANK('[1]Точность устьев скважин'!J137),#N/A,'[1]Точность устьев скважин'!J137)</f>
        <v>29021.99</v>
      </c>
      <c r="J135">
        <f>IF(ISBLANK('[1]Точность устьев скважин'!K137),#N/A,'[1]Точность устьев скважин'!K137)</f>
        <v>63.52</v>
      </c>
      <c r="L135" s="63">
        <f t="shared" si="21"/>
        <v>0.34132096331841555</v>
      </c>
      <c r="O135" t="e">
        <f t="shared" si="15"/>
        <v>#N/A</v>
      </c>
      <c r="P135" t="e">
        <f t="shared" si="15"/>
        <v>#N/A</v>
      </c>
      <c r="Q135" t="e">
        <f t="shared" si="16"/>
        <v>#N/A</v>
      </c>
      <c r="R135" t="e">
        <f t="shared" si="16"/>
        <v>#N/A</v>
      </c>
      <c r="S135" t="e">
        <f t="shared" si="17"/>
        <v>#N/A</v>
      </c>
      <c r="T135" t="e">
        <f t="shared" si="17"/>
        <v>#N/A</v>
      </c>
      <c r="U135">
        <f t="shared" si="18"/>
        <v>52125.24</v>
      </c>
      <c r="V135">
        <f t="shared" si="18"/>
        <v>29021.99</v>
      </c>
      <c r="W135" t="e">
        <f t="shared" si="19"/>
        <v>#N/A</v>
      </c>
      <c r="X135" t="e">
        <f t="shared" si="19"/>
        <v>#N/A</v>
      </c>
      <c r="Y135" t="e">
        <f t="shared" si="20"/>
        <v>#N/A</v>
      </c>
      <c r="Z135" t="e">
        <f t="shared" si="20"/>
        <v>#N/A</v>
      </c>
    </row>
    <row r="136" spans="1:26">
      <c r="A136">
        <f>IF(ISBLANK('[1]Точность устьев скважин'!A138),#N/A,'[1]Точность устьев скважин'!A138)</f>
        <v>157</v>
      </c>
      <c r="B136">
        <f>IF(ISBLANK('[1]Точность устьев скважин'!B138),#N/A,'[1]Точность устьев скважин'!B138)</f>
        <v>52119.6</v>
      </c>
      <c r="C136">
        <f>IF(ISBLANK('[1]Точность устьев скважин'!C138),#N/A,'[1]Точность устьев скважин'!C138)</f>
        <v>29019.17</v>
      </c>
      <c r="D136">
        <f>IF(ISBLANK('[1]Точность устьев скважин'!D138),#N/A,'[1]Точность устьев скважин'!D138)</f>
        <v>63.3</v>
      </c>
      <c r="G136">
        <f>IF(ISBLANK('[1]Точность устьев скважин'!H138),#N/A,'[1]Точность устьев скважин'!H138)</f>
        <v>157</v>
      </c>
      <c r="H136">
        <f>IF(ISBLANK('[1]Точность устьев скважин'!I138),#N/A,'[1]Точность устьев скважин'!I138)</f>
        <v>52119.18</v>
      </c>
      <c r="I136">
        <f>IF(ISBLANK('[1]Точность устьев скважин'!J138),#N/A,'[1]Точность устьев скважин'!J138)</f>
        <v>29018.98</v>
      </c>
      <c r="J136">
        <f>IF(ISBLANK('[1]Точность устьев скважин'!K138),#N/A,'[1]Точность устьев скважин'!K138)</f>
        <v>63.41</v>
      </c>
      <c r="L136" s="63">
        <f t="shared" si="21"/>
        <v>0.46097722286251352</v>
      </c>
      <c r="O136" t="e">
        <f t="shared" si="15"/>
        <v>#N/A</v>
      </c>
      <c r="P136" t="e">
        <f t="shared" si="15"/>
        <v>#N/A</v>
      </c>
      <c r="Q136" t="e">
        <f t="shared" si="16"/>
        <v>#N/A</v>
      </c>
      <c r="R136" t="e">
        <f t="shared" si="16"/>
        <v>#N/A</v>
      </c>
      <c r="S136" t="e">
        <f t="shared" si="17"/>
        <v>#N/A</v>
      </c>
      <c r="T136" t="e">
        <f t="shared" si="17"/>
        <v>#N/A</v>
      </c>
      <c r="U136" t="e">
        <f t="shared" si="18"/>
        <v>#N/A</v>
      </c>
      <c r="V136" t="e">
        <f t="shared" si="18"/>
        <v>#N/A</v>
      </c>
      <c r="W136">
        <f t="shared" si="19"/>
        <v>52119.18</v>
      </c>
      <c r="X136">
        <f t="shared" si="19"/>
        <v>29018.98</v>
      </c>
      <c r="Y136" t="e">
        <f t="shared" si="20"/>
        <v>#N/A</v>
      </c>
      <c r="Z136" t="e">
        <f t="shared" si="20"/>
        <v>#N/A</v>
      </c>
    </row>
    <row r="137" spans="1:26">
      <c r="A137">
        <f>IF(ISBLANK('[1]Точность устьев скважин'!A139),#N/A,'[1]Точность устьев скважин'!A139)</f>
        <v>158</v>
      </c>
      <c r="B137">
        <f>IF(ISBLANK('[1]Точность устьев скважин'!B139),#N/A,'[1]Точность устьев скважин'!B139)</f>
        <v>52113.66</v>
      </c>
      <c r="C137">
        <f>IF(ISBLANK('[1]Точность устьев скважин'!C139),#N/A,'[1]Точность устьев скважин'!C139)</f>
        <v>29016.52</v>
      </c>
      <c r="D137">
        <f>IF(ISBLANK('[1]Точность устьев скважин'!D139),#N/A,'[1]Точность устьев скважин'!D139)</f>
        <v>63.24</v>
      </c>
      <c r="G137">
        <f>IF(ISBLANK('[1]Точность устьев скважин'!H139),#N/A,'[1]Точность устьев скважин'!H139)</f>
        <v>158</v>
      </c>
      <c r="H137">
        <f>IF(ISBLANK('[1]Точность устьев скважин'!I139),#N/A,'[1]Точность устьев скважин'!I139)</f>
        <v>52113.440000000002</v>
      </c>
      <c r="I137">
        <f>IF(ISBLANK('[1]Точность устьев скважин'!J139),#N/A,'[1]Точность устьев скважин'!J139)</f>
        <v>29016.5</v>
      </c>
      <c r="J137">
        <f>IF(ISBLANK('[1]Точность устьев скважин'!K139),#N/A,'[1]Точность устьев скважин'!K139)</f>
        <v>63.45</v>
      </c>
      <c r="L137" s="63">
        <f t="shared" si="21"/>
        <v>0.22090722034494412</v>
      </c>
      <c r="O137" t="e">
        <f t="shared" si="15"/>
        <v>#N/A</v>
      </c>
      <c r="P137" t="e">
        <f t="shared" si="15"/>
        <v>#N/A</v>
      </c>
      <c r="Q137" t="e">
        <f t="shared" si="16"/>
        <v>#N/A</v>
      </c>
      <c r="R137" t="e">
        <f t="shared" si="16"/>
        <v>#N/A</v>
      </c>
      <c r="S137">
        <f t="shared" si="17"/>
        <v>52113.440000000002</v>
      </c>
      <c r="T137">
        <f t="shared" si="17"/>
        <v>29016.5</v>
      </c>
      <c r="U137" t="e">
        <f t="shared" si="18"/>
        <v>#N/A</v>
      </c>
      <c r="V137" t="e">
        <f t="shared" si="18"/>
        <v>#N/A</v>
      </c>
      <c r="W137" t="e">
        <f t="shared" si="19"/>
        <v>#N/A</v>
      </c>
      <c r="X137" t="e">
        <f t="shared" si="19"/>
        <v>#N/A</v>
      </c>
      <c r="Y137" t="e">
        <f t="shared" si="20"/>
        <v>#N/A</v>
      </c>
      <c r="Z137" t="e">
        <f t="shared" si="20"/>
        <v>#N/A</v>
      </c>
    </row>
    <row r="138" spans="1:26">
      <c r="A138">
        <f>IF(ISBLANK('[1]Точность устьев скважин'!A140),#N/A,'[1]Точность устьев скважин'!A140)</f>
        <v>159</v>
      </c>
      <c r="B138">
        <f>IF(ISBLANK('[1]Точность устьев скважин'!B140),#N/A,'[1]Точность устьев скважин'!B140)</f>
        <v>52107.72</v>
      </c>
      <c r="C138">
        <f>IF(ISBLANK('[1]Точность устьев скважин'!C140),#N/A,'[1]Точность устьев скважин'!C140)</f>
        <v>29013.88</v>
      </c>
      <c r="D138">
        <f>IF(ISBLANK('[1]Точность устьев скважин'!D140),#N/A,'[1]Точность устьев скважин'!D140)</f>
        <v>63.2</v>
      </c>
      <c r="G138">
        <f>IF(ISBLANK('[1]Точность устьев скважин'!H140),#N/A,'[1]Точность устьев скважин'!H140)</f>
        <v>159</v>
      </c>
      <c r="H138">
        <f>IF(ISBLANK('[1]Точность устьев скважин'!I140),#N/A,'[1]Точность устьев скважин'!I140)</f>
        <v>52108.11</v>
      </c>
      <c r="I138">
        <f>IF(ISBLANK('[1]Точность устьев скважин'!J140),#N/A,'[1]Точность устьев скважин'!J140)</f>
        <v>29013.85</v>
      </c>
      <c r="J138">
        <f>IF(ISBLANK('[1]Точность устьев скважин'!K140),#N/A,'[1]Точность устьев скважин'!K140)</f>
        <v>63.26</v>
      </c>
      <c r="L138" s="63">
        <f t="shared" si="21"/>
        <v>0.39115214431176831</v>
      </c>
      <c r="O138" t="e">
        <f t="shared" si="15"/>
        <v>#N/A</v>
      </c>
      <c r="P138" t="e">
        <f t="shared" si="15"/>
        <v>#N/A</v>
      </c>
      <c r="Q138" t="e">
        <f t="shared" si="16"/>
        <v>#N/A</v>
      </c>
      <c r="R138" t="e">
        <f t="shared" si="16"/>
        <v>#N/A</v>
      </c>
      <c r="S138" t="e">
        <f t="shared" si="17"/>
        <v>#N/A</v>
      </c>
      <c r="T138" t="e">
        <f t="shared" si="17"/>
        <v>#N/A</v>
      </c>
      <c r="U138">
        <f t="shared" si="18"/>
        <v>52108.11</v>
      </c>
      <c r="V138">
        <f t="shared" si="18"/>
        <v>29013.85</v>
      </c>
      <c r="W138" t="e">
        <f t="shared" si="19"/>
        <v>#N/A</v>
      </c>
      <c r="X138" t="e">
        <f t="shared" si="19"/>
        <v>#N/A</v>
      </c>
      <c r="Y138" t="e">
        <f t="shared" si="20"/>
        <v>#N/A</v>
      </c>
      <c r="Z138" t="e">
        <f t="shared" si="20"/>
        <v>#N/A</v>
      </c>
    </row>
    <row r="139" spans="1:26">
      <c r="A139">
        <f>IF(ISBLANK('[1]Точность устьев скважин'!A141),#N/A,'[1]Точность устьев скважин'!A141)</f>
        <v>160</v>
      </c>
      <c r="B139">
        <f>IF(ISBLANK('[1]Точность устьев скважин'!B141),#N/A,'[1]Точность устьев скважин'!B141)</f>
        <v>52101.78</v>
      </c>
      <c r="C139">
        <f>IF(ISBLANK('[1]Точность устьев скважин'!C141),#N/A,'[1]Точность устьев скважин'!C141)</f>
        <v>29011.24</v>
      </c>
      <c r="D139">
        <f>IF(ISBLANK('[1]Точность устьев скважин'!D141),#N/A,'[1]Точность устьев скважин'!D141)</f>
        <v>63.3</v>
      </c>
      <c r="G139">
        <f>IF(ISBLANK('[1]Точность устьев скважин'!H141),#N/A,'[1]Точность устьев скважин'!H141)</f>
        <v>160</v>
      </c>
      <c r="H139">
        <f>IF(ISBLANK('[1]Точность устьев скважин'!I141),#N/A,'[1]Точность устьев скважин'!I141)</f>
        <v>52101.88</v>
      </c>
      <c r="I139">
        <f>IF(ISBLANK('[1]Точность устьев скважин'!J141),#N/A,'[1]Точность устьев скважин'!J141)</f>
        <v>29011.5</v>
      </c>
      <c r="J139">
        <f>IF(ISBLANK('[1]Точность устьев скважин'!K141),#N/A,'[1]Точность устьев скважин'!K141)</f>
        <v>63.59</v>
      </c>
      <c r="L139" s="63">
        <f t="shared" si="21"/>
        <v>0.27856776554166601</v>
      </c>
      <c r="O139" t="e">
        <f t="shared" si="15"/>
        <v>#N/A</v>
      </c>
      <c r="P139" t="e">
        <f t="shared" si="15"/>
        <v>#N/A</v>
      </c>
      <c r="Q139" t="e">
        <f t="shared" si="16"/>
        <v>#N/A</v>
      </c>
      <c r="R139" t="e">
        <f t="shared" si="16"/>
        <v>#N/A</v>
      </c>
      <c r="S139">
        <f t="shared" si="17"/>
        <v>52101.88</v>
      </c>
      <c r="T139">
        <f t="shared" si="17"/>
        <v>29011.5</v>
      </c>
      <c r="U139" t="e">
        <f t="shared" si="18"/>
        <v>#N/A</v>
      </c>
      <c r="V139" t="e">
        <f t="shared" si="18"/>
        <v>#N/A</v>
      </c>
      <c r="W139" t="e">
        <f t="shared" si="19"/>
        <v>#N/A</v>
      </c>
      <c r="X139" t="e">
        <f t="shared" si="19"/>
        <v>#N/A</v>
      </c>
      <c r="Y139" t="e">
        <f t="shared" si="20"/>
        <v>#N/A</v>
      </c>
      <c r="Z139" t="e">
        <f t="shared" si="20"/>
        <v>#N/A</v>
      </c>
    </row>
    <row r="140" spans="1:26">
      <c r="A140">
        <f>IF(ISBLANK('[1]Точность устьев скважин'!A142),#N/A,'[1]Точность устьев скважин'!A142)</f>
        <v>161</v>
      </c>
      <c r="B140">
        <f>IF(ISBLANK('[1]Точность устьев скважин'!B142),#N/A,'[1]Точность устьев скважин'!B142)</f>
        <v>52095.839999999997</v>
      </c>
      <c r="C140">
        <f>IF(ISBLANK('[1]Точность устьев скважин'!C142),#N/A,'[1]Точность устьев скважин'!C142)</f>
        <v>29008.59</v>
      </c>
      <c r="D140">
        <f>IF(ISBLANK('[1]Точность устьев скважин'!D142),#N/A,'[1]Точность устьев скважин'!D142)</f>
        <v>63.52</v>
      </c>
      <c r="G140">
        <f>IF(ISBLANK('[1]Точность устьев скважин'!H142),#N/A,'[1]Точность устьев скважин'!H142)</f>
        <v>161</v>
      </c>
      <c r="H140">
        <f>IF(ISBLANK('[1]Точность устьев скважин'!I142),#N/A,'[1]Точность устьев скважин'!I142)</f>
        <v>52096.26</v>
      </c>
      <c r="I140">
        <f>IF(ISBLANK('[1]Точность устьев скважин'!J142),#N/A,'[1]Точность устьев скважин'!J142)</f>
        <v>29008.78</v>
      </c>
      <c r="J140">
        <f>IF(ISBLANK('[1]Точность устьев скважин'!K142),#N/A,'[1]Точность устьев скважин'!K142)</f>
        <v>63.59</v>
      </c>
      <c r="L140" s="63">
        <f t="shared" si="21"/>
        <v>0.46097722286914278</v>
      </c>
      <c r="O140" t="e">
        <f t="shared" si="15"/>
        <v>#N/A</v>
      </c>
      <c r="P140" t="e">
        <f t="shared" si="15"/>
        <v>#N/A</v>
      </c>
      <c r="Q140" t="e">
        <f t="shared" si="16"/>
        <v>#N/A</v>
      </c>
      <c r="R140" t="e">
        <f t="shared" si="16"/>
        <v>#N/A</v>
      </c>
      <c r="S140" t="e">
        <f t="shared" si="17"/>
        <v>#N/A</v>
      </c>
      <c r="T140" t="e">
        <f t="shared" si="17"/>
        <v>#N/A</v>
      </c>
      <c r="U140" t="e">
        <f t="shared" si="18"/>
        <v>#N/A</v>
      </c>
      <c r="V140" t="e">
        <f t="shared" si="18"/>
        <v>#N/A</v>
      </c>
      <c r="W140">
        <f t="shared" si="19"/>
        <v>52096.26</v>
      </c>
      <c r="X140">
        <f t="shared" si="19"/>
        <v>29008.78</v>
      </c>
      <c r="Y140" t="e">
        <f t="shared" si="20"/>
        <v>#N/A</v>
      </c>
      <c r="Z140" t="e">
        <f t="shared" si="20"/>
        <v>#N/A</v>
      </c>
    </row>
    <row r="141" spans="1:26">
      <c r="A141">
        <f>IF(ISBLANK('[1]Точность устьев скважин'!A143),#N/A,'[1]Точность устьев скважин'!A143)</f>
        <v>162</v>
      </c>
      <c r="B141">
        <f>IF(ISBLANK('[1]Точность устьев скважин'!B143),#N/A,'[1]Точность устьев скважин'!B143)</f>
        <v>52089.91</v>
      </c>
      <c r="C141">
        <f>IF(ISBLANK('[1]Точность устьев скважин'!C143),#N/A,'[1]Точность устьев скважин'!C143)</f>
        <v>29005.95</v>
      </c>
      <c r="D141">
        <f>IF(ISBLANK('[1]Точность устьев скважин'!D143),#N/A,'[1]Точность устьев скважин'!D143)</f>
        <v>63.59</v>
      </c>
      <c r="G141">
        <f>IF(ISBLANK('[1]Точность устьев скважин'!H143),#N/A,'[1]Точность устьев скважин'!H143)</f>
        <v>162</v>
      </c>
      <c r="H141">
        <f>IF(ISBLANK('[1]Точность устьев скважин'!I143),#N/A,'[1]Точность устьев скважин'!I143)</f>
        <v>52089.94</v>
      </c>
      <c r="I141">
        <f>IF(ISBLANK('[1]Точность устьев скважин'!J143),#N/A,'[1]Точность устьев скважин'!J143)</f>
        <v>29006.02</v>
      </c>
      <c r="J141">
        <f>IF(ISBLANK('[1]Точность устьев скважин'!K143),#N/A,'[1]Точность устьев скважин'!K143)</f>
        <v>63.77</v>
      </c>
      <c r="L141" s="63">
        <f t="shared" si="21"/>
        <v>7.6157731057913E-2</v>
      </c>
      <c r="O141">
        <f t="shared" si="15"/>
        <v>52089.94</v>
      </c>
      <c r="P141">
        <f t="shared" si="15"/>
        <v>29006.02</v>
      </c>
      <c r="Q141" t="e">
        <f t="shared" si="16"/>
        <v>#N/A</v>
      </c>
      <c r="R141" t="e">
        <f t="shared" si="16"/>
        <v>#N/A</v>
      </c>
      <c r="S141" t="e">
        <f t="shared" si="17"/>
        <v>#N/A</v>
      </c>
      <c r="T141" t="e">
        <f t="shared" si="17"/>
        <v>#N/A</v>
      </c>
      <c r="U141" t="e">
        <f t="shared" si="18"/>
        <v>#N/A</v>
      </c>
      <c r="V141" t="e">
        <f t="shared" si="18"/>
        <v>#N/A</v>
      </c>
      <c r="W141" t="e">
        <f t="shared" si="19"/>
        <v>#N/A</v>
      </c>
      <c r="X141" t="e">
        <f t="shared" si="19"/>
        <v>#N/A</v>
      </c>
      <c r="Y141" t="e">
        <f t="shared" si="20"/>
        <v>#N/A</v>
      </c>
      <c r="Z141" t="e">
        <f t="shared" si="20"/>
        <v>#N/A</v>
      </c>
    </row>
    <row r="142" spans="1:26">
      <c r="A142">
        <f>IF(ISBLANK('[1]Точность устьев скважин'!A144),#N/A,'[1]Точность устьев скважин'!A144)</f>
        <v>163</v>
      </c>
      <c r="B142">
        <f>IF(ISBLANK('[1]Точность устьев скважин'!B144),#N/A,'[1]Точность устьев скважин'!B144)</f>
        <v>52085.11</v>
      </c>
      <c r="C142">
        <f>IF(ISBLANK('[1]Точность устьев скважин'!C144),#N/A,'[1]Точность устьев скважин'!C144)</f>
        <v>29003.78</v>
      </c>
      <c r="D142">
        <f>IF(ISBLANK('[1]Точность устьев скважин'!D144),#N/A,'[1]Точность устьев скважин'!D144)</f>
        <v>63.65</v>
      </c>
      <c r="G142">
        <f>IF(ISBLANK('[1]Точность устьев скважин'!H144),#N/A,'[1]Точность устьев скважин'!H144)</f>
        <v>163</v>
      </c>
      <c r="H142">
        <f>IF(ISBLANK('[1]Точность устьев скважин'!I144),#N/A,'[1]Точность устьев скважин'!I144)</f>
        <v>52084.99</v>
      </c>
      <c r="I142">
        <f>IF(ISBLANK('[1]Точность устьев скважин'!J144),#N/A,'[1]Точность устьев скважин'!J144)</f>
        <v>29003.94</v>
      </c>
      <c r="J142">
        <f>IF(ISBLANK('[1]Точность устьев скважин'!K144),#N/A,'[1]Точность устьев скважин'!K144)</f>
        <v>63.85</v>
      </c>
      <c r="L142" s="63">
        <f t="shared" si="21"/>
        <v>0.20000000000145518</v>
      </c>
      <c r="O142" t="e">
        <f t="shared" si="15"/>
        <v>#N/A</v>
      </c>
      <c r="P142" t="e">
        <f t="shared" si="15"/>
        <v>#N/A</v>
      </c>
      <c r="Q142" t="e">
        <f t="shared" si="16"/>
        <v>#N/A</v>
      </c>
      <c r="R142" t="e">
        <f t="shared" si="16"/>
        <v>#N/A</v>
      </c>
      <c r="S142">
        <f t="shared" si="17"/>
        <v>52084.99</v>
      </c>
      <c r="T142">
        <f t="shared" si="17"/>
        <v>29003.94</v>
      </c>
      <c r="U142" t="e">
        <f t="shared" si="18"/>
        <v>#N/A</v>
      </c>
      <c r="V142" t="e">
        <f t="shared" si="18"/>
        <v>#N/A</v>
      </c>
      <c r="W142" t="e">
        <f t="shared" si="19"/>
        <v>#N/A</v>
      </c>
      <c r="X142" t="e">
        <f t="shared" si="19"/>
        <v>#N/A</v>
      </c>
      <c r="Y142" t="e">
        <f t="shared" si="20"/>
        <v>#N/A</v>
      </c>
      <c r="Z142" t="e">
        <f t="shared" si="20"/>
        <v>#N/A</v>
      </c>
    </row>
    <row r="143" spans="1:26">
      <c r="A143">
        <f>IF(ISBLANK('[1]Точность устьев скважин'!A145),#N/A,'[1]Точность устьев скважин'!A145)</f>
        <v>165</v>
      </c>
      <c r="B143">
        <f>IF(ISBLANK('[1]Точность устьев скважин'!B145),#N/A,'[1]Точность устьев скважин'!B145)</f>
        <v>52137.3</v>
      </c>
      <c r="C143">
        <f>IF(ISBLANK('[1]Точность устьев скважин'!C145),#N/A,'[1]Точность устьев скважин'!C145)</f>
        <v>29033.200000000001</v>
      </c>
      <c r="D143">
        <f>IF(ISBLANK('[1]Точность устьев скважин'!D145),#N/A,'[1]Точность устьев скважин'!D145)</f>
        <v>63.53</v>
      </c>
      <c r="G143">
        <f>IF(ISBLANK('[1]Точность устьев скважин'!H145),#N/A,'[1]Точность устьев скважин'!H145)</f>
        <v>165</v>
      </c>
      <c r="H143">
        <f>IF(ISBLANK('[1]Точность устьев скважин'!I145),#N/A,'[1]Точность устьев скважин'!I145)</f>
        <v>52137.440000000002</v>
      </c>
      <c r="I143">
        <f>IF(ISBLANK('[1]Точность устьев скважин'!J145),#N/A,'[1]Точность устьев скважин'!J145)</f>
        <v>29033.07</v>
      </c>
      <c r="J143">
        <f>IF(ISBLANK('[1]Точность устьев скважин'!K145),#N/A,'[1]Точность устьев скважин'!K145)</f>
        <v>63.76</v>
      </c>
      <c r="L143" s="63">
        <f t="shared" si="21"/>
        <v>0.19104973174569459</v>
      </c>
      <c r="O143" t="e">
        <f t="shared" si="15"/>
        <v>#N/A</v>
      </c>
      <c r="P143" t="e">
        <f t="shared" si="15"/>
        <v>#N/A</v>
      </c>
      <c r="Q143">
        <f t="shared" si="16"/>
        <v>52137.440000000002</v>
      </c>
      <c r="R143">
        <f t="shared" si="16"/>
        <v>29033.07</v>
      </c>
      <c r="S143" t="e">
        <f t="shared" si="17"/>
        <v>#N/A</v>
      </c>
      <c r="T143" t="e">
        <f t="shared" si="17"/>
        <v>#N/A</v>
      </c>
      <c r="U143" t="e">
        <f t="shared" si="18"/>
        <v>#N/A</v>
      </c>
      <c r="V143" t="e">
        <f t="shared" si="18"/>
        <v>#N/A</v>
      </c>
      <c r="W143" t="e">
        <f t="shared" si="19"/>
        <v>#N/A</v>
      </c>
      <c r="X143" t="e">
        <f t="shared" si="19"/>
        <v>#N/A</v>
      </c>
      <c r="Y143" t="e">
        <f t="shared" si="20"/>
        <v>#N/A</v>
      </c>
      <c r="Z143" t="e">
        <f t="shared" si="20"/>
        <v>#N/A</v>
      </c>
    </row>
    <row r="144" spans="1:26">
      <c r="A144">
        <f>IF(ISBLANK('[1]Точность устьев скважин'!A146),#N/A,'[1]Точность устьев скважин'!A146)</f>
        <v>166</v>
      </c>
      <c r="B144">
        <f>IF(ISBLANK('[1]Точность устьев скважин'!B146),#N/A,'[1]Точность устьев скважин'!B146)</f>
        <v>52132.160000000003</v>
      </c>
      <c r="C144">
        <f>IF(ISBLANK('[1]Точность устьев скважин'!C146),#N/A,'[1]Точность устьев скважин'!C146)</f>
        <v>29030.89</v>
      </c>
      <c r="D144">
        <f>IF(ISBLANK('[1]Точность устьев скважин'!D146),#N/A,'[1]Точность устьев скважин'!D146)</f>
        <v>63.41</v>
      </c>
      <c r="G144">
        <f>IF(ISBLANK('[1]Точность устьев скважин'!H146),#N/A,'[1]Точность устьев скважин'!H146)</f>
        <v>166</v>
      </c>
      <c r="H144">
        <f>IF(ISBLANK('[1]Точность устьев скважин'!I146),#N/A,'[1]Точность устьев скважин'!I146)</f>
        <v>52131.86</v>
      </c>
      <c r="I144">
        <f>IF(ISBLANK('[1]Точность устьев скважин'!J146),#N/A,'[1]Точность устьев скважин'!J146)</f>
        <v>29030.83</v>
      </c>
      <c r="J144">
        <f>IF(ISBLANK('[1]Точность устьев скважин'!K146),#N/A,'[1]Точность устьев скважин'!K146)</f>
        <v>63.76</v>
      </c>
      <c r="L144" s="63">
        <f t="shared" si="21"/>
        <v>0.30594117081796435</v>
      </c>
      <c r="O144" t="e">
        <f t="shared" si="15"/>
        <v>#N/A</v>
      </c>
      <c r="P144" t="e">
        <f t="shared" si="15"/>
        <v>#N/A</v>
      </c>
      <c r="Q144" t="e">
        <f t="shared" si="16"/>
        <v>#N/A</v>
      </c>
      <c r="R144" t="e">
        <f t="shared" si="16"/>
        <v>#N/A</v>
      </c>
      <c r="S144" t="e">
        <f t="shared" si="17"/>
        <v>#N/A</v>
      </c>
      <c r="T144" t="e">
        <f t="shared" si="17"/>
        <v>#N/A</v>
      </c>
      <c r="U144">
        <f t="shared" si="18"/>
        <v>52131.86</v>
      </c>
      <c r="V144">
        <f t="shared" si="18"/>
        <v>29030.83</v>
      </c>
      <c r="W144" t="e">
        <f t="shared" si="19"/>
        <v>#N/A</v>
      </c>
      <c r="X144" t="e">
        <f t="shared" si="19"/>
        <v>#N/A</v>
      </c>
      <c r="Y144" t="e">
        <f t="shared" si="20"/>
        <v>#N/A</v>
      </c>
      <c r="Z144" t="e">
        <f t="shared" si="20"/>
        <v>#N/A</v>
      </c>
    </row>
    <row r="145" spans="1:26">
      <c r="A145">
        <f>IF(ISBLANK('[1]Точность устьев скважин'!A147),#N/A,'[1]Точность устьев скважин'!A147)</f>
        <v>167</v>
      </c>
      <c r="B145">
        <f>IF(ISBLANK('[1]Точность устьев скважин'!B147),#N/A,'[1]Точность устьев скважин'!B147)</f>
        <v>52126.23</v>
      </c>
      <c r="C145">
        <f>IF(ISBLANK('[1]Точность устьев скважин'!C147),#N/A,'[1]Точность устьев скважин'!C147)</f>
        <v>29028.25</v>
      </c>
      <c r="D145">
        <f>IF(ISBLANK('[1]Точность устьев скважин'!D147),#N/A,'[1]Точность устьев скважин'!D147)</f>
        <v>63.35</v>
      </c>
      <c r="G145">
        <f>IF(ISBLANK('[1]Точность устьев скважин'!H147),#N/A,'[1]Точность устьев скважин'!H147)</f>
        <v>167</v>
      </c>
      <c r="H145">
        <f>IF(ISBLANK('[1]Точность устьев скважин'!I147),#N/A,'[1]Точность устьев скважин'!I147)</f>
        <v>52125.96</v>
      </c>
      <c r="I145">
        <f>IF(ISBLANK('[1]Точность устьев скважин'!J147),#N/A,'[1]Точность устьев скважин'!J147)</f>
        <v>29028.06</v>
      </c>
      <c r="J145">
        <f>IF(ISBLANK('[1]Точность устьев скважин'!K147),#N/A,'[1]Точность устьев скважин'!K147)</f>
        <v>63.52</v>
      </c>
      <c r="L145" s="63">
        <f t="shared" si="21"/>
        <v>0.33015148038696202</v>
      </c>
      <c r="O145" t="e">
        <f t="shared" si="15"/>
        <v>#N/A</v>
      </c>
      <c r="P145" t="e">
        <f t="shared" si="15"/>
        <v>#N/A</v>
      </c>
      <c r="Q145" t="e">
        <f t="shared" si="16"/>
        <v>#N/A</v>
      </c>
      <c r="R145" t="e">
        <f t="shared" si="16"/>
        <v>#N/A</v>
      </c>
      <c r="S145" t="e">
        <f t="shared" si="17"/>
        <v>#N/A</v>
      </c>
      <c r="T145" t="e">
        <f t="shared" si="17"/>
        <v>#N/A</v>
      </c>
      <c r="U145">
        <f t="shared" si="18"/>
        <v>52125.96</v>
      </c>
      <c r="V145">
        <f t="shared" si="18"/>
        <v>29028.06</v>
      </c>
      <c r="W145" t="e">
        <f t="shared" si="19"/>
        <v>#N/A</v>
      </c>
      <c r="X145" t="e">
        <f t="shared" si="19"/>
        <v>#N/A</v>
      </c>
      <c r="Y145" t="e">
        <f t="shared" si="20"/>
        <v>#N/A</v>
      </c>
      <c r="Z145" t="e">
        <f t="shared" si="20"/>
        <v>#N/A</v>
      </c>
    </row>
    <row r="146" spans="1:26">
      <c r="A146">
        <f>IF(ISBLANK('[1]Точность устьев скважин'!A148),#N/A,'[1]Точность устьев скважин'!A148)</f>
        <v>168</v>
      </c>
      <c r="B146">
        <f>IF(ISBLANK('[1]Точность устьев скважин'!B148),#N/A,'[1]Точность устьев скважин'!B148)</f>
        <v>52120.29</v>
      </c>
      <c r="C146">
        <f>IF(ISBLANK('[1]Точность устьев скважин'!C148),#N/A,'[1]Точность устьев скважин'!C148)</f>
        <v>29025.61</v>
      </c>
      <c r="D146">
        <f>IF(ISBLANK('[1]Точность устьев скважин'!D148),#N/A,'[1]Точность устьев скважин'!D148)</f>
        <v>63.34</v>
      </c>
      <c r="G146">
        <f>IF(ISBLANK('[1]Точность устьев скважин'!H148),#N/A,'[1]Точность устьев скважин'!H148)</f>
        <v>168</v>
      </c>
      <c r="H146">
        <f>IF(ISBLANK('[1]Точность устьев скважин'!I148),#N/A,'[1]Точность устьев скважин'!I148)</f>
        <v>52120.09</v>
      </c>
      <c r="I146">
        <f>IF(ISBLANK('[1]Точность устьев скважин'!J148),#N/A,'[1]Точность устьев скважин'!J148)</f>
        <v>29025.4</v>
      </c>
      <c r="J146">
        <f>IF(ISBLANK('[1]Точность устьев скважин'!K148),#N/A,'[1]Точность устьев скважин'!K148)</f>
        <v>63.55</v>
      </c>
      <c r="L146" s="63">
        <f t="shared" si="21"/>
        <v>0.29000000000237847</v>
      </c>
      <c r="O146" t="e">
        <f t="shared" si="15"/>
        <v>#N/A</v>
      </c>
      <c r="P146" t="e">
        <f t="shared" si="15"/>
        <v>#N/A</v>
      </c>
      <c r="Q146" t="e">
        <f t="shared" si="16"/>
        <v>#N/A</v>
      </c>
      <c r="R146" t="e">
        <f t="shared" si="16"/>
        <v>#N/A</v>
      </c>
      <c r="S146">
        <f t="shared" si="17"/>
        <v>52120.09</v>
      </c>
      <c r="T146">
        <f t="shared" si="17"/>
        <v>29025.4</v>
      </c>
      <c r="U146" t="e">
        <f t="shared" si="18"/>
        <v>#N/A</v>
      </c>
      <c r="V146" t="e">
        <f t="shared" si="18"/>
        <v>#N/A</v>
      </c>
      <c r="W146" t="e">
        <f t="shared" si="19"/>
        <v>#N/A</v>
      </c>
      <c r="X146" t="e">
        <f t="shared" si="19"/>
        <v>#N/A</v>
      </c>
      <c r="Y146" t="e">
        <f t="shared" si="20"/>
        <v>#N/A</v>
      </c>
      <c r="Z146" t="e">
        <f t="shared" si="20"/>
        <v>#N/A</v>
      </c>
    </row>
    <row r="147" spans="1:26">
      <c r="A147">
        <f>IF(ISBLANK('[1]Точность устьев скважин'!A149),#N/A,'[1]Точность устьев скважин'!A149)</f>
        <v>169</v>
      </c>
      <c r="B147">
        <f>IF(ISBLANK('[1]Точность устьев скважин'!B149),#N/A,'[1]Точность устьев скважин'!B149)</f>
        <v>52114.35</v>
      </c>
      <c r="C147">
        <f>IF(ISBLANK('[1]Точность устьев скважин'!C149),#N/A,'[1]Точность устьев скважин'!C149)</f>
        <v>29022.959999999999</v>
      </c>
      <c r="D147">
        <f>IF(ISBLANK('[1]Точность устьев скважин'!D149),#N/A,'[1]Точность устьев скважин'!D149)</f>
        <v>63.26</v>
      </c>
      <c r="G147">
        <f>IF(ISBLANK('[1]Точность устьев скважин'!H149),#N/A,'[1]Точность устьев скважин'!H149)</f>
        <v>169</v>
      </c>
      <c r="H147">
        <f>IF(ISBLANK('[1]Точность устьев скважин'!I149),#N/A,'[1]Точность устьев скважин'!I149)</f>
        <v>52114.17</v>
      </c>
      <c r="I147">
        <f>IF(ISBLANK('[1]Точность устьев скважин'!J149),#N/A,'[1]Точность устьев скважин'!J149)</f>
        <v>29022.74</v>
      </c>
      <c r="J147">
        <f>IF(ISBLANK('[1]Точность устьев скважин'!K149),#N/A,'[1]Точность устьев скважин'!K149)</f>
        <v>63.39</v>
      </c>
      <c r="L147" s="63">
        <f t="shared" si="21"/>
        <v>0.2842534080693076</v>
      </c>
      <c r="O147" t="e">
        <f t="shared" si="15"/>
        <v>#N/A</v>
      </c>
      <c r="P147" t="e">
        <f t="shared" si="15"/>
        <v>#N/A</v>
      </c>
      <c r="Q147" t="e">
        <f t="shared" si="16"/>
        <v>#N/A</v>
      </c>
      <c r="R147" t="e">
        <f t="shared" si="16"/>
        <v>#N/A</v>
      </c>
      <c r="S147">
        <f t="shared" si="17"/>
        <v>52114.17</v>
      </c>
      <c r="T147">
        <f t="shared" si="17"/>
        <v>29022.74</v>
      </c>
      <c r="U147" t="e">
        <f t="shared" si="18"/>
        <v>#N/A</v>
      </c>
      <c r="V147" t="e">
        <f t="shared" si="18"/>
        <v>#N/A</v>
      </c>
      <c r="W147" t="e">
        <f t="shared" si="19"/>
        <v>#N/A</v>
      </c>
      <c r="X147" t="e">
        <f t="shared" si="19"/>
        <v>#N/A</v>
      </c>
      <c r="Y147" t="e">
        <f t="shared" si="20"/>
        <v>#N/A</v>
      </c>
      <c r="Z147" t="e">
        <f t="shared" si="20"/>
        <v>#N/A</v>
      </c>
    </row>
    <row r="148" spans="1:26">
      <c r="A148">
        <f>IF(ISBLANK('[1]Точность устьев скважин'!A150),#N/A,'[1]Точность устьев скважин'!A150)</f>
        <v>170</v>
      </c>
      <c r="B148">
        <f>IF(ISBLANK('[1]Точность устьев скважин'!B150),#N/A,'[1]Точность устьев скважин'!B150)</f>
        <v>52108.41</v>
      </c>
      <c r="C148">
        <f>IF(ISBLANK('[1]Точность устьев скважин'!C150),#N/A,'[1]Точность устьев скважин'!C150)</f>
        <v>29020.32</v>
      </c>
      <c r="D148">
        <f>IF(ISBLANK('[1]Точность устьев скважин'!D150),#N/A,'[1]Точность устьев скважин'!D150)</f>
        <v>63.17</v>
      </c>
      <c r="G148">
        <f>IF(ISBLANK('[1]Точность устьев скважин'!H150),#N/A,'[1]Точность устьев скважин'!H150)</f>
        <v>170</v>
      </c>
      <c r="H148">
        <f>IF(ISBLANK('[1]Точность устьев скважин'!I150),#N/A,'[1]Точность устьев скважин'!I150)</f>
        <v>52107.99</v>
      </c>
      <c r="I148">
        <f>IF(ISBLANK('[1]Точность устьев скважин'!J150),#N/A,'[1]Точность устьев скважин'!J150)</f>
        <v>29020.240000000002</v>
      </c>
      <c r="J148">
        <f>IF(ISBLANK('[1]Точность устьев скважин'!K150),#N/A,'[1]Точность устьев скважин'!K150)</f>
        <v>63.39</v>
      </c>
      <c r="L148" s="63">
        <f t="shared" si="21"/>
        <v>0.42755116653371711</v>
      </c>
      <c r="O148" t="e">
        <f t="shared" si="15"/>
        <v>#N/A</v>
      </c>
      <c r="P148" t="e">
        <f t="shared" si="15"/>
        <v>#N/A</v>
      </c>
      <c r="Q148" t="e">
        <f t="shared" si="16"/>
        <v>#N/A</v>
      </c>
      <c r="R148" t="e">
        <f t="shared" si="16"/>
        <v>#N/A</v>
      </c>
      <c r="S148" t="e">
        <f t="shared" si="17"/>
        <v>#N/A</v>
      </c>
      <c r="T148" t="e">
        <f t="shared" si="17"/>
        <v>#N/A</v>
      </c>
      <c r="U148" t="e">
        <f t="shared" si="18"/>
        <v>#N/A</v>
      </c>
      <c r="V148" t="e">
        <f t="shared" si="18"/>
        <v>#N/A</v>
      </c>
      <c r="W148">
        <f t="shared" si="19"/>
        <v>52107.99</v>
      </c>
      <c r="X148">
        <f t="shared" si="19"/>
        <v>29020.240000000002</v>
      </c>
      <c r="Y148" t="e">
        <f t="shared" si="20"/>
        <v>#N/A</v>
      </c>
      <c r="Z148" t="e">
        <f t="shared" si="20"/>
        <v>#N/A</v>
      </c>
    </row>
    <row r="149" spans="1:26">
      <c r="A149">
        <f>IF(ISBLANK('[1]Точность устьев скважин'!A151),#N/A,'[1]Точность устьев скважин'!A151)</f>
        <v>171</v>
      </c>
      <c r="B149">
        <f>IF(ISBLANK('[1]Точность устьев скважин'!B151),#N/A,'[1]Точность устьев скважин'!B151)</f>
        <v>52102.47</v>
      </c>
      <c r="C149">
        <f>IF(ISBLANK('[1]Точность устьев скважин'!C151),#N/A,'[1]Точность устьев скважин'!C151)</f>
        <v>29017.67</v>
      </c>
      <c r="D149">
        <f>IF(ISBLANK('[1]Точность устьев скважин'!D151),#N/A,'[1]Точность устьев скважин'!D151)</f>
        <v>63.21</v>
      </c>
      <c r="G149">
        <f>IF(ISBLANK('[1]Точность устьев скважин'!H151),#N/A,'[1]Точность устьев скважин'!H151)</f>
        <v>171</v>
      </c>
      <c r="H149">
        <f>IF(ISBLANK('[1]Точность устьев скважин'!I151),#N/A,'[1]Точность устьев скважин'!I151)</f>
        <v>52102.01</v>
      </c>
      <c r="I149">
        <f>IF(ISBLANK('[1]Точность устьев скважин'!J151),#N/A,'[1]Точность устьев скважин'!J151)</f>
        <v>29017.72</v>
      </c>
      <c r="J149">
        <f>IF(ISBLANK('[1]Точность устьев скважин'!K151),#N/A,'[1]Точность устьев скважин'!K151)</f>
        <v>63.51</v>
      </c>
      <c r="L149" s="63">
        <f t="shared" si="21"/>
        <v>0.46270941204981747</v>
      </c>
      <c r="O149" t="e">
        <f t="shared" si="15"/>
        <v>#N/A</v>
      </c>
      <c r="P149" t="e">
        <f t="shared" si="15"/>
        <v>#N/A</v>
      </c>
      <c r="Q149" t="e">
        <f t="shared" si="16"/>
        <v>#N/A</v>
      </c>
      <c r="R149" t="e">
        <f t="shared" si="16"/>
        <v>#N/A</v>
      </c>
      <c r="S149" t="e">
        <f t="shared" si="17"/>
        <v>#N/A</v>
      </c>
      <c r="T149" t="e">
        <f t="shared" si="17"/>
        <v>#N/A</v>
      </c>
      <c r="U149" t="e">
        <f t="shared" si="18"/>
        <v>#N/A</v>
      </c>
      <c r="V149" t="e">
        <f t="shared" si="18"/>
        <v>#N/A</v>
      </c>
      <c r="W149">
        <f t="shared" si="19"/>
        <v>52102.01</v>
      </c>
      <c r="X149">
        <f t="shared" si="19"/>
        <v>29017.72</v>
      </c>
      <c r="Y149" t="e">
        <f t="shared" si="20"/>
        <v>#N/A</v>
      </c>
      <c r="Z149" t="e">
        <f t="shared" si="20"/>
        <v>#N/A</v>
      </c>
    </row>
    <row r="150" spans="1:26">
      <c r="A150">
        <f>IF(ISBLANK('[1]Точность устьев скважин'!A152),#N/A,'[1]Точность устьев скважин'!A152)</f>
        <v>172</v>
      </c>
      <c r="B150">
        <f>IF(ISBLANK('[1]Точность устьев скважин'!B152),#N/A,'[1]Точность устьев скважин'!B152)</f>
        <v>52096.54</v>
      </c>
      <c r="C150">
        <f>IF(ISBLANK('[1]Точность устьев скважин'!C152),#N/A,'[1]Точность устьев скважин'!C152)</f>
        <v>29015.03</v>
      </c>
      <c r="D150">
        <f>IF(ISBLANK('[1]Точность устьев скважин'!D152),#N/A,'[1]Точность устьев скважин'!D152)</f>
        <v>63.33</v>
      </c>
      <c r="G150">
        <f>IF(ISBLANK('[1]Точность устьев скважин'!H152),#N/A,'[1]Точность устьев скважин'!H152)</f>
        <v>172</v>
      </c>
      <c r="H150">
        <f>IF(ISBLANK('[1]Точность устьев скважин'!I152),#N/A,'[1]Точность устьев скважин'!I152)</f>
        <v>52096.62</v>
      </c>
      <c r="I150">
        <f>IF(ISBLANK('[1]Точность устьев скважин'!J152),#N/A,'[1]Точность устьев скважин'!J152)</f>
        <v>29015.37</v>
      </c>
      <c r="J150">
        <f>IF(ISBLANK('[1]Точность устьев скважин'!K152),#N/A,'[1]Точность устьев скважин'!K152)</f>
        <v>63.44</v>
      </c>
      <c r="L150" s="63">
        <f t="shared" si="21"/>
        <v>0.34928498393200119</v>
      </c>
      <c r="O150" t="e">
        <f t="shared" si="15"/>
        <v>#N/A</v>
      </c>
      <c r="P150" t="e">
        <f t="shared" si="15"/>
        <v>#N/A</v>
      </c>
      <c r="Q150" t="e">
        <f t="shared" si="16"/>
        <v>#N/A</v>
      </c>
      <c r="R150" t="e">
        <f t="shared" si="16"/>
        <v>#N/A</v>
      </c>
      <c r="S150" t="e">
        <f t="shared" si="17"/>
        <v>#N/A</v>
      </c>
      <c r="T150" t="e">
        <f t="shared" si="17"/>
        <v>#N/A</v>
      </c>
      <c r="U150">
        <f t="shared" si="18"/>
        <v>52096.62</v>
      </c>
      <c r="V150">
        <f t="shared" si="18"/>
        <v>29015.37</v>
      </c>
      <c r="W150" t="e">
        <f t="shared" si="19"/>
        <v>#N/A</v>
      </c>
      <c r="X150" t="e">
        <f t="shared" si="19"/>
        <v>#N/A</v>
      </c>
      <c r="Y150" t="e">
        <f t="shared" si="20"/>
        <v>#N/A</v>
      </c>
      <c r="Z150" t="e">
        <f t="shared" si="20"/>
        <v>#N/A</v>
      </c>
    </row>
    <row r="151" spans="1:26">
      <c r="A151">
        <f>IF(ISBLANK('[1]Точность устьев скважин'!A153),#N/A,'[1]Точность устьев скважин'!A153)</f>
        <v>173</v>
      </c>
      <c r="B151">
        <f>IF(ISBLANK('[1]Точность устьев скважин'!B153),#N/A,'[1]Точность устьев скважин'!B153)</f>
        <v>52090.6</v>
      </c>
      <c r="C151">
        <f>IF(ISBLANK('[1]Точность устьев скважин'!C153),#N/A,'[1]Точность устьев скважин'!C153)</f>
        <v>29012.39</v>
      </c>
      <c r="D151">
        <f>IF(ISBLANK('[1]Точность устьев скважин'!D153),#N/A,'[1]Точность устьев скважин'!D153)</f>
        <v>63.4</v>
      </c>
      <c r="G151">
        <f>IF(ISBLANK('[1]Точность устьев скважин'!H153),#N/A,'[1]Точность устьев скважин'!H153)</f>
        <v>173</v>
      </c>
      <c r="H151">
        <f>IF(ISBLANK('[1]Точность устьев скважин'!I153),#N/A,'[1]Точность устьев скважин'!I153)</f>
        <v>52090.7</v>
      </c>
      <c r="I151">
        <f>IF(ISBLANK('[1]Точность устьев скважин'!J153),#N/A,'[1]Точность устьев скважин'!J153)</f>
        <v>29012.560000000001</v>
      </c>
      <c r="J151">
        <f>IF(ISBLANK('[1]Точность устьев скважин'!K153),#N/A,'[1]Точность устьев скважин'!K153)</f>
        <v>63.42</v>
      </c>
      <c r="L151" s="63">
        <f t="shared" si="21"/>
        <v>0.19723082923405297</v>
      </c>
      <c r="O151" t="e">
        <f t="shared" si="15"/>
        <v>#N/A</v>
      </c>
      <c r="P151" t="e">
        <f t="shared" si="15"/>
        <v>#N/A</v>
      </c>
      <c r="Q151">
        <f t="shared" si="16"/>
        <v>52090.7</v>
      </c>
      <c r="R151">
        <f t="shared" si="16"/>
        <v>29012.560000000001</v>
      </c>
      <c r="S151" t="e">
        <f t="shared" si="17"/>
        <v>#N/A</v>
      </c>
      <c r="T151" t="e">
        <f t="shared" si="17"/>
        <v>#N/A</v>
      </c>
      <c r="U151" t="e">
        <f t="shared" si="18"/>
        <v>#N/A</v>
      </c>
      <c r="V151" t="e">
        <f t="shared" si="18"/>
        <v>#N/A</v>
      </c>
      <c r="W151" t="e">
        <f t="shared" si="19"/>
        <v>#N/A</v>
      </c>
      <c r="X151" t="e">
        <f t="shared" si="19"/>
        <v>#N/A</v>
      </c>
      <c r="Y151" t="e">
        <f t="shared" si="20"/>
        <v>#N/A</v>
      </c>
      <c r="Z151" t="e">
        <f t="shared" si="20"/>
        <v>#N/A</v>
      </c>
    </row>
    <row r="152" spans="1:26">
      <c r="A152">
        <f>IF(ISBLANK('[1]Точность устьев скважин'!A154),#N/A,'[1]Точность устьев скважин'!A154)</f>
        <v>174</v>
      </c>
      <c r="B152">
        <f>IF(ISBLANK('[1]Точность устьев скважин'!B154),#N/A,'[1]Точность устьев скважин'!B154)</f>
        <v>52085.55</v>
      </c>
      <c r="C152">
        <f>IF(ISBLANK('[1]Точность устьев скважин'!C154),#N/A,'[1]Точность устьев скважин'!C154)</f>
        <v>29010.11</v>
      </c>
      <c r="D152">
        <f>IF(ISBLANK('[1]Точность устьев скважин'!D154),#N/A,'[1]Точность устьев скважин'!D154)</f>
        <v>63.46</v>
      </c>
      <c r="G152">
        <f>IF(ISBLANK('[1]Точность устьев скважин'!H154),#N/A,'[1]Точность устьев скважин'!H154)</f>
        <v>174</v>
      </c>
      <c r="H152">
        <f>IF(ISBLANK('[1]Точность устьев скважин'!I154),#N/A,'[1]Точность устьев скважин'!I154)</f>
        <v>52085.07</v>
      </c>
      <c r="I152">
        <f>IF(ISBLANK('[1]Точность устьев скважин'!J154),#N/A,'[1]Точность устьев скважин'!J154)</f>
        <v>29010.02</v>
      </c>
      <c r="J152">
        <f>IF(ISBLANK('[1]Точность устьев скважин'!K154),#N/A,'[1]Точность устьев скважин'!K154)</f>
        <v>63.72</v>
      </c>
      <c r="L152" s="63">
        <f t="shared" si="21"/>
        <v>0.48836461788616459</v>
      </c>
      <c r="O152" t="e">
        <f t="shared" si="15"/>
        <v>#N/A</v>
      </c>
      <c r="P152" t="e">
        <f t="shared" si="15"/>
        <v>#N/A</v>
      </c>
      <c r="Q152" t="e">
        <f t="shared" si="16"/>
        <v>#N/A</v>
      </c>
      <c r="R152" t="e">
        <f t="shared" si="16"/>
        <v>#N/A</v>
      </c>
      <c r="S152" t="e">
        <f t="shared" si="17"/>
        <v>#N/A</v>
      </c>
      <c r="T152" t="e">
        <f t="shared" si="17"/>
        <v>#N/A</v>
      </c>
      <c r="U152" t="e">
        <f t="shared" si="18"/>
        <v>#N/A</v>
      </c>
      <c r="V152" t="e">
        <f t="shared" si="18"/>
        <v>#N/A</v>
      </c>
      <c r="W152">
        <f t="shared" si="19"/>
        <v>52085.07</v>
      </c>
      <c r="X152">
        <f t="shared" si="19"/>
        <v>29010.02</v>
      </c>
      <c r="Y152" t="e">
        <f t="shared" si="20"/>
        <v>#N/A</v>
      </c>
      <c r="Z152" t="e">
        <f t="shared" si="20"/>
        <v>#N/A</v>
      </c>
    </row>
    <row r="153" spans="1:26">
      <c r="A153">
        <f>IF(ISBLANK('[1]Точность устьев скважин'!A155),#N/A,'[1]Точность устьев скважин'!A155)</f>
        <v>175</v>
      </c>
      <c r="B153">
        <f>IF(ISBLANK('[1]Точность устьев скважин'!B155),#N/A,'[1]Точность устьев скважин'!B155)</f>
        <v>52081.42</v>
      </c>
      <c r="C153">
        <f>IF(ISBLANK('[1]Точность устьев скважин'!C155),#N/A,'[1]Точность устьев скважин'!C155)</f>
        <v>29008.36</v>
      </c>
      <c r="D153">
        <f>IF(ISBLANK('[1]Точность устьев скважин'!D155),#N/A,'[1]Точность устьев скважин'!D155)</f>
        <v>63.61</v>
      </c>
      <c r="G153">
        <f>IF(ISBLANK('[1]Точность устьев скважин'!H155),#N/A,'[1]Точность устьев скважин'!H155)</f>
        <v>175</v>
      </c>
      <c r="H153">
        <f>IF(ISBLANK('[1]Точность устьев скважин'!I155),#N/A,'[1]Точность устьев скважин'!I155)</f>
        <v>52081.46</v>
      </c>
      <c r="I153">
        <f>IF(ISBLANK('[1]Точность устьев скважин'!J155),#N/A,'[1]Точность устьев скважин'!J155)</f>
        <v>29008.560000000001</v>
      </c>
      <c r="J153">
        <f>IF(ISBLANK('[1]Точность устьев скважин'!K155),#N/A,'[1]Точность устьев скважин'!K155)</f>
        <v>63.94</v>
      </c>
      <c r="L153" s="63">
        <f t="shared" si="21"/>
        <v>0.2039607805445961</v>
      </c>
      <c r="O153" t="e">
        <f t="shared" si="15"/>
        <v>#N/A</v>
      </c>
      <c r="P153" t="e">
        <f t="shared" si="15"/>
        <v>#N/A</v>
      </c>
      <c r="Q153" t="e">
        <f t="shared" si="16"/>
        <v>#N/A</v>
      </c>
      <c r="R153" t="e">
        <f t="shared" si="16"/>
        <v>#N/A</v>
      </c>
      <c r="S153">
        <f t="shared" si="17"/>
        <v>52081.46</v>
      </c>
      <c r="T153">
        <f t="shared" si="17"/>
        <v>29008.560000000001</v>
      </c>
      <c r="U153" t="e">
        <f t="shared" si="18"/>
        <v>#N/A</v>
      </c>
      <c r="V153" t="e">
        <f t="shared" si="18"/>
        <v>#N/A</v>
      </c>
      <c r="W153" t="e">
        <f t="shared" si="19"/>
        <v>#N/A</v>
      </c>
      <c r="X153" t="e">
        <f t="shared" si="19"/>
        <v>#N/A</v>
      </c>
      <c r="Y153" t="e">
        <f t="shared" si="20"/>
        <v>#N/A</v>
      </c>
      <c r="Z153" t="e">
        <f t="shared" si="20"/>
        <v>#N/A</v>
      </c>
    </row>
    <row r="154" spans="1:26">
      <c r="A154">
        <f>IF(ISBLANK('[1]Точность устьев скважин'!A156),#N/A,'[1]Точность устьев скважин'!A156)</f>
        <v>177</v>
      </c>
      <c r="B154">
        <f>IF(ISBLANK('[1]Точность устьев скважин'!B156),#N/A,'[1]Точность устьев скважин'!B156)</f>
        <v>52144.73</v>
      </c>
      <c r="C154">
        <f>IF(ISBLANK('[1]Точность устьев скважин'!C156),#N/A,'[1]Точность устьев скважин'!C156)</f>
        <v>29042.62</v>
      </c>
      <c r="D154">
        <f>IF(ISBLANK('[1]Точность устьев скважин'!D156),#N/A,'[1]Точность устьев скважин'!D156)</f>
        <v>63.74</v>
      </c>
      <c r="G154">
        <f>IF(ISBLANK('[1]Точность устьев скважин'!H156),#N/A,'[1]Точность устьев скважин'!H156)</f>
        <v>177</v>
      </c>
      <c r="H154">
        <f>IF(ISBLANK('[1]Точность устьев скважин'!I156),#N/A,'[1]Точность устьев скважин'!I156)</f>
        <v>52144.51</v>
      </c>
      <c r="I154">
        <f>IF(ISBLANK('[1]Точность устьев скважин'!J156),#N/A,'[1]Точность устьев скважин'!J156)</f>
        <v>29042.86</v>
      </c>
      <c r="J154">
        <f>IF(ISBLANK('[1]Точность устьев скважин'!K156),#N/A,'[1]Точность устьев скважин'!K156)</f>
        <v>63.75</v>
      </c>
      <c r="L154" s="63">
        <f t="shared" si="21"/>
        <v>0.32557641192396075</v>
      </c>
      <c r="O154" t="e">
        <f t="shared" si="15"/>
        <v>#N/A</v>
      </c>
      <c r="P154" t="e">
        <f t="shared" si="15"/>
        <v>#N/A</v>
      </c>
      <c r="Q154" t="e">
        <f t="shared" si="16"/>
        <v>#N/A</v>
      </c>
      <c r="R154" t="e">
        <f t="shared" si="16"/>
        <v>#N/A</v>
      </c>
      <c r="S154" t="e">
        <f t="shared" si="17"/>
        <v>#N/A</v>
      </c>
      <c r="T154" t="e">
        <f t="shared" si="17"/>
        <v>#N/A</v>
      </c>
      <c r="U154">
        <f t="shared" si="18"/>
        <v>52144.51</v>
      </c>
      <c r="V154">
        <f t="shared" si="18"/>
        <v>29042.86</v>
      </c>
      <c r="W154" t="e">
        <f t="shared" si="19"/>
        <v>#N/A</v>
      </c>
      <c r="X154" t="e">
        <f t="shared" si="19"/>
        <v>#N/A</v>
      </c>
      <c r="Y154" t="e">
        <f t="shared" si="20"/>
        <v>#N/A</v>
      </c>
      <c r="Z154" t="e">
        <f t="shared" si="20"/>
        <v>#N/A</v>
      </c>
    </row>
    <row r="155" spans="1:26">
      <c r="A155">
        <f>IF(ISBLANK('[1]Точность устьев скважин'!A157),#N/A,'[1]Точность устьев скважин'!A157)</f>
        <v>178</v>
      </c>
      <c r="B155">
        <f>IF(ISBLANK('[1]Точность устьев скважин'!B157),#N/A,'[1]Точность устьев скважин'!B157)</f>
        <v>52138.79</v>
      </c>
      <c r="C155">
        <f>IF(ISBLANK('[1]Точность устьев скважин'!C157),#N/A,'[1]Точность устьев скважин'!C157)</f>
        <v>29039.97</v>
      </c>
      <c r="D155">
        <f>IF(ISBLANK('[1]Точность устьев скважин'!D157),#N/A,'[1]Точность устьев скважин'!D157)</f>
        <v>63.51</v>
      </c>
      <c r="G155">
        <f>IF(ISBLANK('[1]Точность устьев скважин'!H157),#N/A,'[1]Точность устьев скважин'!H157)</f>
        <v>178</v>
      </c>
      <c r="H155">
        <f>IF(ISBLANK('[1]Точность устьев скважин'!I157),#N/A,'[1]Точность устьев скважин'!I157)</f>
        <v>52138.35</v>
      </c>
      <c r="I155">
        <f>IF(ISBLANK('[1]Точность устьев скважин'!J157),#N/A,'[1]Точность устьев скважин'!J157)</f>
        <v>29040.34</v>
      </c>
      <c r="J155">
        <f>IF(ISBLANK('[1]Точность устьев скважин'!K157),#N/A,'[1]Точность устьев скважин'!K157)</f>
        <v>63.59</v>
      </c>
      <c r="L155" s="63">
        <f t="shared" si="21"/>
        <v>0.57489129407331874</v>
      </c>
      <c r="O155" t="e">
        <f t="shared" si="15"/>
        <v>#N/A</v>
      </c>
      <c r="P155" t="e">
        <f t="shared" si="15"/>
        <v>#N/A</v>
      </c>
      <c r="Q155" t="e">
        <f t="shared" si="16"/>
        <v>#N/A</v>
      </c>
      <c r="R155" t="e">
        <f t="shared" si="16"/>
        <v>#N/A</v>
      </c>
      <c r="S155" t="e">
        <f t="shared" si="17"/>
        <v>#N/A</v>
      </c>
      <c r="T155" t="e">
        <f t="shared" si="17"/>
        <v>#N/A</v>
      </c>
      <c r="U155" t="e">
        <f t="shared" si="18"/>
        <v>#N/A</v>
      </c>
      <c r="V155" t="e">
        <f t="shared" si="18"/>
        <v>#N/A</v>
      </c>
      <c r="W155" t="e">
        <f t="shared" si="19"/>
        <v>#N/A</v>
      </c>
      <c r="X155" t="e">
        <f t="shared" si="19"/>
        <v>#N/A</v>
      </c>
      <c r="Y155">
        <f t="shared" si="20"/>
        <v>52138.35</v>
      </c>
      <c r="Z155">
        <f t="shared" si="20"/>
        <v>29040.34</v>
      </c>
    </row>
    <row r="156" spans="1:26">
      <c r="A156">
        <f>IF(ISBLANK('[1]Точность устьев скважин'!A158),#N/A,'[1]Точность устьев скважин'!A158)</f>
        <v>179</v>
      </c>
      <c r="B156">
        <f>IF(ISBLANK('[1]Точность устьев скважин'!B158),#N/A,'[1]Точность устьев скважин'!B158)</f>
        <v>52132.86</v>
      </c>
      <c r="C156">
        <f>IF(ISBLANK('[1]Точность устьев скважин'!C158),#N/A,'[1]Точность устьев скважин'!C158)</f>
        <v>29037.33</v>
      </c>
      <c r="D156">
        <f>IF(ISBLANK('[1]Точность устьев скважин'!D158),#N/A,'[1]Точность устьев скважин'!D158)</f>
        <v>63.47</v>
      </c>
      <c r="G156">
        <f>IF(ISBLANK('[1]Точность устьев скважин'!H158),#N/A,'[1]Точность устьев скважин'!H158)</f>
        <v>179</v>
      </c>
      <c r="H156">
        <f>IF(ISBLANK('[1]Точность устьев скважин'!I158),#N/A,'[1]Точность устьев скважин'!I158)</f>
        <v>52132.51</v>
      </c>
      <c r="I156">
        <f>IF(ISBLANK('[1]Точность устьев скважин'!J158),#N/A,'[1]Точность устьев скважин'!J158)</f>
        <v>29037.47</v>
      </c>
      <c r="J156">
        <f>IF(ISBLANK('[1]Точность устьев скважин'!K158),#N/A,'[1]Точность устьев скважин'!K158)</f>
        <v>63.39</v>
      </c>
      <c r="L156" s="63">
        <f t="shared" si="21"/>
        <v>0.37696153649784803</v>
      </c>
      <c r="O156" t="e">
        <f t="shared" si="15"/>
        <v>#N/A</v>
      </c>
      <c r="P156" t="e">
        <f t="shared" si="15"/>
        <v>#N/A</v>
      </c>
      <c r="Q156" t="e">
        <f t="shared" si="16"/>
        <v>#N/A</v>
      </c>
      <c r="R156" t="e">
        <f t="shared" si="16"/>
        <v>#N/A</v>
      </c>
      <c r="S156" t="e">
        <f t="shared" si="17"/>
        <v>#N/A</v>
      </c>
      <c r="T156" t="e">
        <f t="shared" si="17"/>
        <v>#N/A</v>
      </c>
      <c r="U156">
        <f t="shared" si="18"/>
        <v>52132.51</v>
      </c>
      <c r="V156">
        <f t="shared" si="18"/>
        <v>29037.47</v>
      </c>
      <c r="W156" t="e">
        <f t="shared" si="19"/>
        <v>#N/A</v>
      </c>
      <c r="X156" t="e">
        <f t="shared" si="19"/>
        <v>#N/A</v>
      </c>
      <c r="Y156" t="e">
        <f t="shared" si="20"/>
        <v>#N/A</v>
      </c>
      <c r="Z156" t="e">
        <f t="shared" si="20"/>
        <v>#N/A</v>
      </c>
    </row>
    <row r="157" spans="1:26">
      <c r="A157">
        <f>IF(ISBLANK('[1]Точность устьев скважин'!A159),#N/A,'[1]Точность устьев скважин'!A159)</f>
        <v>180</v>
      </c>
      <c r="B157">
        <f>IF(ISBLANK('[1]Точность устьев скважин'!B159),#N/A,'[1]Точность устьев скважин'!B159)</f>
        <v>52126.92</v>
      </c>
      <c r="C157">
        <f>IF(ISBLANK('[1]Точность устьев скважин'!C159),#N/A,'[1]Точность устьев скважин'!C159)</f>
        <v>29034.69</v>
      </c>
      <c r="D157">
        <f>IF(ISBLANK('[1]Точность устьев скважин'!D159),#N/A,'[1]Точность устьев скважин'!D159)</f>
        <v>63.45</v>
      </c>
      <c r="G157">
        <f>IF(ISBLANK('[1]Точность устьев скважин'!H159),#N/A,'[1]Точность устьев скважин'!H159)</f>
        <v>180</v>
      </c>
      <c r="H157">
        <f>IF(ISBLANK('[1]Точность устьев скважин'!I159),#N/A,'[1]Точность устьев скважин'!I159)</f>
        <v>52126.53</v>
      </c>
      <c r="I157">
        <f>IF(ISBLANK('[1]Точность устьев скважин'!J159),#N/A,'[1]Точность устьев скважин'!J159)</f>
        <v>29035.09</v>
      </c>
      <c r="J157">
        <f>IF(ISBLANK('[1]Точность устьев скважин'!K159),#N/A,'[1]Точность устьев скважин'!K159)</f>
        <v>63.55</v>
      </c>
      <c r="L157" s="63">
        <f t="shared" si="21"/>
        <v>0.55865910893917248</v>
      </c>
      <c r="O157" t="e">
        <f t="shared" si="15"/>
        <v>#N/A</v>
      </c>
      <c r="P157" t="e">
        <f t="shared" si="15"/>
        <v>#N/A</v>
      </c>
      <c r="Q157" t="e">
        <f t="shared" si="16"/>
        <v>#N/A</v>
      </c>
      <c r="R157" t="e">
        <f t="shared" si="16"/>
        <v>#N/A</v>
      </c>
      <c r="S157" t="e">
        <f t="shared" si="17"/>
        <v>#N/A</v>
      </c>
      <c r="T157" t="e">
        <f t="shared" si="17"/>
        <v>#N/A</v>
      </c>
      <c r="U157" t="e">
        <f t="shared" si="18"/>
        <v>#N/A</v>
      </c>
      <c r="V157" t="e">
        <f t="shared" si="18"/>
        <v>#N/A</v>
      </c>
      <c r="W157" t="e">
        <f t="shared" si="19"/>
        <v>#N/A</v>
      </c>
      <c r="X157" t="e">
        <f t="shared" si="19"/>
        <v>#N/A</v>
      </c>
      <c r="Y157">
        <f t="shared" si="20"/>
        <v>52126.53</v>
      </c>
      <c r="Z157">
        <f t="shared" si="20"/>
        <v>29035.09</v>
      </c>
    </row>
    <row r="158" spans="1:26">
      <c r="A158">
        <f>IF(ISBLANK('[1]Точность устьев скважин'!A160),#N/A,'[1]Точность устьев скважин'!A160)</f>
        <v>181</v>
      </c>
      <c r="B158">
        <f>IF(ISBLANK('[1]Точность устьев скважин'!B160),#N/A,'[1]Точность устьев скважин'!B160)</f>
        <v>52120.98</v>
      </c>
      <c r="C158">
        <f>IF(ISBLANK('[1]Точность устьев скважин'!C160),#N/A,'[1]Точность устьев скважин'!C160)</f>
        <v>29032.04</v>
      </c>
      <c r="D158">
        <f>IF(ISBLANK('[1]Точность устьев скважин'!D160),#N/A,'[1]Точность устьев скважин'!D160)</f>
        <v>63.4</v>
      </c>
      <c r="G158">
        <f>IF(ISBLANK('[1]Точность устьев скважин'!H160),#N/A,'[1]Точность устьев скважин'!H160)</f>
        <v>181</v>
      </c>
      <c r="H158">
        <f>IF(ISBLANK('[1]Точность устьев скважин'!I160),#N/A,'[1]Точность устьев скважин'!I160)</f>
        <v>52120.51</v>
      </c>
      <c r="I158">
        <f>IF(ISBLANK('[1]Точность устьев скважин'!J160),#N/A,'[1]Точность устьев скважин'!J160)</f>
        <v>29031.96</v>
      </c>
      <c r="J158">
        <f>IF(ISBLANK('[1]Точность устьев скважин'!K160),#N/A,'[1]Точность устьев скважин'!K160)</f>
        <v>63.6</v>
      </c>
      <c r="L158" s="63">
        <f t="shared" si="21"/>
        <v>0.47675989764384935</v>
      </c>
      <c r="O158" t="e">
        <f t="shared" si="15"/>
        <v>#N/A</v>
      </c>
      <c r="P158" t="e">
        <f t="shared" si="15"/>
        <v>#N/A</v>
      </c>
      <c r="Q158" t="e">
        <f t="shared" si="16"/>
        <v>#N/A</v>
      </c>
      <c r="R158" t="e">
        <f t="shared" si="16"/>
        <v>#N/A</v>
      </c>
      <c r="S158" t="e">
        <f t="shared" si="17"/>
        <v>#N/A</v>
      </c>
      <c r="T158" t="e">
        <f t="shared" si="17"/>
        <v>#N/A</v>
      </c>
      <c r="U158" t="e">
        <f t="shared" si="18"/>
        <v>#N/A</v>
      </c>
      <c r="V158" t="e">
        <f t="shared" si="18"/>
        <v>#N/A</v>
      </c>
      <c r="W158">
        <f t="shared" si="19"/>
        <v>52120.51</v>
      </c>
      <c r="X158">
        <f t="shared" si="19"/>
        <v>29031.96</v>
      </c>
      <c r="Y158" t="e">
        <f t="shared" si="20"/>
        <v>#N/A</v>
      </c>
      <c r="Z158" t="e">
        <f t="shared" si="20"/>
        <v>#N/A</v>
      </c>
    </row>
    <row r="159" spans="1:26">
      <c r="A159">
        <f>IF(ISBLANK('[1]Точность устьев скважин'!A161),#N/A,'[1]Точность устьев скважин'!A161)</f>
        <v>182</v>
      </c>
      <c r="B159">
        <f>IF(ISBLANK('[1]Точность устьев скважин'!B161),#N/A,'[1]Точность устьев скважин'!B161)</f>
        <v>52115.040000000001</v>
      </c>
      <c r="C159">
        <f>IF(ISBLANK('[1]Точность устьев скважин'!C161),#N/A,'[1]Точность устьев скважин'!C161)</f>
        <v>29029.4</v>
      </c>
      <c r="D159">
        <f>IF(ISBLANK('[1]Точность устьев скважин'!D161),#N/A,'[1]Точность устьев скважин'!D161)</f>
        <v>63.31</v>
      </c>
      <c r="G159">
        <f>IF(ISBLANK('[1]Точность устьев скважин'!H161),#N/A,'[1]Точность устьев скважин'!H161)</f>
        <v>182</v>
      </c>
      <c r="H159">
        <f>IF(ISBLANK('[1]Точность устьев скважин'!I161),#N/A,'[1]Точность устьев скважин'!I161)</f>
        <v>52115.040000000001</v>
      </c>
      <c r="I159">
        <f>IF(ISBLANK('[1]Точность устьев скважин'!J161),#N/A,'[1]Точность устьев скважин'!J161)</f>
        <v>29029.46</v>
      </c>
      <c r="J159">
        <f>IF(ISBLANK('[1]Точность устьев скважин'!K161),#N/A,'[1]Точность устьев скважин'!K161)</f>
        <v>63.43</v>
      </c>
      <c r="L159" s="63">
        <f t="shared" si="21"/>
        <v>5.9999999997671694E-2</v>
      </c>
      <c r="O159">
        <f t="shared" si="15"/>
        <v>52115.040000000001</v>
      </c>
      <c r="P159">
        <f t="shared" si="15"/>
        <v>29029.46</v>
      </c>
      <c r="Q159" t="e">
        <f t="shared" si="16"/>
        <v>#N/A</v>
      </c>
      <c r="R159" t="e">
        <f t="shared" si="16"/>
        <v>#N/A</v>
      </c>
      <c r="S159" t="e">
        <f t="shared" si="17"/>
        <v>#N/A</v>
      </c>
      <c r="T159" t="e">
        <f t="shared" si="17"/>
        <v>#N/A</v>
      </c>
      <c r="U159" t="e">
        <f t="shared" si="18"/>
        <v>#N/A</v>
      </c>
      <c r="V159" t="e">
        <f t="shared" si="18"/>
        <v>#N/A</v>
      </c>
      <c r="W159" t="e">
        <f t="shared" si="19"/>
        <v>#N/A</v>
      </c>
      <c r="X159" t="e">
        <f t="shared" si="19"/>
        <v>#N/A</v>
      </c>
      <c r="Y159" t="e">
        <f t="shared" si="20"/>
        <v>#N/A</v>
      </c>
      <c r="Z159" t="e">
        <f t="shared" si="20"/>
        <v>#N/A</v>
      </c>
    </row>
    <row r="160" spans="1:26">
      <c r="A160">
        <f>IF(ISBLANK('[1]Точность устьев скважин'!A162),#N/A,'[1]Точность устьев скважин'!A162)</f>
        <v>183</v>
      </c>
      <c r="B160">
        <f>IF(ISBLANK('[1]Точность устьев скважин'!B162),#N/A,'[1]Точность устьев скважин'!B162)</f>
        <v>52109.1</v>
      </c>
      <c r="C160">
        <f>IF(ISBLANK('[1]Точность устьев скважин'!C162),#N/A,'[1]Точность устьев скважин'!C162)</f>
        <v>29026.76</v>
      </c>
      <c r="D160">
        <f>IF(ISBLANK('[1]Точность устьев скважин'!D162),#N/A,'[1]Точность устьев скважин'!D162)</f>
        <v>63.2</v>
      </c>
      <c r="G160">
        <f>IF(ISBLANK('[1]Точность устьев скважин'!H162),#N/A,'[1]Точность устьев скважин'!H162)</f>
        <v>183</v>
      </c>
      <c r="H160">
        <f>IF(ISBLANK('[1]Точность устьев скважин'!I162),#N/A,'[1]Точность устьев скважин'!I162)</f>
        <v>52108.58</v>
      </c>
      <c r="I160">
        <f>IF(ISBLANK('[1]Точность устьев скважин'!J162),#N/A,'[1]Точность устьев скважин'!J162)</f>
        <v>29026.62</v>
      </c>
      <c r="J160">
        <f>IF(ISBLANK('[1]Точность устьев скважин'!K162),#N/A,'[1]Точность устьев скважин'!K162)</f>
        <v>63.35</v>
      </c>
      <c r="L160" s="63">
        <f t="shared" si="21"/>
        <v>0.53851648071020775</v>
      </c>
      <c r="O160" t="e">
        <f t="shared" si="15"/>
        <v>#N/A</v>
      </c>
      <c r="P160" t="e">
        <f t="shared" si="15"/>
        <v>#N/A</v>
      </c>
      <c r="Q160" t="e">
        <f t="shared" si="16"/>
        <v>#N/A</v>
      </c>
      <c r="R160" t="e">
        <f t="shared" si="16"/>
        <v>#N/A</v>
      </c>
      <c r="S160" t="e">
        <f t="shared" si="17"/>
        <v>#N/A</v>
      </c>
      <c r="T160" t="e">
        <f t="shared" si="17"/>
        <v>#N/A</v>
      </c>
      <c r="U160" t="e">
        <f t="shared" si="18"/>
        <v>#N/A</v>
      </c>
      <c r="V160" t="e">
        <f t="shared" si="18"/>
        <v>#N/A</v>
      </c>
      <c r="W160" t="e">
        <f t="shared" si="19"/>
        <v>#N/A</v>
      </c>
      <c r="X160" t="e">
        <f t="shared" si="19"/>
        <v>#N/A</v>
      </c>
      <c r="Y160">
        <f t="shared" si="20"/>
        <v>52108.58</v>
      </c>
      <c r="Z160">
        <f t="shared" si="20"/>
        <v>29026.62</v>
      </c>
    </row>
    <row r="161" spans="1:26">
      <c r="A161">
        <f>IF(ISBLANK('[1]Точность устьев скважин'!A163),#N/A,'[1]Точность устьев скважин'!A163)</f>
        <v>184</v>
      </c>
      <c r="B161">
        <f>IF(ISBLANK('[1]Точность устьев скважин'!B163),#N/A,'[1]Точность устьев скважин'!B163)</f>
        <v>52103.17</v>
      </c>
      <c r="C161">
        <f>IF(ISBLANK('[1]Точность устьев скважин'!C163),#N/A,'[1]Точность устьев скважин'!C163)</f>
        <v>29024.11</v>
      </c>
      <c r="D161">
        <f>IF(ISBLANK('[1]Точность устьев скважин'!D163),#N/A,'[1]Точность устьев скважин'!D163)</f>
        <v>63.2</v>
      </c>
      <c r="G161">
        <f>IF(ISBLANK('[1]Точность устьев скважин'!H163),#N/A,'[1]Точность устьев скважин'!H163)</f>
        <v>184</v>
      </c>
      <c r="H161">
        <f>IF(ISBLANK('[1]Точность устьев скважин'!I163),#N/A,'[1]Точность устьев скважин'!I163)</f>
        <v>52103.23</v>
      </c>
      <c r="I161">
        <f>IF(ISBLANK('[1]Точность устьев скважин'!J163),#N/A,'[1]Точность устьев скважин'!J163)</f>
        <v>29024.48</v>
      </c>
      <c r="J161">
        <f>IF(ISBLANK('[1]Точность устьев скважин'!K163),#N/A,'[1]Точность устьев скважин'!K163)</f>
        <v>63.38</v>
      </c>
      <c r="L161" s="63">
        <f t="shared" si="21"/>
        <v>0.3748332962796127</v>
      </c>
      <c r="O161" t="e">
        <f t="shared" si="15"/>
        <v>#N/A</v>
      </c>
      <c r="P161" t="e">
        <f t="shared" si="15"/>
        <v>#N/A</v>
      </c>
      <c r="Q161" t="e">
        <f t="shared" si="16"/>
        <v>#N/A</v>
      </c>
      <c r="R161" t="e">
        <f t="shared" si="16"/>
        <v>#N/A</v>
      </c>
      <c r="S161" t="e">
        <f t="shared" si="17"/>
        <v>#N/A</v>
      </c>
      <c r="T161" t="e">
        <f t="shared" si="17"/>
        <v>#N/A</v>
      </c>
      <c r="U161">
        <f t="shared" si="18"/>
        <v>52103.23</v>
      </c>
      <c r="V161">
        <f t="shared" si="18"/>
        <v>29024.48</v>
      </c>
      <c r="W161" t="e">
        <f t="shared" si="19"/>
        <v>#N/A</v>
      </c>
      <c r="X161" t="e">
        <f t="shared" si="19"/>
        <v>#N/A</v>
      </c>
      <c r="Y161" t="e">
        <f t="shared" si="20"/>
        <v>#N/A</v>
      </c>
      <c r="Z161" t="e">
        <f t="shared" si="20"/>
        <v>#N/A</v>
      </c>
    </row>
    <row r="162" spans="1:26">
      <c r="A162">
        <f>IF(ISBLANK('[1]Точность устьев скважин'!A164),#N/A,'[1]Точность устьев скважин'!A164)</f>
        <v>185</v>
      </c>
      <c r="B162">
        <f>IF(ISBLANK('[1]Точность устьев скважин'!B164),#N/A,'[1]Точность устьев скважин'!B164)</f>
        <v>52097.23</v>
      </c>
      <c r="C162">
        <f>IF(ISBLANK('[1]Точность устьев скважин'!C164),#N/A,'[1]Точность устьев скважин'!C164)</f>
        <v>29021.47</v>
      </c>
      <c r="D162">
        <f>IF(ISBLANK('[1]Точность устьев скважин'!D164),#N/A,'[1]Точность устьев скважин'!D164)</f>
        <v>63.19</v>
      </c>
      <c r="G162">
        <f>IF(ISBLANK('[1]Точность устьев скважин'!H164),#N/A,'[1]Точность устьев скважин'!H164)</f>
        <v>185</v>
      </c>
      <c r="H162">
        <f>IF(ISBLANK('[1]Точность устьев скважин'!I164),#N/A,'[1]Точность устьев скважин'!I164)</f>
        <v>52096.85</v>
      </c>
      <c r="I162">
        <f>IF(ISBLANK('[1]Точность устьев скважин'!J164),#N/A,'[1]Точность устьев скважин'!J164)</f>
        <v>29021.4</v>
      </c>
      <c r="J162">
        <f>IF(ISBLANK('[1]Точность устьев скважин'!K164),#N/A,'[1]Точность устьев скважин'!K164)</f>
        <v>63.28</v>
      </c>
      <c r="L162" s="63">
        <f t="shared" si="21"/>
        <v>0.38639358173175997</v>
      </c>
      <c r="O162" t="e">
        <f t="shared" si="15"/>
        <v>#N/A</v>
      </c>
      <c r="P162" t="e">
        <f t="shared" si="15"/>
        <v>#N/A</v>
      </c>
      <c r="Q162" t="e">
        <f t="shared" si="16"/>
        <v>#N/A</v>
      </c>
      <c r="R162" t="e">
        <f t="shared" si="16"/>
        <v>#N/A</v>
      </c>
      <c r="S162" t="e">
        <f t="shared" si="17"/>
        <v>#N/A</v>
      </c>
      <c r="T162" t="e">
        <f t="shared" si="17"/>
        <v>#N/A</v>
      </c>
      <c r="U162">
        <f t="shared" si="18"/>
        <v>52096.85</v>
      </c>
      <c r="V162">
        <f t="shared" si="18"/>
        <v>29021.4</v>
      </c>
      <c r="W162" t="e">
        <f t="shared" si="19"/>
        <v>#N/A</v>
      </c>
      <c r="X162" t="e">
        <f t="shared" si="19"/>
        <v>#N/A</v>
      </c>
      <c r="Y162" t="e">
        <f t="shared" si="20"/>
        <v>#N/A</v>
      </c>
      <c r="Z162" t="e">
        <f t="shared" si="20"/>
        <v>#N/A</v>
      </c>
    </row>
    <row r="163" spans="1:26">
      <c r="A163">
        <f>IF(ISBLANK('[1]Точность устьев скважин'!A165),#N/A,'[1]Точность устьев скважин'!A165)</f>
        <v>189</v>
      </c>
      <c r="B163">
        <f>IF(ISBLANK('[1]Точность устьев скважин'!B165),#N/A,'[1]Точность устьев скважин'!B165)</f>
        <v>52151.360000000001</v>
      </c>
      <c r="C163">
        <f>IF(ISBLANK('[1]Точность устьев скважин'!C165),#N/A,'[1]Точность устьев скважин'!C165)</f>
        <v>29051.7</v>
      </c>
      <c r="D163">
        <f>IF(ISBLANK('[1]Точность устьев скважин'!D165),#N/A,'[1]Точность устьев скважин'!D165)</f>
        <v>63.77</v>
      </c>
      <c r="G163">
        <f>IF(ISBLANK('[1]Точность устьев скважин'!H165),#N/A,'[1]Точность устьев скважин'!H165)</f>
        <v>189</v>
      </c>
      <c r="H163">
        <f>IF(ISBLANK('[1]Точность устьев скважин'!I165),#N/A,'[1]Точность устьев скважин'!I165)</f>
        <v>52150.96</v>
      </c>
      <c r="I163">
        <f>IF(ISBLANK('[1]Точность устьев скважин'!J165),#N/A,'[1]Точность устьев скважин'!J165)</f>
        <v>29051.59</v>
      </c>
      <c r="J163">
        <f>IF(ISBLANK('[1]Точность устьев скважин'!K165),#N/A,'[1]Точность устьев скважин'!K165)</f>
        <v>63.98</v>
      </c>
      <c r="L163" s="63">
        <f t="shared" si="21"/>
        <v>0.41484937025538826</v>
      </c>
      <c r="O163" t="e">
        <f t="shared" si="15"/>
        <v>#N/A</v>
      </c>
      <c r="P163" t="e">
        <f t="shared" si="15"/>
        <v>#N/A</v>
      </c>
      <c r="Q163" t="e">
        <f t="shared" si="16"/>
        <v>#N/A</v>
      </c>
      <c r="R163" t="e">
        <f t="shared" si="16"/>
        <v>#N/A</v>
      </c>
      <c r="S163" t="e">
        <f t="shared" si="17"/>
        <v>#N/A</v>
      </c>
      <c r="T163" t="e">
        <f t="shared" si="17"/>
        <v>#N/A</v>
      </c>
      <c r="U163" t="e">
        <f t="shared" si="18"/>
        <v>#N/A</v>
      </c>
      <c r="V163" t="e">
        <f t="shared" si="18"/>
        <v>#N/A</v>
      </c>
      <c r="W163">
        <f t="shared" si="19"/>
        <v>52150.96</v>
      </c>
      <c r="X163">
        <f t="shared" si="19"/>
        <v>29051.59</v>
      </c>
      <c r="Y163" t="e">
        <f t="shared" si="20"/>
        <v>#N/A</v>
      </c>
      <c r="Z163" t="e">
        <f t="shared" si="20"/>
        <v>#N/A</v>
      </c>
    </row>
    <row r="164" spans="1:26">
      <c r="A164">
        <f>IF(ISBLANK('[1]Точность устьев скважин'!A166),#N/A,'[1]Точность устьев скважин'!A166)</f>
        <v>190</v>
      </c>
      <c r="B164">
        <f>IF(ISBLANK('[1]Точность устьев скважин'!B166),#N/A,'[1]Точность устьев скважин'!B166)</f>
        <v>52145.42</v>
      </c>
      <c r="C164">
        <f>IF(ISBLANK('[1]Точность устьев скважин'!C166),#N/A,'[1]Точность устьев скважин'!C166)</f>
        <v>29049.06</v>
      </c>
      <c r="D164">
        <f>IF(ISBLANK('[1]Точность устьев скважин'!D166),#N/A,'[1]Точность устьев скважин'!D166)</f>
        <v>64.02</v>
      </c>
      <c r="G164">
        <f>IF(ISBLANK('[1]Точность устьев скважин'!H166),#N/A,'[1]Точность устьев скважин'!H166)</f>
        <v>190</v>
      </c>
      <c r="H164">
        <f>IF(ISBLANK('[1]Точность устьев скважин'!I166),#N/A,'[1]Точность устьев скважин'!I166)</f>
        <v>52145.19</v>
      </c>
      <c r="I164">
        <f>IF(ISBLANK('[1]Точность устьев скважин'!J166),#N/A,'[1]Точность устьев скважин'!J166)</f>
        <v>29048.77</v>
      </c>
      <c r="J164">
        <f>IF(ISBLANK('[1]Точность устьев скважин'!K166),#N/A,'[1]Точность устьев скважин'!K166)</f>
        <v>63.99</v>
      </c>
      <c r="L164" s="63">
        <f t="shared" si="21"/>
        <v>0.37013511046458714</v>
      </c>
      <c r="O164" t="e">
        <f t="shared" si="15"/>
        <v>#N/A</v>
      </c>
      <c r="P164" t="e">
        <f t="shared" si="15"/>
        <v>#N/A</v>
      </c>
      <c r="Q164" t="e">
        <f t="shared" si="16"/>
        <v>#N/A</v>
      </c>
      <c r="R164" t="e">
        <f t="shared" si="16"/>
        <v>#N/A</v>
      </c>
      <c r="S164" t="e">
        <f t="shared" si="17"/>
        <v>#N/A</v>
      </c>
      <c r="T164" t="e">
        <f t="shared" si="17"/>
        <v>#N/A</v>
      </c>
      <c r="U164">
        <f t="shared" si="18"/>
        <v>52145.19</v>
      </c>
      <c r="V164">
        <f t="shared" si="18"/>
        <v>29048.77</v>
      </c>
      <c r="W164" t="e">
        <f t="shared" si="19"/>
        <v>#N/A</v>
      </c>
      <c r="X164" t="e">
        <f t="shared" si="19"/>
        <v>#N/A</v>
      </c>
      <c r="Y164" t="e">
        <f t="shared" si="20"/>
        <v>#N/A</v>
      </c>
      <c r="Z164" t="e">
        <f t="shared" si="20"/>
        <v>#N/A</v>
      </c>
    </row>
    <row r="165" spans="1:26">
      <c r="A165">
        <f>IF(ISBLANK('[1]Точность устьев скважин'!A167),#N/A,'[1]Точность устьев скважин'!A167)</f>
        <v>193</v>
      </c>
      <c r="B165">
        <f>IF(ISBLANK('[1]Точность устьев скважин'!B167),#N/A,'[1]Точность устьев скважин'!B167)</f>
        <v>52127.61</v>
      </c>
      <c r="C165">
        <f>IF(ISBLANK('[1]Точность устьев скважин'!C167),#N/A,'[1]Точность устьев скважин'!C167)</f>
        <v>29041.119999999999</v>
      </c>
      <c r="D165">
        <f>IF(ISBLANK('[1]Точность устьев скважин'!D167),#N/A,'[1]Точность устьев скважин'!D167)</f>
        <v>63.53</v>
      </c>
      <c r="G165">
        <f>IF(ISBLANK('[1]Точность устьев скважин'!H167),#N/A,'[1]Точность устьев скважин'!H167)</f>
        <v>193</v>
      </c>
      <c r="H165">
        <f>IF(ISBLANK('[1]Точность устьев скважин'!I167),#N/A,'[1]Точность устьев скважин'!I167)</f>
        <v>52127.49</v>
      </c>
      <c r="I165">
        <f>IF(ISBLANK('[1]Точность устьев скважин'!J167),#N/A,'[1]Точность устьев скважин'!J167)</f>
        <v>29040.74</v>
      </c>
      <c r="J165">
        <f>IF(ISBLANK('[1]Точность устьев скважин'!K167),#N/A,'[1]Точность устьев скважин'!K167)</f>
        <v>63.6</v>
      </c>
      <c r="L165" s="63">
        <f t="shared" si="21"/>
        <v>0.39849717690171649</v>
      </c>
      <c r="O165" t="e">
        <f t="shared" si="15"/>
        <v>#N/A</v>
      </c>
      <c r="P165" t="e">
        <f t="shared" si="15"/>
        <v>#N/A</v>
      </c>
      <c r="Q165" t="e">
        <f t="shared" si="16"/>
        <v>#N/A</v>
      </c>
      <c r="R165" t="e">
        <f t="shared" si="16"/>
        <v>#N/A</v>
      </c>
      <c r="S165" t="e">
        <f t="shared" si="17"/>
        <v>#N/A</v>
      </c>
      <c r="T165" t="e">
        <f t="shared" si="17"/>
        <v>#N/A</v>
      </c>
      <c r="U165">
        <f t="shared" si="18"/>
        <v>52127.49</v>
      </c>
      <c r="V165">
        <f t="shared" si="18"/>
        <v>29040.74</v>
      </c>
      <c r="W165" t="e">
        <f t="shared" si="19"/>
        <v>#N/A</v>
      </c>
      <c r="X165" t="e">
        <f t="shared" si="19"/>
        <v>#N/A</v>
      </c>
      <c r="Y165" t="e">
        <f t="shared" si="20"/>
        <v>#N/A</v>
      </c>
      <c r="Z165" t="e">
        <f t="shared" si="20"/>
        <v>#N/A</v>
      </c>
    </row>
    <row r="166" spans="1:26">
      <c r="A166">
        <f>IF(ISBLANK('[1]Точность устьев скважин'!A168),#N/A,'[1]Точность устьев скважин'!A168)</f>
        <v>195</v>
      </c>
      <c r="B166">
        <f>IF(ISBLANK('[1]Точность устьев скважин'!B168),#N/A,'[1]Точность устьев скважин'!B168)</f>
        <v>52115.73</v>
      </c>
      <c r="C166">
        <f>IF(ISBLANK('[1]Точность устьев скважин'!C168),#N/A,'[1]Точность устьев скважин'!C168)</f>
        <v>29035.84</v>
      </c>
      <c r="D166">
        <f>IF(ISBLANK('[1]Точность устьев скважин'!D168),#N/A,'[1]Точность устьев скважин'!D168)</f>
        <v>63.57</v>
      </c>
      <c r="G166">
        <f>IF(ISBLANK('[1]Точность устьев скважин'!H168),#N/A,'[1]Точность устьев скважин'!H168)</f>
        <v>195</v>
      </c>
      <c r="H166">
        <f>IF(ISBLANK('[1]Точность устьев скважин'!I168),#N/A,'[1]Точность устьев скважин'!I168)</f>
        <v>52115.7</v>
      </c>
      <c r="I166">
        <f>IF(ISBLANK('[1]Точность устьев скважин'!J168),#N/A,'[1]Точность устьев скважин'!J168)</f>
        <v>29035.42</v>
      </c>
      <c r="J166">
        <f>IF(ISBLANK('[1]Точность устьев скважин'!K168),#N/A,'[1]Точность устьев скважин'!K168)</f>
        <v>63.66</v>
      </c>
      <c r="L166" s="63">
        <f t="shared" si="21"/>
        <v>0.42107006543086839</v>
      </c>
      <c r="O166" t="e">
        <f t="shared" si="15"/>
        <v>#N/A</v>
      </c>
      <c r="P166" t="e">
        <f t="shared" si="15"/>
        <v>#N/A</v>
      </c>
      <c r="Q166" t="e">
        <f t="shared" si="16"/>
        <v>#N/A</v>
      </c>
      <c r="R166" t="e">
        <f t="shared" si="16"/>
        <v>#N/A</v>
      </c>
      <c r="S166" t="e">
        <f t="shared" si="17"/>
        <v>#N/A</v>
      </c>
      <c r="T166" t="e">
        <f t="shared" si="17"/>
        <v>#N/A</v>
      </c>
      <c r="U166" t="e">
        <f t="shared" si="18"/>
        <v>#N/A</v>
      </c>
      <c r="V166" t="e">
        <f t="shared" si="18"/>
        <v>#N/A</v>
      </c>
      <c r="W166">
        <f t="shared" si="19"/>
        <v>52115.7</v>
      </c>
      <c r="X166">
        <f t="shared" si="19"/>
        <v>29035.42</v>
      </c>
      <c r="Y166" t="e">
        <f t="shared" si="20"/>
        <v>#N/A</v>
      </c>
      <c r="Z166" t="e">
        <f t="shared" si="20"/>
        <v>#N/A</v>
      </c>
    </row>
    <row r="167" spans="1:26">
      <c r="A167">
        <f>IF(ISBLANK('[1]Точность устьев скважин'!A169),#N/A,'[1]Точность устьев скважин'!A169)</f>
        <v>196</v>
      </c>
      <c r="B167">
        <f>IF(ISBLANK('[1]Точность устьев скважин'!B169),#N/A,'[1]Точность устьев скважин'!B169)</f>
        <v>52109.79</v>
      </c>
      <c r="C167">
        <f>IF(ISBLANK('[1]Точность устьев скважин'!C169),#N/A,'[1]Точность устьев скважин'!C169)</f>
        <v>29033.19</v>
      </c>
      <c r="D167">
        <f>IF(ISBLANK('[1]Точность устьев скважин'!D169),#N/A,'[1]Точность устьев скважин'!D169)</f>
        <v>63.35</v>
      </c>
      <c r="G167">
        <f>IF(ISBLANK('[1]Точность устьев скважин'!H169),#N/A,'[1]Точность устьев скважин'!H169)</f>
        <v>196</v>
      </c>
      <c r="H167">
        <f>IF(ISBLANK('[1]Точность устьев скважин'!I169),#N/A,'[1]Точность устьев скважин'!I169)</f>
        <v>52109.919999999998</v>
      </c>
      <c r="I167">
        <f>IF(ISBLANK('[1]Точность устьев скважин'!J169),#N/A,'[1]Точность устьев скважин'!J169)</f>
        <v>29032.94</v>
      </c>
      <c r="J167">
        <f>IF(ISBLANK('[1]Точность устьев скважин'!K169),#N/A,'[1]Точность устьев скважин'!K169)</f>
        <v>63.37</v>
      </c>
      <c r="L167" s="63">
        <f t="shared" si="21"/>
        <v>0.28178005607089895</v>
      </c>
      <c r="O167" t="e">
        <f t="shared" si="15"/>
        <v>#N/A</v>
      </c>
      <c r="P167" t="e">
        <f t="shared" si="15"/>
        <v>#N/A</v>
      </c>
      <c r="Q167" t="e">
        <f t="shared" si="16"/>
        <v>#N/A</v>
      </c>
      <c r="R167" t="e">
        <f t="shared" si="16"/>
        <v>#N/A</v>
      </c>
      <c r="S167">
        <f t="shared" si="17"/>
        <v>52109.919999999998</v>
      </c>
      <c r="T167">
        <f t="shared" si="17"/>
        <v>29032.94</v>
      </c>
      <c r="U167" t="e">
        <f t="shared" si="18"/>
        <v>#N/A</v>
      </c>
      <c r="V167" t="e">
        <f t="shared" si="18"/>
        <v>#N/A</v>
      </c>
      <c r="W167" t="e">
        <f t="shared" si="19"/>
        <v>#N/A</v>
      </c>
      <c r="X167" t="e">
        <f t="shared" si="19"/>
        <v>#N/A</v>
      </c>
      <c r="Y167" t="e">
        <f t="shared" si="20"/>
        <v>#N/A</v>
      </c>
      <c r="Z167" t="e">
        <f t="shared" si="20"/>
        <v>#N/A</v>
      </c>
    </row>
    <row r="168" spans="1:26">
      <c r="A168">
        <f>IF(ISBLANK('[1]Точность устьев скважин'!A170),#N/A,'[1]Точность устьев скважин'!A170)</f>
        <v>197</v>
      </c>
      <c r="B168">
        <f>IF(ISBLANK('[1]Точность устьев скважин'!B170),#N/A,'[1]Точность устьев скважин'!B170)</f>
        <v>52103.86</v>
      </c>
      <c r="C168">
        <f>IF(ISBLANK('[1]Точность устьев скважин'!C170),#N/A,'[1]Точность устьев скважин'!C170)</f>
        <v>29030.55</v>
      </c>
      <c r="D168">
        <f>IF(ISBLANK('[1]Точность устьев скважин'!D170),#N/A,'[1]Точность устьев скважин'!D170)</f>
        <v>63.21</v>
      </c>
      <c r="G168">
        <f>IF(ISBLANK('[1]Точность устьев скважин'!H170),#N/A,'[1]Точность устьев скважин'!H170)</f>
        <v>197</v>
      </c>
      <c r="H168">
        <f>IF(ISBLANK('[1]Точность устьев скважин'!I170),#N/A,'[1]Точность устьев скважин'!I170)</f>
        <v>52104.56</v>
      </c>
      <c r="I168">
        <f>IF(ISBLANK('[1]Точность устьев скважин'!J170),#N/A,'[1]Точность устьев скважин'!J170)</f>
        <v>29030.92</v>
      </c>
      <c r="J168">
        <f>IF(ISBLANK('[1]Точность устьев скважин'!K170),#N/A,'[1]Точность устьев скважин'!K170)</f>
        <v>63.4</v>
      </c>
      <c r="L168" s="63">
        <f t="shared" si="21"/>
        <v>0.79177016866965355</v>
      </c>
      <c r="O168" t="e">
        <f t="shared" si="15"/>
        <v>#N/A</v>
      </c>
      <c r="P168" t="e">
        <f t="shared" si="15"/>
        <v>#N/A</v>
      </c>
      <c r="Q168" t="e">
        <f t="shared" si="16"/>
        <v>#N/A</v>
      </c>
      <c r="R168" t="e">
        <f t="shared" si="16"/>
        <v>#N/A</v>
      </c>
      <c r="S168" t="e">
        <f t="shared" si="17"/>
        <v>#N/A</v>
      </c>
      <c r="T168" t="e">
        <f t="shared" si="17"/>
        <v>#N/A</v>
      </c>
      <c r="U168" t="e">
        <f t="shared" si="18"/>
        <v>#N/A</v>
      </c>
      <c r="V168" t="e">
        <f t="shared" si="18"/>
        <v>#N/A</v>
      </c>
      <c r="W168" t="e">
        <f t="shared" si="19"/>
        <v>#N/A</v>
      </c>
      <c r="X168" t="e">
        <f t="shared" si="19"/>
        <v>#N/A</v>
      </c>
      <c r="Y168">
        <f t="shared" si="20"/>
        <v>52104.56</v>
      </c>
      <c r="Z168">
        <f t="shared" si="20"/>
        <v>29030.92</v>
      </c>
    </row>
    <row r="169" spans="1:26">
      <c r="A169">
        <f>IF(ISBLANK('[1]Точность устьев скважин'!A171),#N/A,'[1]Точность устьев скважин'!A171)</f>
        <v>198</v>
      </c>
      <c r="B169">
        <f>IF(ISBLANK('[1]Точность устьев скважин'!B171),#N/A,'[1]Точность устьев скважин'!B171)</f>
        <v>52097.919999999998</v>
      </c>
      <c r="C169">
        <f>IF(ISBLANK('[1]Точность устьев скважин'!C171),#N/A,'[1]Точность устьев скважин'!C171)</f>
        <v>29027.91</v>
      </c>
      <c r="D169">
        <f>IF(ISBLANK('[1]Точность устьев скважин'!D171),#N/A,'[1]Точность устьев скважин'!D171)</f>
        <v>63.21</v>
      </c>
      <c r="G169">
        <f>IF(ISBLANK('[1]Точность устьев скважин'!H171),#N/A,'[1]Точность устьев скважин'!H171)</f>
        <v>198</v>
      </c>
      <c r="H169">
        <f>IF(ISBLANK('[1]Точность устьев скважин'!I171),#N/A,'[1]Точность устьев скважин'!I171)</f>
        <v>52098.04</v>
      </c>
      <c r="I169">
        <f>IF(ISBLANK('[1]Точность устьев скважин'!J171),#N/A,'[1]Точность устьев скважин'!J171)</f>
        <v>29027.54</v>
      </c>
      <c r="J169">
        <f>IF(ISBLANK('[1]Точность устьев скважин'!K171),#N/A,'[1]Точность устьев скважин'!K171)</f>
        <v>63.33</v>
      </c>
      <c r="L169" s="63">
        <f t="shared" si="21"/>
        <v>0.38897300677537361</v>
      </c>
      <c r="O169" t="e">
        <f t="shared" ref="O169:P232" si="22">IF($L$1=0.5,IF(AND($L169&gt;0,$L169&lt;0.1),H169,#N/A),"")</f>
        <v>#N/A</v>
      </c>
      <c r="P169" t="e">
        <f t="shared" si="22"/>
        <v>#N/A</v>
      </c>
      <c r="Q169" t="e">
        <f t="shared" ref="Q169:R232" si="23">IF($L$1=0.5,IF(AND($L169&gt;=0.1,$L169&lt;0.2),H169,#N/A),"")</f>
        <v>#N/A</v>
      </c>
      <c r="R169" t="e">
        <f t="shared" si="23"/>
        <v>#N/A</v>
      </c>
      <c r="S169" t="e">
        <f t="shared" ref="S169:T232" si="24">IF($L$1=0.5,IF(AND($L169&gt;=0.2,$L169&lt;0.3),H169,#N/A),"")</f>
        <v>#N/A</v>
      </c>
      <c r="T169" t="e">
        <f t="shared" si="24"/>
        <v>#N/A</v>
      </c>
      <c r="U169">
        <f t="shared" ref="U169:V232" si="25">IF($L$1=0.5,IF(AND($L169&gt;=0.3,$L169&lt;0.4),H169,#N/A),"")</f>
        <v>52098.04</v>
      </c>
      <c r="V169">
        <f t="shared" si="25"/>
        <v>29027.54</v>
      </c>
      <c r="W169" t="e">
        <f t="shared" ref="W169:X232" si="26">IF($L$1=0.5,IF(AND($L169&gt;=0.4,$L169&lt;0.5),H169,#N/A),"")</f>
        <v>#N/A</v>
      </c>
      <c r="X169" t="e">
        <f t="shared" si="26"/>
        <v>#N/A</v>
      </c>
      <c r="Y169" t="e">
        <f t="shared" si="20"/>
        <v>#N/A</v>
      </c>
      <c r="Z169" t="e">
        <f t="shared" si="20"/>
        <v>#N/A</v>
      </c>
    </row>
    <row r="170" spans="1:26">
      <c r="A170">
        <f>IF(ISBLANK('[1]Точность устьев скважин'!A172),#N/A,'[1]Точность устьев скважин'!A172)</f>
        <v>203</v>
      </c>
      <c r="B170">
        <f>IF(ISBLANK('[1]Точность устьев скважин'!B172),#N/A,'[1]Точность устьев скважин'!B172)</f>
        <v>52152.05</v>
      </c>
      <c r="C170">
        <f>IF(ISBLANK('[1]Точность устьев скважин'!C172),#N/A,'[1]Точность устьев скважин'!C172)</f>
        <v>29058.14</v>
      </c>
      <c r="D170">
        <f>IF(ISBLANK('[1]Точность устьев скважин'!D172),#N/A,'[1]Точность устьев скважин'!D172)</f>
        <v>64.27</v>
      </c>
      <c r="G170">
        <f>IF(ISBLANK('[1]Точность устьев скважин'!H172),#N/A,'[1]Точность устьев скважин'!H172)</f>
        <v>203</v>
      </c>
      <c r="H170">
        <f>IF(ISBLANK('[1]Точность устьев скважин'!I172),#N/A,'[1]Точность устьев скважин'!I172)</f>
        <v>52152.2</v>
      </c>
      <c r="I170">
        <f>IF(ISBLANK('[1]Точность устьев скважин'!J172),#N/A,'[1]Точность устьев скважин'!J172)</f>
        <v>29058.17</v>
      </c>
      <c r="J170">
        <f>IF(ISBLANK('[1]Точность устьев скважин'!K172),#N/A,'[1]Точность устьев скважин'!K172)</f>
        <v>64.55</v>
      </c>
      <c r="L170" s="63">
        <f t="shared" si="21"/>
        <v>0.15297058540184752</v>
      </c>
      <c r="O170" t="e">
        <f t="shared" si="22"/>
        <v>#N/A</v>
      </c>
      <c r="P170" t="e">
        <f t="shared" si="22"/>
        <v>#N/A</v>
      </c>
      <c r="Q170">
        <f t="shared" si="23"/>
        <v>52152.2</v>
      </c>
      <c r="R170">
        <f t="shared" si="23"/>
        <v>29058.17</v>
      </c>
      <c r="S170" t="e">
        <f t="shared" si="24"/>
        <v>#N/A</v>
      </c>
      <c r="T170" t="e">
        <f t="shared" si="24"/>
        <v>#N/A</v>
      </c>
      <c r="U170" t="e">
        <f t="shared" si="25"/>
        <v>#N/A</v>
      </c>
      <c r="V170" t="e">
        <f t="shared" si="25"/>
        <v>#N/A</v>
      </c>
      <c r="W170" t="e">
        <f t="shared" si="26"/>
        <v>#N/A</v>
      </c>
      <c r="X170" t="e">
        <f t="shared" si="26"/>
        <v>#N/A</v>
      </c>
      <c r="Y170" t="e">
        <f t="shared" si="20"/>
        <v>#N/A</v>
      </c>
      <c r="Z170" t="e">
        <f t="shared" si="20"/>
        <v>#N/A</v>
      </c>
    </row>
    <row r="171" spans="1:26">
      <c r="A171">
        <f>IF(ISBLANK('[1]Точность устьев скважин'!A173),#N/A,'[1]Точность устьев скважин'!A173)</f>
        <v>205</v>
      </c>
      <c r="B171">
        <f>IF(ISBLANK('[1]Точность устьев скважин'!B173),#N/A,'[1]Точность устьев скважин'!B173)</f>
        <v>52141.33</v>
      </c>
      <c r="C171">
        <f>IF(ISBLANK('[1]Точность устьев скважин'!C173),#N/A,'[1]Точность устьев скважин'!C173)</f>
        <v>29056.13</v>
      </c>
      <c r="D171">
        <f>IF(ISBLANK('[1]Точность устьев скважин'!D173),#N/A,'[1]Точность устьев скважин'!D173)</f>
        <v>65.010000000000005</v>
      </c>
      <c r="G171">
        <f>IF(ISBLANK('[1]Точность устьев скважин'!H173),#N/A,'[1]Точность устьев скважин'!H173)</f>
        <v>205</v>
      </c>
      <c r="H171">
        <f>IF(ISBLANK('[1]Точность устьев скважин'!I173),#N/A,'[1]Точность устьев скважин'!I173)</f>
        <v>52141.01</v>
      </c>
      <c r="I171">
        <f>IF(ISBLANK('[1]Точность устьев скважин'!J173),#N/A,'[1]Точность устьев скважин'!J173)</f>
        <v>29056.25</v>
      </c>
      <c r="J171">
        <f>IF(ISBLANK('[1]Точность устьев скважин'!K173),#N/A,'[1]Точность устьев скважин'!K173)</f>
        <v>65.42</v>
      </c>
      <c r="L171" s="63">
        <f t="shared" si="21"/>
        <v>0.34176014981207109</v>
      </c>
      <c r="O171" t="e">
        <f t="shared" si="22"/>
        <v>#N/A</v>
      </c>
      <c r="P171" t="e">
        <f t="shared" si="22"/>
        <v>#N/A</v>
      </c>
      <c r="Q171" t="e">
        <f t="shared" si="23"/>
        <v>#N/A</v>
      </c>
      <c r="R171" t="e">
        <f t="shared" si="23"/>
        <v>#N/A</v>
      </c>
      <c r="S171" t="e">
        <f t="shared" si="24"/>
        <v>#N/A</v>
      </c>
      <c r="T171" t="e">
        <f t="shared" si="24"/>
        <v>#N/A</v>
      </c>
      <c r="U171">
        <f t="shared" si="25"/>
        <v>52141.01</v>
      </c>
      <c r="V171">
        <f t="shared" si="25"/>
        <v>29056.25</v>
      </c>
      <c r="W171" t="e">
        <f t="shared" si="26"/>
        <v>#N/A</v>
      </c>
      <c r="X171" t="e">
        <f t="shared" si="26"/>
        <v>#N/A</v>
      </c>
      <c r="Y171" t="e">
        <f t="shared" si="20"/>
        <v>#N/A</v>
      </c>
      <c r="Z171" t="e">
        <f t="shared" si="20"/>
        <v>#N/A</v>
      </c>
    </row>
    <row r="172" spans="1:26">
      <c r="A172">
        <f>IF(ISBLANK('[1]Точность устьев скважин'!A174),#N/A,'[1]Точность устьев скважин'!A174)</f>
        <v>206</v>
      </c>
      <c r="B172">
        <f>IF(ISBLANK('[1]Точность устьев скважин'!B174),#N/A,'[1]Точность устьев скважин'!B174)</f>
        <v>52138.97</v>
      </c>
      <c r="C172">
        <f>IF(ISBLANK('[1]Точность устьев скважин'!C174),#N/A,'[1]Точность устьев скважин'!C174)</f>
        <v>29054.25</v>
      </c>
      <c r="D172">
        <f>IF(ISBLANK('[1]Точность устьев скважин'!D174),#N/A,'[1]Точность устьев скважин'!D174)</f>
        <v>65.48</v>
      </c>
      <c r="G172">
        <f>IF(ISBLANK('[1]Точность устьев скважин'!H174),#N/A,'[1]Точность устьев скважин'!H174)</f>
        <v>206</v>
      </c>
      <c r="H172">
        <f>IF(ISBLANK('[1]Точность устьев скважин'!I174),#N/A,'[1]Точность устьев скважин'!I174)</f>
        <v>52138.69</v>
      </c>
      <c r="I172">
        <f>IF(ISBLANK('[1]Точность устьев скважин'!J174),#N/A,'[1]Точность устьев скважин'!J174)</f>
        <v>29054.52</v>
      </c>
      <c r="J172">
        <f>IF(ISBLANK('[1]Точность устьев скважин'!K174),#N/A,'[1]Точность устьев скважин'!K174)</f>
        <v>65.739999999999995</v>
      </c>
      <c r="L172" s="63">
        <f t="shared" si="21"/>
        <v>0.38897300677499952</v>
      </c>
      <c r="O172" t="e">
        <f t="shared" si="22"/>
        <v>#N/A</v>
      </c>
      <c r="P172" t="e">
        <f t="shared" si="22"/>
        <v>#N/A</v>
      </c>
      <c r="Q172" t="e">
        <f t="shared" si="23"/>
        <v>#N/A</v>
      </c>
      <c r="R172" t="e">
        <f t="shared" si="23"/>
        <v>#N/A</v>
      </c>
      <c r="S172" t="e">
        <f t="shared" si="24"/>
        <v>#N/A</v>
      </c>
      <c r="T172" t="e">
        <f t="shared" si="24"/>
        <v>#N/A</v>
      </c>
      <c r="U172">
        <f t="shared" si="25"/>
        <v>52138.69</v>
      </c>
      <c r="V172">
        <f t="shared" si="25"/>
        <v>29054.52</v>
      </c>
      <c r="W172" t="e">
        <f t="shared" si="26"/>
        <v>#N/A</v>
      </c>
      <c r="X172" t="e">
        <f t="shared" si="26"/>
        <v>#N/A</v>
      </c>
      <c r="Y172" t="e">
        <f t="shared" si="20"/>
        <v>#N/A</v>
      </c>
      <c r="Z172" t="e">
        <f t="shared" si="20"/>
        <v>#N/A</v>
      </c>
    </row>
    <row r="173" spans="1:26">
      <c r="A173">
        <f>IF(ISBLANK('[1]Точность устьев скважин'!A175),#N/A,'[1]Точность устьев скважин'!A175)</f>
        <v>215</v>
      </c>
      <c r="B173">
        <f>IF(ISBLANK('[1]Точность устьев скважин'!B175),#N/A,'[1]Точность устьев скважин'!B175)</f>
        <v>52098.61</v>
      </c>
      <c r="C173">
        <f>IF(ISBLANK('[1]Точность устьев скважин'!C175),#N/A,'[1]Точность устьев скважин'!C175)</f>
        <v>29034.34</v>
      </c>
      <c r="D173">
        <f>IF(ISBLANK('[1]Точность устьев скважин'!D175),#N/A,'[1]Точность устьев скважин'!D175)</f>
        <v>63.22</v>
      </c>
      <c r="G173">
        <f>IF(ISBLANK('[1]Точность устьев скважин'!H175),#N/A,'[1]Точность устьев скважин'!H175)</f>
        <v>215</v>
      </c>
      <c r="H173">
        <f>IF(ISBLANK('[1]Точность устьев скважин'!I175),#N/A,'[1]Точность устьев скважин'!I175)</f>
        <v>52098.23</v>
      </c>
      <c r="I173">
        <f>IF(ISBLANK('[1]Точность устьев скважин'!J175),#N/A,'[1]Точность устьев скважин'!J175)</f>
        <v>29033.98</v>
      </c>
      <c r="J173">
        <f>IF(ISBLANK('[1]Точность устьев скважин'!K175),#N/A,'[1]Точность устьев скважин'!K175)</f>
        <v>63.34</v>
      </c>
      <c r="L173" s="63">
        <f t="shared" si="21"/>
        <v>0.52345009313059487</v>
      </c>
      <c r="O173" t="e">
        <f t="shared" si="22"/>
        <v>#N/A</v>
      </c>
      <c r="P173" t="e">
        <f t="shared" si="22"/>
        <v>#N/A</v>
      </c>
      <c r="Q173" t="e">
        <f t="shared" si="23"/>
        <v>#N/A</v>
      </c>
      <c r="R173" t="e">
        <f t="shared" si="23"/>
        <v>#N/A</v>
      </c>
      <c r="S173" t="e">
        <f t="shared" si="24"/>
        <v>#N/A</v>
      </c>
      <c r="T173" t="e">
        <f t="shared" si="24"/>
        <v>#N/A</v>
      </c>
      <c r="U173" t="e">
        <f t="shared" si="25"/>
        <v>#N/A</v>
      </c>
      <c r="V173" t="e">
        <f t="shared" si="25"/>
        <v>#N/A</v>
      </c>
      <c r="W173" t="e">
        <f t="shared" si="26"/>
        <v>#N/A</v>
      </c>
      <c r="X173" t="e">
        <f t="shared" si="26"/>
        <v>#N/A</v>
      </c>
      <c r="Y173">
        <f t="shared" si="20"/>
        <v>52098.23</v>
      </c>
      <c r="Z173">
        <f t="shared" si="20"/>
        <v>29033.98</v>
      </c>
    </row>
    <row r="174" spans="1:26">
      <c r="A174">
        <f>IF(ISBLANK('[1]Точность устьев скважин'!A176),#N/A,'[1]Точность устьев скважин'!A176)</f>
        <v>221</v>
      </c>
      <c r="B174">
        <f>IF(ISBLANK('[1]Точность устьев скважин'!B176),#N/A,'[1]Точность устьев скважин'!B176)</f>
        <v>52153.38</v>
      </c>
      <c r="C174">
        <f>IF(ISBLANK('[1]Точность устьев скважин'!C176),#N/A,'[1]Точность устьев скважин'!C176)</f>
        <v>29064.9</v>
      </c>
      <c r="D174">
        <f>IF(ISBLANK('[1]Точность устьев скважин'!D176),#N/A,'[1]Точность устьев скважин'!D176)</f>
        <v>64.25</v>
      </c>
      <c r="G174">
        <f>IF(ISBLANK('[1]Точность устьев скважин'!H176),#N/A,'[1]Точность устьев скважин'!H176)</f>
        <v>221</v>
      </c>
      <c r="H174">
        <f>IF(ISBLANK('[1]Точность устьев скважин'!I176),#N/A,'[1]Точность устьев скважин'!I176)</f>
        <v>52153.27</v>
      </c>
      <c r="I174">
        <f>IF(ISBLANK('[1]Точность устьев скважин'!J176),#N/A,'[1]Точность устьев скважин'!J176)</f>
        <v>29064.71</v>
      </c>
      <c r="J174">
        <f>IF(ISBLANK('[1]Точность устьев скважин'!K176),#N/A,'[1]Точность устьев скважин'!K176)</f>
        <v>64.459999999999994</v>
      </c>
      <c r="L174" s="63">
        <f t="shared" si="21"/>
        <v>0.2195449840033081</v>
      </c>
      <c r="O174" t="e">
        <f t="shared" si="22"/>
        <v>#N/A</v>
      </c>
      <c r="P174" t="e">
        <f t="shared" si="22"/>
        <v>#N/A</v>
      </c>
      <c r="Q174" t="e">
        <f t="shared" si="23"/>
        <v>#N/A</v>
      </c>
      <c r="R174" t="e">
        <f t="shared" si="23"/>
        <v>#N/A</v>
      </c>
      <c r="S174">
        <f t="shared" si="24"/>
        <v>52153.27</v>
      </c>
      <c r="T174">
        <f t="shared" si="24"/>
        <v>29064.71</v>
      </c>
      <c r="U174" t="e">
        <f t="shared" si="25"/>
        <v>#N/A</v>
      </c>
      <c r="V174" t="e">
        <f t="shared" si="25"/>
        <v>#N/A</v>
      </c>
      <c r="W174" t="e">
        <f t="shared" si="26"/>
        <v>#N/A</v>
      </c>
      <c r="X174" t="e">
        <f t="shared" si="26"/>
        <v>#N/A</v>
      </c>
      <c r="Y174" t="e">
        <f t="shared" si="20"/>
        <v>#N/A</v>
      </c>
      <c r="Z174" t="e">
        <f t="shared" si="20"/>
        <v>#N/A</v>
      </c>
    </row>
    <row r="175" spans="1:26">
      <c r="A175">
        <f>IF(ISBLANK('[1]Точность устьев скважин'!A177),#N/A,'[1]Точность устьев скважин'!A177)</f>
        <v>222</v>
      </c>
      <c r="B175">
        <f>IF(ISBLANK('[1]Точность устьев скважин'!B177),#N/A,'[1]Точность устьев скважин'!B177)</f>
        <v>52147.44</v>
      </c>
      <c r="C175">
        <f>IF(ISBLANK('[1]Точность устьев скважин'!C177),#N/A,'[1]Точность устьев скважин'!C177)</f>
        <v>29062.25</v>
      </c>
      <c r="D175">
        <f>IF(ISBLANK('[1]Точность устьев скважин'!D177),#N/A,'[1]Точность устьев скважин'!D177)</f>
        <v>64.739999999999995</v>
      </c>
      <c r="G175">
        <f>IF(ISBLANK('[1]Точность устьев скважин'!H177),#N/A,'[1]Точность устьев скважин'!H177)</f>
        <v>222</v>
      </c>
      <c r="H175">
        <f>IF(ISBLANK('[1]Точность устьев скважин'!I177),#N/A,'[1]Точность устьев скважин'!I177)</f>
        <v>52147.55</v>
      </c>
      <c r="I175">
        <f>IF(ISBLANK('[1]Точность устьев скважин'!J177),#N/A,'[1]Точность устьев скважин'!J177)</f>
        <v>29062.25</v>
      </c>
      <c r="J175">
        <f>IF(ISBLANK('[1]Точность устьев скважин'!K177),#N/A,'[1]Точность устьев скважин'!K177)</f>
        <v>64.739999999999995</v>
      </c>
      <c r="L175" s="63">
        <f t="shared" si="21"/>
        <v>0.11000000000058208</v>
      </c>
      <c r="O175" t="e">
        <f t="shared" si="22"/>
        <v>#N/A</v>
      </c>
      <c r="P175" t="e">
        <f t="shared" si="22"/>
        <v>#N/A</v>
      </c>
      <c r="Q175">
        <f t="shared" si="23"/>
        <v>52147.55</v>
      </c>
      <c r="R175">
        <f t="shared" si="23"/>
        <v>29062.25</v>
      </c>
      <c r="S175" t="e">
        <f t="shared" si="24"/>
        <v>#N/A</v>
      </c>
      <c r="T175" t="e">
        <f t="shared" si="24"/>
        <v>#N/A</v>
      </c>
      <c r="U175" t="e">
        <f t="shared" si="25"/>
        <v>#N/A</v>
      </c>
      <c r="V175" t="e">
        <f t="shared" si="25"/>
        <v>#N/A</v>
      </c>
      <c r="W175" t="e">
        <f t="shared" si="26"/>
        <v>#N/A</v>
      </c>
      <c r="X175" t="e">
        <f t="shared" si="26"/>
        <v>#N/A</v>
      </c>
      <c r="Y175" t="e">
        <f t="shared" si="20"/>
        <v>#N/A</v>
      </c>
      <c r="Z175" t="e">
        <f t="shared" si="20"/>
        <v>#N/A</v>
      </c>
    </row>
    <row r="176" spans="1:26">
      <c r="A176">
        <f>IF(ISBLANK('[1]Точность устьев скважин'!A178),#N/A,'[1]Точность устьев скважин'!A178)</f>
        <v>223</v>
      </c>
      <c r="B176">
        <f>IF(ISBLANK('[1]Точность устьев скважин'!B178),#N/A,'[1]Точность устьев скважин'!B178)</f>
        <v>52141.51</v>
      </c>
      <c r="C176">
        <f>IF(ISBLANK('[1]Точность устьев скважин'!C178),#N/A,'[1]Точность устьев скважин'!C178)</f>
        <v>29059.61</v>
      </c>
      <c r="D176">
        <f>IF(ISBLANK('[1]Точность устьев скважин'!D178),#N/A,'[1]Точность устьев скважин'!D178)</f>
        <v>65.16</v>
      </c>
      <c r="G176">
        <f>IF(ISBLANK('[1]Точность устьев скважин'!H178),#N/A,'[1]Точность устьев скважин'!H178)</f>
        <v>223</v>
      </c>
      <c r="H176">
        <f>IF(ISBLANK('[1]Точность устьев скважин'!I178),#N/A,'[1]Точность устьев скважин'!I178)</f>
        <v>52141.33</v>
      </c>
      <c r="I176">
        <f>IF(ISBLANK('[1]Точность устьев скважин'!J178),#N/A,'[1]Точность устьев скважин'!J178)</f>
        <v>29059.599999999999</v>
      </c>
      <c r="J176">
        <f>IF(ISBLANK('[1]Точность устьев скважин'!K178),#N/A,'[1]Точность устьев скважин'!K178)</f>
        <v>65.14</v>
      </c>
      <c r="L176" s="63">
        <f t="shared" si="21"/>
        <v>0.18027756377360307</v>
      </c>
      <c r="O176" t="e">
        <f t="shared" si="22"/>
        <v>#N/A</v>
      </c>
      <c r="P176" t="e">
        <f t="shared" si="22"/>
        <v>#N/A</v>
      </c>
      <c r="Q176">
        <f t="shared" si="23"/>
        <v>52141.33</v>
      </c>
      <c r="R176">
        <f t="shared" si="23"/>
        <v>29059.599999999999</v>
      </c>
      <c r="S176" t="e">
        <f t="shared" si="24"/>
        <v>#N/A</v>
      </c>
      <c r="T176" t="e">
        <f t="shared" si="24"/>
        <v>#N/A</v>
      </c>
      <c r="U176" t="e">
        <f t="shared" si="25"/>
        <v>#N/A</v>
      </c>
      <c r="V176" t="e">
        <f t="shared" si="25"/>
        <v>#N/A</v>
      </c>
      <c r="W176" t="e">
        <f t="shared" si="26"/>
        <v>#N/A</v>
      </c>
      <c r="X176" t="e">
        <f t="shared" si="26"/>
        <v>#N/A</v>
      </c>
      <c r="Y176" t="e">
        <f t="shared" si="20"/>
        <v>#N/A</v>
      </c>
      <c r="Z176" t="e">
        <f t="shared" si="20"/>
        <v>#N/A</v>
      </c>
    </row>
    <row r="177" spans="1:26">
      <c r="A177">
        <f>IF(ISBLANK('[1]Точность устьев скважин'!A179),#N/A,'[1]Точность устьев скважин'!A179)</f>
        <v>224</v>
      </c>
      <c r="B177">
        <f>IF(ISBLANK('[1]Точность устьев скважин'!B179),#N/A,'[1]Точность устьев скважин'!B179)</f>
        <v>52135.57</v>
      </c>
      <c r="C177">
        <f>IF(ISBLANK('[1]Точность устьев скважин'!C179),#N/A,'[1]Точность устьев скважин'!C179)</f>
        <v>29056.959999999999</v>
      </c>
      <c r="D177">
        <f>IF(ISBLANK('[1]Точность устьев скважин'!D179),#N/A,'[1]Точность устьев скважин'!D179)</f>
        <v>65.59</v>
      </c>
      <c r="G177">
        <f>IF(ISBLANK('[1]Точность устьев скважин'!H179),#N/A,'[1]Точность устьев скважин'!H179)</f>
        <v>224</v>
      </c>
      <c r="H177">
        <f>IF(ISBLANK('[1]Точность устьев скважин'!I179),#N/A,'[1]Точность устьев скважин'!I179)</f>
        <v>52135.18</v>
      </c>
      <c r="I177">
        <f>IF(ISBLANK('[1]Точность устьев скважин'!J179),#N/A,'[1]Точность устьев скважин'!J179)</f>
        <v>29057.06</v>
      </c>
      <c r="J177">
        <f>IF(ISBLANK('[1]Точность устьев скважин'!K179),#N/A,'[1]Точность устьев скважин'!K179)</f>
        <v>65.8</v>
      </c>
      <c r="L177" s="63">
        <f t="shared" si="21"/>
        <v>0.40261644278392622</v>
      </c>
      <c r="O177" t="e">
        <f t="shared" si="22"/>
        <v>#N/A</v>
      </c>
      <c r="P177" t="e">
        <f t="shared" si="22"/>
        <v>#N/A</v>
      </c>
      <c r="Q177" t="e">
        <f t="shared" si="23"/>
        <v>#N/A</v>
      </c>
      <c r="R177" t="e">
        <f t="shared" si="23"/>
        <v>#N/A</v>
      </c>
      <c r="S177" t="e">
        <f t="shared" si="24"/>
        <v>#N/A</v>
      </c>
      <c r="T177" t="e">
        <f t="shared" si="24"/>
        <v>#N/A</v>
      </c>
      <c r="U177" t="e">
        <f t="shared" si="25"/>
        <v>#N/A</v>
      </c>
      <c r="V177" t="e">
        <f t="shared" si="25"/>
        <v>#N/A</v>
      </c>
      <c r="W177">
        <f t="shared" si="26"/>
        <v>52135.18</v>
      </c>
      <c r="X177">
        <f t="shared" si="26"/>
        <v>29057.06</v>
      </c>
      <c r="Y177" t="e">
        <f t="shared" si="20"/>
        <v>#N/A</v>
      </c>
      <c r="Z177" t="e">
        <f t="shared" si="20"/>
        <v>#N/A</v>
      </c>
    </row>
    <row r="178" spans="1:26">
      <c r="A178">
        <f>IF(ISBLANK('[1]Точность устьев скважин'!A180),#N/A,'[1]Точность устьев скважин'!A180)</f>
        <v>225</v>
      </c>
      <c r="B178">
        <f>IF(ISBLANK('[1]Точность устьев скважин'!B180),#N/A,'[1]Точность устьев скважин'!B180)</f>
        <v>52129.46</v>
      </c>
      <c r="C178">
        <f>IF(ISBLANK('[1]Точность устьев скважин'!C180),#N/A,'[1]Точность устьев скважин'!C180)</f>
        <v>29054.87</v>
      </c>
      <c r="D178">
        <f>IF(ISBLANK('[1]Точность устьев скважин'!D180),#N/A,'[1]Точность устьев скважин'!D180)</f>
        <v>66.040000000000006</v>
      </c>
      <c r="G178">
        <f>IF(ISBLANK('[1]Точность устьев скважин'!H180),#N/A,'[1]Точность устьев скважин'!H180)</f>
        <v>225</v>
      </c>
      <c r="H178">
        <f>IF(ISBLANK('[1]Точность устьев скважин'!I180),#N/A,'[1]Точность устьев скважин'!I180)</f>
        <v>52129.38</v>
      </c>
      <c r="I178">
        <f>IF(ISBLANK('[1]Точность устьев скважин'!J180),#N/A,'[1]Точность устьев скважин'!J180)</f>
        <v>29054.65</v>
      </c>
      <c r="J178">
        <f>IF(ISBLANK('[1]Точность устьев скважин'!K180),#N/A,'[1]Точность устьев скважин'!K180)</f>
        <v>66.239999999999995</v>
      </c>
      <c r="L178" s="63">
        <f t="shared" si="21"/>
        <v>0.23409399821266438</v>
      </c>
      <c r="O178" t="e">
        <f t="shared" si="22"/>
        <v>#N/A</v>
      </c>
      <c r="P178" t="e">
        <f t="shared" si="22"/>
        <v>#N/A</v>
      </c>
      <c r="Q178" t="e">
        <f t="shared" si="23"/>
        <v>#N/A</v>
      </c>
      <c r="R178" t="e">
        <f t="shared" si="23"/>
        <v>#N/A</v>
      </c>
      <c r="S178">
        <f t="shared" si="24"/>
        <v>52129.38</v>
      </c>
      <c r="T178">
        <f t="shared" si="24"/>
        <v>29054.65</v>
      </c>
      <c r="U178" t="e">
        <f t="shared" si="25"/>
        <v>#N/A</v>
      </c>
      <c r="V178" t="e">
        <f t="shared" si="25"/>
        <v>#N/A</v>
      </c>
      <c r="W178" t="e">
        <f t="shared" si="26"/>
        <v>#N/A</v>
      </c>
      <c r="X178" t="e">
        <f t="shared" si="26"/>
        <v>#N/A</v>
      </c>
      <c r="Y178" t="e">
        <f t="shared" si="20"/>
        <v>#N/A</v>
      </c>
      <c r="Z178" t="e">
        <f t="shared" si="20"/>
        <v>#N/A</v>
      </c>
    </row>
    <row r="179" spans="1:26">
      <c r="A179">
        <f>IF(ISBLANK('[1]Точность устьев скважин'!A181),#N/A,'[1]Точность устьев скважин'!A181)</f>
        <v>226</v>
      </c>
      <c r="B179">
        <f>IF(ISBLANK('[1]Точность устьев скважин'!B181),#N/A,'[1]Точность устьев скважин'!B181)</f>
        <v>52123.48</v>
      </c>
      <c r="C179">
        <f>IF(ISBLANK('[1]Точность устьев скважин'!C181),#N/A,'[1]Точность устьев скважин'!C181)</f>
        <v>29052.21</v>
      </c>
      <c r="D179">
        <f>IF(ISBLANK('[1]Точность устьев скважин'!D181),#N/A,'[1]Точность устьев скважин'!D181)</f>
        <v>66.69</v>
      </c>
      <c r="G179">
        <f>IF(ISBLANK('[1]Точность устьев скважин'!H181),#N/A,'[1]Точность устьев скважин'!H181)</f>
        <v>226</v>
      </c>
      <c r="H179">
        <f>IF(ISBLANK('[1]Точность устьев скважин'!I181),#N/A,'[1]Точность устьев скважин'!I181)</f>
        <v>52123.63</v>
      </c>
      <c r="I179">
        <f>IF(ISBLANK('[1]Точность устьев скважин'!J181),#N/A,'[1]Точность устьев скважин'!J181)</f>
        <v>29052.21</v>
      </c>
      <c r="J179">
        <f>IF(ISBLANK('[1]Точность устьев скважин'!K181),#N/A,'[1]Точность устьев скважин'!K181)</f>
        <v>66.63</v>
      </c>
      <c r="L179" s="63">
        <f t="shared" si="21"/>
        <v>0.14999999999417923</v>
      </c>
      <c r="O179" t="e">
        <f t="shared" si="22"/>
        <v>#N/A</v>
      </c>
      <c r="P179" t="e">
        <f t="shared" si="22"/>
        <v>#N/A</v>
      </c>
      <c r="Q179">
        <f t="shared" si="23"/>
        <v>52123.63</v>
      </c>
      <c r="R179">
        <f t="shared" si="23"/>
        <v>29052.21</v>
      </c>
      <c r="S179" t="e">
        <f t="shared" si="24"/>
        <v>#N/A</v>
      </c>
      <c r="T179" t="e">
        <f t="shared" si="24"/>
        <v>#N/A</v>
      </c>
      <c r="U179" t="e">
        <f t="shared" si="25"/>
        <v>#N/A</v>
      </c>
      <c r="V179" t="e">
        <f t="shared" si="25"/>
        <v>#N/A</v>
      </c>
      <c r="W179" t="e">
        <f t="shared" si="26"/>
        <v>#N/A</v>
      </c>
      <c r="X179" t="e">
        <f t="shared" si="26"/>
        <v>#N/A</v>
      </c>
      <c r="Y179" t="e">
        <f t="shared" si="20"/>
        <v>#N/A</v>
      </c>
      <c r="Z179" t="e">
        <f t="shared" si="20"/>
        <v>#N/A</v>
      </c>
    </row>
    <row r="180" spans="1:26">
      <c r="A180">
        <f>IF(ISBLANK('[1]Точность устьев скважин'!A182),#N/A,'[1]Точность устьев скважин'!A182)</f>
        <v>227</v>
      </c>
      <c r="B180">
        <f>IF(ISBLANK('[1]Точность устьев скважин'!B182),#N/A,'[1]Точность устьев скважин'!B182)</f>
        <v>52117.75</v>
      </c>
      <c r="C180">
        <f>IF(ISBLANK('[1]Точность устьев скважин'!C182),#N/A,'[1]Точность устьев скважин'!C182)</f>
        <v>29049.03</v>
      </c>
      <c r="D180">
        <f>IF(ISBLANK('[1]Точность устьев скважин'!D182),#N/A,'[1]Точность устьев скважин'!D182)</f>
        <v>67.13</v>
      </c>
      <c r="G180">
        <f>IF(ISBLANK('[1]Точность устьев скважин'!H182),#N/A,'[1]Точность устьев скважин'!H182)</f>
        <v>227</v>
      </c>
      <c r="H180">
        <f>IF(ISBLANK('[1]Точность устьев скважин'!I182),#N/A,'[1]Точность устьев скважин'!I182)</f>
        <v>52117.81</v>
      </c>
      <c r="I180">
        <f>IF(ISBLANK('[1]Точность устьев скважин'!J182),#N/A,'[1]Точность устьев скважин'!J182)</f>
        <v>29049.55</v>
      </c>
      <c r="J180">
        <f>IF(ISBLANK('[1]Точность устьев скважин'!K182),#N/A,'[1]Точность устьев скважин'!K182)</f>
        <v>67.33</v>
      </c>
      <c r="L180" s="63">
        <f t="shared" si="21"/>
        <v>0.52345009313226276</v>
      </c>
      <c r="O180" t="e">
        <f t="shared" si="22"/>
        <v>#N/A</v>
      </c>
      <c r="P180" t="e">
        <f t="shared" si="22"/>
        <v>#N/A</v>
      </c>
      <c r="Q180" t="e">
        <f t="shared" si="23"/>
        <v>#N/A</v>
      </c>
      <c r="R180" t="e">
        <f t="shared" si="23"/>
        <v>#N/A</v>
      </c>
      <c r="S180" t="e">
        <f t="shared" si="24"/>
        <v>#N/A</v>
      </c>
      <c r="T180" t="e">
        <f t="shared" si="24"/>
        <v>#N/A</v>
      </c>
      <c r="U180" t="e">
        <f t="shared" si="25"/>
        <v>#N/A</v>
      </c>
      <c r="V180" t="e">
        <f t="shared" si="25"/>
        <v>#N/A</v>
      </c>
      <c r="W180" t="e">
        <f t="shared" si="26"/>
        <v>#N/A</v>
      </c>
      <c r="X180" t="e">
        <f t="shared" si="26"/>
        <v>#N/A</v>
      </c>
      <c r="Y180">
        <f t="shared" si="20"/>
        <v>52117.81</v>
      </c>
      <c r="Z180">
        <f t="shared" si="20"/>
        <v>29049.55</v>
      </c>
    </row>
    <row r="181" spans="1:26">
      <c r="A181">
        <f>IF(ISBLANK('[1]Точность устьев скважин'!A183),#N/A,'[1]Точность устьев скважин'!A183)</f>
        <v>229</v>
      </c>
      <c r="B181">
        <f>IF(ISBLANK('[1]Точность устьев скважин'!B183),#N/A,'[1]Точность устьев скважин'!B183)</f>
        <v>52104.19</v>
      </c>
      <c r="C181">
        <f>IF(ISBLANK('[1]Точность устьев скважин'!C183),#N/A,'[1]Точность устьев скважин'!C183)</f>
        <v>29042.01</v>
      </c>
      <c r="D181">
        <f>IF(ISBLANK('[1]Точность устьев скважин'!D183),#N/A,'[1]Точность устьев скважин'!D183)</f>
        <v>63.39</v>
      </c>
      <c r="G181">
        <f>IF(ISBLANK('[1]Точность устьев скважин'!H183),#N/A,'[1]Точность устьев скважин'!H183)</f>
        <v>229</v>
      </c>
      <c r="H181">
        <f>IF(ISBLANK('[1]Точность устьев скважин'!I183),#N/A,'[1]Точность устьев скважин'!I183)</f>
        <v>52103.89</v>
      </c>
      <c r="I181">
        <f>IF(ISBLANK('[1]Точность устьев скважин'!J183),#N/A,'[1]Точность устьев скважин'!J183)</f>
        <v>29042.09</v>
      </c>
      <c r="J181">
        <f>IF(ISBLANK('[1]Точность устьев скважин'!K183),#N/A,'[1]Точность устьев скважин'!K183)</f>
        <v>63.46</v>
      </c>
      <c r="L181" s="63">
        <f t="shared" si="21"/>
        <v>0.31048349392846253</v>
      </c>
      <c r="O181" t="e">
        <f t="shared" si="22"/>
        <v>#N/A</v>
      </c>
      <c r="P181" t="e">
        <f t="shared" si="22"/>
        <v>#N/A</v>
      </c>
      <c r="Q181" t="e">
        <f t="shared" si="23"/>
        <v>#N/A</v>
      </c>
      <c r="R181" t="e">
        <f t="shared" si="23"/>
        <v>#N/A</v>
      </c>
      <c r="S181" t="e">
        <f t="shared" si="24"/>
        <v>#N/A</v>
      </c>
      <c r="T181" t="e">
        <f t="shared" si="24"/>
        <v>#N/A</v>
      </c>
      <c r="U181">
        <f t="shared" si="25"/>
        <v>52103.89</v>
      </c>
      <c r="V181">
        <f t="shared" si="25"/>
        <v>29042.09</v>
      </c>
      <c r="W181" t="e">
        <f t="shared" si="26"/>
        <v>#N/A</v>
      </c>
      <c r="X181" t="e">
        <f t="shared" si="26"/>
        <v>#N/A</v>
      </c>
      <c r="Y181" t="e">
        <f t="shared" si="20"/>
        <v>#N/A</v>
      </c>
      <c r="Z181" t="e">
        <f t="shared" si="20"/>
        <v>#N/A</v>
      </c>
    </row>
    <row r="182" spans="1:26">
      <c r="A182">
        <f>IF(ISBLANK('[1]Точность устьев скважин'!A184),#N/A,'[1]Точность устьев скважин'!A184)</f>
        <v>230</v>
      </c>
      <c r="B182">
        <f>IF(ISBLANK('[1]Точность устьев скважин'!B184),#N/A,'[1]Точность устьев скважин'!B184)</f>
        <v>52099.51</v>
      </c>
      <c r="C182">
        <f>IF(ISBLANK('[1]Точность устьев скважин'!C184),#N/A,'[1]Точность устьев скважин'!C184)</f>
        <v>29040.04</v>
      </c>
      <c r="D182">
        <f>IF(ISBLANK('[1]Точность устьев скважин'!D184),#N/A,'[1]Точность устьев скважин'!D184)</f>
        <v>63.35</v>
      </c>
      <c r="G182">
        <f>IF(ISBLANK('[1]Точность устьев скважин'!H184),#N/A,'[1]Точность устьев скважин'!H184)</f>
        <v>230</v>
      </c>
      <c r="H182">
        <f>IF(ISBLANK('[1]Точность устьев скважин'!I184),#N/A,'[1]Точность устьев скважин'!I184)</f>
        <v>52099.79</v>
      </c>
      <c r="I182">
        <f>IF(ISBLANK('[1]Точность устьев скважин'!J184),#N/A,'[1]Точность устьев скважин'!J184)</f>
        <v>29039.51</v>
      </c>
      <c r="J182">
        <f>IF(ISBLANK('[1]Точность устьев скважин'!K184),#N/A,'[1]Точность устьев скважин'!K184)</f>
        <v>63.36</v>
      </c>
      <c r="L182" s="63">
        <f t="shared" si="21"/>
        <v>0.59941638282747189</v>
      </c>
      <c r="O182" t="e">
        <f t="shared" si="22"/>
        <v>#N/A</v>
      </c>
      <c r="P182" t="e">
        <f t="shared" si="22"/>
        <v>#N/A</v>
      </c>
      <c r="Q182" t="e">
        <f t="shared" si="23"/>
        <v>#N/A</v>
      </c>
      <c r="R182" t="e">
        <f t="shared" si="23"/>
        <v>#N/A</v>
      </c>
      <c r="S182" t="e">
        <f t="shared" si="24"/>
        <v>#N/A</v>
      </c>
      <c r="T182" t="e">
        <f t="shared" si="24"/>
        <v>#N/A</v>
      </c>
      <c r="U182" t="e">
        <f t="shared" si="25"/>
        <v>#N/A</v>
      </c>
      <c r="V182" t="e">
        <f t="shared" si="25"/>
        <v>#N/A</v>
      </c>
      <c r="W182" t="e">
        <f t="shared" si="26"/>
        <v>#N/A</v>
      </c>
      <c r="X182" t="e">
        <f t="shared" si="26"/>
        <v>#N/A</v>
      </c>
      <c r="Y182">
        <f t="shared" ref="Y182:Z245" si="27">IF($L$1=0.5,IF($L182&gt;=0.5,H182,#N/A),"")</f>
        <v>52099.79</v>
      </c>
      <c r="Z182">
        <f t="shared" si="27"/>
        <v>29039.51</v>
      </c>
    </row>
    <row r="183" spans="1:26">
      <c r="A183">
        <f>IF(ISBLANK('[1]Точность устьев скважин'!A185),#N/A,'[1]Точность устьев скважин'!A185)</f>
        <v>233</v>
      </c>
      <c r="B183">
        <f>IF(ISBLANK('[1]Точность устьев скважин'!B185),#N/A,'[1]Точность устьев скважин'!B185)</f>
        <v>52135.62</v>
      </c>
      <c r="C183">
        <f>IF(ISBLANK('[1]Точность устьев скважин'!C185),#N/A,'[1]Точность устьев скважин'!C185)</f>
        <v>29063.08</v>
      </c>
      <c r="D183">
        <f>IF(ISBLANK('[1]Точность устьев скважин'!D185),#N/A,'[1]Точность устьев скважин'!D185)</f>
        <v>65.37</v>
      </c>
      <c r="G183">
        <f>IF(ISBLANK('[1]Точность устьев скважин'!H185),#N/A,'[1]Точность устьев скважин'!H185)</f>
        <v>233</v>
      </c>
      <c r="H183">
        <f>IF(ISBLANK('[1]Точность устьев скважин'!I185),#N/A,'[1]Точность устьев скважин'!I185)</f>
        <v>52136.02</v>
      </c>
      <c r="I183">
        <f>IF(ISBLANK('[1]Точность устьев скважин'!J185),#N/A,'[1]Точность устьев скважин'!J185)</f>
        <v>29063.06</v>
      </c>
      <c r="J183">
        <f>IF(ISBLANK('[1]Точность устьев скважин'!K185),#N/A,'[1]Точность устьев скважин'!K185)</f>
        <v>65.36</v>
      </c>
      <c r="L183" s="63">
        <f t="shared" si="21"/>
        <v>0.40049968788422402</v>
      </c>
      <c r="O183" t="e">
        <f t="shared" si="22"/>
        <v>#N/A</v>
      </c>
      <c r="P183" t="e">
        <f t="shared" si="22"/>
        <v>#N/A</v>
      </c>
      <c r="Q183" t="e">
        <f t="shared" si="23"/>
        <v>#N/A</v>
      </c>
      <c r="R183" t="e">
        <f t="shared" si="23"/>
        <v>#N/A</v>
      </c>
      <c r="S183" t="e">
        <f t="shared" si="24"/>
        <v>#N/A</v>
      </c>
      <c r="T183" t="e">
        <f t="shared" si="24"/>
        <v>#N/A</v>
      </c>
      <c r="U183" t="e">
        <f t="shared" si="25"/>
        <v>#N/A</v>
      </c>
      <c r="V183" t="e">
        <f t="shared" si="25"/>
        <v>#N/A</v>
      </c>
      <c r="W183">
        <f t="shared" si="26"/>
        <v>52136.02</v>
      </c>
      <c r="X183">
        <f t="shared" si="26"/>
        <v>29063.06</v>
      </c>
      <c r="Y183" t="e">
        <f t="shared" si="27"/>
        <v>#N/A</v>
      </c>
      <c r="Z183" t="e">
        <f t="shared" si="27"/>
        <v>#N/A</v>
      </c>
    </row>
    <row r="184" spans="1:26">
      <c r="A184">
        <f>IF(ISBLANK('[1]Точность устьев скважин'!A186),#N/A,'[1]Точность устьев скважин'!A186)</f>
        <v>235</v>
      </c>
      <c r="B184">
        <f>IF(ISBLANK('[1]Точность устьев скважин'!B186),#N/A,'[1]Точность устьев скважин'!B186)</f>
        <v>52123.74</v>
      </c>
      <c r="C184">
        <f>IF(ISBLANK('[1]Точность устьев скважин'!C186),#N/A,'[1]Точность устьев скважин'!C186)</f>
        <v>29057.79</v>
      </c>
      <c r="D184">
        <f>IF(ISBLANK('[1]Точность устьев скважин'!D186),#N/A,'[1]Точность устьев скважин'!D186)</f>
        <v>66.38</v>
      </c>
      <c r="G184">
        <f>IF(ISBLANK('[1]Точность устьев скважин'!H186),#N/A,'[1]Точность устьев скважин'!H186)</f>
        <v>235</v>
      </c>
      <c r="H184">
        <f>IF(ISBLANK('[1]Точность устьев скважин'!I186),#N/A,'[1]Точность устьев скважин'!I186)</f>
        <v>52124.14</v>
      </c>
      <c r="I184">
        <f>IF(ISBLANK('[1]Точность устьев скважин'!J186),#N/A,'[1]Точность устьев скважин'!J186)</f>
        <v>29057.97</v>
      </c>
      <c r="J184">
        <f>IF(ISBLANK('[1]Точность устьев скважин'!K186),#N/A,'[1]Точность устьев скважин'!K186)</f>
        <v>66.44</v>
      </c>
      <c r="L184" s="63">
        <f t="shared" si="21"/>
        <v>0.43863424399067263</v>
      </c>
      <c r="O184" t="e">
        <f t="shared" si="22"/>
        <v>#N/A</v>
      </c>
      <c r="P184" t="e">
        <f t="shared" si="22"/>
        <v>#N/A</v>
      </c>
      <c r="Q184" t="e">
        <f t="shared" si="23"/>
        <v>#N/A</v>
      </c>
      <c r="R184" t="e">
        <f t="shared" si="23"/>
        <v>#N/A</v>
      </c>
      <c r="S184" t="e">
        <f t="shared" si="24"/>
        <v>#N/A</v>
      </c>
      <c r="T184" t="e">
        <f t="shared" si="24"/>
        <v>#N/A</v>
      </c>
      <c r="U184" t="e">
        <f t="shared" si="25"/>
        <v>#N/A</v>
      </c>
      <c r="V184" t="e">
        <f t="shared" si="25"/>
        <v>#N/A</v>
      </c>
      <c r="W184">
        <f t="shared" si="26"/>
        <v>52124.14</v>
      </c>
      <c r="X184">
        <f t="shared" si="26"/>
        <v>29057.97</v>
      </c>
      <c r="Y184" t="e">
        <f t="shared" si="27"/>
        <v>#N/A</v>
      </c>
      <c r="Z184" t="e">
        <f t="shared" si="27"/>
        <v>#N/A</v>
      </c>
    </row>
    <row r="185" spans="1:26">
      <c r="A185">
        <f>IF(ISBLANK('[1]Точность устьев скважин'!A187),#N/A,'[1]Точность устьев скважин'!A187)</f>
        <v>236</v>
      </c>
      <c r="B185">
        <f>IF(ISBLANK('[1]Точность устьев скважин'!B187),#N/A,'[1]Точность устьев скважин'!B187)</f>
        <v>52117.81</v>
      </c>
      <c r="C185">
        <f>IF(ISBLANK('[1]Точность устьев скважин'!C187),#N/A,'[1]Точность устьев скважин'!C187)</f>
        <v>29055.15</v>
      </c>
      <c r="D185">
        <f>IF(ISBLANK('[1]Точность устьев скважин'!D187),#N/A,'[1]Точность устьев скважин'!D187)</f>
        <v>67</v>
      </c>
      <c r="G185">
        <f>IF(ISBLANK('[1]Точность устьев скважин'!H187),#N/A,'[1]Точность устьев скважин'!H187)</f>
        <v>236</v>
      </c>
      <c r="H185">
        <f>IF(ISBLANK('[1]Точность устьев скважин'!I187),#N/A,'[1]Точность устьев скважин'!I187)</f>
        <v>52117.91</v>
      </c>
      <c r="I185">
        <f>IF(ISBLANK('[1]Точность устьев скважин'!J187),#N/A,'[1]Точность устьев скважин'!J187)</f>
        <v>29055.26</v>
      </c>
      <c r="J185">
        <f>IF(ISBLANK('[1]Точность устьев скважин'!K187),#N/A,'[1]Точность устьев скважин'!K187)</f>
        <v>66.989999999999995</v>
      </c>
      <c r="L185" s="63">
        <f t="shared" si="21"/>
        <v>0.14866068747483935</v>
      </c>
      <c r="O185" t="e">
        <f t="shared" si="22"/>
        <v>#N/A</v>
      </c>
      <c r="P185" t="e">
        <f t="shared" si="22"/>
        <v>#N/A</v>
      </c>
      <c r="Q185">
        <f t="shared" si="23"/>
        <v>52117.91</v>
      </c>
      <c r="R185">
        <f t="shared" si="23"/>
        <v>29055.26</v>
      </c>
      <c r="S185" t="e">
        <f t="shared" si="24"/>
        <v>#N/A</v>
      </c>
      <c r="T185" t="e">
        <f t="shared" si="24"/>
        <v>#N/A</v>
      </c>
      <c r="U185" t="e">
        <f t="shared" si="25"/>
        <v>#N/A</v>
      </c>
      <c r="V185" t="e">
        <f t="shared" si="25"/>
        <v>#N/A</v>
      </c>
      <c r="W185" t="e">
        <f t="shared" si="26"/>
        <v>#N/A</v>
      </c>
      <c r="X185" t="e">
        <f t="shared" si="26"/>
        <v>#N/A</v>
      </c>
      <c r="Y185" t="e">
        <f t="shared" si="27"/>
        <v>#N/A</v>
      </c>
      <c r="Z185" t="e">
        <f t="shared" si="27"/>
        <v>#N/A</v>
      </c>
    </row>
    <row r="186" spans="1:26">
      <c r="A186">
        <f>IF(ISBLANK('[1]Точность устьев скважин'!A188),#N/A,'[1]Точность устьев скважин'!A188)</f>
        <v>243</v>
      </c>
      <c r="B186">
        <f>IF(ISBLANK('[1]Точность устьев скважин'!B188),#N/A,'[1]Точность устьев скважин'!B188)</f>
        <v>52130.37</v>
      </c>
      <c r="C186">
        <f>IF(ISBLANK('[1]Точность устьев скважин'!C188),#N/A,'[1]Точность устьев скважин'!C188)</f>
        <v>29066.880000000001</v>
      </c>
      <c r="D186">
        <f>IF(ISBLANK('[1]Точность устьев скважин'!D188),#N/A,'[1]Точность устьев скважин'!D188)</f>
        <v>65.66</v>
      </c>
      <c r="G186">
        <f>IF(ISBLANK('[1]Точность устьев скважин'!H188),#N/A,'[1]Точность устьев скважин'!H188)</f>
        <v>243</v>
      </c>
      <c r="H186">
        <f>IF(ISBLANK('[1]Точность устьев скважин'!I188),#N/A,'[1]Точность устьев скважин'!I188)</f>
        <v>52130.82</v>
      </c>
      <c r="I186">
        <f>IF(ISBLANK('[1]Точность устьев скважин'!J188),#N/A,'[1]Точность устьев скважин'!J188)</f>
        <v>29066.84</v>
      </c>
      <c r="J186">
        <f>IF(ISBLANK('[1]Точность устьев скважин'!K188),#N/A,'[1]Точность устьев скважин'!K188)</f>
        <v>65.55</v>
      </c>
      <c r="L186" s="63">
        <f t="shared" si="21"/>
        <v>0.45177427992023905</v>
      </c>
      <c r="O186" t="e">
        <f t="shared" si="22"/>
        <v>#N/A</v>
      </c>
      <c r="P186" t="e">
        <f t="shared" si="22"/>
        <v>#N/A</v>
      </c>
      <c r="Q186" t="e">
        <f t="shared" si="23"/>
        <v>#N/A</v>
      </c>
      <c r="R186" t="e">
        <f t="shared" si="23"/>
        <v>#N/A</v>
      </c>
      <c r="S186" t="e">
        <f t="shared" si="24"/>
        <v>#N/A</v>
      </c>
      <c r="T186" t="e">
        <f t="shared" si="24"/>
        <v>#N/A</v>
      </c>
      <c r="U186" t="e">
        <f t="shared" si="25"/>
        <v>#N/A</v>
      </c>
      <c r="V186" t="e">
        <f t="shared" si="25"/>
        <v>#N/A</v>
      </c>
      <c r="W186">
        <f t="shared" si="26"/>
        <v>52130.82</v>
      </c>
      <c r="X186">
        <f t="shared" si="26"/>
        <v>29066.84</v>
      </c>
      <c r="Y186" t="e">
        <f t="shared" si="27"/>
        <v>#N/A</v>
      </c>
      <c r="Z186" t="e">
        <f t="shared" si="27"/>
        <v>#N/A</v>
      </c>
    </row>
    <row r="187" spans="1:26">
      <c r="A187">
        <f>IF(ISBLANK('[1]Точность устьев скважин'!A189),#N/A,'[1]Точность устьев скважин'!A189)</f>
        <v>244</v>
      </c>
      <c r="B187">
        <f>IF(ISBLANK('[1]Точность устьев скважин'!B189),#N/A,'[1]Точность устьев скважин'!B189)</f>
        <v>52124.44</v>
      </c>
      <c r="C187">
        <f>IF(ISBLANK('[1]Точность устьев скважин'!C189),#N/A,'[1]Точность устьев скважин'!C189)</f>
        <v>29064.23</v>
      </c>
      <c r="D187">
        <f>IF(ISBLANK('[1]Точность устьев скважин'!D189),#N/A,'[1]Точность устьев скважин'!D189)</f>
        <v>66.180000000000007</v>
      </c>
      <c r="G187">
        <f>IF(ISBLANK('[1]Точность устьев скважин'!H189),#N/A,'[1]Точность устьев скважин'!H189)</f>
        <v>244</v>
      </c>
      <c r="H187">
        <f>IF(ISBLANK('[1]Точность устьев скважин'!I189),#N/A,'[1]Точность устьев скважин'!I189)</f>
        <v>52124.71</v>
      </c>
      <c r="I187">
        <f>IF(ISBLANK('[1]Точность устьев скважин'!J189),#N/A,'[1]Точность устьев скважин'!J189)</f>
        <v>29064.04</v>
      </c>
      <c r="J187">
        <f>IF(ISBLANK('[1]Точность устьев скважин'!K189),#N/A,'[1]Точность устьев скважин'!K189)</f>
        <v>66.150000000000006</v>
      </c>
      <c r="L187" s="63">
        <f t="shared" si="21"/>
        <v>0.33015148038101172</v>
      </c>
      <c r="O187" t="e">
        <f t="shared" si="22"/>
        <v>#N/A</v>
      </c>
      <c r="P187" t="e">
        <f t="shared" si="22"/>
        <v>#N/A</v>
      </c>
      <c r="Q187" t="e">
        <f t="shared" si="23"/>
        <v>#N/A</v>
      </c>
      <c r="R187" t="e">
        <f t="shared" si="23"/>
        <v>#N/A</v>
      </c>
      <c r="S187" t="e">
        <f t="shared" si="24"/>
        <v>#N/A</v>
      </c>
      <c r="T187" t="e">
        <f t="shared" si="24"/>
        <v>#N/A</v>
      </c>
      <c r="U187">
        <f t="shared" si="25"/>
        <v>52124.71</v>
      </c>
      <c r="V187">
        <f t="shared" si="25"/>
        <v>29064.04</v>
      </c>
      <c r="W187" t="e">
        <f t="shared" si="26"/>
        <v>#N/A</v>
      </c>
      <c r="X187" t="e">
        <f t="shared" si="26"/>
        <v>#N/A</v>
      </c>
      <c r="Y187" t="e">
        <f t="shared" si="27"/>
        <v>#N/A</v>
      </c>
      <c r="Z187" t="e">
        <f t="shared" si="27"/>
        <v>#N/A</v>
      </c>
    </row>
    <row r="188" spans="1:26">
      <c r="A188">
        <f>IF(ISBLANK('[1]Точность устьев скважин'!A190),#N/A,'[1]Точность устьев скважин'!A190)</f>
        <v>245</v>
      </c>
      <c r="B188">
        <f>IF(ISBLANK('[1]Точность устьев скважин'!B190),#N/A,'[1]Точность устьев скважин'!B190)</f>
        <v>52118.5</v>
      </c>
      <c r="C188">
        <f>IF(ISBLANK('[1]Точность устьев скважин'!C190),#N/A,'[1]Точность устьев скважин'!C190)</f>
        <v>29061.59</v>
      </c>
      <c r="D188">
        <f>IF(ISBLANK('[1]Точность устьев скважин'!D190),#N/A,'[1]Точность устьев скважин'!D190)</f>
        <v>66.709999999999994</v>
      </c>
      <c r="G188">
        <f>IF(ISBLANK('[1]Точность устьев скважин'!H190),#N/A,'[1]Точность устьев скважин'!H190)</f>
        <v>245</v>
      </c>
      <c r="H188">
        <f>IF(ISBLANK('[1]Точность устьев скважин'!I190),#N/A,'[1]Точность устьев скважин'!I190)</f>
        <v>52118.64</v>
      </c>
      <c r="I188">
        <f>IF(ISBLANK('[1]Точность устьев скважин'!J190),#N/A,'[1]Точность устьев скважин'!J190)</f>
        <v>29061.79</v>
      </c>
      <c r="J188">
        <f>IF(ISBLANK('[1]Точность устьев скважин'!K190),#N/A,'[1]Точность устьев скважин'!K190)</f>
        <v>66.69</v>
      </c>
      <c r="L188" s="63">
        <f t="shared" si="21"/>
        <v>0.24413111231493634</v>
      </c>
      <c r="O188" t="e">
        <f t="shared" si="22"/>
        <v>#N/A</v>
      </c>
      <c r="P188" t="e">
        <f t="shared" si="22"/>
        <v>#N/A</v>
      </c>
      <c r="Q188" t="e">
        <f t="shared" si="23"/>
        <v>#N/A</v>
      </c>
      <c r="R188" t="e">
        <f t="shared" si="23"/>
        <v>#N/A</v>
      </c>
      <c r="S188">
        <f t="shared" si="24"/>
        <v>52118.64</v>
      </c>
      <c r="T188">
        <f t="shared" si="24"/>
        <v>29061.79</v>
      </c>
      <c r="U188" t="e">
        <f t="shared" si="25"/>
        <v>#N/A</v>
      </c>
      <c r="V188" t="e">
        <f t="shared" si="25"/>
        <v>#N/A</v>
      </c>
      <c r="W188" t="e">
        <f t="shared" si="26"/>
        <v>#N/A</v>
      </c>
      <c r="X188" t="e">
        <f t="shared" si="26"/>
        <v>#N/A</v>
      </c>
      <c r="Y188" t="e">
        <f t="shared" si="27"/>
        <v>#N/A</v>
      </c>
      <c r="Z188" t="e">
        <f t="shared" si="27"/>
        <v>#N/A</v>
      </c>
    </row>
    <row r="189" spans="1:26">
      <c r="A189">
        <f>IF(ISBLANK('[1]Точность устьев скважин'!A191),#N/A,'[1]Точность устьев скважин'!A191)</f>
        <v>246</v>
      </c>
      <c r="B189">
        <f>IF(ISBLANK('[1]Точность устьев скважин'!B191),#N/A,'[1]Точность устьев скважин'!B191)</f>
        <v>52112.56</v>
      </c>
      <c r="C189">
        <f>IF(ISBLANK('[1]Точность устьев скважин'!C191),#N/A,'[1]Точность устьев скважин'!C191)</f>
        <v>29058.94</v>
      </c>
      <c r="D189">
        <f>IF(ISBLANK('[1]Точность устьев скважин'!D191),#N/A,'[1]Точность устьев скважин'!D191)</f>
        <v>67.209999999999994</v>
      </c>
      <c r="G189">
        <f>IF(ISBLANK('[1]Точность устьев скважин'!H191),#N/A,'[1]Точность устьев скважин'!H191)</f>
        <v>246</v>
      </c>
      <c r="H189">
        <f>IF(ISBLANK('[1]Точность устьев скважин'!I191),#N/A,'[1]Точность устьев скважин'!I191)</f>
        <v>52112.38</v>
      </c>
      <c r="I189">
        <f>IF(ISBLANK('[1]Точность устьев скважин'!J191),#N/A,'[1]Точность устьев скважин'!J191)</f>
        <v>29058.880000000001</v>
      </c>
      <c r="J189">
        <f>IF(ISBLANK('[1]Точность устьев скважин'!K191),#N/A,'[1]Точность устьев скважин'!K191)</f>
        <v>67.16</v>
      </c>
      <c r="L189" s="63">
        <f t="shared" si="21"/>
        <v>0.18973665960964259</v>
      </c>
      <c r="O189" t="e">
        <f t="shared" si="22"/>
        <v>#N/A</v>
      </c>
      <c r="P189" t="e">
        <f t="shared" si="22"/>
        <v>#N/A</v>
      </c>
      <c r="Q189">
        <f t="shared" si="23"/>
        <v>52112.38</v>
      </c>
      <c r="R189">
        <f t="shared" si="23"/>
        <v>29058.880000000001</v>
      </c>
      <c r="S189" t="e">
        <f t="shared" si="24"/>
        <v>#N/A</v>
      </c>
      <c r="T189" t="e">
        <f t="shared" si="24"/>
        <v>#N/A</v>
      </c>
      <c r="U189" t="e">
        <f t="shared" si="25"/>
        <v>#N/A</v>
      </c>
      <c r="V189" t="e">
        <f t="shared" si="25"/>
        <v>#N/A</v>
      </c>
      <c r="W189" t="e">
        <f t="shared" si="26"/>
        <v>#N/A</v>
      </c>
      <c r="X189" t="e">
        <f t="shared" si="26"/>
        <v>#N/A</v>
      </c>
      <c r="Y189" t="e">
        <f t="shared" si="27"/>
        <v>#N/A</v>
      </c>
      <c r="Z189" t="e">
        <f t="shared" si="27"/>
        <v>#N/A</v>
      </c>
    </row>
    <row r="190" spans="1:26">
      <c r="A190">
        <f>IF(ISBLANK('[1]Точность устьев скважин'!A192),#N/A,'[1]Точность устьев скважин'!A192)</f>
        <v>250</v>
      </c>
      <c r="B190">
        <f>IF(ISBLANK('[1]Точность устьев скважин'!B192),#N/A,'[1]Точность устьев скважин'!B192)</f>
        <v>52125.13</v>
      </c>
      <c r="C190">
        <f>IF(ISBLANK('[1]Точность устьев скважин'!C192),#N/A,'[1]Точность устьев скважин'!C192)</f>
        <v>29070.67</v>
      </c>
      <c r="D190">
        <f>IF(ISBLANK('[1]Точность устьев скважин'!D192),#N/A,'[1]Точность устьев скважин'!D192)</f>
        <v>66.03</v>
      </c>
      <c r="G190">
        <f>IF(ISBLANK('[1]Точность устьев скважин'!H192),#N/A,'[1]Точность устьев скважин'!H192)</f>
        <v>250</v>
      </c>
      <c r="H190">
        <f>IF(ISBLANK('[1]Точность устьев скважин'!I192),#N/A,'[1]Точность устьев скважин'!I192)</f>
        <v>52125.23</v>
      </c>
      <c r="I190">
        <f>IF(ISBLANK('[1]Точность устьев скважин'!J192),#N/A,'[1]Точность устьев скважин'!J192)</f>
        <v>29070.7</v>
      </c>
      <c r="J190">
        <f>IF(ISBLANK('[1]Точность устьев скважин'!K192),#N/A,'[1]Точность устьев скважин'!K192)</f>
        <v>65.95</v>
      </c>
      <c r="L190" s="63">
        <f t="shared" si="21"/>
        <v>0.10440306509539164</v>
      </c>
      <c r="O190" t="e">
        <f t="shared" si="22"/>
        <v>#N/A</v>
      </c>
      <c r="P190" t="e">
        <f t="shared" si="22"/>
        <v>#N/A</v>
      </c>
      <c r="Q190">
        <f t="shared" si="23"/>
        <v>52125.23</v>
      </c>
      <c r="R190">
        <f t="shared" si="23"/>
        <v>29070.7</v>
      </c>
      <c r="S190" t="e">
        <f t="shared" si="24"/>
        <v>#N/A</v>
      </c>
      <c r="T190" t="e">
        <f t="shared" si="24"/>
        <v>#N/A</v>
      </c>
      <c r="U190" t="e">
        <f t="shared" si="25"/>
        <v>#N/A</v>
      </c>
      <c r="V190" t="e">
        <f t="shared" si="25"/>
        <v>#N/A</v>
      </c>
      <c r="W190" t="e">
        <f t="shared" si="26"/>
        <v>#N/A</v>
      </c>
      <c r="X190" t="e">
        <f t="shared" si="26"/>
        <v>#N/A</v>
      </c>
      <c r="Y190" t="e">
        <f t="shared" si="27"/>
        <v>#N/A</v>
      </c>
      <c r="Z190" t="e">
        <f t="shared" si="27"/>
        <v>#N/A</v>
      </c>
    </row>
    <row r="191" spans="1:26">
      <c r="A191">
        <f>IF(ISBLANK('[1]Точность устьев скважин'!A193),#N/A,'[1]Точность устьев скважин'!A193)</f>
        <v>251</v>
      </c>
      <c r="B191">
        <f>IF(ISBLANK('[1]Точность устьев скважин'!B193),#N/A,'[1]Точность устьев скважин'!B193)</f>
        <v>52119.19</v>
      </c>
      <c r="C191">
        <f>IF(ISBLANK('[1]Точность устьев скважин'!C193),#N/A,'[1]Точность устьев скважин'!C193)</f>
        <v>29068.03</v>
      </c>
      <c r="D191">
        <f>IF(ISBLANK('[1]Точность устьев скважин'!D193),#N/A,'[1]Точность устьев скважин'!D193)</f>
        <v>66.53</v>
      </c>
      <c r="G191">
        <f>IF(ISBLANK('[1]Точность устьев скважин'!H193),#N/A,'[1]Точность устьев скважин'!H193)</f>
        <v>251</v>
      </c>
      <c r="H191">
        <f>IF(ISBLANK('[1]Точность устьев скважин'!I193),#N/A,'[1]Точность устьев скважин'!I193)</f>
        <v>52119.09</v>
      </c>
      <c r="I191">
        <f>IF(ISBLANK('[1]Точность устьев скважин'!J193),#N/A,'[1]Точность устьев скважин'!J193)</f>
        <v>29067.72</v>
      </c>
      <c r="J191">
        <f>IF(ISBLANK('[1]Точность устьев скважин'!K193),#N/A,'[1]Точность устьев скважин'!K193)</f>
        <v>66.400000000000006</v>
      </c>
      <c r="L191" s="63">
        <f t="shared" si="21"/>
        <v>0.32572994949761774</v>
      </c>
      <c r="O191" t="e">
        <f t="shared" si="22"/>
        <v>#N/A</v>
      </c>
      <c r="P191" t="e">
        <f t="shared" si="22"/>
        <v>#N/A</v>
      </c>
      <c r="Q191" t="e">
        <f t="shared" si="23"/>
        <v>#N/A</v>
      </c>
      <c r="R191" t="e">
        <f t="shared" si="23"/>
        <v>#N/A</v>
      </c>
      <c r="S191" t="e">
        <f t="shared" si="24"/>
        <v>#N/A</v>
      </c>
      <c r="T191" t="e">
        <f t="shared" si="24"/>
        <v>#N/A</v>
      </c>
      <c r="U191">
        <f t="shared" si="25"/>
        <v>52119.09</v>
      </c>
      <c r="V191">
        <f t="shared" si="25"/>
        <v>29067.72</v>
      </c>
      <c r="W191" t="e">
        <f t="shared" si="26"/>
        <v>#N/A</v>
      </c>
      <c r="X191" t="e">
        <f t="shared" si="26"/>
        <v>#N/A</v>
      </c>
      <c r="Y191" t="e">
        <f t="shared" si="27"/>
        <v>#N/A</v>
      </c>
      <c r="Z191" t="e">
        <f t="shared" si="27"/>
        <v>#N/A</v>
      </c>
    </row>
    <row r="192" spans="1:26">
      <c r="A192">
        <f>IF(ISBLANK('[1]Точность устьев скважин'!A194),#N/A,'[1]Точность устьев скважин'!A194)</f>
        <v>252</v>
      </c>
      <c r="B192">
        <f>IF(ISBLANK('[1]Точность устьев скважин'!B194),#N/A,'[1]Точность устьев скважин'!B194)</f>
        <v>52113.25</v>
      </c>
      <c r="C192">
        <f>IF(ISBLANK('[1]Точность устьев скважин'!C194),#N/A,'[1]Точность устьев скважин'!C194)</f>
        <v>29065.38</v>
      </c>
      <c r="D192">
        <f>IF(ISBLANK('[1]Точность устьев скважин'!D194),#N/A,'[1]Точность устьев скважин'!D194)</f>
        <v>67.02</v>
      </c>
      <c r="G192">
        <f>IF(ISBLANK('[1]Точность устьев скважин'!H194),#N/A,'[1]Точность устьев скважин'!H194)</f>
        <v>252</v>
      </c>
      <c r="H192">
        <f>IF(ISBLANK('[1]Точность устьев скважин'!I194),#N/A,'[1]Точность устьев скважин'!I194)</f>
        <v>52113.18</v>
      </c>
      <c r="I192">
        <f>IF(ISBLANK('[1]Точность устьев скважин'!J194),#N/A,'[1]Точность устьев скважин'!J194)</f>
        <v>29065.83</v>
      </c>
      <c r="J192">
        <f>IF(ISBLANK('[1]Точность устьев скважин'!K194),#N/A,'[1]Точность устьев скважин'!K194)</f>
        <v>67.08</v>
      </c>
      <c r="L192" s="63">
        <f t="shared" si="21"/>
        <v>0.45541190147010219</v>
      </c>
      <c r="O192" t="e">
        <f t="shared" si="22"/>
        <v>#N/A</v>
      </c>
      <c r="P192" t="e">
        <f t="shared" si="22"/>
        <v>#N/A</v>
      </c>
      <c r="Q192" t="e">
        <f t="shared" si="23"/>
        <v>#N/A</v>
      </c>
      <c r="R192" t="e">
        <f t="shared" si="23"/>
        <v>#N/A</v>
      </c>
      <c r="S192" t="e">
        <f t="shared" si="24"/>
        <v>#N/A</v>
      </c>
      <c r="T192" t="e">
        <f t="shared" si="24"/>
        <v>#N/A</v>
      </c>
      <c r="U192" t="e">
        <f t="shared" si="25"/>
        <v>#N/A</v>
      </c>
      <c r="V192" t="e">
        <f t="shared" si="25"/>
        <v>#N/A</v>
      </c>
      <c r="W192">
        <f t="shared" si="26"/>
        <v>52113.18</v>
      </c>
      <c r="X192">
        <f t="shared" si="26"/>
        <v>29065.83</v>
      </c>
      <c r="Y192" t="e">
        <f t="shared" si="27"/>
        <v>#N/A</v>
      </c>
      <c r="Z192" t="e">
        <f t="shared" si="27"/>
        <v>#N/A</v>
      </c>
    </row>
    <row r="193" spans="1:26">
      <c r="A193">
        <f>IF(ISBLANK('[1]Точность устьев скважин'!A195),#N/A,'[1]Точность устьев скважин'!A195)</f>
        <v>253</v>
      </c>
      <c r="B193">
        <f>IF(ISBLANK('[1]Точность устьев скважин'!B195),#N/A,'[1]Точность устьев скважин'!B195)</f>
        <v>52107.31</v>
      </c>
      <c r="C193">
        <f>IF(ISBLANK('[1]Точность устьев скважин'!C195),#N/A,'[1]Точность устьев скважин'!C195)</f>
        <v>29062.74</v>
      </c>
      <c r="D193">
        <f>IF(ISBLANK('[1]Точность устьев скважин'!D195),#N/A,'[1]Точность устьев скважин'!D195)</f>
        <v>67.44</v>
      </c>
      <c r="G193">
        <f>IF(ISBLANK('[1]Точность устьев скважин'!H195),#N/A,'[1]Точность устьев скважин'!H195)</f>
        <v>253</v>
      </c>
      <c r="H193">
        <f>IF(ISBLANK('[1]Точность устьев скважин'!I195),#N/A,'[1]Точность устьев скважин'!I195)</f>
        <v>52107.7</v>
      </c>
      <c r="I193">
        <f>IF(ISBLANK('[1]Точность устьев скважин'!J195),#N/A,'[1]Точность устьев скважин'!J195)</f>
        <v>29062.71</v>
      </c>
      <c r="J193">
        <f>IF(ISBLANK('[1]Точность устьев скважин'!K195),#N/A,'[1]Точность устьев скважин'!K195)</f>
        <v>67.37</v>
      </c>
      <c r="L193" s="63">
        <f t="shared" si="21"/>
        <v>0.39115214431176831</v>
      </c>
      <c r="O193" t="e">
        <f t="shared" si="22"/>
        <v>#N/A</v>
      </c>
      <c r="P193" t="e">
        <f t="shared" si="22"/>
        <v>#N/A</v>
      </c>
      <c r="Q193" t="e">
        <f t="shared" si="23"/>
        <v>#N/A</v>
      </c>
      <c r="R193" t="e">
        <f t="shared" si="23"/>
        <v>#N/A</v>
      </c>
      <c r="S193" t="e">
        <f t="shared" si="24"/>
        <v>#N/A</v>
      </c>
      <c r="T193" t="e">
        <f t="shared" si="24"/>
        <v>#N/A</v>
      </c>
      <c r="U193">
        <f t="shared" si="25"/>
        <v>52107.7</v>
      </c>
      <c r="V193">
        <f t="shared" si="25"/>
        <v>29062.71</v>
      </c>
      <c r="W193" t="e">
        <f t="shared" si="26"/>
        <v>#N/A</v>
      </c>
      <c r="X193" t="e">
        <f t="shared" si="26"/>
        <v>#N/A</v>
      </c>
      <c r="Y193" t="e">
        <f t="shared" si="27"/>
        <v>#N/A</v>
      </c>
      <c r="Z193" t="e">
        <f t="shared" si="27"/>
        <v>#N/A</v>
      </c>
    </row>
    <row r="194" spans="1:26">
      <c r="A194">
        <f>IF(ISBLANK('[1]Точность устьев скважин'!A196),#N/A,'[1]Точность устьев скважин'!A196)</f>
        <v>255</v>
      </c>
      <c r="B194">
        <f>IF(ISBLANK('[1]Точность устьев скважин'!B196),#N/A,'[1]Точность устьев скважин'!B196)</f>
        <v>52119.88</v>
      </c>
      <c r="C194">
        <f>IF(ISBLANK('[1]Точность устьев скважин'!C196),#N/A,'[1]Точность устьев скважин'!C196)</f>
        <v>29074.46</v>
      </c>
      <c r="D194">
        <f>IF(ISBLANK('[1]Точность устьев скважин'!D196),#N/A,'[1]Точность устьев скважин'!D196)</f>
        <v>66.400000000000006</v>
      </c>
      <c r="G194">
        <f>IF(ISBLANK('[1]Точность устьев скважин'!H196),#N/A,'[1]Точность устьев скважин'!H196)</f>
        <v>255</v>
      </c>
      <c r="H194">
        <f>IF(ISBLANK('[1]Точность устьев скважин'!I196),#N/A,'[1]Точность устьев скважин'!I196)</f>
        <v>52119.66</v>
      </c>
      <c r="I194">
        <f>IF(ISBLANK('[1]Точность устьев скважин'!J196),#N/A,'[1]Точность устьев скважин'!J196)</f>
        <v>29074.92</v>
      </c>
      <c r="J194">
        <f>IF(ISBLANK('[1]Точность устьев скважин'!K196),#N/A,'[1]Точность устьев скважин'!K196)</f>
        <v>66.45</v>
      </c>
      <c r="L194" s="63">
        <f t="shared" si="21"/>
        <v>0.50990195135585381</v>
      </c>
      <c r="O194" t="e">
        <f t="shared" si="22"/>
        <v>#N/A</v>
      </c>
      <c r="P194" t="e">
        <f t="shared" si="22"/>
        <v>#N/A</v>
      </c>
      <c r="Q194" t="e">
        <f t="shared" si="23"/>
        <v>#N/A</v>
      </c>
      <c r="R194" t="e">
        <f t="shared" si="23"/>
        <v>#N/A</v>
      </c>
      <c r="S194" t="e">
        <f t="shared" si="24"/>
        <v>#N/A</v>
      </c>
      <c r="T194" t="e">
        <f t="shared" si="24"/>
        <v>#N/A</v>
      </c>
      <c r="U194" t="e">
        <f t="shared" si="25"/>
        <v>#N/A</v>
      </c>
      <c r="V194" t="e">
        <f t="shared" si="25"/>
        <v>#N/A</v>
      </c>
      <c r="W194" t="e">
        <f t="shared" si="26"/>
        <v>#N/A</v>
      </c>
      <c r="X194" t="e">
        <f t="shared" si="26"/>
        <v>#N/A</v>
      </c>
      <c r="Y194">
        <f t="shared" si="27"/>
        <v>52119.66</v>
      </c>
      <c r="Z194">
        <f t="shared" si="27"/>
        <v>29074.92</v>
      </c>
    </row>
    <row r="195" spans="1:26">
      <c r="A195">
        <f>IF(ISBLANK('[1]Точность устьев скважин'!A197),#N/A,'[1]Точность устьев скважин'!A197)</f>
        <v>256</v>
      </c>
      <c r="B195">
        <f>IF(ISBLANK('[1]Точность устьев скважин'!B197),#N/A,'[1]Точность устьев скважин'!B197)</f>
        <v>52113.94</v>
      </c>
      <c r="C195">
        <f>IF(ISBLANK('[1]Точность устьев скважин'!C197),#N/A,'[1]Точность устьев скважин'!C197)</f>
        <v>29071.82</v>
      </c>
      <c r="D195">
        <f>IF(ISBLANK('[1]Точность устьев скважин'!D197),#N/A,'[1]Точность устьев скважин'!D197)</f>
        <v>66.739999999999995</v>
      </c>
      <c r="G195">
        <f>IF(ISBLANK('[1]Точность устьев скважин'!H197),#N/A,'[1]Точность устьев скважин'!H197)</f>
        <v>256</v>
      </c>
      <c r="H195">
        <f>IF(ISBLANK('[1]Точность устьев скважин'!I197),#N/A,'[1]Точность устьев скважин'!I197)</f>
        <v>52114.06</v>
      </c>
      <c r="I195">
        <f>IF(ISBLANK('[1]Точность устьев скважин'!J197),#N/A,'[1]Точность устьев скважин'!J197)</f>
        <v>29071.86</v>
      </c>
      <c r="J195">
        <f>IF(ISBLANK('[1]Точность устьев скважин'!K197),#N/A,'[1]Точность устьев скважин'!K197)</f>
        <v>66.849999999999994</v>
      </c>
      <c r="L195" s="63">
        <f t="shared" si="21"/>
        <v>0.12649110640259362</v>
      </c>
      <c r="O195" t="e">
        <f t="shared" si="22"/>
        <v>#N/A</v>
      </c>
      <c r="P195" t="e">
        <f t="shared" si="22"/>
        <v>#N/A</v>
      </c>
      <c r="Q195">
        <f t="shared" si="23"/>
        <v>52114.06</v>
      </c>
      <c r="R195">
        <f t="shared" si="23"/>
        <v>29071.86</v>
      </c>
      <c r="S195" t="e">
        <f t="shared" si="24"/>
        <v>#N/A</v>
      </c>
      <c r="T195" t="e">
        <f t="shared" si="24"/>
        <v>#N/A</v>
      </c>
      <c r="U195" t="e">
        <f t="shared" si="25"/>
        <v>#N/A</v>
      </c>
      <c r="V195" t="e">
        <f t="shared" si="25"/>
        <v>#N/A</v>
      </c>
      <c r="W195" t="e">
        <f t="shared" si="26"/>
        <v>#N/A</v>
      </c>
      <c r="X195" t="e">
        <f t="shared" si="26"/>
        <v>#N/A</v>
      </c>
      <c r="Y195" t="e">
        <f t="shared" si="27"/>
        <v>#N/A</v>
      </c>
      <c r="Z195" t="e">
        <f t="shared" si="27"/>
        <v>#N/A</v>
      </c>
    </row>
    <row r="196" spans="1:26">
      <c r="A196">
        <f>IF(ISBLANK('[1]Точность устьев скважин'!A198),#N/A,'[1]Точность устьев скважин'!A198)</f>
        <v>257</v>
      </c>
      <c r="B196">
        <f>IF(ISBLANK('[1]Точность устьев скважин'!B198),#N/A,'[1]Точность устьев скважин'!B198)</f>
        <v>52109.59</v>
      </c>
      <c r="C196">
        <f>IF(ISBLANK('[1]Точность устьев скважин'!C198),#N/A,'[1]Точность устьев скважин'!C198)</f>
        <v>29068.15</v>
      </c>
      <c r="D196">
        <f>IF(ISBLANK('[1]Точность устьев скважин'!D198),#N/A,'[1]Точность устьев скважин'!D198)</f>
        <v>67.180000000000007</v>
      </c>
      <c r="G196">
        <f>IF(ISBLANK('[1]Точность устьев скважин'!H198),#N/A,'[1]Точность устьев скважин'!H198)</f>
        <v>257</v>
      </c>
      <c r="H196">
        <f>IF(ISBLANK('[1]Точность устьев скважин'!I198),#N/A,'[1]Точность устьев скважин'!I198)</f>
        <v>52109.88</v>
      </c>
      <c r="I196">
        <f>IF(ISBLANK('[1]Точность устьев скважин'!J198),#N/A,'[1]Точность устьев скважин'!J198)</f>
        <v>29068.38</v>
      </c>
      <c r="J196">
        <f>IF(ISBLANK('[1]Точность устьев скважин'!K198),#N/A,'[1]Точность устьев скважин'!K198)</f>
        <v>67.34</v>
      </c>
      <c r="L196" s="63">
        <f t="shared" ref="L196:L259" si="28">IF(B196="","",(SQRT((H196-B196)^2+(I196-C196)^2)))</f>
        <v>0.37013511046684777</v>
      </c>
      <c r="O196" t="e">
        <f t="shared" si="22"/>
        <v>#N/A</v>
      </c>
      <c r="P196" t="e">
        <f t="shared" si="22"/>
        <v>#N/A</v>
      </c>
      <c r="Q196" t="e">
        <f t="shared" si="23"/>
        <v>#N/A</v>
      </c>
      <c r="R196" t="e">
        <f t="shared" si="23"/>
        <v>#N/A</v>
      </c>
      <c r="S196" t="e">
        <f t="shared" si="24"/>
        <v>#N/A</v>
      </c>
      <c r="T196" t="e">
        <f t="shared" si="24"/>
        <v>#N/A</v>
      </c>
      <c r="U196">
        <f t="shared" si="25"/>
        <v>52109.88</v>
      </c>
      <c r="V196">
        <f t="shared" si="25"/>
        <v>29068.38</v>
      </c>
      <c r="W196" t="e">
        <f t="shared" si="26"/>
        <v>#N/A</v>
      </c>
      <c r="X196" t="e">
        <f t="shared" si="26"/>
        <v>#N/A</v>
      </c>
      <c r="Y196" t="e">
        <f t="shared" si="27"/>
        <v>#N/A</v>
      </c>
      <c r="Z196" t="e">
        <f t="shared" si="27"/>
        <v>#N/A</v>
      </c>
    </row>
    <row r="197" spans="1:26">
      <c r="A197">
        <f>IF(ISBLANK('[1]Точность устьев скважин'!A199),#N/A,'[1]Точность устьев скважин'!A199)</f>
        <v>258</v>
      </c>
      <c r="B197">
        <f>IF(ISBLANK('[1]Точность устьев скважин'!B199),#N/A,'[1]Точность устьев скважин'!B199)</f>
        <v>52116.480000000003</v>
      </c>
      <c r="C197">
        <f>IF(ISBLANK('[1]Точность устьев скважин'!C199),#N/A,'[1]Точность устьев скважин'!C199)</f>
        <v>29078.240000000002</v>
      </c>
      <c r="D197">
        <f>IF(ISBLANK('[1]Точность устьев скважин'!D199),#N/A,'[1]Точность устьев скважин'!D199)</f>
        <v>66.599999999999994</v>
      </c>
      <c r="G197">
        <f>IF(ISBLANK('[1]Точность устьев скважин'!H199),#N/A,'[1]Точность устьев скважин'!H199)</f>
        <v>258</v>
      </c>
      <c r="H197">
        <f>IF(ISBLANK('[1]Точность устьев скважин'!I199),#N/A,'[1]Точность устьев скважин'!I199)</f>
        <v>52116.86</v>
      </c>
      <c r="I197">
        <f>IF(ISBLANK('[1]Точность устьев скважин'!J199),#N/A,'[1]Точность устьев скважин'!J199)</f>
        <v>29078.44</v>
      </c>
      <c r="J197">
        <f>IF(ISBLANK('[1]Точность устьев скважин'!K199),#N/A,'[1]Точность устьев скважин'!K199)</f>
        <v>66.69</v>
      </c>
      <c r="L197" s="63">
        <f t="shared" si="28"/>
        <v>0.42941821106800437</v>
      </c>
      <c r="O197" t="e">
        <f t="shared" si="22"/>
        <v>#N/A</v>
      </c>
      <c r="P197" t="e">
        <f t="shared" si="22"/>
        <v>#N/A</v>
      </c>
      <c r="Q197" t="e">
        <f t="shared" si="23"/>
        <v>#N/A</v>
      </c>
      <c r="R197" t="e">
        <f t="shared" si="23"/>
        <v>#N/A</v>
      </c>
      <c r="S197" t="e">
        <f t="shared" si="24"/>
        <v>#N/A</v>
      </c>
      <c r="T197" t="e">
        <f t="shared" si="24"/>
        <v>#N/A</v>
      </c>
      <c r="U197" t="e">
        <f t="shared" si="25"/>
        <v>#N/A</v>
      </c>
      <c r="V197" t="e">
        <f t="shared" si="25"/>
        <v>#N/A</v>
      </c>
      <c r="W197">
        <f t="shared" si="26"/>
        <v>52116.86</v>
      </c>
      <c r="X197">
        <f t="shared" si="26"/>
        <v>29078.44</v>
      </c>
      <c r="Y197" t="e">
        <f t="shared" si="27"/>
        <v>#N/A</v>
      </c>
      <c r="Z197" t="e">
        <f t="shared" si="27"/>
        <v>#N/A</v>
      </c>
    </row>
    <row r="198" spans="1:26">
      <c r="A198" t="e">
        <f>IF(ISBLANK('[1]Точность устьев скважин'!A200),#N/A,'[1]Точность устьев скважин'!A200)</f>
        <v>#N/A</v>
      </c>
      <c r="B198" t="e">
        <f>IF(ISBLANK('[1]Точность устьев скважин'!B200),#N/A,'[1]Точность устьев скважин'!B200)</f>
        <v>#N/A</v>
      </c>
      <c r="C198" t="e">
        <f>IF(ISBLANK('[1]Точность устьев скважин'!C200),#N/A,'[1]Точность устьев скважин'!C200)</f>
        <v>#N/A</v>
      </c>
      <c r="D198" t="e">
        <f>IF(ISBLANK('[1]Точность устьев скважин'!D200),#N/A,'[1]Точность устьев скважин'!D200)</f>
        <v>#N/A</v>
      </c>
      <c r="G198" t="e">
        <f>IF(ISBLANK('[1]Точность устьев скважин'!H200),#N/A,'[1]Точность устьев скважин'!H200)</f>
        <v>#N/A</v>
      </c>
      <c r="H198" t="e">
        <f>IF(ISBLANK('[1]Точность устьев скважин'!I200),#N/A,'[1]Точность устьев скважин'!I200)</f>
        <v>#N/A</v>
      </c>
      <c r="I198" t="e">
        <f>IF(ISBLANK('[1]Точность устьев скважин'!J200),#N/A,'[1]Точность устьев скважин'!J200)</f>
        <v>#N/A</v>
      </c>
      <c r="J198" t="e">
        <f>IF(ISBLANK('[1]Точность устьев скважин'!K200),#N/A,'[1]Точность устьев скважин'!K200)</f>
        <v>#N/A</v>
      </c>
      <c r="L198" s="63" t="e">
        <f t="shared" si="28"/>
        <v>#N/A</v>
      </c>
      <c r="O198" t="e">
        <f t="shared" si="22"/>
        <v>#N/A</v>
      </c>
      <c r="P198" t="e">
        <f t="shared" si="22"/>
        <v>#N/A</v>
      </c>
      <c r="Q198" t="e">
        <f t="shared" si="23"/>
        <v>#N/A</v>
      </c>
      <c r="R198" t="e">
        <f t="shared" si="23"/>
        <v>#N/A</v>
      </c>
      <c r="S198" t="e">
        <f t="shared" si="24"/>
        <v>#N/A</v>
      </c>
      <c r="T198" t="e">
        <f t="shared" si="24"/>
        <v>#N/A</v>
      </c>
      <c r="U198" t="e">
        <f t="shared" si="25"/>
        <v>#N/A</v>
      </c>
      <c r="V198" t="e">
        <f t="shared" si="25"/>
        <v>#N/A</v>
      </c>
      <c r="W198" t="e">
        <f t="shared" si="26"/>
        <v>#N/A</v>
      </c>
      <c r="X198" t="e">
        <f t="shared" si="26"/>
        <v>#N/A</v>
      </c>
      <c r="Y198" t="e">
        <f t="shared" si="27"/>
        <v>#N/A</v>
      </c>
      <c r="Z198" t="e">
        <f t="shared" si="27"/>
        <v>#N/A</v>
      </c>
    </row>
    <row r="199" spans="1:26">
      <c r="A199" t="e">
        <f>IF(ISBLANK('[1]Точность устьев скважин'!A201),#N/A,'[1]Точность устьев скважин'!A201)</f>
        <v>#N/A</v>
      </c>
      <c r="B199" t="e">
        <f>IF(ISBLANK('[1]Точность устьев скважин'!B201),#N/A,'[1]Точность устьев скважин'!B201)</f>
        <v>#N/A</v>
      </c>
      <c r="C199" t="e">
        <f>IF(ISBLANK('[1]Точность устьев скважин'!C201),#N/A,'[1]Точность устьев скважин'!C201)</f>
        <v>#N/A</v>
      </c>
      <c r="D199" t="e">
        <f>IF(ISBLANK('[1]Точность устьев скважин'!D201),#N/A,'[1]Точность устьев скважин'!D201)</f>
        <v>#N/A</v>
      </c>
      <c r="G199" t="e">
        <f>IF(ISBLANK('[1]Точность устьев скважин'!H201),#N/A,'[1]Точность устьев скважин'!H201)</f>
        <v>#N/A</v>
      </c>
      <c r="H199" t="e">
        <f>IF(ISBLANK('[1]Точность устьев скважин'!I201),#N/A,'[1]Точность устьев скважин'!I201)</f>
        <v>#N/A</v>
      </c>
      <c r="I199" t="e">
        <f>IF(ISBLANK('[1]Точность устьев скважин'!J201),#N/A,'[1]Точность устьев скважин'!J201)</f>
        <v>#N/A</v>
      </c>
      <c r="J199" t="e">
        <f>IF(ISBLANK('[1]Точность устьев скважин'!K201),#N/A,'[1]Точность устьев скважин'!K201)</f>
        <v>#N/A</v>
      </c>
      <c r="L199" s="63" t="e">
        <f t="shared" si="28"/>
        <v>#N/A</v>
      </c>
      <c r="O199" t="e">
        <f t="shared" si="22"/>
        <v>#N/A</v>
      </c>
      <c r="P199" t="e">
        <f t="shared" si="22"/>
        <v>#N/A</v>
      </c>
      <c r="Q199" t="e">
        <f t="shared" si="23"/>
        <v>#N/A</v>
      </c>
      <c r="R199" t="e">
        <f t="shared" si="23"/>
        <v>#N/A</v>
      </c>
      <c r="S199" t="e">
        <f t="shared" si="24"/>
        <v>#N/A</v>
      </c>
      <c r="T199" t="e">
        <f t="shared" si="24"/>
        <v>#N/A</v>
      </c>
      <c r="U199" t="e">
        <f t="shared" si="25"/>
        <v>#N/A</v>
      </c>
      <c r="V199" t="e">
        <f t="shared" si="25"/>
        <v>#N/A</v>
      </c>
      <c r="W199" t="e">
        <f t="shared" si="26"/>
        <v>#N/A</v>
      </c>
      <c r="X199" t="e">
        <f t="shared" si="26"/>
        <v>#N/A</v>
      </c>
      <c r="Y199" t="e">
        <f t="shared" si="27"/>
        <v>#N/A</v>
      </c>
      <c r="Z199" t="e">
        <f t="shared" si="27"/>
        <v>#N/A</v>
      </c>
    </row>
    <row r="200" spans="1:26">
      <c r="A200" t="e">
        <f>IF(ISBLANK('[1]Точность устьев скважин'!A202),#N/A,'[1]Точность устьев скважин'!A202)</f>
        <v>#N/A</v>
      </c>
      <c r="B200" t="e">
        <f>IF(ISBLANK('[1]Точность устьев скважин'!B202),#N/A,'[1]Точность устьев скважин'!B202)</f>
        <v>#N/A</v>
      </c>
      <c r="C200" t="e">
        <f>IF(ISBLANK('[1]Точность устьев скважин'!C202),#N/A,'[1]Точность устьев скважин'!C202)</f>
        <v>#N/A</v>
      </c>
      <c r="D200" t="e">
        <f>IF(ISBLANK('[1]Точность устьев скважин'!D202),#N/A,'[1]Точность устьев скважин'!D202)</f>
        <v>#N/A</v>
      </c>
      <c r="G200" t="e">
        <f>IF(ISBLANK('[1]Точность устьев скважин'!H202),#N/A,'[1]Точность устьев скважин'!H202)</f>
        <v>#N/A</v>
      </c>
      <c r="H200" t="e">
        <f>IF(ISBLANK('[1]Точность устьев скважин'!I202),#N/A,'[1]Точность устьев скважин'!I202)</f>
        <v>#N/A</v>
      </c>
      <c r="I200" t="e">
        <f>IF(ISBLANK('[1]Точность устьев скважин'!J202),#N/A,'[1]Точность устьев скважин'!J202)</f>
        <v>#N/A</v>
      </c>
      <c r="J200" t="e">
        <f>IF(ISBLANK('[1]Точность устьев скважин'!K202),#N/A,'[1]Точность устьев скважин'!K202)</f>
        <v>#N/A</v>
      </c>
      <c r="L200" s="63" t="e">
        <f t="shared" si="28"/>
        <v>#N/A</v>
      </c>
      <c r="O200" t="e">
        <f t="shared" si="22"/>
        <v>#N/A</v>
      </c>
      <c r="P200" t="e">
        <f t="shared" si="22"/>
        <v>#N/A</v>
      </c>
      <c r="Q200" t="e">
        <f t="shared" si="23"/>
        <v>#N/A</v>
      </c>
      <c r="R200" t="e">
        <f t="shared" si="23"/>
        <v>#N/A</v>
      </c>
      <c r="S200" t="e">
        <f t="shared" si="24"/>
        <v>#N/A</v>
      </c>
      <c r="T200" t="e">
        <f t="shared" si="24"/>
        <v>#N/A</v>
      </c>
      <c r="U200" t="e">
        <f t="shared" si="25"/>
        <v>#N/A</v>
      </c>
      <c r="V200" t="e">
        <f t="shared" si="25"/>
        <v>#N/A</v>
      </c>
      <c r="W200" t="e">
        <f t="shared" si="26"/>
        <v>#N/A</v>
      </c>
      <c r="X200" t="e">
        <f t="shared" si="26"/>
        <v>#N/A</v>
      </c>
      <c r="Y200" t="e">
        <f t="shared" si="27"/>
        <v>#N/A</v>
      </c>
      <c r="Z200" t="e">
        <f t="shared" si="27"/>
        <v>#N/A</v>
      </c>
    </row>
    <row r="201" spans="1:26">
      <c r="A201" t="e">
        <f>IF(ISBLANK('[1]Точность устьев скважин'!A203),#N/A,'[1]Точность устьев скважин'!A203)</f>
        <v>#N/A</v>
      </c>
      <c r="B201" t="e">
        <f>IF(ISBLANK('[1]Точность устьев скважин'!B203),#N/A,'[1]Точность устьев скважин'!B203)</f>
        <v>#N/A</v>
      </c>
      <c r="C201" t="e">
        <f>IF(ISBLANK('[1]Точность устьев скважин'!C203),#N/A,'[1]Точность устьев скважин'!C203)</f>
        <v>#N/A</v>
      </c>
      <c r="D201" t="e">
        <f>IF(ISBLANK('[1]Точность устьев скважин'!D203),#N/A,'[1]Точность устьев скважин'!D203)</f>
        <v>#N/A</v>
      </c>
      <c r="G201" t="e">
        <f>IF(ISBLANK('[1]Точность устьев скважин'!H203),#N/A,'[1]Точность устьев скважин'!H203)</f>
        <v>#N/A</v>
      </c>
      <c r="H201" t="e">
        <f>IF(ISBLANK('[1]Точность устьев скважин'!I203),#N/A,'[1]Точность устьев скважин'!I203)</f>
        <v>#N/A</v>
      </c>
      <c r="I201" t="e">
        <f>IF(ISBLANK('[1]Точность устьев скважин'!J203),#N/A,'[1]Точность устьев скважин'!J203)</f>
        <v>#N/A</v>
      </c>
      <c r="J201" t="e">
        <f>IF(ISBLANK('[1]Точность устьев скважин'!K203),#N/A,'[1]Точность устьев скважин'!K203)</f>
        <v>#N/A</v>
      </c>
      <c r="L201" s="63" t="e">
        <f t="shared" si="28"/>
        <v>#N/A</v>
      </c>
      <c r="O201" t="e">
        <f t="shared" si="22"/>
        <v>#N/A</v>
      </c>
      <c r="P201" t="e">
        <f t="shared" si="22"/>
        <v>#N/A</v>
      </c>
      <c r="Q201" t="e">
        <f t="shared" si="23"/>
        <v>#N/A</v>
      </c>
      <c r="R201" t="e">
        <f t="shared" si="23"/>
        <v>#N/A</v>
      </c>
      <c r="S201" t="e">
        <f t="shared" si="24"/>
        <v>#N/A</v>
      </c>
      <c r="T201" t="e">
        <f t="shared" si="24"/>
        <v>#N/A</v>
      </c>
      <c r="U201" t="e">
        <f t="shared" si="25"/>
        <v>#N/A</v>
      </c>
      <c r="V201" t="e">
        <f t="shared" si="25"/>
        <v>#N/A</v>
      </c>
      <c r="W201" t="e">
        <f t="shared" si="26"/>
        <v>#N/A</v>
      </c>
      <c r="X201" t="e">
        <f t="shared" si="26"/>
        <v>#N/A</v>
      </c>
      <c r="Y201" t="e">
        <f t="shared" si="27"/>
        <v>#N/A</v>
      </c>
      <c r="Z201" t="e">
        <f t="shared" si="27"/>
        <v>#N/A</v>
      </c>
    </row>
    <row r="202" spans="1:26">
      <c r="A202" t="e">
        <f>IF(ISBLANK('[1]Точность устьев скважин'!A204),#N/A,'[1]Точность устьев скважин'!A204)</f>
        <v>#N/A</v>
      </c>
      <c r="B202" t="e">
        <f>IF(ISBLANK('[1]Точность устьев скважин'!B204),#N/A,'[1]Точность устьев скважин'!B204)</f>
        <v>#N/A</v>
      </c>
      <c r="C202" t="e">
        <f>IF(ISBLANK('[1]Точность устьев скважин'!C204),#N/A,'[1]Точность устьев скважин'!C204)</f>
        <v>#N/A</v>
      </c>
      <c r="D202" t="e">
        <f>IF(ISBLANK('[1]Точность устьев скважин'!D204),#N/A,'[1]Точность устьев скважин'!D204)</f>
        <v>#N/A</v>
      </c>
      <c r="G202" t="e">
        <f>IF(ISBLANK('[1]Точность устьев скважин'!H204),#N/A,'[1]Точность устьев скважин'!H204)</f>
        <v>#N/A</v>
      </c>
      <c r="H202" t="e">
        <f>IF(ISBLANK('[1]Точность устьев скважин'!I204),#N/A,'[1]Точность устьев скважин'!I204)</f>
        <v>#N/A</v>
      </c>
      <c r="I202" t="e">
        <f>IF(ISBLANK('[1]Точность устьев скважин'!J204),#N/A,'[1]Точность устьев скважин'!J204)</f>
        <v>#N/A</v>
      </c>
      <c r="J202" t="e">
        <f>IF(ISBLANK('[1]Точность устьев скважин'!K204),#N/A,'[1]Точность устьев скважин'!K204)</f>
        <v>#N/A</v>
      </c>
      <c r="L202" s="63" t="e">
        <f t="shared" si="28"/>
        <v>#N/A</v>
      </c>
      <c r="O202" t="e">
        <f t="shared" si="22"/>
        <v>#N/A</v>
      </c>
      <c r="P202" t="e">
        <f t="shared" si="22"/>
        <v>#N/A</v>
      </c>
      <c r="Q202" t="e">
        <f t="shared" si="23"/>
        <v>#N/A</v>
      </c>
      <c r="R202" t="e">
        <f t="shared" si="23"/>
        <v>#N/A</v>
      </c>
      <c r="S202" t="e">
        <f t="shared" si="24"/>
        <v>#N/A</v>
      </c>
      <c r="T202" t="e">
        <f t="shared" si="24"/>
        <v>#N/A</v>
      </c>
      <c r="U202" t="e">
        <f t="shared" si="25"/>
        <v>#N/A</v>
      </c>
      <c r="V202" t="e">
        <f t="shared" si="25"/>
        <v>#N/A</v>
      </c>
      <c r="W202" t="e">
        <f t="shared" si="26"/>
        <v>#N/A</v>
      </c>
      <c r="X202" t="e">
        <f t="shared" si="26"/>
        <v>#N/A</v>
      </c>
      <c r="Y202" t="e">
        <f t="shared" si="27"/>
        <v>#N/A</v>
      </c>
      <c r="Z202" t="e">
        <f t="shared" si="27"/>
        <v>#N/A</v>
      </c>
    </row>
    <row r="203" spans="1:26">
      <c r="A203" t="e">
        <f>IF(ISBLANK('[1]Точность устьев скважин'!A205),#N/A,'[1]Точность устьев скважин'!A205)</f>
        <v>#N/A</v>
      </c>
      <c r="B203" t="e">
        <f>IF(ISBLANK('[1]Точность устьев скважин'!B205),#N/A,'[1]Точность устьев скважин'!B205)</f>
        <v>#N/A</v>
      </c>
      <c r="C203" t="e">
        <f>IF(ISBLANK('[1]Точность устьев скважин'!C205),#N/A,'[1]Точность устьев скважин'!C205)</f>
        <v>#N/A</v>
      </c>
      <c r="D203" t="e">
        <f>IF(ISBLANK('[1]Точность устьев скважин'!D205),#N/A,'[1]Точность устьев скважин'!D205)</f>
        <v>#N/A</v>
      </c>
      <c r="G203" t="e">
        <f>IF(ISBLANK('[1]Точность устьев скважин'!H205),#N/A,'[1]Точность устьев скважин'!H205)</f>
        <v>#N/A</v>
      </c>
      <c r="H203" t="e">
        <f>IF(ISBLANK('[1]Точность устьев скважин'!I205),#N/A,'[1]Точность устьев скважин'!I205)</f>
        <v>#N/A</v>
      </c>
      <c r="I203" t="e">
        <f>IF(ISBLANK('[1]Точность устьев скважин'!J205),#N/A,'[1]Точность устьев скважин'!J205)</f>
        <v>#N/A</v>
      </c>
      <c r="J203" t="e">
        <f>IF(ISBLANK('[1]Точность устьев скважин'!K205),#N/A,'[1]Точность устьев скважин'!K205)</f>
        <v>#N/A</v>
      </c>
      <c r="L203" s="63" t="e">
        <f t="shared" si="28"/>
        <v>#N/A</v>
      </c>
      <c r="O203" t="e">
        <f t="shared" si="22"/>
        <v>#N/A</v>
      </c>
      <c r="P203" t="e">
        <f t="shared" si="22"/>
        <v>#N/A</v>
      </c>
      <c r="Q203" t="e">
        <f t="shared" si="23"/>
        <v>#N/A</v>
      </c>
      <c r="R203" t="e">
        <f t="shared" si="23"/>
        <v>#N/A</v>
      </c>
      <c r="S203" t="e">
        <f t="shared" si="24"/>
        <v>#N/A</v>
      </c>
      <c r="T203" t="e">
        <f t="shared" si="24"/>
        <v>#N/A</v>
      </c>
      <c r="U203" t="e">
        <f t="shared" si="25"/>
        <v>#N/A</v>
      </c>
      <c r="V203" t="e">
        <f t="shared" si="25"/>
        <v>#N/A</v>
      </c>
      <c r="W203" t="e">
        <f t="shared" si="26"/>
        <v>#N/A</v>
      </c>
      <c r="X203" t="e">
        <f t="shared" si="26"/>
        <v>#N/A</v>
      </c>
      <c r="Y203" t="e">
        <f t="shared" si="27"/>
        <v>#N/A</v>
      </c>
      <c r="Z203" t="e">
        <f t="shared" si="27"/>
        <v>#N/A</v>
      </c>
    </row>
    <row r="204" spans="1:26">
      <c r="A204" t="e">
        <f>IF(ISBLANK('[1]Точность устьев скважин'!A206),#N/A,'[1]Точность устьев скважин'!A206)</f>
        <v>#N/A</v>
      </c>
      <c r="B204" t="e">
        <f>IF(ISBLANK('[1]Точность устьев скважин'!B206),#N/A,'[1]Точность устьев скважин'!B206)</f>
        <v>#N/A</v>
      </c>
      <c r="C204" t="e">
        <f>IF(ISBLANK('[1]Точность устьев скважин'!C206),#N/A,'[1]Точность устьев скважин'!C206)</f>
        <v>#N/A</v>
      </c>
      <c r="D204" t="e">
        <f>IF(ISBLANK('[1]Точность устьев скважин'!D206),#N/A,'[1]Точность устьев скважин'!D206)</f>
        <v>#N/A</v>
      </c>
      <c r="G204" t="e">
        <f>IF(ISBLANK('[1]Точность устьев скважин'!H206),#N/A,'[1]Точность устьев скважин'!H206)</f>
        <v>#N/A</v>
      </c>
      <c r="H204" t="e">
        <f>IF(ISBLANK('[1]Точность устьев скважин'!I206),#N/A,'[1]Точность устьев скважин'!I206)</f>
        <v>#N/A</v>
      </c>
      <c r="I204" t="e">
        <f>IF(ISBLANK('[1]Точность устьев скважин'!J206),#N/A,'[1]Точность устьев скважин'!J206)</f>
        <v>#N/A</v>
      </c>
      <c r="J204" t="e">
        <f>IF(ISBLANK('[1]Точность устьев скважин'!K206),#N/A,'[1]Точность устьев скважин'!K206)</f>
        <v>#N/A</v>
      </c>
      <c r="L204" s="63" t="e">
        <f t="shared" si="28"/>
        <v>#N/A</v>
      </c>
      <c r="O204" t="e">
        <f t="shared" si="22"/>
        <v>#N/A</v>
      </c>
      <c r="P204" t="e">
        <f t="shared" si="22"/>
        <v>#N/A</v>
      </c>
      <c r="Q204" t="e">
        <f t="shared" si="23"/>
        <v>#N/A</v>
      </c>
      <c r="R204" t="e">
        <f t="shared" si="23"/>
        <v>#N/A</v>
      </c>
      <c r="S204" t="e">
        <f t="shared" si="24"/>
        <v>#N/A</v>
      </c>
      <c r="T204" t="e">
        <f t="shared" si="24"/>
        <v>#N/A</v>
      </c>
      <c r="U204" t="e">
        <f t="shared" si="25"/>
        <v>#N/A</v>
      </c>
      <c r="V204" t="e">
        <f t="shared" si="25"/>
        <v>#N/A</v>
      </c>
      <c r="W204" t="e">
        <f t="shared" si="26"/>
        <v>#N/A</v>
      </c>
      <c r="X204" t="e">
        <f t="shared" si="26"/>
        <v>#N/A</v>
      </c>
      <c r="Y204" t="e">
        <f t="shared" si="27"/>
        <v>#N/A</v>
      </c>
      <c r="Z204" t="e">
        <f t="shared" si="27"/>
        <v>#N/A</v>
      </c>
    </row>
    <row r="205" spans="1:26">
      <c r="A205" t="e">
        <f>IF(ISBLANK('[1]Точность устьев скважин'!A207),#N/A,'[1]Точность устьев скважин'!A207)</f>
        <v>#N/A</v>
      </c>
      <c r="B205" t="e">
        <f>IF(ISBLANK('[1]Точность устьев скважин'!B207),#N/A,'[1]Точность устьев скважин'!B207)</f>
        <v>#N/A</v>
      </c>
      <c r="C205" t="e">
        <f>IF(ISBLANK('[1]Точность устьев скважин'!C207),#N/A,'[1]Точность устьев скважин'!C207)</f>
        <v>#N/A</v>
      </c>
      <c r="D205" t="e">
        <f>IF(ISBLANK('[1]Точность устьев скважин'!D207),#N/A,'[1]Точность устьев скважин'!D207)</f>
        <v>#N/A</v>
      </c>
      <c r="G205" t="e">
        <f>IF(ISBLANK('[1]Точность устьев скважин'!H207),#N/A,'[1]Точность устьев скважин'!H207)</f>
        <v>#N/A</v>
      </c>
      <c r="H205" t="e">
        <f>IF(ISBLANK('[1]Точность устьев скважин'!I207),#N/A,'[1]Точность устьев скважин'!I207)</f>
        <v>#N/A</v>
      </c>
      <c r="I205" t="e">
        <f>IF(ISBLANK('[1]Точность устьев скважин'!J207),#N/A,'[1]Точность устьев скважин'!J207)</f>
        <v>#N/A</v>
      </c>
      <c r="J205" t="e">
        <f>IF(ISBLANK('[1]Точность устьев скважин'!K207),#N/A,'[1]Точность устьев скважин'!K207)</f>
        <v>#N/A</v>
      </c>
      <c r="L205" s="63" t="e">
        <f t="shared" si="28"/>
        <v>#N/A</v>
      </c>
      <c r="O205" t="e">
        <f t="shared" si="22"/>
        <v>#N/A</v>
      </c>
      <c r="P205" t="e">
        <f t="shared" si="22"/>
        <v>#N/A</v>
      </c>
      <c r="Q205" t="e">
        <f t="shared" si="23"/>
        <v>#N/A</v>
      </c>
      <c r="R205" t="e">
        <f t="shared" si="23"/>
        <v>#N/A</v>
      </c>
      <c r="S205" t="e">
        <f t="shared" si="24"/>
        <v>#N/A</v>
      </c>
      <c r="T205" t="e">
        <f t="shared" si="24"/>
        <v>#N/A</v>
      </c>
      <c r="U205" t="e">
        <f t="shared" si="25"/>
        <v>#N/A</v>
      </c>
      <c r="V205" t="e">
        <f t="shared" si="25"/>
        <v>#N/A</v>
      </c>
      <c r="W205" t="e">
        <f t="shared" si="26"/>
        <v>#N/A</v>
      </c>
      <c r="X205" t="e">
        <f t="shared" si="26"/>
        <v>#N/A</v>
      </c>
      <c r="Y205" t="e">
        <f t="shared" si="27"/>
        <v>#N/A</v>
      </c>
      <c r="Z205" t="e">
        <f t="shared" si="27"/>
        <v>#N/A</v>
      </c>
    </row>
    <row r="206" spans="1:26">
      <c r="A206" t="e">
        <f>IF(ISBLANK('[1]Точность устьев скважин'!A208),#N/A,'[1]Точность устьев скважин'!A208)</f>
        <v>#N/A</v>
      </c>
      <c r="B206" t="e">
        <f>IF(ISBLANK('[1]Точность устьев скважин'!B208),#N/A,'[1]Точность устьев скважин'!B208)</f>
        <v>#N/A</v>
      </c>
      <c r="C206" t="e">
        <f>IF(ISBLANK('[1]Точность устьев скважин'!C208),#N/A,'[1]Точность устьев скважин'!C208)</f>
        <v>#N/A</v>
      </c>
      <c r="D206" t="e">
        <f>IF(ISBLANK('[1]Точность устьев скважин'!D208),#N/A,'[1]Точность устьев скважин'!D208)</f>
        <v>#N/A</v>
      </c>
      <c r="G206" t="e">
        <f>IF(ISBLANK('[1]Точность устьев скважин'!H208),#N/A,'[1]Точность устьев скважин'!H208)</f>
        <v>#N/A</v>
      </c>
      <c r="H206" t="e">
        <f>IF(ISBLANK('[1]Точность устьев скважин'!I208),#N/A,'[1]Точность устьев скважин'!I208)</f>
        <v>#N/A</v>
      </c>
      <c r="I206" t="e">
        <f>IF(ISBLANK('[1]Точность устьев скважин'!J208),#N/A,'[1]Точность устьев скважин'!J208)</f>
        <v>#N/A</v>
      </c>
      <c r="J206" t="e">
        <f>IF(ISBLANK('[1]Точность устьев скважин'!K208),#N/A,'[1]Точность устьев скважин'!K208)</f>
        <v>#N/A</v>
      </c>
      <c r="L206" s="63" t="e">
        <f t="shared" si="28"/>
        <v>#N/A</v>
      </c>
      <c r="O206" t="e">
        <f t="shared" si="22"/>
        <v>#N/A</v>
      </c>
      <c r="P206" t="e">
        <f t="shared" si="22"/>
        <v>#N/A</v>
      </c>
      <c r="Q206" t="e">
        <f t="shared" si="23"/>
        <v>#N/A</v>
      </c>
      <c r="R206" t="e">
        <f t="shared" si="23"/>
        <v>#N/A</v>
      </c>
      <c r="S206" t="e">
        <f t="shared" si="24"/>
        <v>#N/A</v>
      </c>
      <c r="T206" t="e">
        <f t="shared" si="24"/>
        <v>#N/A</v>
      </c>
      <c r="U206" t="e">
        <f t="shared" si="25"/>
        <v>#N/A</v>
      </c>
      <c r="V206" t="e">
        <f t="shared" si="25"/>
        <v>#N/A</v>
      </c>
      <c r="W206" t="e">
        <f t="shared" si="26"/>
        <v>#N/A</v>
      </c>
      <c r="X206" t="e">
        <f t="shared" si="26"/>
        <v>#N/A</v>
      </c>
      <c r="Y206" t="e">
        <f t="shared" si="27"/>
        <v>#N/A</v>
      </c>
      <c r="Z206" t="e">
        <f t="shared" si="27"/>
        <v>#N/A</v>
      </c>
    </row>
    <row r="207" spans="1:26">
      <c r="A207" t="e">
        <f>IF(ISBLANK('[1]Точность устьев скважин'!A209),#N/A,'[1]Точность устьев скважин'!A209)</f>
        <v>#N/A</v>
      </c>
      <c r="B207" t="e">
        <f>IF(ISBLANK('[1]Точность устьев скважин'!B209),#N/A,'[1]Точность устьев скважин'!B209)</f>
        <v>#N/A</v>
      </c>
      <c r="C207" t="e">
        <f>IF(ISBLANK('[1]Точность устьев скважин'!C209),#N/A,'[1]Точность устьев скважин'!C209)</f>
        <v>#N/A</v>
      </c>
      <c r="D207" t="e">
        <f>IF(ISBLANK('[1]Точность устьев скважин'!D209),#N/A,'[1]Точность устьев скважин'!D209)</f>
        <v>#N/A</v>
      </c>
      <c r="G207" t="e">
        <f>IF(ISBLANK('[1]Точность устьев скважин'!H209),#N/A,'[1]Точность устьев скважин'!H209)</f>
        <v>#N/A</v>
      </c>
      <c r="H207" t="e">
        <f>IF(ISBLANK('[1]Точность устьев скважин'!I209),#N/A,'[1]Точность устьев скважин'!I209)</f>
        <v>#N/A</v>
      </c>
      <c r="I207" t="e">
        <f>IF(ISBLANK('[1]Точность устьев скважин'!J209),#N/A,'[1]Точность устьев скважин'!J209)</f>
        <v>#N/A</v>
      </c>
      <c r="J207" t="e">
        <f>IF(ISBLANK('[1]Точность устьев скважин'!K209),#N/A,'[1]Точность устьев скважин'!K209)</f>
        <v>#N/A</v>
      </c>
      <c r="L207" s="63" t="e">
        <f t="shared" si="28"/>
        <v>#N/A</v>
      </c>
      <c r="O207" t="e">
        <f t="shared" si="22"/>
        <v>#N/A</v>
      </c>
      <c r="P207" t="e">
        <f t="shared" si="22"/>
        <v>#N/A</v>
      </c>
      <c r="Q207" t="e">
        <f t="shared" si="23"/>
        <v>#N/A</v>
      </c>
      <c r="R207" t="e">
        <f t="shared" si="23"/>
        <v>#N/A</v>
      </c>
      <c r="S207" t="e">
        <f t="shared" si="24"/>
        <v>#N/A</v>
      </c>
      <c r="T207" t="e">
        <f t="shared" si="24"/>
        <v>#N/A</v>
      </c>
      <c r="U207" t="e">
        <f t="shared" si="25"/>
        <v>#N/A</v>
      </c>
      <c r="V207" t="e">
        <f t="shared" si="25"/>
        <v>#N/A</v>
      </c>
      <c r="W207" t="e">
        <f t="shared" si="26"/>
        <v>#N/A</v>
      </c>
      <c r="X207" t="e">
        <f t="shared" si="26"/>
        <v>#N/A</v>
      </c>
      <c r="Y207" t="e">
        <f t="shared" si="27"/>
        <v>#N/A</v>
      </c>
      <c r="Z207" t="e">
        <f t="shared" si="27"/>
        <v>#N/A</v>
      </c>
    </row>
    <row r="208" spans="1:26">
      <c r="A208" t="e">
        <f>IF(ISBLANK('[1]Точность устьев скважин'!A210),#N/A,'[1]Точность устьев скважин'!A210)</f>
        <v>#N/A</v>
      </c>
      <c r="B208" t="e">
        <f>IF(ISBLANK('[1]Точность устьев скважин'!B210),#N/A,'[1]Точность устьев скважин'!B210)</f>
        <v>#N/A</v>
      </c>
      <c r="C208" t="e">
        <f>IF(ISBLANK('[1]Точность устьев скважин'!C210),#N/A,'[1]Точность устьев скважин'!C210)</f>
        <v>#N/A</v>
      </c>
      <c r="D208" t="e">
        <f>IF(ISBLANK('[1]Точность устьев скважин'!D210),#N/A,'[1]Точность устьев скважин'!D210)</f>
        <v>#N/A</v>
      </c>
      <c r="G208" t="e">
        <f>IF(ISBLANK('[1]Точность устьев скважин'!H210),#N/A,'[1]Точность устьев скважин'!H210)</f>
        <v>#N/A</v>
      </c>
      <c r="H208" t="e">
        <f>IF(ISBLANK('[1]Точность устьев скважин'!I210),#N/A,'[1]Точность устьев скважин'!I210)</f>
        <v>#N/A</v>
      </c>
      <c r="I208" t="e">
        <f>IF(ISBLANK('[1]Точность устьев скважин'!J210),#N/A,'[1]Точность устьев скважин'!J210)</f>
        <v>#N/A</v>
      </c>
      <c r="J208" t="e">
        <f>IF(ISBLANK('[1]Точность устьев скважин'!K210),#N/A,'[1]Точность устьев скважин'!K210)</f>
        <v>#N/A</v>
      </c>
      <c r="L208" s="63" t="e">
        <f t="shared" si="28"/>
        <v>#N/A</v>
      </c>
      <c r="O208" t="e">
        <f t="shared" si="22"/>
        <v>#N/A</v>
      </c>
      <c r="P208" t="e">
        <f t="shared" si="22"/>
        <v>#N/A</v>
      </c>
      <c r="Q208" t="e">
        <f t="shared" si="23"/>
        <v>#N/A</v>
      </c>
      <c r="R208" t="e">
        <f t="shared" si="23"/>
        <v>#N/A</v>
      </c>
      <c r="S208" t="e">
        <f t="shared" si="24"/>
        <v>#N/A</v>
      </c>
      <c r="T208" t="e">
        <f t="shared" si="24"/>
        <v>#N/A</v>
      </c>
      <c r="U208" t="e">
        <f t="shared" si="25"/>
        <v>#N/A</v>
      </c>
      <c r="V208" t="e">
        <f t="shared" si="25"/>
        <v>#N/A</v>
      </c>
      <c r="W208" t="e">
        <f t="shared" si="26"/>
        <v>#N/A</v>
      </c>
      <c r="X208" t="e">
        <f t="shared" si="26"/>
        <v>#N/A</v>
      </c>
      <c r="Y208" t="e">
        <f t="shared" si="27"/>
        <v>#N/A</v>
      </c>
      <c r="Z208" t="e">
        <f t="shared" si="27"/>
        <v>#N/A</v>
      </c>
    </row>
    <row r="209" spans="1:26">
      <c r="A209" t="e">
        <f>IF(ISBLANK('[1]Точность устьев скважин'!A211),#N/A,'[1]Точность устьев скважин'!A211)</f>
        <v>#N/A</v>
      </c>
      <c r="B209" t="e">
        <f>IF(ISBLANK('[1]Точность устьев скважин'!B211),#N/A,'[1]Точность устьев скважин'!B211)</f>
        <v>#N/A</v>
      </c>
      <c r="C209" t="e">
        <f>IF(ISBLANK('[1]Точность устьев скважин'!C211),#N/A,'[1]Точность устьев скважин'!C211)</f>
        <v>#N/A</v>
      </c>
      <c r="D209" t="e">
        <f>IF(ISBLANK('[1]Точность устьев скважин'!D211),#N/A,'[1]Точность устьев скважин'!D211)</f>
        <v>#N/A</v>
      </c>
      <c r="G209" t="e">
        <f>IF(ISBLANK('[1]Точность устьев скважин'!H211),#N/A,'[1]Точность устьев скважин'!H211)</f>
        <v>#N/A</v>
      </c>
      <c r="H209" t="e">
        <f>IF(ISBLANK('[1]Точность устьев скважин'!I211),#N/A,'[1]Точность устьев скважин'!I211)</f>
        <v>#N/A</v>
      </c>
      <c r="I209" t="e">
        <f>IF(ISBLANK('[1]Точность устьев скважин'!J211),#N/A,'[1]Точность устьев скважин'!J211)</f>
        <v>#N/A</v>
      </c>
      <c r="J209" t="e">
        <f>IF(ISBLANK('[1]Точность устьев скважин'!K211),#N/A,'[1]Точность устьев скважин'!K211)</f>
        <v>#N/A</v>
      </c>
      <c r="L209" s="63" t="e">
        <f t="shared" si="28"/>
        <v>#N/A</v>
      </c>
      <c r="O209" t="e">
        <f t="shared" si="22"/>
        <v>#N/A</v>
      </c>
      <c r="P209" t="e">
        <f t="shared" si="22"/>
        <v>#N/A</v>
      </c>
      <c r="Q209" t="e">
        <f t="shared" si="23"/>
        <v>#N/A</v>
      </c>
      <c r="R209" t="e">
        <f t="shared" si="23"/>
        <v>#N/A</v>
      </c>
      <c r="S209" t="e">
        <f t="shared" si="24"/>
        <v>#N/A</v>
      </c>
      <c r="T209" t="e">
        <f t="shared" si="24"/>
        <v>#N/A</v>
      </c>
      <c r="U209" t="e">
        <f t="shared" si="25"/>
        <v>#N/A</v>
      </c>
      <c r="V209" t="e">
        <f t="shared" si="25"/>
        <v>#N/A</v>
      </c>
      <c r="W209" t="e">
        <f t="shared" si="26"/>
        <v>#N/A</v>
      </c>
      <c r="X209" t="e">
        <f t="shared" si="26"/>
        <v>#N/A</v>
      </c>
      <c r="Y209" t="e">
        <f t="shared" si="27"/>
        <v>#N/A</v>
      </c>
      <c r="Z209" t="e">
        <f t="shared" si="27"/>
        <v>#N/A</v>
      </c>
    </row>
    <row r="210" spans="1:26">
      <c r="A210" t="e">
        <f>IF(ISBLANK('[1]Точность устьев скважин'!A212),#N/A,'[1]Точность устьев скважин'!A212)</f>
        <v>#N/A</v>
      </c>
      <c r="B210" t="e">
        <f>IF(ISBLANK('[1]Точность устьев скважин'!B212),#N/A,'[1]Точность устьев скважин'!B212)</f>
        <v>#N/A</v>
      </c>
      <c r="C210" t="e">
        <f>IF(ISBLANK('[1]Точность устьев скважин'!C212),#N/A,'[1]Точность устьев скважин'!C212)</f>
        <v>#N/A</v>
      </c>
      <c r="D210" t="e">
        <f>IF(ISBLANK('[1]Точность устьев скважин'!D212),#N/A,'[1]Точность устьев скважин'!D212)</f>
        <v>#N/A</v>
      </c>
      <c r="G210" t="e">
        <f>IF(ISBLANK('[1]Точность устьев скважин'!H212),#N/A,'[1]Точность устьев скважин'!H212)</f>
        <v>#N/A</v>
      </c>
      <c r="H210" t="e">
        <f>IF(ISBLANK('[1]Точность устьев скважин'!I212),#N/A,'[1]Точность устьев скважин'!I212)</f>
        <v>#N/A</v>
      </c>
      <c r="I210" t="e">
        <f>IF(ISBLANK('[1]Точность устьев скважин'!J212),#N/A,'[1]Точность устьев скважин'!J212)</f>
        <v>#N/A</v>
      </c>
      <c r="J210" t="e">
        <f>IF(ISBLANK('[1]Точность устьев скважин'!K212),#N/A,'[1]Точность устьев скважин'!K212)</f>
        <v>#N/A</v>
      </c>
      <c r="L210" s="63" t="e">
        <f t="shared" si="28"/>
        <v>#N/A</v>
      </c>
      <c r="O210" t="e">
        <f t="shared" si="22"/>
        <v>#N/A</v>
      </c>
      <c r="P210" t="e">
        <f t="shared" si="22"/>
        <v>#N/A</v>
      </c>
      <c r="Q210" t="e">
        <f t="shared" si="23"/>
        <v>#N/A</v>
      </c>
      <c r="R210" t="e">
        <f t="shared" si="23"/>
        <v>#N/A</v>
      </c>
      <c r="S210" t="e">
        <f t="shared" si="24"/>
        <v>#N/A</v>
      </c>
      <c r="T210" t="e">
        <f t="shared" si="24"/>
        <v>#N/A</v>
      </c>
      <c r="U210" t="e">
        <f t="shared" si="25"/>
        <v>#N/A</v>
      </c>
      <c r="V210" t="e">
        <f t="shared" si="25"/>
        <v>#N/A</v>
      </c>
      <c r="W210" t="e">
        <f t="shared" si="26"/>
        <v>#N/A</v>
      </c>
      <c r="X210" t="e">
        <f t="shared" si="26"/>
        <v>#N/A</v>
      </c>
      <c r="Y210" t="e">
        <f t="shared" si="27"/>
        <v>#N/A</v>
      </c>
      <c r="Z210" t="e">
        <f t="shared" si="27"/>
        <v>#N/A</v>
      </c>
    </row>
    <row r="211" spans="1:26">
      <c r="A211" t="e">
        <f>IF(ISBLANK('[1]Точность устьев скважин'!A213),#N/A,'[1]Точность устьев скважин'!A213)</f>
        <v>#N/A</v>
      </c>
      <c r="B211" t="e">
        <f>IF(ISBLANK('[1]Точность устьев скважин'!B213),#N/A,'[1]Точность устьев скважин'!B213)</f>
        <v>#N/A</v>
      </c>
      <c r="C211" t="e">
        <f>IF(ISBLANK('[1]Точность устьев скважин'!C213),#N/A,'[1]Точность устьев скважин'!C213)</f>
        <v>#N/A</v>
      </c>
      <c r="D211" t="e">
        <f>IF(ISBLANK('[1]Точность устьев скважин'!D213),#N/A,'[1]Точность устьев скважин'!D213)</f>
        <v>#N/A</v>
      </c>
      <c r="G211" t="e">
        <f>IF(ISBLANK('[1]Точность устьев скважин'!H213),#N/A,'[1]Точность устьев скважин'!H213)</f>
        <v>#N/A</v>
      </c>
      <c r="H211" t="e">
        <f>IF(ISBLANK('[1]Точность устьев скважин'!I213),#N/A,'[1]Точность устьев скважин'!I213)</f>
        <v>#N/A</v>
      </c>
      <c r="I211" t="e">
        <f>IF(ISBLANK('[1]Точность устьев скважин'!J213),#N/A,'[1]Точность устьев скважин'!J213)</f>
        <v>#N/A</v>
      </c>
      <c r="J211" t="e">
        <f>IF(ISBLANK('[1]Точность устьев скважин'!K213),#N/A,'[1]Точность устьев скважин'!K213)</f>
        <v>#N/A</v>
      </c>
      <c r="L211" s="63" t="e">
        <f t="shared" si="28"/>
        <v>#N/A</v>
      </c>
      <c r="O211" t="e">
        <f t="shared" si="22"/>
        <v>#N/A</v>
      </c>
      <c r="P211" t="e">
        <f t="shared" si="22"/>
        <v>#N/A</v>
      </c>
      <c r="Q211" t="e">
        <f t="shared" si="23"/>
        <v>#N/A</v>
      </c>
      <c r="R211" t="e">
        <f t="shared" si="23"/>
        <v>#N/A</v>
      </c>
      <c r="S211" t="e">
        <f t="shared" si="24"/>
        <v>#N/A</v>
      </c>
      <c r="T211" t="e">
        <f t="shared" si="24"/>
        <v>#N/A</v>
      </c>
      <c r="U211" t="e">
        <f t="shared" si="25"/>
        <v>#N/A</v>
      </c>
      <c r="V211" t="e">
        <f t="shared" si="25"/>
        <v>#N/A</v>
      </c>
      <c r="W211" t="e">
        <f t="shared" si="26"/>
        <v>#N/A</v>
      </c>
      <c r="X211" t="e">
        <f t="shared" si="26"/>
        <v>#N/A</v>
      </c>
      <c r="Y211" t="e">
        <f t="shared" si="27"/>
        <v>#N/A</v>
      </c>
      <c r="Z211" t="e">
        <f t="shared" si="27"/>
        <v>#N/A</v>
      </c>
    </row>
    <row r="212" spans="1:26">
      <c r="A212" t="e">
        <f>IF(ISBLANK('[1]Точность устьев скважин'!A214),#N/A,'[1]Точность устьев скважин'!A214)</f>
        <v>#N/A</v>
      </c>
      <c r="B212" t="e">
        <f>IF(ISBLANK('[1]Точность устьев скважин'!B214),#N/A,'[1]Точность устьев скважин'!B214)</f>
        <v>#N/A</v>
      </c>
      <c r="C212" t="e">
        <f>IF(ISBLANK('[1]Точность устьев скважин'!C214),#N/A,'[1]Точность устьев скважин'!C214)</f>
        <v>#N/A</v>
      </c>
      <c r="D212" t="e">
        <f>IF(ISBLANK('[1]Точность устьев скважин'!D214),#N/A,'[1]Точность устьев скважин'!D214)</f>
        <v>#N/A</v>
      </c>
      <c r="G212" t="e">
        <f>IF(ISBLANK('[1]Точность устьев скважин'!H214),#N/A,'[1]Точность устьев скважин'!H214)</f>
        <v>#N/A</v>
      </c>
      <c r="H212" t="e">
        <f>IF(ISBLANK('[1]Точность устьев скважин'!I214),#N/A,'[1]Точность устьев скважин'!I214)</f>
        <v>#N/A</v>
      </c>
      <c r="I212" t="e">
        <f>IF(ISBLANK('[1]Точность устьев скважин'!J214),#N/A,'[1]Точность устьев скважин'!J214)</f>
        <v>#N/A</v>
      </c>
      <c r="J212" t="e">
        <f>IF(ISBLANK('[1]Точность устьев скважин'!K214),#N/A,'[1]Точность устьев скважин'!K214)</f>
        <v>#N/A</v>
      </c>
      <c r="L212" s="63" t="e">
        <f t="shared" si="28"/>
        <v>#N/A</v>
      </c>
      <c r="O212" t="e">
        <f t="shared" si="22"/>
        <v>#N/A</v>
      </c>
      <c r="P212" t="e">
        <f t="shared" si="22"/>
        <v>#N/A</v>
      </c>
      <c r="Q212" t="e">
        <f t="shared" si="23"/>
        <v>#N/A</v>
      </c>
      <c r="R212" t="e">
        <f t="shared" si="23"/>
        <v>#N/A</v>
      </c>
      <c r="S212" t="e">
        <f t="shared" si="24"/>
        <v>#N/A</v>
      </c>
      <c r="T212" t="e">
        <f t="shared" si="24"/>
        <v>#N/A</v>
      </c>
      <c r="U212" t="e">
        <f t="shared" si="25"/>
        <v>#N/A</v>
      </c>
      <c r="V212" t="e">
        <f t="shared" si="25"/>
        <v>#N/A</v>
      </c>
      <c r="W212" t="e">
        <f t="shared" si="26"/>
        <v>#N/A</v>
      </c>
      <c r="X212" t="e">
        <f t="shared" si="26"/>
        <v>#N/A</v>
      </c>
      <c r="Y212" t="e">
        <f t="shared" si="27"/>
        <v>#N/A</v>
      </c>
      <c r="Z212" t="e">
        <f t="shared" si="27"/>
        <v>#N/A</v>
      </c>
    </row>
    <row r="213" spans="1:26">
      <c r="A213" t="e">
        <f>IF(ISBLANK('[1]Точность устьев скважин'!A215),#N/A,'[1]Точность устьев скважин'!A215)</f>
        <v>#N/A</v>
      </c>
      <c r="B213" t="e">
        <f>IF(ISBLANK('[1]Точность устьев скважин'!B215),#N/A,'[1]Точность устьев скважин'!B215)</f>
        <v>#N/A</v>
      </c>
      <c r="C213" t="e">
        <f>IF(ISBLANK('[1]Точность устьев скважин'!C215),#N/A,'[1]Точность устьев скважин'!C215)</f>
        <v>#N/A</v>
      </c>
      <c r="D213" t="e">
        <f>IF(ISBLANK('[1]Точность устьев скважин'!D215),#N/A,'[1]Точность устьев скважин'!D215)</f>
        <v>#N/A</v>
      </c>
      <c r="G213" t="e">
        <f>IF(ISBLANK('[1]Точность устьев скважин'!H215),#N/A,'[1]Точность устьев скважин'!H215)</f>
        <v>#N/A</v>
      </c>
      <c r="H213" t="e">
        <f>IF(ISBLANK('[1]Точность устьев скважин'!I215),#N/A,'[1]Точность устьев скважин'!I215)</f>
        <v>#N/A</v>
      </c>
      <c r="I213" t="e">
        <f>IF(ISBLANK('[1]Точность устьев скважин'!J215),#N/A,'[1]Точность устьев скважин'!J215)</f>
        <v>#N/A</v>
      </c>
      <c r="J213" t="e">
        <f>IF(ISBLANK('[1]Точность устьев скважин'!K215),#N/A,'[1]Точность устьев скважин'!K215)</f>
        <v>#N/A</v>
      </c>
      <c r="L213" s="63" t="e">
        <f t="shared" si="28"/>
        <v>#N/A</v>
      </c>
      <c r="O213" t="e">
        <f t="shared" si="22"/>
        <v>#N/A</v>
      </c>
      <c r="P213" t="e">
        <f t="shared" si="22"/>
        <v>#N/A</v>
      </c>
      <c r="Q213" t="e">
        <f t="shared" si="23"/>
        <v>#N/A</v>
      </c>
      <c r="R213" t="e">
        <f t="shared" si="23"/>
        <v>#N/A</v>
      </c>
      <c r="S213" t="e">
        <f t="shared" si="24"/>
        <v>#N/A</v>
      </c>
      <c r="T213" t="e">
        <f t="shared" si="24"/>
        <v>#N/A</v>
      </c>
      <c r="U213" t="e">
        <f t="shared" si="25"/>
        <v>#N/A</v>
      </c>
      <c r="V213" t="e">
        <f t="shared" si="25"/>
        <v>#N/A</v>
      </c>
      <c r="W213" t="e">
        <f t="shared" si="26"/>
        <v>#N/A</v>
      </c>
      <c r="X213" t="e">
        <f t="shared" si="26"/>
        <v>#N/A</v>
      </c>
      <c r="Y213" t="e">
        <f t="shared" si="27"/>
        <v>#N/A</v>
      </c>
      <c r="Z213" t="e">
        <f t="shared" si="27"/>
        <v>#N/A</v>
      </c>
    </row>
    <row r="214" spans="1:26">
      <c r="A214" t="e">
        <f>IF(ISBLANK('[1]Точность устьев скважин'!A216),#N/A,'[1]Точность устьев скважин'!A216)</f>
        <v>#N/A</v>
      </c>
      <c r="B214" t="e">
        <f>IF(ISBLANK('[1]Точность устьев скважин'!B216),#N/A,'[1]Точность устьев скважин'!B216)</f>
        <v>#N/A</v>
      </c>
      <c r="C214" t="e">
        <f>IF(ISBLANK('[1]Точность устьев скважин'!C216),#N/A,'[1]Точность устьев скважин'!C216)</f>
        <v>#N/A</v>
      </c>
      <c r="D214" t="e">
        <f>IF(ISBLANK('[1]Точность устьев скважин'!D216),#N/A,'[1]Точность устьев скважин'!D216)</f>
        <v>#N/A</v>
      </c>
      <c r="G214" t="e">
        <f>IF(ISBLANK('[1]Точность устьев скважин'!H216),#N/A,'[1]Точность устьев скважин'!H216)</f>
        <v>#N/A</v>
      </c>
      <c r="H214" t="e">
        <f>IF(ISBLANK('[1]Точность устьев скважин'!I216),#N/A,'[1]Точность устьев скважин'!I216)</f>
        <v>#N/A</v>
      </c>
      <c r="I214" t="e">
        <f>IF(ISBLANK('[1]Точность устьев скважин'!J216),#N/A,'[1]Точность устьев скважин'!J216)</f>
        <v>#N/A</v>
      </c>
      <c r="J214" t="e">
        <f>IF(ISBLANK('[1]Точность устьев скважин'!K216),#N/A,'[1]Точность устьев скважин'!K216)</f>
        <v>#N/A</v>
      </c>
      <c r="L214" s="63" t="e">
        <f t="shared" si="28"/>
        <v>#N/A</v>
      </c>
      <c r="O214" t="e">
        <f t="shared" si="22"/>
        <v>#N/A</v>
      </c>
      <c r="P214" t="e">
        <f t="shared" si="22"/>
        <v>#N/A</v>
      </c>
      <c r="Q214" t="e">
        <f t="shared" si="23"/>
        <v>#N/A</v>
      </c>
      <c r="R214" t="e">
        <f t="shared" si="23"/>
        <v>#N/A</v>
      </c>
      <c r="S214" t="e">
        <f t="shared" si="24"/>
        <v>#N/A</v>
      </c>
      <c r="T214" t="e">
        <f t="shared" si="24"/>
        <v>#N/A</v>
      </c>
      <c r="U214" t="e">
        <f t="shared" si="25"/>
        <v>#N/A</v>
      </c>
      <c r="V214" t="e">
        <f t="shared" si="25"/>
        <v>#N/A</v>
      </c>
      <c r="W214" t="e">
        <f t="shared" si="26"/>
        <v>#N/A</v>
      </c>
      <c r="X214" t="e">
        <f t="shared" si="26"/>
        <v>#N/A</v>
      </c>
      <c r="Y214" t="e">
        <f t="shared" si="27"/>
        <v>#N/A</v>
      </c>
      <c r="Z214" t="e">
        <f t="shared" si="27"/>
        <v>#N/A</v>
      </c>
    </row>
    <row r="215" spans="1:26">
      <c r="A215" t="e">
        <f>IF(ISBLANK('[1]Точность устьев скважин'!A217),#N/A,'[1]Точность устьев скважин'!A217)</f>
        <v>#N/A</v>
      </c>
      <c r="B215" t="e">
        <f>IF(ISBLANK('[1]Точность устьев скважин'!B217),#N/A,'[1]Точность устьев скважин'!B217)</f>
        <v>#N/A</v>
      </c>
      <c r="C215" t="e">
        <f>IF(ISBLANK('[1]Точность устьев скважин'!C217),#N/A,'[1]Точность устьев скважин'!C217)</f>
        <v>#N/A</v>
      </c>
      <c r="D215" t="e">
        <f>IF(ISBLANK('[1]Точность устьев скважин'!D217),#N/A,'[1]Точность устьев скважин'!D217)</f>
        <v>#N/A</v>
      </c>
      <c r="G215" t="e">
        <f>IF(ISBLANK('[1]Точность устьев скважин'!H217),#N/A,'[1]Точность устьев скважин'!H217)</f>
        <v>#N/A</v>
      </c>
      <c r="H215" t="e">
        <f>IF(ISBLANK('[1]Точность устьев скважин'!I217),#N/A,'[1]Точность устьев скважин'!I217)</f>
        <v>#N/A</v>
      </c>
      <c r="I215" t="e">
        <f>IF(ISBLANK('[1]Точность устьев скважин'!J217),#N/A,'[1]Точность устьев скважин'!J217)</f>
        <v>#N/A</v>
      </c>
      <c r="J215" t="e">
        <f>IF(ISBLANK('[1]Точность устьев скважин'!K217),#N/A,'[1]Точность устьев скважин'!K217)</f>
        <v>#N/A</v>
      </c>
      <c r="L215" s="63" t="e">
        <f t="shared" si="28"/>
        <v>#N/A</v>
      </c>
      <c r="O215" t="e">
        <f t="shared" si="22"/>
        <v>#N/A</v>
      </c>
      <c r="P215" t="e">
        <f t="shared" si="22"/>
        <v>#N/A</v>
      </c>
      <c r="Q215" t="e">
        <f t="shared" si="23"/>
        <v>#N/A</v>
      </c>
      <c r="R215" t="e">
        <f t="shared" si="23"/>
        <v>#N/A</v>
      </c>
      <c r="S215" t="e">
        <f t="shared" si="24"/>
        <v>#N/A</v>
      </c>
      <c r="T215" t="e">
        <f t="shared" si="24"/>
        <v>#N/A</v>
      </c>
      <c r="U215" t="e">
        <f t="shared" si="25"/>
        <v>#N/A</v>
      </c>
      <c r="V215" t="e">
        <f t="shared" si="25"/>
        <v>#N/A</v>
      </c>
      <c r="W215" t="e">
        <f t="shared" si="26"/>
        <v>#N/A</v>
      </c>
      <c r="X215" t="e">
        <f t="shared" si="26"/>
        <v>#N/A</v>
      </c>
      <c r="Y215" t="e">
        <f t="shared" si="27"/>
        <v>#N/A</v>
      </c>
      <c r="Z215" t="e">
        <f t="shared" si="27"/>
        <v>#N/A</v>
      </c>
    </row>
    <row r="216" spans="1:26">
      <c r="A216" t="e">
        <f>IF(ISBLANK('[1]Точность устьев скважин'!A218),#N/A,'[1]Точность устьев скважин'!A218)</f>
        <v>#N/A</v>
      </c>
      <c r="B216" t="e">
        <f>IF(ISBLANK('[1]Точность устьев скважин'!B218),#N/A,'[1]Точность устьев скважин'!B218)</f>
        <v>#N/A</v>
      </c>
      <c r="C216" t="e">
        <f>IF(ISBLANK('[1]Точность устьев скважин'!C218),#N/A,'[1]Точность устьев скважин'!C218)</f>
        <v>#N/A</v>
      </c>
      <c r="D216" t="e">
        <f>IF(ISBLANK('[1]Точность устьев скважин'!D218),#N/A,'[1]Точность устьев скважин'!D218)</f>
        <v>#N/A</v>
      </c>
      <c r="G216" t="e">
        <f>IF(ISBLANK('[1]Точность устьев скважин'!H218),#N/A,'[1]Точность устьев скважин'!H218)</f>
        <v>#N/A</v>
      </c>
      <c r="H216" t="e">
        <f>IF(ISBLANK('[1]Точность устьев скважин'!I218),#N/A,'[1]Точность устьев скважин'!I218)</f>
        <v>#N/A</v>
      </c>
      <c r="I216" t="e">
        <f>IF(ISBLANK('[1]Точность устьев скважин'!J218),#N/A,'[1]Точность устьев скважин'!J218)</f>
        <v>#N/A</v>
      </c>
      <c r="J216" t="e">
        <f>IF(ISBLANK('[1]Точность устьев скважин'!K218),#N/A,'[1]Точность устьев скважин'!K218)</f>
        <v>#N/A</v>
      </c>
      <c r="L216" s="63" t="e">
        <f t="shared" si="28"/>
        <v>#N/A</v>
      </c>
      <c r="O216" t="e">
        <f t="shared" si="22"/>
        <v>#N/A</v>
      </c>
      <c r="P216" t="e">
        <f t="shared" si="22"/>
        <v>#N/A</v>
      </c>
      <c r="Q216" t="e">
        <f t="shared" si="23"/>
        <v>#N/A</v>
      </c>
      <c r="R216" t="e">
        <f t="shared" si="23"/>
        <v>#N/A</v>
      </c>
      <c r="S216" t="e">
        <f t="shared" si="24"/>
        <v>#N/A</v>
      </c>
      <c r="T216" t="e">
        <f t="shared" si="24"/>
        <v>#N/A</v>
      </c>
      <c r="U216" t="e">
        <f t="shared" si="25"/>
        <v>#N/A</v>
      </c>
      <c r="V216" t="e">
        <f t="shared" si="25"/>
        <v>#N/A</v>
      </c>
      <c r="W216" t="e">
        <f t="shared" si="26"/>
        <v>#N/A</v>
      </c>
      <c r="X216" t="e">
        <f t="shared" si="26"/>
        <v>#N/A</v>
      </c>
      <c r="Y216" t="e">
        <f t="shared" si="27"/>
        <v>#N/A</v>
      </c>
      <c r="Z216" t="e">
        <f t="shared" si="27"/>
        <v>#N/A</v>
      </c>
    </row>
    <row r="217" spans="1:26">
      <c r="A217" t="e">
        <f>IF(ISBLANK('[1]Точность устьев скважин'!A219),#N/A,'[1]Точность устьев скважин'!A219)</f>
        <v>#N/A</v>
      </c>
      <c r="B217" t="e">
        <f>IF(ISBLANK('[1]Точность устьев скважин'!B219),#N/A,'[1]Точность устьев скважин'!B219)</f>
        <v>#N/A</v>
      </c>
      <c r="C217" t="e">
        <f>IF(ISBLANK('[1]Точность устьев скважин'!C219),#N/A,'[1]Точность устьев скважин'!C219)</f>
        <v>#N/A</v>
      </c>
      <c r="D217" t="e">
        <f>IF(ISBLANK('[1]Точность устьев скважин'!D219),#N/A,'[1]Точность устьев скважин'!D219)</f>
        <v>#N/A</v>
      </c>
      <c r="G217" t="e">
        <f>IF(ISBLANK('[1]Точность устьев скважин'!H219),#N/A,'[1]Точность устьев скважин'!H219)</f>
        <v>#N/A</v>
      </c>
      <c r="H217" t="e">
        <f>IF(ISBLANK('[1]Точность устьев скважин'!I219),#N/A,'[1]Точность устьев скважин'!I219)</f>
        <v>#N/A</v>
      </c>
      <c r="I217" t="e">
        <f>IF(ISBLANK('[1]Точность устьев скважин'!J219),#N/A,'[1]Точность устьев скважин'!J219)</f>
        <v>#N/A</v>
      </c>
      <c r="J217" t="e">
        <f>IF(ISBLANK('[1]Точность устьев скважин'!K219),#N/A,'[1]Точность устьев скважин'!K219)</f>
        <v>#N/A</v>
      </c>
      <c r="L217" s="63" t="e">
        <f t="shared" si="28"/>
        <v>#N/A</v>
      </c>
      <c r="O217" t="e">
        <f t="shared" si="22"/>
        <v>#N/A</v>
      </c>
      <c r="P217" t="e">
        <f t="shared" si="22"/>
        <v>#N/A</v>
      </c>
      <c r="Q217" t="e">
        <f t="shared" si="23"/>
        <v>#N/A</v>
      </c>
      <c r="R217" t="e">
        <f t="shared" si="23"/>
        <v>#N/A</v>
      </c>
      <c r="S217" t="e">
        <f t="shared" si="24"/>
        <v>#N/A</v>
      </c>
      <c r="T217" t="e">
        <f t="shared" si="24"/>
        <v>#N/A</v>
      </c>
      <c r="U217" t="e">
        <f t="shared" si="25"/>
        <v>#N/A</v>
      </c>
      <c r="V217" t="e">
        <f t="shared" si="25"/>
        <v>#N/A</v>
      </c>
      <c r="W217" t="e">
        <f t="shared" si="26"/>
        <v>#N/A</v>
      </c>
      <c r="X217" t="e">
        <f t="shared" si="26"/>
        <v>#N/A</v>
      </c>
      <c r="Y217" t="e">
        <f t="shared" si="27"/>
        <v>#N/A</v>
      </c>
      <c r="Z217" t="e">
        <f t="shared" si="27"/>
        <v>#N/A</v>
      </c>
    </row>
    <row r="218" spans="1:26">
      <c r="A218" t="e">
        <f>IF(ISBLANK('[1]Точность устьев скважин'!A220),#N/A,'[1]Точность устьев скважин'!A220)</f>
        <v>#N/A</v>
      </c>
      <c r="B218" t="e">
        <f>IF(ISBLANK('[1]Точность устьев скважин'!B220),#N/A,'[1]Точность устьев скважин'!B220)</f>
        <v>#N/A</v>
      </c>
      <c r="C218" t="e">
        <f>IF(ISBLANK('[1]Точность устьев скважин'!C220),#N/A,'[1]Точность устьев скважин'!C220)</f>
        <v>#N/A</v>
      </c>
      <c r="D218" t="e">
        <f>IF(ISBLANK('[1]Точность устьев скважин'!D220),#N/A,'[1]Точность устьев скважин'!D220)</f>
        <v>#N/A</v>
      </c>
      <c r="G218" t="e">
        <f>IF(ISBLANK('[1]Точность устьев скважин'!H220),#N/A,'[1]Точность устьев скважин'!H220)</f>
        <v>#N/A</v>
      </c>
      <c r="H218" t="e">
        <f>IF(ISBLANK('[1]Точность устьев скважин'!I220),#N/A,'[1]Точность устьев скважин'!I220)</f>
        <v>#N/A</v>
      </c>
      <c r="I218" t="e">
        <f>IF(ISBLANK('[1]Точность устьев скважин'!J220),#N/A,'[1]Точность устьев скважин'!J220)</f>
        <v>#N/A</v>
      </c>
      <c r="J218" t="e">
        <f>IF(ISBLANK('[1]Точность устьев скважин'!K220),#N/A,'[1]Точность устьев скважин'!K220)</f>
        <v>#N/A</v>
      </c>
      <c r="L218" s="63" t="e">
        <f t="shared" si="28"/>
        <v>#N/A</v>
      </c>
      <c r="O218" t="e">
        <f t="shared" si="22"/>
        <v>#N/A</v>
      </c>
      <c r="P218" t="e">
        <f t="shared" si="22"/>
        <v>#N/A</v>
      </c>
      <c r="Q218" t="e">
        <f t="shared" si="23"/>
        <v>#N/A</v>
      </c>
      <c r="R218" t="e">
        <f t="shared" si="23"/>
        <v>#N/A</v>
      </c>
      <c r="S218" t="e">
        <f t="shared" si="24"/>
        <v>#N/A</v>
      </c>
      <c r="T218" t="e">
        <f t="shared" si="24"/>
        <v>#N/A</v>
      </c>
      <c r="U218" t="e">
        <f t="shared" si="25"/>
        <v>#N/A</v>
      </c>
      <c r="V218" t="e">
        <f t="shared" si="25"/>
        <v>#N/A</v>
      </c>
      <c r="W218" t="e">
        <f t="shared" si="26"/>
        <v>#N/A</v>
      </c>
      <c r="X218" t="e">
        <f t="shared" si="26"/>
        <v>#N/A</v>
      </c>
      <c r="Y218" t="e">
        <f t="shared" si="27"/>
        <v>#N/A</v>
      </c>
      <c r="Z218" t="e">
        <f t="shared" si="27"/>
        <v>#N/A</v>
      </c>
    </row>
    <row r="219" spans="1:26">
      <c r="A219" t="e">
        <f>IF(ISBLANK('[1]Точность устьев скважин'!A221),#N/A,'[1]Точность устьев скважин'!A221)</f>
        <v>#N/A</v>
      </c>
      <c r="B219" t="e">
        <f>IF(ISBLANK('[1]Точность устьев скважин'!B221),#N/A,'[1]Точность устьев скважин'!B221)</f>
        <v>#N/A</v>
      </c>
      <c r="C219" t="e">
        <f>IF(ISBLANK('[1]Точность устьев скважин'!C221),#N/A,'[1]Точность устьев скважин'!C221)</f>
        <v>#N/A</v>
      </c>
      <c r="D219" t="e">
        <f>IF(ISBLANK('[1]Точность устьев скважин'!D221),#N/A,'[1]Точность устьев скважин'!D221)</f>
        <v>#N/A</v>
      </c>
      <c r="G219" t="e">
        <f>IF(ISBLANK('[1]Точность устьев скважин'!H221),#N/A,'[1]Точность устьев скважин'!H221)</f>
        <v>#N/A</v>
      </c>
      <c r="H219" t="e">
        <f>IF(ISBLANK('[1]Точность устьев скважин'!I221),#N/A,'[1]Точность устьев скважин'!I221)</f>
        <v>#N/A</v>
      </c>
      <c r="I219" t="e">
        <f>IF(ISBLANK('[1]Точность устьев скважин'!J221),#N/A,'[1]Точность устьев скважин'!J221)</f>
        <v>#N/A</v>
      </c>
      <c r="J219" t="e">
        <f>IF(ISBLANK('[1]Точность устьев скважин'!K221),#N/A,'[1]Точность устьев скважин'!K221)</f>
        <v>#N/A</v>
      </c>
      <c r="L219" s="63" t="e">
        <f t="shared" si="28"/>
        <v>#N/A</v>
      </c>
      <c r="O219" t="e">
        <f t="shared" si="22"/>
        <v>#N/A</v>
      </c>
      <c r="P219" t="e">
        <f t="shared" si="22"/>
        <v>#N/A</v>
      </c>
      <c r="Q219" t="e">
        <f t="shared" si="23"/>
        <v>#N/A</v>
      </c>
      <c r="R219" t="e">
        <f t="shared" si="23"/>
        <v>#N/A</v>
      </c>
      <c r="S219" t="e">
        <f t="shared" si="24"/>
        <v>#N/A</v>
      </c>
      <c r="T219" t="e">
        <f t="shared" si="24"/>
        <v>#N/A</v>
      </c>
      <c r="U219" t="e">
        <f t="shared" si="25"/>
        <v>#N/A</v>
      </c>
      <c r="V219" t="e">
        <f t="shared" si="25"/>
        <v>#N/A</v>
      </c>
      <c r="W219" t="e">
        <f t="shared" si="26"/>
        <v>#N/A</v>
      </c>
      <c r="X219" t="e">
        <f t="shared" si="26"/>
        <v>#N/A</v>
      </c>
      <c r="Y219" t="e">
        <f t="shared" si="27"/>
        <v>#N/A</v>
      </c>
      <c r="Z219" t="e">
        <f t="shared" si="27"/>
        <v>#N/A</v>
      </c>
    </row>
    <row r="220" spans="1:26">
      <c r="A220" t="e">
        <f>IF(ISBLANK('[1]Точность устьев скважин'!A222),#N/A,'[1]Точность устьев скважин'!A222)</f>
        <v>#N/A</v>
      </c>
      <c r="B220" t="e">
        <f>IF(ISBLANK('[1]Точность устьев скважин'!B222),#N/A,'[1]Точность устьев скважин'!B222)</f>
        <v>#N/A</v>
      </c>
      <c r="C220" t="e">
        <f>IF(ISBLANK('[1]Точность устьев скважин'!C222),#N/A,'[1]Точность устьев скважин'!C222)</f>
        <v>#N/A</v>
      </c>
      <c r="D220" t="e">
        <f>IF(ISBLANK('[1]Точность устьев скважин'!D222),#N/A,'[1]Точность устьев скважин'!D222)</f>
        <v>#N/A</v>
      </c>
      <c r="G220" t="e">
        <f>IF(ISBLANK('[1]Точность устьев скважин'!H222),#N/A,'[1]Точность устьев скважин'!H222)</f>
        <v>#N/A</v>
      </c>
      <c r="H220" t="e">
        <f>IF(ISBLANK('[1]Точность устьев скважин'!I222),#N/A,'[1]Точность устьев скважин'!I222)</f>
        <v>#N/A</v>
      </c>
      <c r="I220" t="e">
        <f>IF(ISBLANK('[1]Точность устьев скважин'!J222),#N/A,'[1]Точность устьев скважин'!J222)</f>
        <v>#N/A</v>
      </c>
      <c r="J220" t="e">
        <f>IF(ISBLANK('[1]Точность устьев скважин'!K222),#N/A,'[1]Точность устьев скважин'!K222)</f>
        <v>#N/A</v>
      </c>
      <c r="L220" s="63" t="e">
        <f t="shared" si="28"/>
        <v>#N/A</v>
      </c>
      <c r="O220" t="e">
        <f t="shared" si="22"/>
        <v>#N/A</v>
      </c>
      <c r="P220" t="e">
        <f t="shared" si="22"/>
        <v>#N/A</v>
      </c>
      <c r="Q220" t="e">
        <f t="shared" si="23"/>
        <v>#N/A</v>
      </c>
      <c r="R220" t="e">
        <f t="shared" si="23"/>
        <v>#N/A</v>
      </c>
      <c r="S220" t="e">
        <f t="shared" si="24"/>
        <v>#N/A</v>
      </c>
      <c r="T220" t="e">
        <f t="shared" si="24"/>
        <v>#N/A</v>
      </c>
      <c r="U220" t="e">
        <f t="shared" si="25"/>
        <v>#N/A</v>
      </c>
      <c r="V220" t="e">
        <f t="shared" si="25"/>
        <v>#N/A</v>
      </c>
      <c r="W220" t="e">
        <f t="shared" si="26"/>
        <v>#N/A</v>
      </c>
      <c r="X220" t="e">
        <f t="shared" si="26"/>
        <v>#N/A</v>
      </c>
      <c r="Y220" t="e">
        <f t="shared" si="27"/>
        <v>#N/A</v>
      </c>
      <c r="Z220" t="e">
        <f t="shared" si="27"/>
        <v>#N/A</v>
      </c>
    </row>
    <row r="221" spans="1:26">
      <c r="A221" t="e">
        <f>IF(ISBLANK('[1]Точность устьев скважин'!A223),#N/A,'[1]Точность устьев скважин'!A223)</f>
        <v>#N/A</v>
      </c>
      <c r="B221" t="e">
        <f>IF(ISBLANK('[1]Точность устьев скважин'!B223),#N/A,'[1]Точность устьев скважин'!B223)</f>
        <v>#N/A</v>
      </c>
      <c r="C221" t="e">
        <f>IF(ISBLANK('[1]Точность устьев скважин'!C223),#N/A,'[1]Точность устьев скважин'!C223)</f>
        <v>#N/A</v>
      </c>
      <c r="D221" t="e">
        <f>IF(ISBLANK('[1]Точность устьев скважин'!D223),#N/A,'[1]Точность устьев скважин'!D223)</f>
        <v>#N/A</v>
      </c>
      <c r="G221" t="e">
        <f>IF(ISBLANK('[1]Точность устьев скважин'!H223),#N/A,'[1]Точность устьев скважин'!H223)</f>
        <v>#N/A</v>
      </c>
      <c r="H221" t="e">
        <f>IF(ISBLANK('[1]Точность устьев скважин'!I223),#N/A,'[1]Точность устьев скважин'!I223)</f>
        <v>#N/A</v>
      </c>
      <c r="I221" t="e">
        <f>IF(ISBLANK('[1]Точность устьев скважин'!J223),#N/A,'[1]Точность устьев скважин'!J223)</f>
        <v>#N/A</v>
      </c>
      <c r="J221" t="e">
        <f>IF(ISBLANK('[1]Точность устьев скважин'!K223),#N/A,'[1]Точность устьев скважин'!K223)</f>
        <v>#N/A</v>
      </c>
      <c r="L221" s="63" t="e">
        <f t="shared" si="28"/>
        <v>#N/A</v>
      </c>
      <c r="O221" t="e">
        <f t="shared" si="22"/>
        <v>#N/A</v>
      </c>
      <c r="P221" t="e">
        <f t="shared" si="22"/>
        <v>#N/A</v>
      </c>
      <c r="Q221" t="e">
        <f t="shared" si="23"/>
        <v>#N/A</v>
      </c>
      <c r="R221" t="e">
        <f t="shared" si="23"/>
        <v>#N/A</v>
      </c>
      <c r="S221" t="e">
        <f t="shared" si="24"/>
        <v>#N/A</v>
      </c>
      <c r="T221" t="e">
        <f t="shared" si="24"/>
        <v>#N/A</v>
      </c>
      <c r="U221" t="e">
        <f t="shared" si="25"/>
        <v>#N/A</v>
      </c>
      <c r="V221" t="e">
        <f t="shared" si="25"/>
        <v>#N/A</v>
      </c>
      <c r="W221" t="e">
        <f t="shared" si="26"/>
        <v>#N/A</v>
      </c>
      <c r="X221" t="e">
        <f t="shared" si="26"/>
        <v>#N/A</v>
      </c>
      <c r="Y221" t="e">
        <f t="shared" si="27"/>
        <v>#N/A</v>
      </c>
      <c r="Z221" t="e">
        <f t="shared" si="27"/>
        <v>#N/A</v>
      </c>
    </row>
    <row r="222" spans="1:26">
      <c r="A222" t="e">
        <f>IF(ISBLANK('[1]Точность устьев скважин'!A224),#N/A,'[1]Точность устьев скважин'!A224)</f>
        <v>#N/A</v>
      </c>
      <c r="B222" t="e">
        <f>IF(ISBLANK('[1]Точность устьев скважин'!B224),#N/A,'[1]Точность устьев скважин'!B224)</f>
        <v>#N/A</v>
      </c>
      <c r="C222" t="e">
        <f>IF(ISBLANK('[1]Точность устьев скважин'!C224),#N/A,'[1]Точность устьев скважин'!C224)</f>
        <v>#N/A</v>
      </c>
      <c r="D222" t="e">
        <f>IF(ISBLANK('[1]Точность устьев скважин'!D224),#N/A,'[1]Точность устьев скважин'!D224)</f>
        <v>#N/A</v>
      </c>
      <c r="G222" t="e">
        <f>IF(ISBLANK('[1]Точность устьев скважин'!H224),#N/A,'[1]Точность устьев скважин'!H224)</f>
        <v>#N/A</v>
      </c>
      <c r="H222" t="e">
        <f>IF(ISBLANK('[1]Точность устьев скважин'!I224),#N/A,'[1]Точность устьев скважин'!I224)</f>
        <v>#N/A</v>
      </c>
      <c r="I222" t="e">
        <f>IF(ISBLANK('[1]Точность устьев скважин'!J224),#N/A,'[1]Точность устьев скважин'!J224)</f>
        <v>#N/A</v>
      </c>
      <c r="J222" t="e">
        <f>IF(ISBLANK('[1]Точность устьев скважин'!K224),#N/A,'[1]Точность устьев скважин'!K224)</f>
        <v>#N/A</v>
      </c>
      <c r="L222" s="63" t="e">
        <f t="shared" si="28"/>
        <v>#N/A</v>
      </c>
      <c r="O222" t="e">
        <f t="shared" si="22"/>
        <v>#N/A</v>
      </c>
      <c r="P222" t="e">
        <f t="shared" si="22"/>
        <v>#N/A</v>
      </c>
      <c r="Q222" t="e">
        <f t="shared" si="23"/>
        <v>#N/A</v>
      </c>
      <c r="R222" t="e">
        <f t="shared" si="23"/>
        <v>#N/A</v>
      </c>
      <c r="S222" t="e">
        <f t="shared" si="24"/>
        <v>#N/A</v>
      </c>
      <c r="T222" t="e">
        <f t="shared" si="24"/>
        <v>#N/A</v>
      </c>
      <c r="U222" t="e">
        <f t="shared" si="25"/>
        <v>#N/A</v>
      </c>
      <c r="V222" t="e">
        <f t="shared" si="25"/>
        <v>#N/A</v>
      </c>
      <c r="W222" t="e">
        <f t="shared" si="26"/>
        <v>#N/A</v>
      </c>
      <c r="X222" t="e">
        <f t="shared" si="26"/>
        <v>#N/A</v>
      </c>
      <c r="Y222" t="e">
        <f t="shared" si="27"/>
        <v>#N/A</v>
      </c>
      <c r="Z222" t="e">
        <f t="shared" si="27"/>
        <v>#N/A</v>
      </c>
    </row>
    <row r="223" spans="1:26">
      <c r="A223" t="e">
        <f>IF(ISBLANK('[1]Точность устьев скважин'!A225),#N/A,'[1]Точность устьев скважин'!A225)</f>
        <v>#N/A</v>
      </c>
      <c r="B223" t="e">
        <f>IF(ISBLANK('[1]Точность устьев скважин'!B225),#N/A,'[1]Точность устьев скважин'!B225)</f>
        <v>#N/A</v>
      </c>
      <c r="C223" t="e">
        <f>IF(ISBLANK('[1]Точность устьев скважин'!C225),#N/A,'[1]Точность устьев скважин'!C225)</f>
        <v>#N/A</v>
      </c>
      <c r="D223" t="e">
        <f>IF(ISBLANK('[1]Точность устьев скважин'!D225),#N/A,'[1]Точность устьев скважин'!D225)</f>
        <v>#N/A</v>
      </c>
      <c r="G223" t="e">
        <f>IF(ISBLANK('[1]Точность устьев скважин'!H225),#N/A,'[1]Точность устьев скважин'!H225)</f>
        <v>#N/A</v>
      </c>
      <c r="H223" t="e">
        <f>IF(ISBLANK('[1]Точность устьев скважин'!I225),#N/A,'[1]Точность устьев скважин'!I225)</f>
        <v>#N/A</v>
      </c>
      <c r="I223" t="e">
        <f>IF(ISBLANK('[1]Точность устьев скважин'!J225),#N/A,'[1]Точность устьев скважин'!J225)</f>
        <v>#N/A</v>
      </c>
      <c r="J223" t="e">
        <f>IF(ISBLANK('[1]Точность устьев скважин'!K225),#N/A,'[1]Точность устьев скважин'!K225)</f>
        <v>#N/A</v>
      </c>
      <c r="L223" s="63" t="e">
        <f t="shared" si="28"/>
        <v>#N/A</v>
      </c>
      <c r="O223" t="e">
        <f t="shared" si="22"/>
        <v>#N/A</v>
      </c>
      <c r="P223" t="e">
        <f t="shared" si="22"/>
        <v>#N/A</v>
      </c>
      <c r="Q223" t="e">
        <f t="shared" si="23"/>
        <v>#N/A</v>
      </c>
      <c r="R223" t="e">
        <f t="shared" si="23"/>
        <v>#N/A</v>
      </c>
      <c r="S223" t="e">
        <f t="shared" si="24"/>
        <v>#N/A</v>
      </c>
      <c r="T223" t="e">
        <f t="shared" si="24"/>
        <v>#N/A</v>
      </c>
      <c r="U223" t="e">
        <f t="shared" si="25"/>
        <v>#N/A</v>
      </c>
      <c r="V223" t="e">
        <f t="shared" si="25"/>
        <v>#N/A</v>
      </c>
      <c r="W223" t="e">
        <f t="shared" si="26"/>
        <v>#N/A</v>
      </c>
      <c r="X223" t="e">
        <f t="shared" si="26"/>
        <v>#N/A</v>
      </c>
      <c r="Y223" t="e">
        <f t="shared" si="27"/>
        <v>#N/A</v>
      </c>
      <c r="Z223" t="e">
        <f t="shared" si="27"/>
        <v>#N/A</v>
      </c>
    </row>
    <row r="224" spans="1:26">
      <c r="A224" t="e">
        <f>IF(ISBLANK('[1]Точность устьев скважин'!A226),#N/A,'[1]Точность устьев скважин'!A226)</f>
        <v>#N/A</v>
      </c>
      <c r="B224" t="e">
        <f>IF(ISBLANK('[1]Точность устьев скважин'!B226),#N/A,'[1]Точность устьев скважин'!B226)</f>
        <v>#N/A</v>
      </c>
      <c r="C224" t="e">
        <f>IF(ISBLANK('[1]Точность устьев скважин'!C226),#N/A,'[1]Точность устьев скважин'!C226)</f>
        <v>#N/A</v>
      </c>
      <c r="D224" t="e">
        <f>IF(ISBLANK('[1]Точность устьев скважин'!D226),#N/A,'[1]Точность устьев скважин'!D226)</f>
        <v>#N/A</v>
      </c>
      <c r="G224" t="e">
        <f>IF(ISBLANK('[1]Точность устьев скважин'!H226),#N/A,'[1]Точность устьев скважин'!H226)</f>
        <v>#N/A</v>
      </c>
      <c r="H224" t="e">
        <f>IF(ISBLANK('[1]Точность устьев скважин'!I226),#N/A,'[1]Точность устьев скважин'!I226)</f>
        <v>#N/A</v>
      </c>
      <c r="I224" t="e">
        <f>IF(ISBLANK('[1]Точность устьев скважин'!J226),#N/A,'[1]Точность устьев скважин'!J226)</f>
        <v>#N/A</v>
      </c>
      <c r="J224" t="e">
        <f>IF(ISBLANK('[1]Точность устьев скважин'!K226),#N/A,'[1]Точность устьев скважин'!K226)</f>
        <v>#N/A</v>
      </c>
      <c r="L224" s="63" t="e">
        <f t="shared" si="28"/>
        <v>#N/A</v>
      </c>
      <c r="O224" t="e">
        <f t="shared" si="22"/>
        <v>#N/A</v>
      </c>
      <c r="P224" t="e">
        <f t="shared" si="22"/>
        <v>#N/A</v>
      </c>
      <c r="Q224" t="e">
        <f t="shared" si="23"/>
        <v>#N/A</v>
      </c>
      <c r="R224" t="e">
        <f t="shared" si="23"/>
        <v>#N/A</v>
      </c>
      <c r="S224" t="e">
        <f t="shared" si="24"/>
        <v>#N/A</v>
      </c>
      <c r="T224" t="e">
        <f t="shared" si="24"/>
        <v>#N/A</v>
      </c>
      <c r="U224" t="e">
        <f t="shared" si="25"/>
        <v>#N/A</v>
      </c>
      <c r="V224" t="e">
        <f t="shared" si="25"/>
        <v>#N/A</v>
      </c>
      <c r="W224" t="e">
        <f t="shared" si="26"/>
        <v>#N/A</v>
      </c>
      <c r="X224" t="e">
        <f t="shared" si="26"/>
        <v>#N/A</v>
      </c>
      <c r="Y224" t="e">
        <f t="shared" si="27"/>
        <v>#N/A</v>
      </c>
      <c r="Z224" t="e">
        <f t="shared" si="27"/>
        <v>#N/A</v>
      </c>
    </row>
    <row r="225" spans="1:26">
      <c r="A225" t="e">
        <f>IF(ISBLANK('[1]Точность устьев скважин'!A227),#N/A,'[1]Точность устьев скважин'!A227)</f>
        <v>#N/A</v>
      </c>
      <c r="B225" t="e">
        <f>IF(ISBLANK('[1]Точность устьев скважин'!B227),#N/A,'[1]Точность устьев скважин'!B227)</f>
        <v>#N/A</v>
      </c>
      <c r="C225" t="e">
        <f>IF(ISBLANK('[1]Точность устьев скважин'!C227),#N/A,'[1]Точность устьев скважин'!C227)</f>
        <v>#N/A</v>
      </c>
      <c r="D225" t="e">
        <f>IF(ISBLANK('[1]Точность устьев скважин'!D227),#N/A,'[1]Точность устьев скважин'!D227)</f>
        <v>#N/A</v>
      </c>
      <c r="G225" t="e">
        <f>IF(ISBLANK('[1]Точность устьев скважин'!H227),#N/A,'[1]Точность устьев скважин'!H227)</f>
        <v>#N/A</v>
      </c>
      <c r="H225" t="e">
        <f>IF(ISBLANK('[1]Точность устьев скважин'!I227),#N/A,'[1]Точность устьев скважин'!I227)</f>
        <v>#N/A</v>
      </c>
      <c r="I225" t="e">
        <f>IF(ISBLANK('[1]Точность устьев скважин'!J227),#N/A,'[1]Точность устьев скважин'!J227)</f>
        <v>#N/A</v>
      </c>
      <c r="J225" t="e">
        <f>IF(ISBLANK('[1]Точность устьев скважин'!K227),#N/A,'[1]Точность устьев скважин'!K227)</f>
        <v>#N/A</v>
      </c>
      <c r="L225" s="63" t="e">
        <f t="shared" si="28"/>
        <v>#N/A</v>
      </c>
      <c r="O225" t="e">
        <f t="shared" si="22"/>
        <v>#N/A</v>
      </c>
      <c r="P225" t="e">
        <f t="shared" si="22"/>
        <v>#N/A</v>
      </c>
      <c r="Q225" t="e">
        <f t="shared" si="23"/>
        <v>#N/A</v>
      </c>
      <c r="R225" t="e">
        <f t="shared" si="23"/>
        <v>#N/A</v>
      </c>
      <c r="S225" t="e">
        <f t="shared" si="24"/>
        <v>#N/A</v>
      </c>
      <c r="T225" t="e">
        <f t="shared" si="24"/>
        <v>#N/A</v>
      </c>
      <c r="U225" t="e">
        <f t="shared" si="25"/>
        <v>#N/A</v>
      </c>
      <c r="V225" t="e">
        <f t="shared" si="25"/>
        <v>#N/A</v>
      </c>
      <c r="W225" t="e">
        <f t="shared" si="26"/>
        <v>#N/A</v>
      </c>
      <c r="X225" t="e">
        <f t="shared" si="26"/>
        <v>#N/A</v>
      </c>
      <c r="Y225" t="e">
        <f t="shared" si="27"/>
        <v>#N/A</v>
      </c>
      <c r="Z225" t="e">
        <f t="shared" si="27"/>
        <v>#N/A</v>
      </c>
    </row>
    <row r="226" spans="1:26">
      <c r="A226" t="e">
        <f>IF(ISBLANK('[1]Точность устьев скважин'!A228),#N/A,'[1]Точность устьев скважин'!A228)</f>
        <v>#N/A</v>
      </c>
      <c r="B226" t="e">
        <f>IF(ISBLANK('[1]Точность устьев скважин'!B228),#N/A,'[1]Точность устьев скважин'!B228)</f>
        <v>#N/A</v>
      </c>
      <c r="C226" t="e">
        <f>IF(ISBLANK('[1]Точность устьев скважин'!C228),#N/A,'[1]Точность устьев скважин'!C228)</f>
        <v>#N/A</v>
      </c>
      <c r="D226" t="e">
        <f>IF(ISBLANK('[1]Точность устьев скважин'!D228),#N/A,'[1]Точность устьев скважин'!D228)</f>
        <v>#N/A</v>
      </c>
      <c r="G226" t="e">
        <f>IF(ISBLANK('[1]Точность устьев скважин'!H228),#N/A,'[1]Точность устьев скважин'!H228)</f>
        <v>#N/A</v>
      </c>
      <c r="H226" t="e">
        <f>IF(ISBLANK('[1]Точность устьев скважин'!I228),#N/A,'[1]Точность устьев скважин'!I228)</f>
        <v>#N/A</v>
      </c>
      <c r="I226" t="e">
        <f>IF(ISBLANK('[1]Точность устьев скважин'!J228),#N/A,'[1]Точность устьев скважин'!J228)</f>
        <v>#N/A</v>
      </c>
      <c r="J226" t="e">
        <f>IF(ISBLANK('[1]Точность устьев скважин'!K228),#N/A,'[1]Точность устьев скважин'!K228)</f>
        <v>#N/A</v>
      </c>
      <c r="L226" s="63" t="e">
        <f t="shared" si="28"/>
        <v>#N/A</v>
      </c>
      <c r="O226" t="e">
        <f t="shared" si="22"/>
        <v>#N/A</v>
      </c>
      <c r="P226" t="e">
        <f t="shared" si="22"/>
        <v>#N/A</v>
      </c>
      <c r="Q226" t="e">
        <f t="shared" si="23"/>
        <v>#N/A</v>
      </c>
      <c r="R226" t="e">
        <f t="shared" si="23"/>
        <v>#N/A</v>
      </c>
      <c r="S226" t="e">
        <f t="shared" si="24"/>
        <v>#N/A</v>
      </c>
      <c r="T226" t="e">
        <f t="shared" si="24"/>
        <v>#N/A</v>
      </c>
      <c r="U226" t="e">
        <f t="shared" si="25"/>
        <v>#N/A</v>
      </c>
      <c r="V226" t="e">
        <f t="shared" si="25"/>
        <v>#N/A</v>
      </c>
      <c r="W226" t="e">
        <f t="shared" si="26"/>
        <v>#N/A</v>
      </c>
      <c r="X226" t="e">
        <f t="shared" si="26"/>
        <v>#N/A</v>
      </c>
      <c r="Y226" t="e">
        <f t="shared" si="27"/>
        <v>#N/A</v>
      </c>
      <c r="Z226" t="e">
        <f t="shared" si="27"/>
        <v>#N/A</v>
      </c>
    </row>
    <row r="227" spans="1:26">
      <c r="A227" t="e">
        <f>IF(ISBLANK('[1]Точность устьев скважин'!A229),#N/A,'[1]Точность устьев скважин'!A229)</f>
        <v>#N/A</v>
      </c>
      <c r="B227" t="e">
        <f>IF(ISBLANK('[1]Точность устьев скважин'!B229),#N/A,'[1]Точность устьев скважин'!B229)</f>
        <v>#N/A</v>
      </c>
      <c r="C227" t="e">
        <f>IF(ISBLANK('[1]Точность устьев скважин'!C229),#N/A,'[1]Точность устьев скважин'!C229)</f>
        <v>#N/A</v>
      </c>
      <c r="D227" t="e">
        <f>IF(ISBLANK('[1]Точность устьев скважин'!D229),#N/A,'[1]Точность устьев скважин'!D229)</f>
        <v>#N/A</v>
      </c>
      <c r="G227" t="e">
        <f>IF(ISBLANK('[1]Точность устьев скважин'!H229),#N/A,'[1]Точность устьев скважин'!H229)</f>
        <v>#N/A</v>
      </c>
      <c r="H227" t="e">
        <f>IF(ISBLANK('[1]Точность устьев скважин'!I229),#N/A,'[1]Точность устьев скважин'!I229)</f>
        <v>#N/A</v>
      </c>
      <c r="I227" t="e">
        <f>IF(ISBLANK('[1]Точность устьев скважин'!J229),#N/A,'[1]Точность устьев скважин'!J229)</f>
        <v>#N/A</v>
      </c>
      <c r="J227" t="e">
        <f>IF(ISBLANK('[1]Точность устьев скважин'!K229),#N/A,'[1]Точность устьев скважин'!K229)</f>
        <v>#N/A</v>
      </c>
      <c r="L227" s="63" t="e">
        <f t="shared" si="28"/>
        <v>#N/A</v>
      </c>
      <c r="O227" t="e">
        <f t="shared" si="22"/>
        <v>#N/A</v>
      </c>
      <c r="P227" t="e">
        <f t="shared" si="22"/>
        <v>#N/A</v>
      </c>
      <c r="Q227" t="e">
        <f t="shared" si="23"/>
        <v>#N/A</v>
      </c>
      <c r="R227" t="e">
        <f t="shared" si="23"/>
        <v>#N/A</v>
      </c>
      <c r="S227" t="e">
        <f t="shared" si="24"/>
        <v>#N/A</v>
      </c>
      <c r="T227" t="e">
        <f t="shared" si="24"/>
        <v>#N/A</v>
      </c>
      <c r="U227" t="e">
        <f t="shared" si="25"/>
        <v>#N/A</v>
      </c>
      <c r="V227" t="e">
        <f t="shared" si="25"/>
        <v>#N/A</v>
      </c>
      <c r="W227" t="e">
        <f t="shared" si="26"/>
        <v>#N/A</v>
      </c>
      <c r="X227" t="e">
        <f t="shared" si="26"/>
        <v>#N/A</v>
      </c>
      <c r="Y227" t="e">
        <f t="shared" si="27"/>
        <v>#N/A</v>
      </c>
      <c r="Z227" t="e">
        <f t="shared" si="27"/>
        <v>#N/A</v>
      </c>
    </row>
    <row r="228" spans="1:26">
      <c r="A228" t="e">
        <f>IF(ISBLANK('[1]Точность устьев скважин'!A230),#N/A,'[1]Точность устьев скважин'!A230)</f>
        <v>#N/A</v>
      </c>
      <c r="B228" t="e">
        <f>IF(ISBLANK('[1]Точность устьев скважин'!B230),#N/A,'[1]Точность устьев скважин'!B230)</f>
        <v>#N/A</v>
      </c>
      <c r="C228" t="e">
        <f>IF(ISBLANK('[1]Точность устьев скважин'!C230),#N/A,'[1]Точность устьев скважин'!C230)</f>
        <v>#N/A</v>
      </c>
      <c r="D228" t="e">
        <f>IF(ISBLANK('[1]Точность устьев скважин'!D230),#N/A,'[1]Точность устьев скважин'!D230)</f>
        <v>#N/A</v>
      </c>
      <c r="G228" t="e">
        <f>IF(ISBLANK('[1]Точность устьев скважин'!H230),#N/A,'[1]Точность устьев скважин'!H230)</f>
        <v>#N/A</v>
      </c>
      <c r="H228" t="e">
        <f>IF(ISBLANK('[1]Точность устьев скважин'!I230),#N/A,'[1]Точность устьев скважин'!I230)</f>
        <v>#N/A</v>
      </c>
      <c r="I228" t="e">
        <f>IF(ISBLANK('[1]Точность устьев скважин'!J230),#N/A,'[1]Точность устьев скважин'!J230)</f>
        <v>#N/A</v>
      </c>
      <c r="J228" t="e">
        <f>IF(ISBLANK('[1]Точность устьев скважин'!K230),#N/A,'[1]Точность устьев скважин'!K230)</f>
        <v>#N/A</v>
      </c>
      <c r="L228" s="63" t="e">
        <f t="shared" si="28"/>
        <v>#N/A</v>
      </c>
      <c r="O228" t="e">
        <f t="shared" si="22"/>
        <v>#N/A</v>
      </c>
      <c r="P228" t="e">
        <f t="shared" si="22"/>
        <v>#N/A</v>
      </c>
      <c r="Q228" t="e">
        <f t="shared" si="23"/>
        <v>#N/A</v>
      </c>
      <c r="R228" t="e">
        <f t="shared" si="23"/>
        <v>#N/A</v>
      </c>
      <c r="S228" t="e">
        <f t="shared" si="24"/>
        <v>#N/A</v>
      </c>
      <c r="T228" t="e">
        <f t="shared" si="24"/>
        <v>#N/A</v>
      </c>
      <c r="U228" t="e">
        <f t="shared" si="25"/>
        <v>#N/A</v>
      </c>
      <c r="V228" t="e">
        <f t="shared" si="25"/>
        <v>#N/A</v>
      </c>
      <c r="W228" t="e">
        <f t="shared" si="26"/>
        <v>#N/A</v>
      </c>
      <c r="X228" t="e">
        <f t="shared" si="26"/>
        <v>#N/A</v>
      </c>
      <c r="Y228" t="e">
        <f t="shared" si="27"/>
        <v>#N/A</v>
      </c>
      <c r="Z228" t="e">
        <f t="shared" si="27"/>
        <v>#N/A</v>
      </c>
    </row>
    <row r="229" spans="1:26">
      <c r="A229" t="e">
        <f>IF(ISBLANK('[1]Точность устьев скважин'!A231),#N/A,'[1]Точность устьев скважин'!A231)</f>
        <v>#N/A</v>
      </c>
      <c r="B229" t="e">
        <f>IF(ISBLANK('[1]Точность устьев скважин'!B231),#N/A,'[1]Точность устьев скважин'!B231)</f>
        <v>#N/A</v>
      </c>
      <c r="C229" t="e">
        <f>IF(ISBLANK('[1]Точность устьев скважин'!C231),#N/A,'[1]Точность устьев скважин'!C231)</f>
        <v>#N/A</v>
      </c>
      <c r="D229" t="e">
        <f>IF(ISBLANK('[1]Точность устьев скважин'!D231),#N/A,'[1]Точность устьев скважин'!D231)</f>
        <v>#N/A</v>
      </c>
      <c r="G229" t="e">
        <f>IF(ISBLANK('[1]Точность устьев скважин'!H231),#N/A,'[1]Точность устьев скважин'!H231)</f>
        <v>#N/A</v>
      </c>
      <c r="H229" t="e">
        <f>IF(ISBLANK('[1]Точность устьев скважин'!I231),#N/A,'[1]Точность устьев скважин'!I231)</f>
        <v>#N/A</v>
      </c>
      <c r="I229" t="e">
        <f>IF(ISBLANK('[1]Точность устьев скважин'!J231),#N/A,'[1]Точность устьев скважин'!J231)</f>
        <v>#N/A</v>
      </c>
      <c r="J229" t="e">
        <f>IF(ISBLANK('[1]Точность устьев скважин'!K231),#N/A,'[1]Точность устьев скважин'!K231)</f>
        <v>#N/A</v>
      </c>
      <c r="L229" s="63" t="e">
        <f t="shared" si="28"/>
        <v>#N/A</v>
      </c>
      <c r="O229" t="e">
        <f t="shared" si="22"/>
        <v>#N/A</v>
      </c>
      <c r="P229" t="e">
        <f t="shared" si="22"/>
        <v>#N/A</v>
      </c>
      <c r="Q229" t="e">
        <f t="shared" si="23"/>
        <v>#N/A</v>
      </c>
      <c r="R229" t="e">
        <f t="shared" si="23"/>
        <v>#N/A</v>
      </c>
      <c r="S229" t="e">
        <f t="shared" si="24"/>
        <v>#N/A</v>
      </c>
      <c r="T229" t="e">
        <f t="shared" si="24"/>
        <v>#N/A</v>
      </c>
      <c r="U229" t="e">
        <f t="shared" si="25"/>
        <v>#N/A</v>
      </c>
      <c r="V229" t="e">
        <f t="shared" si="25"/>
        <v>#N/A</v>
      </c>
      <c r="W229" t="e">
        <f t="shared" si="26"/>
        <v>#N/A</v>
      </c>
      <c r="X229" t="e">
        <f t="shared" si="26"/>
        <v>#N/A</v>
      </c>
      <c r="Y229" t="e">
        <f t="shared" si="27"/>
        <v>#N/A</v>
      </c>
      <c r="Z229" t="e">
        <f t="shared" si="27"/>
        <v>#N/A</v>
      </c>
    </row>
    <row r="230" spans="1:26">
      <c r="A230" t="e">
        <f>IF(ISBLANK('[1]Точность устьев скважин'!A232),#N/A,'[1]Точность устьев скважин'!A232)</f>
        <v>#N/A</v>
      </c>
      <c r="B230" t="e">
        <f>IF(ISBLANK('[1]Точность устьев скважин'!B232),#N/A,'[1]Точность устьев скважин'!B232)</f>
        <v>#N/A</v>
      </c>
      <c r="C230" t="e">
        <f>IF(ISBLANK('[1]Точность устьев скважин'!C232),#N/A,'[1]Точность устьев скважин'!C232)</f>
        <v>#N/A</v>
      </c>
      <c r="D230" t="e">
        <f>IF(ISBLANK('[1]Точность устьев скважин'!D232),#N/A,'[1]Точность устьев скважин'!D232)</f>
        <v>#N/A</v>
      </c>
      <c r="G230" t="e">
        <f>IF(ISBLANK('[1]Точность устьев скважин'!H232),#N/A,'[1]Точность устьев скважин'!H232)</f>
        <v>#N/A</v>
      </c>
      <c r="H230" t="e">
        <f>IF(ISBLANK('[1]Точность устьев скважин'!I232),#N/A,'[1]Точность устьев скважин'!I232)</f>
        <v>#N/A</v>
      </c>
      <c r="I230" t="e">
        <f>IF(ISBLANK('[1]Точность устьев скважин'!J232),#N/A,'[1]Точность устьев скважин'!J232)</f>
        <v>#N/A</v>
      </c>
      <c r="J230" t="e">
        <f>IF(ISBLANK('[1]Точность устьев скважин'!K232),#N/A,'[1]Точность устьев скважин'!K232)</f>
        <v>#N/A</v>
      </c>
      <c r="L230" s="63" t="e">
        <f t="shared" si="28"/>
        <v>#N/A</v>
      </c>
      <c r="O230" t="e">
        <f t="shared" si="22"/>
        <v>#N/A</v>
      </c>
      <c r="P230" t="e">
        <f t="shared" si="22"/>
        <v>#N/A</v>
      </c>
      <c r="Q230" t="e">
        <f t="shared" si="23"/>
        <v>#N/A</v>
      </c>
      <c r="R230" t="e">
        <f t="shared" si="23"/>
        <v>#N/A</v>
      </c>
      <c r="S230" t="e">
        <f t="shared" si="24"/>
        <v>#N/A</v>
      </c>
      <c r="T230" t="e">
        <f t="shared" si="24"/>
        <v>#N/A</v>
      </c>
      <c r="U230" t="e">
        <f t="shared" si="25"/>
        <v>#N/A</v>
      </c>
      <c r="V230" t="e">
        <f t="shared" si="25"/>
        <v>#N/A</v>
      </c>
      <c r="W230" t="e">
        <f t="shared" si="26"/>
        <v>#N/A</v>
      </c>
      <c r="X230" t="e">
        <f t="shared" si="26"/>
        <v>#N/A</v>
      </c>
      <c r="Y230" t="e">
        <f t="shared" si="27"/>
        <v>#N/A</v>
      </c>
      <c r="Z230" t="e">
        <f t="shared" si="27"/>
        <v>#N/A</v>
      </c>
    </row>
    <row r="231" spans="1:26">
      <c r="A231" t="e">
        <f>IF(ISBLANK('[1]Точность устьев скважин'!A233),#N/A,'[1]Точность устьев скважин'!A233)</f>
        <v>#N/A</v>
      </c>
      <c r="B231" t="e">
        <f>IF(ISBLANK('[1]Точность устьев скважин'!B233),#N/A,'[1]Точность устьев скважин'!B233)</f>
        <v>#N/A</v>
      </c>
      <c r="C231" t="e">
        <f>IF(ISBLANK('[1]Точность устьев скважин'!C233),#N/A,'[1]Точность устьев скважин'!C233)</f>
        <v>#N/A</v>
      </c>
      <c r="D231" t="e">
        <f>IF(ISBLANK('[1]Точность устьев скважин'!D233),#N/A,'[1]Точность устьев скважин'!D233)</f>
        <v>#N/A</v>
      </c>
      <c r="G231" t="e">
        <f>IF(ISBLANK('[1]Точность устьев скважин'!H233),#N/A,'[1]Точность устьев скважин'!H233)</f>
        <v>#N/A</v>
      </c>
      <c r="H231" t="e">
        <f>IF(ISBLANK('[1]Точность устьев скважин'!I233),#N/A,'[1]Точность устьев скважин'!I233)</f>
        <v>#N/A</v>
      </c>
      <c r="I231" t="e">
        <f>IF(ISBLANK('[1]Точность устьев скважин'!J233),#N/A,'[1]Точность устьев скважин'!J233)</f>
        <v>#N/A</v>
      </c>
      <c r="J231" t="e">
        <f>IF(ISBLANK('[1]Точность устьев скважин'!K233),#N/A,'[1]Точность устьев скважин'!K233)</f>
        <v>#N/A</v>
      </c>
      <c r="L231" s="63" t="e">
        <f t="shared" si="28"/>
        <v>#N/A</v>
      </c>
      <c r="O231" t="e">
        <f t="shared" si="22"/>
        <v>#N/A</v>
      </c>
      <c r="P231" t="e">
        <f t="shared" si="22"/>
        <v>#N/A</v>
      </c>
      <c r="Q231" t="e">
        <f t="shared" si="23"/>
        <v>#N/A</v>
      </c>
      <c r="R231" t="e">
        <f t="shared" si="23"/>
        <v>#N/A</v>
      </c>
      <c r="S231" t="e">
        <f t="shared" si="24"/>
        <v>#N/A</v>
      </c>
      <c r="T231" t="e">
        <f t="shared" si="24"/>
        <v>#N/A</v>
      </c>
      <c r="U231" t="e">
        <f t="shared" si="25"/>
        <v>#N/A</v>
      </c>
      <c r="V231" t="e">
        <f t="shared" si="25"/>
        <v>#N/A</v>
      </c>
      <c r="W231" t="e">
        <f t="shared" si="26"/>
        <v>#N/A</v>
      </c>
      <c r="X231" t="e">
        <f t="shared" si="26"/>
        <v>#N/A</v>
      </c>
      <c r="Y231" t="e">
        <f t="shared" si="27"/>
        <v>#N/A</v>
      </c>
      <c r="Z231" t="e">
        <f t="shared" si="27"/>
        <v>#N/A</v>
      </c>
    </row>
    <row r="232" spans="1:26">
      <c r="A232" t="e">
        <f>IF(ISBLANK('[1]Точность устьев скважин'!A234),#N/A,'[1]Точность устьев скважин'!A234)</f>
        <v>#N/A</v>
      </c>
      <c r="B232" t="e">
        <f>IF(ISBLANK('[1]Точность устьев скважин'!B234),#N/A,'[1]Точность устьев скважин'!B234)</f>
        <v>#N/A</v>
      </c>
      <c r="C232" t="e">
        <f>IF(ISBLANK('[1]Точность устьев скважин'!C234),#N/A,'[1]Точность устьев скважин'!C234)</f>
        <v>#N/A</v>
      </c>
      <c r="D232" t="e">
        <f>IF(ISBLANK('[1]Точность устьев скважин'!D234),#N/A,'[1]Точность устьев скважин'!D234)</f>
        <v>#N/A</v>
      </c>
      <c r="G232" t="e">
        <f>IF(ISBLANK('[1]Точность устьев скважин'!H234),#N/A,'[1]Точность устьев скважин'!H234)</f>
        <v>#N/A</v>
      </c>
      <c r="H232" t="e">
        <f>IF(ISBLANK('[1]Точность устьев скважин'!I234),#N/A,'[1]Точность устьев скважин'!I234)</f>
        <v>#N/A</v>
      </c>
      <c r="I232" t="e">
        <f>IF(ISBLANK('[1]Точность устьев скважин'!J234),#N/A,'[1]Точность устьев скважин'!J234)</f>
        <v>#N/A</v>
      </c>
      <c r="J232" t="e">
        <f>IF(ISBLANK('[1]Точность устьев скважин'!K234),#N/A,'[1]Точность устьев скважин'!K234)</f>
        <v>#N/A</v>
      </c>
      <c r="L232" s="63" t="e">
        <f t="shared" si="28"/>
        <v>#N/A</v>
      </c>
      <c r="O232" t="e">
        <f t="shared" si="22"/>
        <v>#N/A</v>
      </c>
      <c r="P232" t="e">
        <f t="shared" si="22"/>
        <v>#N/A</v>
      </c>
      <c r="Q232" t="e">
        <f t="shared" si="23"/>
        <v>#N/A</v>
      </c>
      <c r="R232" t="e">
        <f t="shared" si="23"/>
        <v>#N/A</v>
      </c>
      <c r="S232" t="e">
        <f t="shared" si="24"/>
        <v>#N/A</v>
      </c>
      <c r="T232" t="e">
        <f t="shared" si="24"/>
        <v>#N/A</v>
      </c>
      <c r="U232" t="e">
        <f t="shared" si="25"/>
        <v>#N/A</v>
      </c>
      <c r="V232" t="e">
        <f t="shared" si="25"/>
        <v>#N/A</v>
      </c>
      <c r="W232" t="e">
        <f t="shared" si="26"/>
        <v>#N/A</v>
      </c>
      <c r="X232" t="e">
        <f t="shared" si="26"/>
        <v>#N/A</v>
      </c>
      <c r="Y232" t="e">
        <f t="shared" si="27"/>
        <v>#N/A</v>
      </c>
      <c r="Z232" t="e">
        <f t="shared" si="27"/>
        <v>#N/A</v>
      </c>
    </row>
    <row r="233" spans="1:26">
      <c r="A233" t="e">
        <f>IF(ISBLANK('[1]Точность устьев скважин'!A235),#N/A,'[1]Точность устьев скважин'!A235)</f>
        <v>#N/A</v>
      </c>
      <c r="B233" t="e">
        <f>IF(ISBLANK('[1]Точность устьев скважин'!B235),#N/A,'[1]Точность устьев скважин'!B235)</f>
        <v>#N/A</v>
      </c>
      <c r="C233" t="e">
        <f>IF(ISBLANK('[1]Точность устьев скважин'!C235),#N/A,'[1]Точность устьев скважин'!C235)</f>
        <v>#N/A</v>
      </c>
      <c r="D233" t="e">
        <f>IF(ISBLANK('[1]Точность устьев скважин'!D235),#N/A,'[1]Точность устьев скважин'!D235)</f>
        <v>#N/A</v>
      </c>
      <c r="G233" t="e">
        <f>IF(ISBLANK('[1]Точность устьев скважин'!H235),#N/A,'[1]Точность устьев скважин'!H235)</f>
        <v>#N/A</v>
      </c>
      <c r="H233" t="e">
        <f>IF(ISBLANK('[1]Точность устьев скважин'!I235),#N/A,'[1]Точность устьев скважин'!I235)</f>
        <v>#N/A</v>
      </c>
      <c r="I233" t="e">
        <f>IF(ISBLANK('[1]Точность устьев скважин'!J235),#N/A,'[1]Точность устьев скважин'!J235)</f>
        <v>#N/A</v>
      </c>
      <c r="J233" t="e">
        <f>IF(ISBLANK('[1]Точность устьев скважин'!K235),#N/A,'[1]Точность устьев скважин'!K235)</f>
        <v>#N/A</v>
      </c>
      <c r="L233" s="63" t="e">
        <f t="shared" si="28"/>
        <v>#N/A</v>
      </c>
      <c r="O233" t="e">
        <f t="shared" ref="O233:P296" si="29">IF($L$1=0.5,IF(AND($L233&gt;0,$L233&lt;0.1),H233,#N/A),"")</f>
        <v>#N/A</v>
      </c>
      <c r="P233" t="e">
        <f t="shared" si="29"/>
        <v>#N/A</v>
      </c>
      <c r="Q233" t="e">
        <f t="shared" ref="Q233:R296" si="30">IF($L$1=0.5,IF(AND($L233&gt;=0.1,$L233&lt;0.2),H233,#N/A),"")</f>
        <v>#N/A</v>
      </c>
      <c r="R233" t="e">
        <f t="shared" si="30"/>
        <v>#N/A</v>
      </c>
      <c r="S233" t="e">
        <f t="shared" ref="S233:T296" si="31">IF($L$1=0.5,IF(AND($L233&gt;=0.2,$L233&lt;0.3),H233,#N/A),"")</f>
        <v>#N/A</v>
      </c>
      <c r="T233" t="e">
        <f t="shared" si="31"/>
        <v>#N/A</v>
      </c>
      <c r="U233" t="e">
        <f t="shared" ref="U233:V296" si="32">IF($L$1=0.5,IF(AND($L233&gt;=0.3,$L233&lt;0.4),H233,#N/A),"")</f>
        <v>#N/A</v>
      </c>
      <c r="V233" t="e">
        <f t="shared" si="32"/>
        <v>#N/A</v>
      </c>
      <c r="W233" t="e">
        <f t="shared" ref="W233:X296" si="33">IF($L$1=0.5,IF(AND($L233&gt;=0.4,$L233&lt;0.5),H233,#N/A),"")</f>
        <v>#N/A</v>
      </c>
      <c r="X233" t="e">
        <f t="shared" si="33"/>
        <v>#N/A</v>
      </c>
      <c r="Y233" t="e">
        <f t="shared" si="27"/>
        <v>#N/A</v>
      </c>
      <c r="Z233" t="e">
        <f t="shared" si="27"/>
        <v>#N/A</v>
      </c>
    </row>
    <row r="234" spans="1:26">
      <c r="A234" t="e">
        <f>IF(ISBLANK('[1]Точность устьев скважин'!A236),#N/A,'[1]Точность устьев скважин'!A236)</f>
        <v>#N/A</v>
      </c>
      <c r="B234" t="e">
        <f>IF(ISBLANK('[1]Точность устьев скважин'!B236),#N/A,'[1]Точность устьев скважин'!B236)</f>
        <v>#N/A</v>
      </c>
      <c r="C234" t="e">
        <f>IF(ISBLANK('[1]Точность устьев скважин'!C236),#N/A,'[1]Точность устьев скважин'!C236)</f>
        <v>#N/A</v>
      </c>
      <c r="D234" t="e">
        <f>IF(ISBLANK('[1]Точность устьев скважин'!D236),#N/A,'[1]Точность устьев скважин'!D236)</f>
        <v>#N/A</v>
      </c>
      <c r="G234" t="e">
        <f>IF(ISBLANK('[1]Точность устьев скважин'!H236),#N/A,'[1]Точность устьев скважин'!H236)</f>
        <v>#N/A</v>
      </c>
      <c r="H234" t="e">
        <f>IF(ISBLANK('[1]Точность устьев скважин'!I236),#N/A,'[1]Точность устьев скважин'!I236)</f>
        <v>#N/A</v>
      </c>
      <c r="I234" t="e">
        <f>IF(ISBLANK('[1]Точность устьев скважин'!J236),#N/A,'[1]Точность устьев скважин'!J236)</f>
        <v>#N/A</v>
      </c>
      <c r="J234" t="e">
        <f>IF(ISBLANK('[1]Точность устьев скважин'!K236),#N/A,'[1]Точность устьев скважин'!K236)</f>
        <v>#N/A</v>
      </c>
      <c r="L234" s="63" t="e">
        <f t="shared" si="28"/>
        <v>#N/A</v>
      </c>
      <c r="O234" t="e">
        <f t="shared" si="29"/>
        <v>#N/A</v>
      </c>
      <c r="P234" t="e">
        <f t="shared" si="29"/>
        <v>#N/A</v>
      </c>
      <c r="Q234" t="e">
        <f t="shared" si="30"/>
        <v>#N/A</v>
      </c>
      <c r="R234" t="e">
        <f t="shared" si="30"/>
        <v>#N/A</v>
      </c>
      <c r="S234" t="e">
        <f t="shared" si="31"/>
        <v>#N/A</v>
      </c>
      <c r="T234" t="e">
        <f t="shared" si="31"/>
        <v>#N/A</v>
      </c>
      <c r="U234" t="e">
        <f t="shared" si="32"/>
        <v>#N/A</v>
      </c>
      <c r="V234" t="e">
        <f t="shared" si="32"/>
        <v>#N/A</v>
      </c>
      <c r="W234" t="e">
        <f t="shared" si="33"/>
        <v>#N/A</v>
      </c>
      <c r="X234" t="e">
        <f t="shared" si="33"/>
        <v>#N/A</v>
      </c>
      <c r="Y234" t="e">
        <f t="shared" si="27"/>
        <v>#N/A</v>
      </c>
      <c r="Z234" t="e">
        <f t="shared" si="27"/>
        <v>#N/A</v>
      </c>
    </row>
    <row r="235" spans="1:26">
      <c r="A235" t="e">
        <f>IF(ISBLANK('[1]Точность устьев скважин'!A237),#N/A,'[1]Точность устьев скважин'!A237)</f>
        <v>#N/A</v>
      </c>
      <c r="B235" t="e">
        <f>IF(ISBLANK('[1]Точность устьев скважин'!B237),#N/A,'[1]Точность устьев скважин'!B237)</f>
        <v>#N/A</v>
      </c>
      <c r="C235" t="e">
        <f>IF(ISBLANK('[1]Точность устьев скважин'!C237),#N/A,'[1]Точность устьев скважин'!C237)</f>
        <v>#N/A</v>
      </c>
      <c r="D235" t="e">
        <f>IF(ISBLANK('[1]Точность устьев скважин'!D237),#N/A,'[1]Точность устьев скважин'!D237)</f>
        <v>#N/A</v>
      </c>
      <c r="G235" t="e">
        <f>IF(ISBLANK('[1]Точность устьев скважин'!H237),#N/A,'[1]Точность устьев скважин'!H237)</f>
        <v>#N/A</v>
      </c>
      <c r="H235" t="e">
        <f>IF(ISBLANK('[1]Точность устьев скважин'!I237),#N/A,'[1]Точность устьев скважин'!I237)</f>
        <v>#N/A</v>
      </c>
      <c r="I235" t="e">
        <f>IF(ISBLANK('[1]Точность устьев скважин'!J237),#N/A,'[1]Точность устьев скважин'!J237)</f>
        <v>#N/A</v>
      </c>
      <c r="J235" t="e">
        <f>IF(ISBLANK('[1]Точность устьев скважин'!K237),#N/A,'[1]Точность устьев скважин'!K237)</f>
        <v>#N/A</v>
      </c>
      <c r="L235" s="63" t="e">
        <f t="shared" si="28"/>
        <v>#N/A</v>
      </c>
      <c r="O235" t="e">
        <f t="shared" si="29"/>
        <v>#N/A</v>
      </c>
      <c r="P235" t="e">
        <f t="shared" si="29"/>
        <v>#N/A</v>
      </c>
      <c r="Q235" t="e">
        <f t="shared" si="30"/>
        <v>#N/A</v>
      </c>
      <c r="R235" t="e">
        <f t="shared" si="30"/>
        <v>#N/A</v>
      </c>
      <c r="S235" t="e">
        <f t="shared" si="31"/>
        <v>#N/A</v>
      </c>
      <c r="T235" t="e">
        <f t="shared" si="31"/>
        <v>#N/A</v>
      </c>
      <c r="U235" t="e">
        <f t="shared" si="32"/>
        <v>#N/A</v>
      </c>
      <c r="V235" t="e">
        <f t="shared" si="32"/>
        <v>#N/A</v>
      </c>
      <c r="W235" t="e">
        <f t="shared" si="33"/>
        <v>#N/A</v>
      </c>
      <c r="X235" t="e">
        <f t="shared" si="33"/>
        <v>#N/A</v>
      </c>
      <c r="Y235" t="e">
        <f t="shared" si="27"/>
        <v>#N/A</v>
      </c>
      <c r="Z235" t="e">
        <f t="shared" si="27"/>
        <v>#N/A</v>
      </c>
    </row>
    <row r="236" spans="1:26">
      <c r="A236" t="e">
        <f>IF(ISBLANK('[1]Точность устьев скважин'!A238),#N/A,'[1]Точность устьев скважин'!A238)</f>
        <v>#N/A</v>
      </c>
      <c r="B236" t="e">
        <f>IF(ISBLANK('[1]Точность устьев скважин'!B238),#N/A,'[1]Точность устьев скважин'!B238)</f>
        <v>#N/A</v>
      </c>
      <c r="C236" t="e">
        <f>IF(ISBLANK('[1]Точность устьев скважин'!C238),#N/A,'[1]Точность устьев скважин'!C238)</f>
        <v>#N/A</v>
      </c>
      <c r="D236" t="e">
        <f>IF(ISBLANK('[1]Точность устьев скважин'!D238),#N/A,'[1]Точность устьев скважин'!D238)</f>
        <v>#N/A</v>
      </c>
      <c r="G236" t="e">
        <f>IF(ISBLANK('[1]Точность устьев скважин'!H238),#N/A,'[1]Точность устьев скважин'!H238)</f>
        <v>#N/A</v>
      </c>
      <c r="H236" t="e">
        <f>IF(ISBLANK('[1]Точность устьев скважин'!I238),#N/A,'[1]Точность устьев скважин'!I238)</f>
        <v>#N/A</v>
      </c>
      <c r="I236" t="e">
        <f>IF(ISBLANK('[1]Точность устьев скважин'!J238),#N/A,'[1]Точность устьев скважин'!J238)</f>
        <v>#N/A</v>
      </c>
      <c r="J236" t="e">
        <f>IF(ISBLANK('[1]Точность устьев скважин'!K238),#N/A,'[1]Точность устьев скважин'!K238)</f>
        <v>#N/A</v>
      </c>
      <c r="L236" s="63" t="e">
        <f t="shared" si="28"/>
        <v>#N/A</v>
      </c>
      <c r="O236" t="e">
        <f t="shared" si="29"/>
        <v>#N/A</v>
      </c>
      <c r="P236" t="e">
        <f t="shared" si="29"/>
        <v>#N/A</v>
      </c>
      <c r="Q236" t="e">
        <f t="shared" si="30"/>
        <v>#N/A</v>
      </c>
      <c r="R236" t="e">
        <f t="shared" si="30"/>
        <v>#N/A</v>
      </c>
      <c r="S236" t="e">
        <f t="shared" si="31"/>
        <v>#N/A</v>
      </c>
      <c r="T236" t="e">
        <f t="shared" si="31"/>
        <v>#N/A</v>
      </c>
      <c r="U236" t="e">
        <f t="shared" si="32"/>
        <v>#N/A</v>
      </c>
      <c r="V236" t="e">
        <f t="shared" si="32"/>
        <v>#N/A</v>
      </c>
      <c r="W236" t="e">
        <f t="shared" si="33"/>
        <v>#N/A</v>
      </c>
      <c r="X236" t="e">
        <f t="shared" si="33"/>
        <v>#N/A</v>
      </c>
      <c r="Y236" t="e">
        <f t="shared" si="27"/>
        <v>#N/A</v>
      </c>
      <c r="Z236" t="e">
        <f t="shared" si="27"/>
        <v>#N/A</v>
      </c>
    </row>
    <row r="237" spans="1:26">
      <c r="A237" t="e">
        <f>IF(ISBLANK('[1]Точность устьев скважин'!A239),#N/A,'[1]Точность устьев скважин'!A239)</f>
        <v>#N/A</v>
      </c>
      <c r="B237" t="e">
        <f>IF(ISBLANK('[1]Точность устьев скважин'!B239),#N/A,'[1]Точность устьев скважин'!B239)</f>
        <v>#N/A</v>
      </c>
      <c r="C237" t="e">
        <f>IF(ISBLANK('[1]Точность устьев скважин'!C239),#N/A,'[1]Точность устьев скважин'!C239)</f>
        <v>#N/A</v>
      </c>
      <c r="D237" t="e">
        <f>IF(ISBLANK('[1]Точность устьев скважин'!D239),#N/A,'[1]Точность устьев скважин'!D239)</f>
        <v>#N/A</v>
      </c>
      <c r="G237" t="e">
        <f>IF(ISBLANK('[1]Точность устьев скважин'!H239),#N/A,'[1]Точность устьев скважин'!H239)</f>
        <v>#N/A</v>
      </c>
      <c r="H237" t="e">
        <f>IF(ISBLANK('[1]Точность устьев скважин'!I239),#N/A,'[1]Точность устьев скважин'!I239)</f>
        <v>#N/A</v>
      </c>
      <c r="I237" t="e">
        <f>IF(ISBLANK('[1]Точность устьев скважин'!J239),#N/A,'[1]Точность устьев скважин'!J239)</f>
        <v>#N/A</v>
      </c>
      <c r="J237" t="e">
        <f>IF(ISBLANK('[1]Точность устьев скважин'!K239),#N/A,'[1]Точность устьев скважин'!K239)</f>
        <v>#N/A</v>
      </c>
      <c r="L237" s="63" t="e">
        <f t="shared" si="28"/>
        <v>#N/A</v>
      </c>
      <c r="O237" t="e">
        <f t="shared" si="29"/>
        <v>#N/A</v>
      </c>
      <c r="P237" t="e">
        <f t="shared" si="29"/>
        <v>#N/A</v>
      </c>
      <c r="Q237" t="e">
        <f t="shared" si="30"/>
        <v>#N/A</v>
      </c>
      <c r="R237" t="e">
        <f t="shared" si="30"/>
        <v>#N/A</v>
      </c>
      <c r="S237" t="e">
        <f t="shared" si="31"/>
        <v>#N/A</v>
      </c>
      <c r="T237" t="e">
        <f t="shared" si="31"/>
        <v>#N/A</v>
      </c>
      <c r="U237" t="e">
        <f t="shared" si="32"/>
        <v>#N/A</v>
      </c>
      <c r="V237" t="e">
        <f t="shared" si="32"/>
        <v>#N/A</v>
      </c>
      <c r="W237" t="e">
        <f t="shared" si="33"/>
        <v>#N/A</v>
      </c>
      <c r="X237" t="e">
        <f t="shared" si="33"/>
        <v>#N/A</v>
      </c>
      <c r="Y237" t="e">
        <f t="shared" si="27"/>
        <v>#N/A</v>
      </c>
      <c r="Z237" t="e">
        <f t="shared" si="27"/>
        <v>#N/A</v>
      </c>
    </row>
    <row r="238" spans="1:26">
      <c r="A238" t="e">
        <f>IF(ISBLANK('[1]Точность устьев скважин'!A240),#N/A,'[1]Точность устьев скважин'!A240)</f>
        <v>#N/A</v>
      </c>
      <c r="B238" t="e">
        <f>IF(ISBLANK('[1]Точность устьев скважин'!B240),#N/A,'[1]Точность устьев скважин'!B240)</f>
        <v>#N/A</v>
      </c>
      <c r="C238" t="e">
        <f>IF(ISBLANK('[1]Точность устьев скважин'!C240),#N/A,'[1]Точность устьев скважин'!C240)</f>
        <v>#N/A</v>
      </c>
      <c r="D238" t="e">
        <f>IF(ISBLANK('[1]Точность устьев скважин'!D240),#N/A,'[1]Точность устьев скважин'!D240)</f>
        <v>#N/A</v>
      </c>
      <c r="G238" t="e">
        <f>IF(ISBLANK('[1]Точность устьев скважин'!H240),#N/A,'[1]Точность устьев скважин'!H240)</f>
        <v>#N/A</v>
      </c>
      <c r="H238" t="e">
        <f>IF(ISBLANK('[1]Точность устьев скважин'!I240),#N/A,'[1]Точность устьев скважин'!I240)</f>
        <v>#N/A</v>
      </c>
      <c r="I238" t="e">
        <f>IF(ISBLANK('[1]Точность устьев скважин'!J240),#N/A,'[1]Точность устьев скважин'!J240)</f>
        <v>#N/A</v>
      </c>
      <c r="J238" t="e">
        <f>IF(ISBLANK('[1]Точность устьев скважин'!K240),#N/A,'[1]Точность устьев скважин'!K240)</f>
        <v>#N/A</v>
      </c>
      <c r="L238" s="63" t="e">
        <f t="shared" si="28"/>
        <v>#N/A</v>
      </c>
      <c r="O238" t="e">
        <f t="shared" si="29"/>
        <v>#N/A</v>
      </c>
      <c r="P238" t="e">
        <f t="shared" si="29"/>
        <v>#N/A</v>
      </c>
      <c r="Q238" t="e">
        <f t="shared" si="30"/>
        <v>#N/A</v>
      </c>
      <c r="R238" t="e">
        <f t="shared" si="30"/>
        <v>#N/A</v>
      </c>
      <c r="S238" t="e">
        <f t="shared" si="31"/>
        <v>#N/A</v>
      </c>
      <c r="T238" t="e">
        <f t="shared" si="31"/>
        <v>#N/A</v>
      </c>
      <c r="U238" t="e">
        <f t="shared" si="32"/>
        <v>#N/A</v>
      </c>
      <c r="V238" t="e">
        <f t="shared" si="32"/>
        <v>#N/A</v>
      </c>
      <c r="W238" t="e">
        <f t="shared" si="33"/>
        <v>#N/A</v>
      </c>
      <c r="X238" t="e">
        <f t="shared" si="33"/>
        <v>#N/A</v>
      </c>
      <c r="Y238" t="e">
        <f t="shared" si="27"/>
        <v>#N/A</v>
      </c>
      <c r="Z238" t="e">
        <f t="shared" si="27"/>
        <v>#N/A</v>
      </c>
    </row>
    <row r="239" spans="1:26">
      <c r="A239" t="e">
        <f>IF(ISBLANK('[1]Точность устьев скважин'!A241),#N/A,'[1]Точность устьев скважин'!A241)</f>
        <v>#N/A</v>
      </c>
      <c r="B239" t="e">
        <f>IF(ISBLANK('[1]Точность устьев скважин'!B241),#N/A,'[1]Точность устьев скважин'!B241)</f>
        <v>#N/A</v>
      </c>
      <c r="C239" t="e">
        <f>IF(ISBLANK('[1]Точность устьев скважин'!C241),#N/A,'[1]Точность устьев скважин'!C241)</f>
        <v>#N/A</v>
      </c>
      <c r="D239" t="e">
        <f>IF(ISBLANK('[1]Точность устьев скважин'!D241),#N/A,'[1]Точность устьев скважин'!D241)</f>
        <v>#N/A</v>
      </c>
      <c r="G239" t="e">
        <f>IF(ISBLANK('[1]Точность устьев скважин'!H241),#N/A,'[1]Точность устьев скважин'!H241)</f>
        <v>#N/A</v>
      </c>
      <c r="H239" t="e">
        <f>IF(ISBLANK('[1]Точность устьев скважин'!I241),#N/A,'[1]Точность устьев скважин'!I241)</f>
        <v>#N/A</v>
      </c>
      <c r="I239" t="e">
        <f>IF(ISBLANK('[1]Точность устьев скважин'!J241),#N/A,'[1]Точность устьев скважин'!J241)</f>
        <v>#N/A</v>
      </c>
      <c r="J239" t="e">
        <f>IF(ISBLANK('[1]Точность устьев скважин'!K241),#N/A,'[1]Точность устьев скважин'!K241)</f>
        <v>#N/A</v>
      </c>
      <c r="L239" s="63" t="e">
        <f t="shared" si="28"/>
        <v>#N/A</v>
      </c>
      <c r="O239" t="e">
        <f t="shared" si="29"/>
        <v>#N/A</v>
      </c>
      <c r="P239" t="e">
        <f t="shared" si="29"/>
        <v>#N/A</v>
      </c>
      <c r="Q239" t="e">
        <f t="shared" si="30"/>
        <v>#N/A</v>
      </c>
      <c r="R239" t="e">
        <f t="shared" si="30"/>
        <v>#N/A</v>
      </c>
      <c r="S239" t="e">
        <f t="shared" si="31"/>
        <v>#N/A</v>
      </c>
      <c r="T239" t="e">
        <f t="shared" si="31"/>
        <v>#N/A</v>
      </c>
      <c r="U239" t="e">
        <f t="shared" si="32"/>
        <v>#N/A</v>
      </c>
      <c r="V239" t="e">
        <f t="shared" si="32"/>
        <v>#N/A</v>
      </c>
      <c r="W239" t="e">
        <f t="shared" si="33"/>
        <v>#N/A</v>
      </c>
      <c r="X239" t="e">
        <f t="shared" si="33"/>
        <v>#N/A</v>
      </c>
      <c r="Y239" t="e">
        <f t="shared" si="27"/>
        <v>#N/A</v>
      </c>
      <c r="Z239" t="e">
        <f t="shared" si="27"/>
        <v>#N/A</v>
      </c>
    </row>
    <row r="240" spans="1:26">
      <c r="A240" t="e">
        <f>IF(ISBLANK('[1]Точность устьев скважин'!A242),#N/A,'[1]Точность устьев скважин'!A242)</f>
        <v>#N/A</v>
      </c>
      <c r="B240" t="e">
        <f>IF(ISBLANK('[1]Точность устьев скважин'!B242),#N/A,'[1]Точность устьев скважин'!B242)</f>
        <v>#N/A</v>
      </c>
      <c r="C240" t="e">
        <f>IF(ISBLANK('[1]Точность устьев скважин'!C242),#N/A,'[1]Точность устьев скважин'!C242)</f>
        <v>#N/A</v>
      </c>
      <c r="D240" t="e">
        <f>IF(ISBLANK('[1]Точность устьев скважин'!D242),#N/A,'[1]Точность устьев скважин'!D242)</f>
        <v>#N/A</v>
      </c>
      <c r="G240" t="e">
        <f>IF(ISBLANK('[1]Точность устьев скважин'!H242),#N/A,'[1]Точность устьев скважин'!H242)</f>
        <v>#N/A</v>
      </c>
      <c r="H240" t="e">
        <f>IF(ISBLANK('[1]Точность устьев скважин'!I242),#N/A,'[1]Точность устьев скважин'!I242)</f>
        <v>#N/A</v>
      </c>
      <c r="I240" t="e">
        <f>IF(ISBLANK('[1]Точность устьев скважин'!J242),#N/A,'[1]Точность устьев скважин'!J242)</f>
        <v>#N/A</v>
      </c>
      <c r="J240" t="e">
        <f>IF(ISBLANK('[1]Точность устьев скважин'!K242),#N/A,'[1]Точность устьев скважин'!K242)</f>
        <v>#N/A</v>
      </c>
      <c r="L240" s="63" t="e">
        <f t="shared" si="28"/>
        <v>#N/A</v>
      </c>
      <c r="O240" t="e">
        <f t="shared" si="29"/>
        <v>#N/A</v>
      </c>
      <c r="P240" t="e">
        <f t="shared" si="29"/>
        <v>#N/A</v>
      </c>
      <c r="Q240" t="e">
        <f t="shared" si="30"/>
        <v>#N/A</v>
      </c>
      <c r="R240" t="e">
        <f t="shared" si="30"/>
        <v>#N/A</v>
      </c>
      <c r="S240" t="e">
        <f t="shared" si="31"/>
        <v>#N/A</v>
      </c>
      <c r="T240" t="e">
        <f t="shared" si="31"/>
        <v>#N/A</v>
      </c>
      <c r="U240" t="e">
        <f t="shared" si="32"/>
        <v>#N/A</v>
      </c>
      <c r="V240" t="e">
        <f t="shared" si="32"/>
        <v>#N/A</v>
      </c>
      <c r="W240" t="e">
        <f t="shared" si="33"/>
        <v>#N/A</v>
      </c>
      <c r="X240" t="e">
        <f t="shared" si="33"/>
        <v>#N/A</v>
      </c>
      <c r="Y240" t="e">
        <f t="shared" si="27"/>
        <v>#N/A</v>
      </c>
      <c r="Z240" t="e">
        <f t="shared" si="27"/>
        <v>#N/A</v>
      </c>
    </row>
    <row r="241" spans="1:26">
      <c r="A241" t="e">
        <f>IF(ISBLANK('[1]Точность устьев скважин'!A243),#N/A,'[1]Точность устьев скважин'!A243)</f>
        <v>#N/A</v>
      </c>
      <c r="B241" t="e">
        <f>IF(ISBLANK('[1]Точность устьев скважин'!B243),#N/A,'[1]Точность устьев скважин'!B243)</f>
        <v>#N/A</v>
      </c>
      <c r="C241" t="e">
        <f>IF(ISBLANK('[1]Точность устьев скважин'!C243),#N/A,'[1]Точность устьев скважин'!C243)</f>
        <v>#N/A</v>
      </c>
      <c r="D241" t="e">
        <f>IF(ISBLANK('[1]Точность устьев скважин'!D243),#N/A,'[1]Точность устьев скважин'!D243)</f>
        <v>#N/A</v>
      </c>
      <c r="G241" t="e">
        <f>IF(ISBLANK('[1]Точность устьев скважин'!H243),#N/A,'[1]Точность устьев скважин'!H243)</f>
        <v>#N/A</v>
      </c>
      <c r="H241" t="e">
        <f>IF(ISBLANK('[1]Точность устьев скважин'!I243),#N/A,'[1]Точность устьев скважин'!I243)</f>
        <v>#N/A</v>
      </c>
      <c r="I241" t="e">
        <f>IF(ISBLANK('[1]Точность устьев скважин'!J243),#N/A,'[1]Точность устьев скважин'!J243)</f>
        <v>#N/A</v>
      </c>
      <c r="J241" t="e">
        <f>IF(ISBLANK('[1]Точность устьев скважин'!K243),#N/A,'[1]Точность устьев скважин'!K243)</f>
        <v>#N/A</v>
      </c>
      <c r="L241" s="63" t="e">
        <f t="shared" si="28"/>
        <v>#N/A</v>
      </c>
      <c r="O241" t="e">
        <f t="shared" si="29"/>
        <v>#N/A</v>
      </c>
      <c r="P241" t="e">
        <f t="shared" si="29"/>
        <v>#N/A</v>
      </c>
      <c r="Q241" t="e">
        <f t="shared" si="30"/>
        <v>#N/A</v>
      </c>
      <c r="R241" t="e">
        <f t="shared" si="30"/>
        <v>#N/A</v>
      </c>
      <c r="S241" t="e">
        <f t="shared" si="31"/>
        <v>#N/A</v>
      </c>
      <c r="T241" t="e">
        <f t="shared" si="31"/>
        <v>#N/A</v>
      </c>
      <c r="U241" t="e">
        <f t="shared" si="32"/>
        <v>#N/A</v>
      </c>
      <c r="V241" t="e">
        <f t="shared" si="32"/>
        <v>#N/A</v>
      </c>
      <c r="W241" t="e">
        <f t="shared" si="33"/>
        <v>#N/A</v>
      </c>
      <c r="X241" t="e">
        <f t="shared" si="33"/>
        <v>#N/A</v>
      </c>
      <c r="Y241" t="e">
        <f t="shared" si="27"/>
        <v>#N/A</v>
      </c>
      <c r="Z241" t="e">
        <f t="shared" si="27"/>
        <v>#N/A</v>
      </c>
    </row>
    <row r="242" spans="1:26">
      <c r="A242" t="e">
        <f>IF(ISBLANK('[1]Точность устьев скважин'!A244),#N/A,'[1]Точность устьев скважин'!A244)</f>
        <v>#N/A</v>
      </c>
      <c r="B242" t="e">
        <f>IF(ISBLANK('[1]Точность устьев скважин'!B244),#N/A,'[1]Точность устьев скважин'!B244)</f>
        <v>#N/A</v>
      </c>
      <c r="C242" t="e">
        <f>IF(ISBLANK('[1]Точность устьев скважин'!C244),#N/A,'[1]Точность устьев скважин'!C244)</f>
        <v>#N/A</v>
      </c>
      <c r="D242" t="e">
        <f>IF(ISBLANK('[1]Точность устьев скважин'!D244),#N/A,'[1]Точность устьев скважин'!D244)</f>
        <v>#N/A</v>
      </c>
      <c r="G242" t="e">
        <f>IF(ISBLANK('[1]Точность устьев скважин'!H244),#N/A,'[1]Точность устьев скважин'!H244)</f>
        <v>#N/A</v>
      </c>
      <c r="H242" t="e">
        <f>IF(ISBLANK('[1]Точность устьев скважин'!I244),#N/A,'[1]Точность устьев скважин'!I244)</f>
        <v>#N/A</v>
      </c>
      <c r="I242" t="e">
        <f>IF(ISBLANK('[1]Точность устьев скважин'!J244),#N/A,'[1]Точность устьев скважин'!J244)</f>
        <v>#N/A</v>
      </c>
      <c r="J242" t="e">
        <f>IF(ISBLANK('[1]Точность устьев скважин'!K244),#N/A,'[1]Точность устьев скважин'!K244)</f>
        <v>#N/A</v>
      </c>
      <c r="L242" s="63" t="e">
        <f t="shared" si="28"/>
        <v>#N/A</v>
      </c>
      <c r="O242" t="e">
        <f t="shared" si="29"/>
        <v>#N/A</v>
      </c>
      <c r="P242" t="e">
        <f t="shared" si="29"/>
        <v>#N/A</v>
      </c>
      <c r="Q242" t="e">
        <f t="shared" si="30"/>
        <v>#N/A</v>
      </c>
      <c r="R242" t="e">
        <f t="shared" si="30"/>
        <v>#N/A</v>
      </c>
      <c r="S242" t="e">
        <f t="shared" si="31"/>
        <v>#N/A</v>
      </c>
      <c r="T242" t="e">
        <f t="shared" si="31"/>
        <v>#N/A</v>
      </c>
      <c r="U242" t="e">
        <f t="shared" si="32"/>
        <v>#N/A</v>
      </c>
      <c r="V242" t="e">
        <f t="shared" si="32"/>
        <v>#N/A</v>
      </c>
      <c r="W242" t="e">
        <f t="shared" si="33"/>
        <v>#N/A</v>
      </c>
      <c r="X242" t="e">
        <f t="shared" si="33"/>
        <v>#N/A</v>
      </c>
      <c r="Y242" t="e">
        <f t="shared" si="27"/>
        <v>#N/A</v>
      </c>
      <c r="Z242" t="e">
        <f t="shared" si="27"/>
        <v>#N/A</v>
      </c>
    </row>
    <row r="243" spans="1:26">
      <c r="A243" t="e">
        <f>IF(ISBLANK('[1]Точность устьев скважин'!A245),#N/A,'[1]Точность устьев скважин'!A245)</f>
        <v>#N/A</v>
      </c>
      <c r="B243" t="e">
        <f>IF(ISBLANK('[1]Точность устьев скважин'!B245),#N/A,'[1]Точность устьев скважин'!B245)</f>
        <v>#N/A</v>
      </c>
      <c r="C243" t="e">
        <f>IF(ISBLANK('[1]Точность устьев скважин'!C245),#N/A,'[1]Точность устьев скважин'!C245)</f>
        <v>#N/A</v>
      </c>
      <c r="D243" t="e">
        <f>IF(ISBLANK('[1]Точность устьев скважин'!D245),#N/A,'[1]Точность устьев скважин'!D245)</f>
        <v>#N/A</v>
      </c>
      <c r="G243" t="e">
        <f>IF(ISBLANK('[1]Точность устьев скважин'!H245),#N/A,'[1]Точность устьев скважин'!H245)</f>
        <v>#N/A</v>
      </c>
      <c r="H243" t="e">
        <f>IF(ISBLANK('[1]Точность устьев скважин'!I245),#N/A,'[1]Точность устьев скважин'!I245)</f>
        <v>#N/A</v>
      </c>
      <c r="I243" t="e">
        <f>IF(ISBLANK('[1]Точность устьев скважин'!J245),#N/A,'[1]Точность устьев скважин'!J245)</f>
        <v>#N/A</v>
      </c>
      <c r="J243" t="e">
        <f>IF(ISBLANK('[1]Точность устьев скважин'!K245),#N/A,'[1]Точность устьев скважин'!K245)</f>
        <v>#N/A</v>
      </c>
      <c r="L243" s="63" t="e">
        <f t="shared" si="28"/>
        <v>#N/A</v>
      </c>
      <c r="O243" t="e">
        <f t="shared" si="29"/>
        <v>#N/A</v>
      </c>
      <c r="P243" t="e">
        <f t="shared" si="29"/>
        <v>#N/A</v>
      </c>
      <c r="Q243" t="e">
        <f t="shared" si="30"/>
        <v>#N/A</v>
      </c>
      <c r="R243" t="e">
        <f t="shared" si="30"/>
        <v>#N/A</v>
      </c>
      <c r="S243" t="e">
        <f t="shared" si="31"/>
        <v>#N/A</v>
      </c>
      <c r="T243" t="e">
        <f t="shared" si="31"/>
        <v>#N/A</v>
      </c>
      <c r="U243" t="e">
        <f t="shared" si="32"/>
        <v>#N/A</v>
      </c>
      <c r="V243" t="e">
        <f t="shared" si="32"/>
        <v>#N/A</v>
      </c>
      <c r="W243" t="e">
        <f t="shared" si="33"/>
        <v>#N/A</v>
      </c>
      <c r="X243" t="e">
        <f t="shared" si="33"/>
        <v>#N/A</v>
      </c>
      <c r="Y243" t="e">
        <f t="shared" si="27"/>
        <v>#N/A</v>
      </c>
      <c r="Z243" t="e">
        <f t="shared" si="27"/>
        <v>#N/A</v>
      </c>
    </row>
    <row r="244" spans="1:26">
      <c r="A244" t="e">
        <f>IF(ISBLANK('[1]Точность устьев скважин'!A246),#N/A,'[1]Точность устьев скважин'!A246)</f>
        <v>#N/A</v>
      </c>
      <c r="B244" t="e">
        <f>IF(ISBLANK('[1]Точность устьев скважин'!B246),#N/A,'[1]Точность устьев скважин'!B246)</f>
        <v>#N/A</v>
      </c>
      <c r="C244" t="e">
        <f>IF(ISBLANK('[1]Точность устьев скважин'!C246),#N/A,'[1]Точность устьев скважин'!C246)</f>
        <v>#N/A</v>
      </c>
      <c r="D244" t="e">
        <f>IF(ISBLANK('[1]Точность устьев скважин'!D246),#N/A,'[1]Точность устьев скважин'!D246)</f>
        <v>#N/A</v>
      </c>
      <c r="G244" t="e">
        <f>IF(ISBLANK('[1]Точность устьев скважин'!H246),#N/A,'[1]Точность устьев скважин'!H246)</f>
        <v>#N/A</v>
      </c>
      <c r="H244" t="e">
        <f>IF(ISBLANK('[1]Точность устьев скважин'!I246),#N/A,'[1]Точность устьев скважин'!I246)</f>
        <v>#N/A</v>
      </c>
      <c r="I244" t="e">
        <f>IF(ISBLANK('[1]Точность устьев скважин'!J246),#N/A,'[1]Точность устьев скважин'!J246)</f>
        <v>#N/A</v>
      </c>
      <c r="J244" t="e">
        <f>IF(ISBLANK('[1]Точность устьев скважин'!K246),#N/A,'[1]Точность устьев скважин'!K246)</f>
        <v>#N/A</v>
      </c>
      <c r="L244" s="63" t="e">
        <f t="shared" si="28"/>
        <v>#N/A</v>
      </c>
      <c r="O244" t="e">
        <f t="shared" si="29"/>
        <v>#N/A</v>
      </c>
      <c r="P244" t="e">
        <f t="shared" si="29"/>
        <v>#N/A</v>
      </c>
      <c r="Q244" t="e">
        <f t="shared" si="30"/>
        <v>#N/A</v>
      </c>
      <c r="R244" t="e">
        <f t="shared" si="30"/>
        <v>#N/A</v>
      </c>
      <c r="S244" t="e">
        <f t="shared" si="31"/>
        <v>#N/A</v>
      </c>
      <c r="T244" t="e">
        <f t="shared" si="31"/>
        <v>#N/A</v>
      </c>
      <c r="U244" t="e">
        <f t="shared" si="32"/>
        <v>#N/A</v>
      </c>
      <c r="V244" t="e">
        <f t="shared" si="32"/>
        <v>#N/A</v>
      </c>
      <c r="W244" t="e">
        <f t="shared" si="33"/>
        <v>#N/A</v>
      </c>
      <c r="X244" t="e">
        <f t="shared" si="33"/>
        <v>#N/A</v>
      </c>
      <c r="Y244" t="e">
        <f t="shared" si="27"/>
        <v>#N/A</v>
      </c>
      <c r="Z244" t="e">
        <f t="shared" si="27"/>
        <v>#N/A</v>
      </c>
    </row>
    <row r="245" spans="1:26">
      <c r="A245" t="e">
        <f>IF(ISBLANK('[1]Точность устьев скважин'!A247),#N/A,'[1]Точность устьев скважин'!A247)</f>
        <v>#N/A</v>
      </c>
      <c r="B245" t="e">
        <f>IF(ISBLANK('[1]Точность устьев скважин'!B247),#N/A,'[1]Точность устьев скважин'!B247)</f>
        <v>#N/A</v>
      </c>
      <c r="C245" t="e">
        <f>IF(ISBLANK('[1]Точность устьев скважин'!C247),#N/A,'[1]Точность устьев скважин'!C247)</f>
        <v>#N/A</v>
      </c>
      <c r="D245" t="e">
        <f>IF(ISBLANK('[1]Точность устьев скважин'!D247),#N/A,'[1]Точность устьев скважин'!D247)</f>
        <v>#N/A</v>
      </c>
      <c r="G245" t="e">
        <f>IF(ISBLANK('[1]Точность устьев скважин'!H247),#N/A,'[1]Точность устьев скважин'!H247)</f>
        <v>#N/A</v>
      </c>
      <c r="H245" t="e">
        <f>IF(ISBLANK('[1]Точность устьев скважин'!I247),#N/A,'[1]Точность устьев скважин'!I247)</f>
        <v>#N/A</v>
      </c>
      <c r="I245" t="e">
        <f>IF(ISBLANK('[1]Точность устьев скважин'!J247),#N/A,'[1]Точность устьев скважин'!J247)</f>
        <v>#N/A</v>
      </c>
      <c r="J245" t="e">
        <f>IF(ISBLANK('[1]Точность устьев скважин'!K247),#N/A,'[1]Точность устьев скважин'!K247)</f>
        <v>#N/A</v>
      </c>
      <c r="L245" s="63" t="e">
        <f t="shared" si="28"/>
        <v>#N/A</v>
      </c>
      <c r="O245" t="e">
        <f t="shared" si="29"/>
        <v>#N/A</v>
      </c>
      <c r="P245" t="e">
        <f t="shared" si="29"/>
        <v>#N/A</v>
      </c>
      <c r="Q245" t="e">
        <f t="shared" si="30"/>
        <v>#N/A</v>
      </c>
      <c r="R245" t="e">
        <f t="shared" si="30"/>
        <v>#N/A</v>
      </c>
      <c r="S245" t="e">
        <f t="shared" si="31"/>
        <v>#N/A</v>
      </c>
      <c r="T245" t="e">
        <f t="shared" si="31"/>
        <v>#N/A</v>
      </c>
      <c r="U245" t="e">
        <f t="shared" si="32"/>
        <v>#N/A</v>
      </c>
      <c r="V245" t="e">
        <f t="shared" si="32"/>
        <v>#N/A</v>
      </c>
      <c r="W245" t="e">
        <f t="shared" si="33"/>
        <v>#N/A</v>
      </c>
      <c r="X245" t="e">
        <f t="shared" si="33"/>
        <v>#N/A</v>
      </c>
      <c r="Y245" t="e">
        <f t="shared" si="27"/>
        <v>#N/A</v>
      </c>
      <c r="Z245" t="e">
        <f t="shared" si="27"/>
        <v>#N/A</v>
      </c>
    </row>
    <row r="246" spans="1:26">
      <c r="A246" t="e">
        <f>IF(ISBLANK('[1]Точность устьев скважин'!A248),#N/A,'[1]Точность устьев скважин'!A248)</f>
        <v>#N/A</v>
      </c>
      <c r="B246" t="e">
        <f>IF(ISBLANK('[1]Точность устьев скважин'!B248),#N/A,'[1]Точность устьев скважин'!B248)</f>
        <v>#N/A</v>
      </c>
      <c r="C246" t="e">
        <f>IF(ISBLANK('[1]Точность устьев скважин'!C248),#N/A,'[1]Точность устьев скважин'!C248)</f>
        <v>#N/A</v>
      </c>
      <c r="D246" t="e">
        <f>IF(ISBLANK('[1]Точность устьев скважин'!D248),#N/A,'[1]Точность устьев скважин'!D248)</f>
        <v>#N/A</v>
      </c>
      <c r="G246" t="e">
        <f>IF(ISBLANK('[1]Точность устьев скважин'!H248),#N/A,'[1]Точность устьев скважин'!H248)</f>
        <v>#N/A</v>
      </c>
      <c r="H246" t="e">
        <f>IF(ISBLANK('[1]Точность устьев скважин'!I248),#N/A,'[1]Точность устьев скважин'!I248)</f>
        <v>#N/A</v>
      </c>
      <c r="I246" t="e">
        <f>IF(ISBLANK('[1]Точность устьев скважин'!J248),#N/A,'[1]Точность устьев скважин'!J248)</f>
        <v>#N/A</v>
      </c>
      <c r="J246" t="e">
        <f>IF(ISBLANK('[1]Точность устьев скважин'!K248),#N/A,'[1]Точность устьев скважин'!K248)</f>
        <v>#N/A</v>
      </c>
      <c r="L246" s="63" t="e">
        <f t="shared" si="28"/>
        <v>#N/A</v>
      </c>
      <c r="O246" t="e">
        <f t="shared" si="29"/>
        <v>#N/A</v>
      </c>
      <c r="P246" t="e">
        <f t="shared" si="29"/>
        <v>#N/A</v>
      </c>
      <c r="Q246" t="e">
        <f t="shared" si="30"/>
        <v>#N/A</v>
      </c>
      <c r="R246" t="e">
        <f t="shared" si="30"/>
        <v>#N/A</v>
      </c>
      <c r="S246" t="e">
        <f t="shared" si="31"/>
        <v>#N/A</v>
      </c>
      <c r="T246" t="e">
        <f t="shared" si="31"/>
        <v>#N/A</v>
      </c>
      <c r="U246" t="e">
        <f t="shared" si="32"/>
        <v>#N/A</v>
      </c>
      <c r="V246" t="e">
        <f t="shared" si="32"/>
        <v>#N/A</v>
      </c>
      <c r="W246" t="e">
        <f t="shared" si="33"/>
        <v>#N/A</v>
      </c>
      <c r="X246" t="e">
        <f t="shared" si="33"/>
        <v>#N/A</v>
      </c>
      <c r="Y246" t="e">
        <f t="shared" ref="Y246:Z309" si="34">IF($L$1=0.5,IF($L246&gt;=0.5,H246,#N/A),"")</f>
        <v>#N/A</v>
      </c>
      <c r="Z246" t="e">
        <f t="shared" si="34"/>
        <v>#N/A</v>
      </c>
    </row>
    <row r="247" spans="1:26">
      <c r="A247" t="e">
        <f>IF(ISBLANK('[1]Точность устьев скважин'!A249),#N/A,'[1]Точность устьев скважин'!A249)</f>
        <v>#N/A</v>
      </c>
      <c r="B247" t="e">
        <f>IF(ISBLANK('[1]Точность устьев скважин'!B249),#N/A,'[1]Точность устьев скважин'!B249)</f>
        <v>#N/A</v>
      </c>
      <c r="C247" t="e">
        <f>IF(ISBLANK('[1]Точность устьев скважин'!C249),#N/A,'[1]Точность устьев скважин'!C249)</f>
        <v>#N/A</v>
      </c>
      <c r="D247" t="e">
        <f>IF(ISBLANK('[1]Точность устьев скважин'!D249),#N/A,'[1]Точность устьев скважин'!D249)</f>
        <v>#N/A</v>
      </c>
      <c r="G247" t="e">
        <f>IF(ISBLANK('[1]Точность устьев скважин'!H249),#N/A,'[1]Точность устьев скважин'!H249)</f>
        <v>#N/A</v>
      </c>
      <c r="H247" t="e">
        <f>IF(ISBLANK('[1]Точность устьев скважин'!I249),#N/A,'[1]Точность устьев скважин'!I249)</f>
        <v>#N/A</v>
      </c>
      <c r="I247" t="e">
        <f>IF(ISBLANK('[1]Точность устьев скважин'!J249),#N/A,'[1]Точность устьев скважин'!J249)</f>
        <v>#N/A</v>
      </c>
      <c r="J247" t="e">
        <f>IF(ISBLANK('[1]Точность устьев скважин'!K249),#N/A,'[1]Точность устьев скважин'!K249)</f>
        <v>#N/A</v>
      </c>
      <c r="L247" s="63" t="e">
        <f t="shared" si="28"/>
        <v>#N/A</v>
      </c>
      <c r="O247" t="e">
        <f t="shared" si="29"/>
        <v>#N/A</v>
      </c>
      <c r="P247" t="e">
        <f t="shared" si="29"/>
        <v>#N/A</v>
      </c>
      <c r="Q247" t="e">
        <f t="shared" si="30"/>
        <v>#N/A</v>
      </c>
      <c r="R247" t="e">
        <f t="shared" si="30"/>
        <v>#N/A</v>
      </c>
      <c r="S247" t="e">
        <f t="shared" si="31"/>
        <v>#N/A</v>
      </c>
      <c r="T247" t="e">
        <f t="shared" si="31"/>
        <v>#N/A</v>
      </c>
      <c r="U247" t="e">
        <f t="shared" si="32"/>
        <v>#N/A</v>
      </c>
      <c r="V247" t="e">
        <f t="shared" si="32"/>
        <v>#N/A</v>
      </c>
      <c r="W247" t="e">
        <f t="shared" si="33"/>
        <v>#N/A</v>
      </c>
      <c r="X247" t="e">
        <f t="shared" si="33"/>
        <v>#N/A</v>
      </c>
      <c r="Y247" t="e">
        <f t="shared" si="34"/>
        <v>#N/A</v>
      </c>
      <c r="Z247" t="e">
        <f t="shared" si="34"/>
        <v>#N/A</v>
      </c>
    </row>
    <row r="248" spans="1:26">
      <c r="A248" t="e">
        <f>IF(ISBLANK('[1]Точность устьев скважин'!A250),#N/A,'[1]Точность устьев скважин'!A250)</f>
        <v>#N/A</v>
      </c>
      <c r="B248" t="e">
        <f>IF(ISBLANK('[1]Точность устьев скважин'!B250),#N/A,'[1]Точность устьев скважин'!B250)</f>
        <v>#N/A</v>
      </c>
      <c r="C248" t="e">
        <f>IF(ISBLANK('[1]Точность устьев скважин'!C250),#N/A,'[1]Точность устьев скважин'!C250)</f>
        <v>#N/A</v>
      </c>
      <c r="D248" t="e">
        <f>IF(ISBLANK('[1]Точность устьев скважин'!D250),#N/A,'[1]Точность устьев скважин'!D250)</f>
        <v>#N/A</v>
      </c>
      <c r="G248" t="e">
        <f>IF(ISBLANK('[1]Точность устьев скважин'!H250),#N/A,'[1]Точность устьев скважин'!H250)</f>
        <v>#N/A</v>
      </c>
      <c r="H248" t="e">
        <f>IF(ISBLANK('[1]Точность устьев скважин'!I250),#N/A,'[1]Точность устьев скважин'!I250)</f>
        <v>#N/A</v>
      </c>
      <c r="I248" t="e">
        <f>IF(ISBLANK('[1]Точность устьев скважин'!J250),#N/A,'[1]Точность устьев скважин'!J250)</f>
        <v>#N/A</v>
      </c>
      <c r="J248" t="e">
        <f>IF(ISBLANK('[1]Точность устьев скважин'!K250),#N/A,'[1]Точность устьев скважин'!K250)</f>
        <v>#N/A</v>
      </c>
      <c r="L248" s="63" t="e">
        <f t="shared" si="28"/>
        <v>#N/A</v>
      </c>
      <c r="O248" t="e">
        <f t="shared" si="29"/>
        <v>#N/A</v>
      </c>
      <c r="P248" t="e">
        <f t="shared" si="29"/>
        <v>#N/A</v>
      </c>
      <c r="Q248" t="e">
        <f t="shared" si="30"/>
        <v>#N/A</v>
      </c>
      <c r="R248" t="e">
        <f t="shared" si="30"/>
        <v>#N/A</v>
      </c>
      <c r="S248" t="e">
        <f t="shared" si="31"/>
        <v>#N/A</v>
      </c>
      <c r="T248" t="e">
        <f t="shared" si="31"/>
        <v>#N/A</v>
      </c>
      <c r="U248" t="e">
        <f t="shared" si="32"/>
        <v>#N/A</v>
      </c>
      <c r="V248" t="e">
        <f t="shared" si="32"/>
        <v>#N/A</v>
      </c>
      <c r="W248" t="e">
        <f t="shared" si="33"/>
        <v>#N/A</v>
      </c>
      <c r="X248" t="e">
        <f t="shared" si="33"/>
        <v>#N/A</v>
      </c>
      <c r="Y248" t="e">
        <f t="shared" si="34"/>
        <v>#N/A</v>
      </c>
      <c r="Z248" t="e">
        <f t="shared" si="34"/>
        <v>#N/A</v>
      </c>
    </row>
    <row r="249" spans="1:26">
      <c r="A249" t="e">
        <f>IF(ISBLANK('[1]Точность устьев скважин'!A251),#N/A,'[1]Точность устьев скважин'!A251)</f>
        <v>#N/A</v>
      </c>
      <c r="B249" t="e">
        <f>IF(ISBLANK('[1]Точность устьев скважин'!B251),#N/A,'[1]Точность устьев скважин'!B251)</f>
        <v>#N/A</v>
      </c>
      <c r="C249" t="e">
        <f>IF(ISBLANK('[1]Точность устьев скважин'!C251),#N/A,'[1]Точность устьев скважин'!C251)</f>
        <v>#N/A</v>
      </c>
      <c r="D249" t="e">
        <f>IF(ISBLANK('[1]Точность устьев скважин'!D251),#N/A,'[1]Точность устьев скважин'!D251)</f>
        <v>#N/A</v>
      </c>
      <c r="G249" t="e">
        <f>IF(ISBLANK('[1]Точность устьев скважин'!H251),#N/A,'[1]Точность устьев скважин'!H251)</f>
        <v>#N/A</v>
      </c>
      <c r="H249" t="e">
        <f>IF(ISBLANK('[1]Точность устьев скважин'!I251),#N/A,'[1]Точность устьев скважин'!I251)</f>
        <v>#N/A</v>
      </c>
      <c r="I249" t="e">
        <f>IF(ISBLANK('[1]Точность устьев скважин'!J251),#N/A,'[1]Точность устьев скважин'!J251)</f>
        <v>#N/A</v>
      </c>
      <c r="J249" t="e">
        <f>IF(ISBLANK('[1]Точность устьев скважин'!K251),#N/A,'[1]Точность устьев скважин'!K251)</f>
        <v>#N/A</v>
      </c>
      <c r="L249" s="63" t="e">
        <f t="shared" si="28"/>
        <v>#N/A</v>
      </c>
      <c r="O249" t="e">
        <f t="shared" si="29"/>
        <v>#N/A</v>
      </c>
      <c r="P249" t="e">
        <f t="shared" si="29"/>
        <v>#N/A</v>
      </c>
      <c r="Q249" t="e">
        <f t="shared" si="30"/>
        <v>#N/A</v>
      </c>
      <c r="R249" t="e">
        <f t="shared" si="30"/>
        <v>#N/A</v>
      </c>
      <c r="S249" t="e">
        <f t="shared" si="31"/>
        <v>#N/A</v>
      </c>
      <c r="T249" t="e">
        <f t="shared" si="31"/>
        <v>#N/A</v>
      </c>
      <c r="U249" t="e">
        <f t="shared" si="32"/>
        <v>#N/A</v>
      </c>
      <c r="V249" t="e">
        <f t="shared" si="32"/>
        <v>#N/A</v>
      </c>
      <c r="W249" t="e">
        <f t="shared" si="33"/>
        <v>#N/A</v>
      </c>
      <c r="X249" t="e">
        <f t="shared" si="33"/>
        <v>#N/A</v>
      </c>
      <c r="Y249" t="e">
        <f t="shared" si="34"/>
        <v>#N/A</v>
      </c>
      <c r="Z249" t="e">
        <f t="shared" si="34"/>
        <v>#N/A</v>
      </c>
    </row>
    <row r="250" spans="1:26">
      <c r="A250" t="e">
        <f>IF(ISBLANK('[1]Точность устьев скважин'!A252),#N/A,'[1]Точность устьев скважин'!A252)</f>
        <v>#N/A</v>
      </c>
      <c r="B250" t="e">
        <f>IF(ISBLANK('[1]Точность устьев скважин'!B252),#N/A,'[1]Точность устьев скважин'!B252)</f>
        <v>#N/A</v>
      </c>
      <c r="C250" t="e">
        <f>IF(ISBLANK('[1]Точность устьев скважин'!C252),#N/A,'[1]Точность устьев скважин'!C252)</f>
        <v>#N/A</v>
      </c>
      <c r="D250" t="e">
        <f>IF(ISBLANK('[1]Точность устьев скважин'!D252),#N/A,'[1]Точность устьев скважин'!D252)</f>
        <v>#N/A</v>
      </c>
      <c r="G250" t="e">
        <f>IF(ISBLANK('[1]Точность устьев скважин'!H252),#N/A,'[1]Точность устьев скважин'!H252)</f>
        <v>#N/A</v>
      </c>
      <c r="H250" t="e">
        <f>IF(ISBLANK('[1]Точность устьев скважин'!I252),#N/A,'[1]Точность устьев скважин'!I252)</f>
        <v>#N/A</v>
      </c>
      <c r="I250" t="e">
        <f>IF(ISBLANK('[1]Точность устьев скважин'!J252),#N/A,'[1]Точность устьев скважин'!J252)</f>
        <v>#N/A</v>
      </c>
      <c r="J250" t="e">
        <f>IF(ISBLANK('[1]Точность устьев скважин'!K252),#N/A,'[1]Точность устьев скважин'!K252)</f>
        <v>#N/A</v>
      </c>
      <c r="L250" s="63" t="e">
        <f t="shared" si="28"/>
        <v>#N/A</v>
      </c>
      <c r="O250" t="e">
        <f t="shared" si="29"/>
        <v>#N/A</v>
      </c>
      <c r="P250" t="e">
        <f t="shared" si="29"/>
        <v>#N/A</v>
      </c>
      <c r="Q250" t="e">
        <f t="shared" si="30"/>
        <v>#N/A</v>
      </c>
      <c r="R250" t="e">
        <f t="shared" si="30"/>
        <v>#N/A</v>
      </c>
      <c r="S250" t="e">
        <f t="shared" si="31"/>
        <v>#N/A</v>
      </c>
      <c r="T250" t="e">
        <f t="shared" si="31"/>
        <v>#N/A</v>
      </c>
      <c r="U250" t="e">
        <f t="shared" si="32"/>
        <v>#N/A</v>
      </c>
      <c r="V250" t="e">
        <f t="shared" si="32"/>
        <v>#N/A</v>
      </c>
      <c r="W250" t="e">
        <f t="shared" si="33"/>
        <v>#N/A</v>
      </c>
      <c r="X250" t="e">
        <f t="shared" si="33"/>
        <v>#N/A</v>
      </c>
      <c r="Y250" t="e">
        <f t="shared" si="34"/>
        <v>#N/A</v>
      </c>
      <c r="Z250" t="e">
        <f t="shared" si="34"/>
        <v>#N/A</v>
      </c>
    </row>
    <row r="251" spans="1:26">
      <c r="A251" t="e">
        <f>IF(ISBLANK('[1]Точность устьев скважин'!A253),#N/A,'[1]Точность устьев скважин'!A253)</f>
        <v>#N/A</v>
      </c>
      <c r="B251" t="e">
        <f>IF(ISBLANK('[1]Точность устьев скважин'!B253),#N/A,'[1]Точность устьев скважин'!B253)</f>
        <v>#N/A</v>
      </c>
      <c r="C251" t="e">
        <f>IF(ISBLANK('[1]Точность устьев скважин'!C253),#N/A,'[1]Точность устьев скважин'!C253)</f>
        <v>#N/A</v>
      </c>
      <c r="D251" t="e">
        <f>IF(ISBLANK('[1]Точность устьев скважин'!D253),#N/A,'[1]Точность устьев скважин'!D253)</f>
        <v>#N/A</v>
      </c>
      <c r="G251" t="e">
        <f>IF(ISBLANK('[1]Точность устьев скважин'!H253),#N/A,'[1]Точность устьев скважин'!H253)</f>
        <v>#N/A</v>
      </c>
      <c r="H251" t="e">
        <f>IF(ISBLANK('[1]Точность устьев скважин'!I253),#N/A,'[1]Точность устьев скважин'!I253)</f>
        <v>#N/A</v>
      </c>
      <c r="I251" t="e">
        <f>IF(ISBLANK('[1]Точность устьев скважин'!J253),#N/A,'[1]Точность устьев скважин'!J253)</f>
        <v>#N/A</v>
      </c>
      <c r="J251" t="e">
        <f>IF(ISBLANK('[1]Точность устьев скважин'!K253),#N/A,'[1]Точность устьев скважин'!K253)</f>
        <v>#N/A</v>
      </c>
      <c r="L251" s="63" t="e">
        <f t="shared" si="28"/>
        <v>#N/A</v>
      </c>
      <c r="O251" t="e">
        <f t="shared" si="29"/>
        <v>#N/A</v>
      </c>
      <c r="P251" t="e">
        <f t="shared" si="29"/>
        <v>#N/A</v>
      </c>
      <c r="Q251" t="e">
        <f t="shared" si="30"/>
        <v>#N/A</v>
      </c>
      <c r="R251" t="e">
        <f t="shared" si="30"/>
        <v>#N/A</v>
      </c>
      <c r="S251" t="e">
        <f t="shared" si="31"/>
        <v>#N/A</v>
      </c>
      <c r="T251" t="e">
        <f t="shared" si="31"/>
        <v>#N/A</v>
      </c>
      <c r="U251" t="e">
        <f t="shared" si="32"/>
        <v>#N/A</v>
      </c>
      <c r="V251" t="e">
        <f t="shared" si="32"/>
        <v>#N/A</v>
      </c>
      <c r="W251" t="e">
        <f t="shared" si="33"/>
        <v>#N/A</v>
      </c>
      <c r="X251" t="e">
        <f t="shared" si="33"/>
        <v>#N/A</v>
      </c>
      <c r="Y251" t="e">
        <f t="shared" si="34"/>
        <v>#N/A</v>
      </c>
      <c r="Z251" t="e">
        <f t="shared" si="34"/>
        <v>#N/A</v>
      </c>
    </row>
    <row r="252" spans="1:26">
      <c r="A252" t="e">
        <f>IF(ISBLANK('[1]Точность устьев скважин'!A254),#N/A,'[1]Точность устьев скважин'!A254)</f>
        <v>#N/A</v>
      </c>
      <c r="B252" t="e">
        <f>IF(ISBLANK('[1]Точность устьев скважин'!B254),#N/A,'[1]Точность устьев скважин'!B254)</f>
        <v>#N/A</v>
      </c>
      <c r="C252" t="e">
        <f>IF(ISBLANK('[1]Точность устьев скважин'!C254),#N/A,'[1]Точность устьев скважин'!C254)</f>
        <v>#N/A</v>
      </c>
      <c r="D252" t="e">
        <f>IF(ISBLANK('[1]Точность устьев скважин'!D254),#N/A,'[1]Точность устьев скважин'!D254)</f>
        <v>#N/A</v>
      </c>
      <c r="G252" t="e">
        <f>IF(ISBLANK('[1]Точность устьев скважин'!H254),#N/A,'[1]Точность устьев скважин'!H254)</f>
        <v>#N/A</v>
      </c>
      <c r="H252" t="e">
        <f>IF(ISBLANK('[1]Точность устьев скважин'!I254),#N/A,'[1]Точность устьев скважин'!I254)</f>
        <v>#N/A</v>
      </c>
      <c r="I252" t="e">
        <f>IF(ISBLANK('[1]Точность устьев скважин'!J254),#N/A,'[1]Точность устьев скважин'!J254)</f>
        <v>#N/A</v>
      </c>
      <c r="J252" t="e">
        <f>IF(ISBLANK('[1]Точность устьев скважин'!K254),#N/A,'[1]Точность устьев скважин'!K254)</f>
        <v>#N/A</v>
      </c>
      <c r="L252" s="63" t="e">
        <f t="shared" si="28"/>
        <v>#N/A</v>
      </c>
      <c r="O252" t="e">
        <f t="shared" si="29"/>
        <v>#N/A</v>
      </c>
      <c r="P252" t="e">
        <f t="shared" si="29"/>
        <v>#N/A</v>
      </c>
      <c r="Q252" t="e">
        <f t="shared" si="30"/>
        <v>#N/A</v>
      </c>
      <c r="R252" t="e">
        <f t="shared" si="30"/>
        <v>#N/A</v>
      </c>
      <c r="S252" t="e">
        <f t="shared" si="31"/>
        <v>#N/A</v>
      </c>
      <c r="T252" t="e">
        <f t="shared" si="31"/>
        <v>#N/A</v>
      </c>
      <c r="U252" t="e">
        <f t="shared" si="32"/>
        <v>#N/A</v>
      </c>
      <c r="V252" t="e">
        <f t="shared" si="32"/>
        <v>#N/A</v>
      </c>
      <c r="W252" t="e">
        <f t="shared" si="33"/>
        <v>#N/A</v>
      </c>
      <c r="X252" t="e">
        <f t="shared" si="33"/>
        <v>#N/A</v>
      </c>
      <c r="Y252" t="e">
        <f t="shared" si="34"/>
        <v>#N/A</v>
      </c>
      <c r="Z252" t="e">
        <f t="shared" si="34"/>
        <v>#N/A</v>
      </c>
    </row>
    <row r="253" spans="1:26">
      <c r="A253" t="e">
        <f>IF(ISBLANK('[1]Точность устьев скважин'!A255),#N/A,'[1]Точность устьев скважин'!A255)</f>
        <v>#N/A</v>
      </c>
      <c r="B253" t="e">
        <f>IF(ISBLANK('[1]Точность устьев скважин'!B255),#N/A,'[1]Точность устьев скважин'!B255)</f>
        <v>#N/A</v>
      </c>
      <c r="C253" t="e">
        <f>IF(ISBLANK('[1]Точность устьев скважин'!C255),#N/A,'[1]Точность устьев скважин'!C255)</f>
        <v>#N/A</v>
      </c>
      <c r="D253" t="e">
        <f>IF(ISBLANK('[1]Точность устьев скважин'!D255),#N/A,'[1]Точность устьев скважин'!D255)</f>
        <v>#N/A</v>
      </c>
      <c r="G253" t="e">
        <f>IF(ISBLANK('[1]Точность устьев скважин'!H255),#N/A,'[1]Точность устьев скважин'!H255)</f>
        <v>#N/A</v>
      </c>
      <c r="H253" t="e">
        <f>IF(ISBLANK('[1]Точность устьев скважин'!I255),#N/A,'[1]Точность устьев скважин'!I255)</f>
        <v>#N/A</v>
      </c>
      <c r="I253" t="e">
        <f>IF(ISBLANK('[1]Точность устьев скважин'!J255),#N/A,'[1]Точность устьев скважин'!J255)</f>
        <v>#N/A</v>
      </c>
      <c r="J253" t="e">
        <f>IF(ISBLANK('[1]Точность устьев скважин'!K255),#N/A,'[1]Точность устьев скважин'!K255)</f>
        <v>#N/A</v>
      </c>
      <c r="L253" s="63" t="e">
        <f t="shared" si="28"/>
        <v>#N/A</v>
      </c>
      <c r="O253" t="e">
        <f t="shared" si="29"/>
        <v>#N/A</v>
      </c>
      <c r="P253" t="e">
        <f t="shared" si="29"/>
        <v>#N/A</v>
      </c>
      <c r="Q253" t="e">
        <f t="shared" si="30"/>
        <v>#N/A</v>
      </c>
      <c r="R253" t="e">
        <f t="shared" si="30"/>
        <v>#N/A</v>
      </c>
      <c r="S253" t="e">
        <f t="shared" si="31"/>
        <v>#N/A</v>
      </c>
      <c r="T253" t="e">
        <f t="shared" si="31"/>
        <v>#N/A</v>
      </c>
      <c r="U253" t="e">
        <f t="shared" si="32"/>
        <v>#N/A</v>
      </c>
      <c r="V253" t="e">
        <f t="shared" si="32"/>
        <v>#N/A</v>
      </c>
      <c r="W253" t="e">
        <f t="shared" si="33"/>
        <v>#N/A</v>
      </c>
      <c r="X253" t="e">
        <f t="shared" si="33"/>
        <v>#N/A</v>
      </c>
      <c r="Y253" t="e">
        <f t="shared" si="34"/>
        <v>#N/A</v>
      </c>
      <c r="Z253" t="e">
        <f t="shared" si="34"/>
        <v>#N/A</v>
      </c>
    </row>
    <row r="254" spans="1:26">
      <c r="A254" t="e">
        <f>IF(ISBLANK('[1]Точность устьев скважин'!A256),#N/A,'[1]Точность устьев скважин'!A256)</f>
        <v>#N/A</v>
      </c>
      <c r="B254" t="e">
        <f>IF(ISBLANK('[1]Точность устьев скважин'!B256),#N/A,'[1]Точность устьев скважин'!B256)</f>
        <v>#N/A</v>
      </c>
      <c r="C254" t="e">
        <f>IF(ISBLANK('[1]Точность устьев скважин'!C256),#N/A,'[1]Точность устьев скважин'!C256)</f>
        <v>#N/A</v>
      </c>
      <c r="D254" t="e">
        <f>IF(ISBLANK('[1]Точность устьев скважин'!D256),#N/A,'[1]Точность устьев скважин'!D256)</f>
        <v>#N/A</v>
      </c>
      <c r="G254" t="e">
        <f>IF(ISBLANK('[1]Точность устьев скважин'!H256),#N/A,'[1]Точность устьев скважин'!H256)</f>
        <v>#N/A</v>
      </c>
      <c r="H254" t="e">
        <f>IF(ISBLANK('[1]Точность устьев скважин'!I256),#N/A,'[1]Точность устьев скважин'!I256)</f>
        <v>#N/A</v>
      </c>
      <c r="I254" t="e">
        <f>IF(ISBLANK('[1]Точность устьев скважин'!J256),#N/A,'[1]Точность устьев скважин'!J256)</f>
        <v>#N/A</v>
      </c>
      <c r="J254" t="e">
        <f>IF(ISBLANK('[1]Точность устьев скважин'!K256),#N/A,'[1]Точность устьев скважин'!K256)</f>
        <v>#N/A</v>
      </c>
      <c r="L254" s="63" t="e">
        <f t="shared" si="28"/>
        <v>#N/A</v>
      </c>
      <c r="O254" t="e">
        <f t="shared" si="29"/>
        <v>#N/A</v>
      </c>
      <c r="P254" t="e">
        <f t="shared" si="29"/>
        <v>#N/A</v>
      </c>
      <c r="Q254" t="e">
        <f t="shared" si="30"/>
        <v>#N/A</v>
      </c>
      <c r="R254" t="e">
        <f t="shared" si="30"/>
        <v>#N/A</v>
      </c>
      <c r="S254" t="e">
        <f t="shared" si="31"/>
        <v>#N/A</v>
      </c>
      <c r="T254" t="e">
        <f t="shared" si="31"/>
        <v>#N/A</v>
      </c>
      <c r="U254" t="e">
        <f t="shared" si="32"/>
        <v>#N/A</v>
      </c>
      <c r="V254" t="e">
        <f t="shared" si="32"/>
        <v>#N/A</v>
      </c>
      <c r="W254" t="e">
        <f t="shared" si="33"/>
        <v>#N/A</v>
      </c>
      <c r="X254" t="e">
        <f t="shared" si="33"/>
        <v>#N/A</v>
      </c>
      <c r="Y254" t="e">
        <f t="shared" si="34"/>
        <v>#N/A</v>
      </c>
      <c r="Z254" t="e">
        <f t="shared" si="34"/>
        <v>#N/A</v>
      </c>
    </row>
    <row r="255" spans="1:26">
      <c r="A255" t="e">
        <f>IF(ISBLANK('[1]Точность устьев скважин'!A257),#N/A,'[1]Точность устьев скважин'!A257)</f>
        <v>#N/A</v>
      </c>
      <c r="B255" t="e">
        <f>IF(ISBLANK('[1]Точность устьев скважин'!B257),#N/A,'[1]Точность устьев скважин'!B257)</f>
        <v>#N/A</v>
      </c>
      <c r="C255" t="e">
        <f>IF(ISBLANK('[1]Точность устьев скважин'!C257),#N/A,'[1]Точность устьев скважин'!C257)</f>
        <v>#N/A</v>
      </c>
      <c r="D255" t="e">
        <f>IF(ISBLANK('[1]Точность устьев скважин'!D257),#N/A,'[1]Точность устьев скважин'!D257)</f>
        <v>#N/A</v>
      </c>
      <c r="G255" t="e">
        <f>IF(ISBLANK('[1]Точность устьев скважин'!H257),#N/A,'[1]Точность устьев скважин'!H257)</f>
        <v>#N/A</v>
      </c>
      <c r="H255" t="e">
        <f>IF(ISBLANK('[1]Точность устьев скважин'!I257),#N/A,'[1]Точность устьев скважин'!I257)</f>
        <v>#N/A</v>
      </c>
      <c r="I255" t="e">
        <f>IF(ISBLANK('[1]Точность устьев скважин'!J257),#N/A,'[1]Точность устьев скважин'!J257)</f>
        <v>#N/A</v>
      </c>
      <c r="J255" t="e">
        <f>IF(ISBLANK('[1]Точность устьев скважин'!K257),#N/A,'[1]Точность устьев скважин'!K257)</f>
        <v>#N/A</v>
      </c>
      <c r="L255" s="63" t="e">
        <f t="shared" si="28"/>
        <v>#N/A</v>
      </c>
      <c r="O255" t="e">
        <f t="shared" si="29"/>
        <v>#N/A</v>
      </c>
      <c r="P255" t="e">
        <f t="shared" si="29"/>
        <v>#N/A</v>
      </c>
      <c r="Q255" t="e">
        <f t="shared" si="30"/>
        <v>#N/A</v>
      </c>
      <c r="R255" t="e">
        <f t="shared" si="30"/>
        <v>#N/A</v>
      </c>
      <c r="S255" t="e">
        <f t="shared" si="31"/>
        <v>#N/A</v>
      </c>
      <c r="T255" t="e">
        <f t="shared" si="31"/>
        <v>#N/A</v>
      </c>
      <c r="U255" t="e">
        <f t="shared" si="32"/>
        <v>#N/A</v>
      </c>
      <c r="V255" t="e">
        <f t="shared" si="32"/>
        <v>#N/A</v>
      </c>
      <c r="W255" t="e">
        <f t="shared" si="33"/>
        <v>#N/A</v>
      </c>
      <c r="X255" t="e">
        <f t="shared" si="33"/>
        <v>#N/A</v>
      </c>
      <c r="Y255" t="e">
        <f t="shared" si="34"/>
        <v>#N/A</v>
      </c>
      <c r="Z255" t="e">
        <f t="shared" si="34"/>
        <v>#N/A</v>
      </c>
    </row>
    <row r="256" spans="1:26">
      <c r="A256" t="e">
        <f>IF(ISBLANK('[1]Точность устьев скважин'!A258),#N/A,'[1]Точность устьев скважин'!A258)</f>
        <v>#N/A</v>
      </c>
      <c r="B256" t="e">
        <f>IF(ISBLANK('[1]Точность устьев скважин'!B258),#N/A,'[1]Точность устьев скважин'!B258)</f>
        <v>#N/A</v>
      </c>
      <c r="C256" t="e">
        <f>IF(ISBLANK('[1]Точность устьев скважин'!C258),#N/A,'[1]Точность устьев скважин'!C258)</f>
        <v>#N/A</v>
      </c>
      <c r="D256" t="e">
        <f>IF(ISBLANK('[1]Точность устьев скважин'!D258),#N/A,'[1]Точность устьев скважин'!D258)</f>
        <v>#N/A</v>
      </c>
      <c r="G256" t="e">
        <f>IF(ISBLANK('[1]Точность устьев скважин'!H258),#N/A,'[1]Точность устьев скважин'!H258)</f>
        <v>#N/A</v>
      </c>
      <c r="H256" t="e">
        <f>IF(ISBLANK('[1]Точность устьев скважин'!I258),#N/A,'[1]Точность устьев скважин'!I258)</f>
        <v>#N/A</v>
      </c>
      <c r="I256" t="e">
        <f>IF(ISBLANK('[1]Точность устьев скважин'!J258),#N/A,'[1]Точность устьев скважин'!J258)</f>
        <v>#N/A</v>
      </c>
      <c r="J256" t="e">
        <f>IF(ISBLANK('[1]Точность устьев скважин'!K258),#N/A,'[1]Точность устьев скважин'!K258)</f>
        <v>#N/A</v>
      </c>
      <c r="L256" s="63" t="e">
        <f t="shared" si="28"/>
        <v>#N/A</v>
      </c>
      <c r="O256" t="e">
        <f t="shared" si="29"/>
        <v>#N/A</v>
      </c>
      <c r="P256" t="e">
        <f t="shared" si="29"/>
        <v>#N/A</v>
      </c>
      <c r="Q256" t="e">
        <f t="shared" si="30"/>
        <v>#N/A</v>
      </c>
      <c r="R256" t="e">
        <f t="shared" si="30"/>
        <v>#N/A</v>
      </c>
      <c r="S256" t="e">
        <f t="shared" si="31"/>
        <v>#N/A</v>
      </c>
      <c r="T256" t="e">
        <f t="shared" si="31"/>
        <v>#N/A</v>
      </c>
      <c r="U256" t="e">
        <f t="shared" si="32"/>
        <v>#N/A</v>
      </c>
      <c r="V256" t="e">
        <f t="shared" si="32"/>
        <v>#N/A</v>
      </c>
      <c r="W256" t="e">
        <f t="shared" si="33"/>
        <v>#N/A</v>
      </c>
      <c r="X256" t="e">
        <f t="shared" si="33"/>
        <v>#N/A</v>
      </c>
      <c r="Y256" t="e">
        <f t="shared" si="34"/>
        <v>#N/A</v>
      </c>
      <c r="Z256" t="e">
        <f t="shared" si="34"/>
        <v>#N/A</v>
      </c>
    </row>
    <row r="257" spans="1:26">
      <c r="A257" t="e">
        <f>IF(ISBLANK('[1]Точность устьев скважин'!A259),#N/A,'[1]Точность устьев скважин'!A259)</f>
        <v>#N/A</v>
      </c>
      <c r="B257" t="e">
        <f>IF(ISBLANK('[1]Точность устьев скважин'!B259),#N/A,'[1]Точность устьев скважин'!B259)</f>
        <v>#N/A</v>
      </c>
      <c r="C257" t="e">
        <f>IF(ISBLANK('[1]Точность устьев скважин'!C259),#N/A,'[1]Точность устьев скважин'!C259)</f>
        <v>#N/A</v>
      </c>
      <c r="D257" t="e">
        <f>IF(ISBLANK('[1]Точность устьев скважин'!D259),#N/A,'[1]Точность устьев скважин'!D259)</f>
        <v>#N/A</v>
      </c>
      <c r="G257" t="e">
        <f>IF(ISBLANK('[1]Точность устьев скважин'!H259),#N/A,'[1]Точность устьев скважин'!H259)</f>
        <v>#N/A</v>
      </c>
      <c r="H257" t="e">
        <f>IF(ISBLANK('[1]Точность устьев скважин'!I259),#N/A,'[1]Точность устьев скважин'!I259)</f>
        <v>#N/A</v>
      </c>
      <c r="I257" t="e">
        <f>IF(ISBLANK('[1]Точность устьев скважин'!J259),#N/A,'[1]Точность устьев скважин'!J259)</f>
        <v>#N/A</v>
      </c>
      <c r="J257" t="e">
        <f>IF(ISBLANK('[1]Точность устьев скважин'!K259),#N/A,'[1]Точность устьев скважин'!K259)</f>
        <v>#N/A</v>
      </c>
      <c r="L257" s="63" t="e">
        <f t="shared" si="28"/>
        <v>#N/A</v>
      </c>
      <c r="O257" t="e">
        <f t="shared" si="29"/>
        <v>#N/A</v>
      </c>
      <c r="P257" t="e">
        <f t="shared" si="29"/>
        <v>#N/A</v>
      </c>
      <c r="Q257" t="e">
        <f t="shared" si="30"/>
        <v>#N/A</v>
      </c>
      <c r="R257" t="e">
        <f t="shared" si="30"/>
        <v>#N/A</v>
      </c>
      <c r="S257" t="e">
        <f t="shared" si="31"/>
        <v>#N/A</v>
      </c>
      <c r="T257" t="e">
        <f t="shared" si="31"/>
        <v>#N/A</v>
      </c>
      <c r="U257" t="e">
        <f t="shared" si="32"/>
        <v>#N/A</v>
      </c>
      <c r="V257" t="e">
        <f t="shared" si="32"/>
        <v>#N/A</v>
      </c>
      <c r="W257" t="e">
        <f t="shared" si="33"/>
        <v>#N/A</v>
      </c>
      <c r="X257" t="e">
        <f t="shared" si="33"/>
        <v>#N/A</v>
      </c>
      <c r="Y257" t="e">
        <f t="shared" si="34"/>
        <v>#N/A</v>
      </c>
      <c r="Z257" t="e">
        <f t="shared" si="34"/>
        <v>#N/A</v>
      </c>
    </row>
    <row r="258" spans="1:26">
      <c r="A258" t="e">
        <f>IF(ISBLANK('[1]Точность устьев скважин'!A260),#N/A,'[1]Точность устьев скважин'!A260)</f>
        <v>#N/A</v>
      </c>
      <c r="B258" t="e">
        <f>IF(ISBLANK('[1]Точность устьев скважин'!B260),#N/A,'[1]Точность устьев скважин'!B260)</f>
        <v>#N/A</v>
      </c>
      <c r="C258" t="e">
        <f>IF(ISBLANK('[1]Точность устьев скважин'!C260),#N/A,'[1]Точность устьев скважин'!C260)</f>
        <v>#N/A</v>
      </c>
      <c r="D258" t="e">
        <f>IF(ISBLANK('[1]Точность устьев скважин'!D260),#N/A,'[1]Точность устьев скважин'!D260)</f>
        <v>#N/A</v>
      </c>
      <c r="G258" t="e">
        <f>IF(ISBLANK('[1]Точность устьев скважин'!H260),#N/A,'[1]Точность устьев скважин'!H260)</f>
        <v>#N/A</v>
      </c>
      <c r="H258" t="e">
        <f>IF(ISBLANK('[1]Точность устьев скважин'!I260),#N/A,'[1]Точность устьев скважин'!I260)</f>
        <v>#N/A</v>
      </c>
      <c r="I258" t="e">
        <f>IF(ISBLANK('[1]Точность устьев скважин'!J260),#N/A,'[1]Точность устьев скважин'!J260)</f>
        <v>#N/A</v>
      </c>
      <c r="J258" t="e">
        <f>IF(ISBLANK('[1]Точность устьев скважин'!K260),#N/A,'[1]Точность устьев скважин'!K260)</f>
        <v>#N/A</v>
      </c>
      <c r="L258" s="63" t="e">
        <f t="shared" si="28"/>
        <v>#N/A</v>
      </c>
      <c r="O258" t="e">
        <f t="shared" si="29"/>
        <v>#N/A</v>
      </c>
      <c r="P258" t="e">
        <f t="shared" si="29"/>
        <v>#N/A</v>
      </c>
      <c r="Q258" t="e">
        <f t="shared" si="30"/>
        <v>#N/A</v>
      </c>
      <c r="R258" t="e">
        <f t="shared" si="30"/>
        <v>#N/A</v>
      </c>
      <c r="S258" t="e">
        <f t="shared" si="31"/>
        <v>#N/A</v>
      </c>
      <c r="T258" t="e">
        <f t="shared" si="31"/>
        <v>#N/A</v>
      </c>
      <c r="U258" t="e">
        <f t="shared" si="32"/>
        <v>#N/A</v>
      </c>
      <c r="V258" t="e">
        <f t="shared" si="32"/>
        <v>#N/A</v>
      </c>
      <c r="W258" t="e">
        <f t="shared" si="33"/>
        <v>#N/A</v>
      </c>
      <c r="X258" t="e">
        <f t="shared" si="33"/>
        <v>#N/A</v>
      </c>
      <c r="Y258" t="e">
        <f t="shared" si="34"/>
        <v>#N/A</v>
      </c>
      <c r="Z258" t="e">
        <f t="shared" si="34"/>
        <v>#N/A</v>
      </c>
    </row>
    <row r="259" spans="1:26">
      <c r="A259" t="e">
        <f>IF(ISBLANK('[1]Точность устьев скважин'!A261),#N/A,'[1]Точность устьев скважин'!A261)</f>
        <v>#N/A</v>
      </c>
      <c r="B259" t="e">
        <f>IF(ISBLANK('[1]Точность устьев скважин'!B261),#N/A,'[1]Точность устьев скважин'!B261)</f>
        <v>#N/A</v>
      </c>
      <c r="C259" t="e">
        <f>IF(ISBLANK('[1]Точность устьев скважин'!C261),#N/A,'[1]Точность устьев скважин'!C261)</f>
        <v>#N/A</v>
      </c>
      <c r="D259" t="e">
        <f>IF(ISBLANK('[1]Точность устьев скважин'!D261),#N/A,'[1]Точность устьев скважин'!D261)</f>
        <v>#N/A</v>
      </c>
      <c r="G259" t="e">
        <f>IF(ISBLANK('[1]Точность устьев скважин'!H261),#N/A,'[1]Точность устьев скважин'!H261)</f>
        <v>#N/A</v>
      </c>
      <c r="H259" t="e">
        <f>IF(ISBLANK('[1]Точность устьев скважин'!I261),#N/A,'[1]Точность устьев скважин'!I261)</f>
        <v>#N/A</v>
      </c>
      <c r="I259" t="e">
        <f>IF(ISBLANK('[1]Точность устьев скважин'!J261),#N/A,'[1]Точность устьев скважин'!J261)</f>
        <v>#N/A</v>
      </c>
      <c r="J259" t="e">
        <f>IF(ISBLANK('[1]Точность устьев скважин'!K261),#N/A,'[1]Точность устьев скважин'!K261)</f>
        <v>#N/A</v>
      </c>
      <c r="L259" s="63" t="e">
        <f t="shared" si="28"/>
        <v>#N/A</v>
      </c>
      <c r="O259" t="e">
        <f t="shared" si="29"/>
        <v>#N/A</v>
      </c>
      <c r="P259" t="e">
        <f t="shared" si="29"/>
        <v>#N/A</v>
      </c>
      <c r="Q259" t="e">
        <f t="shared" si="30"/>
        <v>#N/A</v>
      </c>
      <c r="R259" t="e">
        <f t="shared" si="30"/>
        <v>#N/A</v>
      </c>
      <c r="S259" t="e">
        <f t="shared" si="31"/>
        <v>#N/A</v>
      </c>
      <c r="T259" t="e">
        <f t="shared" si="31"/>
        <v>#N/A</v>
      </c>
      <c r="U259" t="e">
        <f t="shared" si="32"/>
        <v>#N/A</v>
      </c>
      <c r="V259" t="e">
        <f t="shared" si="32"/>
        <v>#N/A</v>
      </c>
      <c r="W259" t="e">
        <f t="shared" si="33"/>
        <v>#N/A</v>
      </c>
      <c r="X259" t="e">
        <f t="shared" si="33"/>
        <v>#N/A</v>
      </c>
      <c r="Y259" t="e">
        <f t="shared" si="34"/>
        <v>#N/A</v>
      </c>
      <c r="Z259" t="e">
        <f t="shared" si="34"/>
        <v>#N/A</v>
      </c>
    </row>
    <row r="260" spans="1:26">
      <c r="A260" t="e">
        <f>IF(ISBLANK('[1]Точность устьев скважин'!A262),#N/A,'[1]Точность устьев скважин'!A262)</f>
        <v>#N/A</v>
      </c>
      <c r="B260" t="e">
        <f>IF(ISBLANK('[1]Точность устьев скважин'!B262),#N/A,'[1]Точность устьев скважин'!B262)</f>
        <v>#N/A</v>
      </c>
      <c r="C260" t="e">
        <f>IF(ISBLANK('[1]Точность устьев скважин'!C262),#N/A,'[1]Точность устьев скважин'!C262)</f>
        <v>#N/A</v>
      </c>
      <c r="D260" t="e">
        <f>IF(ISBLANK('[1]Точность устьев скважин'!D262),#N/A,'[1]Точность устьев скважин'!D262)</f>
        <v>#N/A</v>
      </c>
      <c r="G260" t="e">
        <f>IF(ISBLANK('[1]Точность устьев скважин'!H262),#N/A,'[1]Точность устьев скважин'!H262)</f>
        <v>#N/A</v>
      </c>
      <c r="H260" t="e">
        <f>IF(ISBLANK('[1]Точность устьев скважин'!I262),#N/A,'[1]Точность устьев скважин'!I262)</f>
        <v>#N/A</v>
      </c>
      <c r="I260" t="e">
        <f>IF(ISBLANK('[1]Точность устьев скважин'!J262),#N/A,'[1]Точность устьев скважин'!J262)</f>
        <v>#N/A</v>
      </c>
      <c r="J260" t="e">
        <f>IF(ISBLANK('[1]Точность устьев скважин'!K262),#N/A,'[1]Точность устьев скважин'!K262)</f>
        <v>#N/A</v>
      </c>
      <c r="L260" s="63" t="e">
        <f t="shared" ref="L260:L323" si="35">IF(B260="","",(SQRT((H260-B260)^2+(I260-C260)^2)))</f>
        <v>#N/A</v>
      </c>
      <c r="O260" t="e">
        <f t="shared" si="29"/>
        <v>#N/A</v>
      </c>
      <c r="P260" t="e">
        <f t="shared" si="29"/>
        <v>#N/A</v>
      </c>
      <c r="Q260" t="e">
        <f t="shared" si="30"/>
        <v>#N/A</v>
      </c>
      <c r="R260" t="e">
        <f t="shared" si="30"/>
        <v>#N/A</v>
      </c>
      <c r="S260" t="e">
        <f t="shared" si="31"/>
        <v>#N/A</v>
      </c>
      <c r="T260" t="e">
        <f t="shared" si="31"/>
        <v>#N/A</v>
      </c>
      <c r="U260" t="e">
        <f t="shared" si="32"/>
        <v>#N/A</v>
      </c>
      <c r="V260" t="e">
        <f t="shared" si="32"/>
        <v>#N/A</v>
      </c>
      <c r="W260" t="e">
        <f t="shared" si="33"/>
        <v>#N/A</v>
      </c>
      <c r="X260" t="e">
        <f t="shared" si="33"/>
        <v>#N/A</v>
      </c>
      <c r="Y260" t="e">
        <f t="shared" si="34"/>
        <v>#N/A</v>
      </c>
      <c r="Z260" t="e">
        <f t="shared" si="34"/>
        <v>#N/A</v>
      </c>
    </row>
    <row r="261" spans="1:26">
      <c r="A261" t="e">
        <f>IF(ISBLANK('[1]Точность устьев скважин'!A263),#N/A,'[1]Точность устьев скважин'!A263)</f>
        <v>#N/A</v>
      </c>
      <c r="B261" t="e">
        <f>IF(ISBLANK('[1]Точность устьев скважин'!B263),#N/A,'[1]Точность устьев скважин'!B263)</f>
        <v>#N/A</v>
      </c>
      <c r="C261" t="e">
        <f>IF(ISBLANK('[1]Точность устьев скважин'!C263),#N/A,'[1]Точность устьев скважин'!C263)</f>
        <v>#N/A</v>
      </c>
      <c r="D261" t="e">
        <f>IF(ISBLANK('[1]Точность устьев скважин'!D263),#N/A,'[1]Точность устьев скважин'!D263)</f>
        <v>#N/A</v>
      </c>
      <c r="G261" t="e">
        <f>IF(ISBLANK('[1]Точность устьев скважин'!H263),#N/A,'[1]Точность устьев скважин'!H263)</f>
        <v>#N/A</v>
      </c>
      <c r="H261" t="e">
        <f>IF(ISBLANK('[1]Точность устьев скважин'!I263),#N/A,'[1]Точность устьев скважин'!I263)</f>
        <v>#N/A</v>
      </c>
      <c r="I261" t="e">
        <f>IF(ISBLANK('[1]Точность устьев скважин'!J263),#N/A,'[1]Точность устьев скважин'!J263)</f>
        <v>#N/A</v>
      </c>
      <c r="J261" t="e">
        <f>IF(ISBLANK('[1]Точность устьев скважин'!K263),#N/A,'[1]Точность устьев скважин'!K263)</f>
        <v>#N/A</v>
      </c>
      <c r="L261" s="63" t="e">
        <f t="shared" si="35"/>
        <v>#N/A</v>
      </c>
      <c r="O261" t="e">
        <f t="shared" si="29"/>
        <v>#N/A</v>
      </c>
      <c r="P261" t="e">
        <f t="shared" si="29"/>
        <v>#N/A</v>
      </c>
      <c r="Q261" t="e">
        <f t="shared" si="30"/>
        <v>#N/A</v>
      </c>
      <c r="R261" t="e">
        <f t="shared" si="30"/>
        <v>#N/A</v>
      </c>
      <c r="S261" t="e">
        <f t="shared" si="31"/>
        <v>#N/A</v>
      </c>
      <c r="T261" t="e">
        <f t="shared" si="31"/>
        <v>#N/A</v>
      </c>
      <c r="U261" t="e">
        <f t="shared" si="32"/>
        <v>#N/A</v>
      </c>
      <c r="V261" t="e">
        <f t="shared" si="32"/>
        <v>#N/A</v>
      </c>
      <c r="W261" t="e">
        <f t="shared" si="33"/>
        <v>#N/A</v>
      </c>
      <c r="X261" t="e">
        <f t="shared" si="33"/>
        <v>#N/A</v>
      </c>
      <c r="Y261" t="e">
        <f t="shared" si="34"/>
        <v>#N/A</v>
      </c>
      <c r="Z261" t="e">
        <f t="shared" si="34"/>
        <v>#N/A</v>
      </c>
    </row>
    <row r="262" spans="1:26">
      <c r="A262" t="e">
        <f>IF(ISBLANK('[1]Точность устьев скважин'!A264),#N/A,'[1]Точность устьев скважин'!A264)</f>
        <v>#N/A</v>
      </c>
      <c r="B262" t="e">
        <f>IF(ISBLANK('[1]Точность устьев скважин'!B264),#N/A,'[1]Точность устьев скважин'!B264)</f>
        <v>#N/A</v>
      </c>
      <c r="C262" t="e">
        <f>IF(ISBLANK('[1]Точность устьев скважин'!C264),#N/A,'[1]Точность устьев скважин'!C264)</f>
        <v>#N/A</v>
      </c>
      <c r="D262" t="e">
        <f>IF(ISBLANK('[1]Точность устьев скважин'!D264),#N/A,'[1]Точность устьев скважин'!D264)</f>
        <v>#N/A</v>
      </c>
      <c r="G262" t="e">
        <f>IF(ISBLANK('[1]Точность устьев скважин'!H264),#N/A,'[1]Точность устьев скважин'!H264)</f>
        <v>#N/A</v>
      </c>
      <c r="H262" t="e">
        <f>IF(ISBLANK('[1]Точность устьев скважин'!I264),#N/A,'[1]Точность устьев скважин'!I264)</f>
        <v>#N/A</v>
      </c>
      <c r="I262" t="e">
        <f>IF(ISBLANK('[1]Точность устьев скважин'!J264),#N/A,'[1]Точность устьев скважин'!J264)</f>
        <v>#N/A</v>
      </c>
      <c r="J262" t="e">
        <f>IF(ISBLANK('[1]Точность устьев скважин'!K264),#N/A,'[1]Точность устьев скважин'!K264)</f>
        <v>#N/A</v>
      </c>
      <c r="L262" s="63" t="e">
        <f t="shared" si="35"/>
        <v>#N/A</v>
      </c>
      <c r="O262" t="e">
        <f t="shared" si="29"/>
        <v>#N/A</v>
      </c>
      <c r="P262" t="e">
        <f t="shared" si="29"/>
        <v>#N/A</v>
      </c>
      <c r="Q262" t="e">
        <f t="shared" si="30"/>
        <v>#N/A</v>
      </c>
      <c r="R262" t="e">
        <f t="shared" si="30"/>
        <v>#N/A</v>
      </c>
      <c r="S262" t="e">
        <f t="shared" si="31"/>
        <v>#N/A</v>
      </c>
      <c r="T262" t="e">
        <f t="shared" si="31"/>
        <v>#N/A</v>
      </c>
      <c r="U262" t="e">
        <f t="shared" si="32"/>
        <v>#N/A</v>
      </c>
      <c r="V262" t="e">
        <f t="shared" si="32"/>
        <v>#N/A</v>
      </c>
      <c r="W262" t="e">
        <f t="shared" si="33"/>
        <v>#N/A</v>
      </c>
      <c r="X262" t="e">
        <f t="shared" si="33"/>
        <v>#N/A</v>
      </c>
      <c r="Y262" t="e">
        <f t="shared" si="34"/>
        <v>#N/A</v>
      </c>
      <c r="Z262" t="e">
        <f t="shared" si="34"/>
        <v>#N/A</v>
      </c>
    </row>
    <row r="263" spans="1:26">
      <c r="A263" t="e">
        <f>IF(ISBLANK('[1]Точность устьев скважин'!A265),#N/A,'[1]Точность устьев скважин'!A265)</f>
        <v>#N/A</v>
      </c>
      <c r="B263" t="e">
        <f>IF(ISBLANK('[1]Точность устьев скважин'!B265),#N/A,'[1]Точность устьев скважин'!B265)</f>
        <v>#N/A</v>
      </c>
      <c r="C263" t="e">
        <f>IF(ISBLANK('[1]Точность устьев скважин'!C265),#N/A,'[1]Точность устьев скважин'!C265)</f>
        <v>#N/A</v>
      </c>
      <c r="D263" t="e">
        <f>IF(ISBLANK('[1]Точность устьев скважин'!D265),#N/A,'[1]Точность устьев скважин'!D265)</f>
        <v>#N/A</v>
      </c>
      <c r="G263" t="e">
        <f>IF(ISBLANK('[1]Точность устьев скважин'!H265),#N/A,'[1]Точность устьев скважин'!H265)</f>
        <v>#N/A</v>
      </c>
      <c r="H263" t="e">
        <f>IF(ISBLANK('[1]Точность устьев скважин'!I265),#N/A,'[1]Точность устьев скважин'!I265)</f>
        <v>#N/A</v>
      </c>
      <c r="I263" t="e">
        <f>IF(ISBLANK('[1]Точность устьев скважин'!J265),#N/A,'[1]Точность устьев скважин'!J265)</f>
        <v>#N/A</v>
      </c>
      <c r="J263" t="e">
        <f>IF(ISBLANK('[1]Точность устьев скважин'!K265),#N/A,'[1]Точность устьев скважин'!K265)</f>
        <v>#N/A</v>
      </c>
      <c r="L263" s="63" t="e">
        <f t="shared" si="35"/>
        <v>#N/A</v>
      </c>
      <c r="O263" t="e">
        <f t="shared" si="29"/>
        <v>#N/A</v>
      </c>
      <c r="P263" t="e">
        <f t="shared" si="29"/>
        <v>#N/A</v>
      </c>
      <c r="Q263" t="e">
        <f t="shared" si="30"/>
        <v>#N/A</v>
      </c>
      <c r="R263" t="e">
        <f t="shared" si="30"/>
        <v>#N/A</v>
      </c>
      <c r="S263" t="e">
        <f t="shared" si="31"/>
        <v>#N/A</v>
      </c>
      <c r="T263" t="e">
        <f t="shared" si="31"/>
        <v>#N/A</v>
      </c>
      <c r="U263" t="e">
        <f t="shared" si="32"/>
        <v>#N/A</v>
      </c>
      <c r="V263" t="e">
        <f t="shared" si="32"/>
        <v>#N/A</v>
      </c>
      <c r="W263" t="e">
        <f t="shared" si="33"/>
        <v>#N/A</v>
      </c>
      <c r="X263" t="e">
        <f t="shared" si="33"/>
        <v>#N/A</v>
      </c>
      <c r="Y263" t="e">
        <f t="shared" si="34"/>
        <v>#N/A</v>
      </c>
      <c r="Z263" t="e">
        <f t="shared" si="34"/>
        <v>#N/A</v>
      </c>
    </row>
    <row r="264" spans="1:26">
      <c r="A264" t="e">
        <f>IF(ISBLANK('[1]Точность устьев скважин'!A266),#N/A,'[1]Точность устьев скважин'!A266)</f>
        <v>#N/A</v>
      </c>
      <c r="B264" t="e">
        <f>IF(ISBLANK('[1]Точность устьев скважин'!B266),#N/A,'[1]Точность устьев скважин'!B266)</f>
        <v>#N/A</v>
      </c>
      <c r="C264" t="e">
        <f>IF(ISBLANK('[1]Точность устьев скважин'!C266),#N/A,'[1]Точность устьев скважин'!C266)</f>
        <v>#N/A</v>
      </c>
      <c r="D264" t="e">
        <f>IF(ISBLANK('[1]Точность устьев скважин'!D266),#N/A,'[1]Точность устьев скважин'!D266)</f>
        <v>#N/A</v>
      </c>
      <c r="G264" t="e">
        <f>IF(ISBLANK('[1]Точность устьев скважин'!H266),#N/A,'[1]Точность устьев скважин'!H266)</f>
        <v>#N/A</v>
      </c>
      <c r="H264" t="e">
        <f>IF(ISBLANK('[1]Точность устьев скважин'!I266),#N/A,'[1]Точность устьев скважин'!I266)</f>
        <v>#N/A</v>
      </c>
      <c r="I264" t="e">
        <f>IF(ISBLANK('[1]Точность устьев скважин'!J266),#N/A,'[1]Точность устьев скважин'!J266)</f>
        <v>#N/A</v>
      </c>
      <c r="J264" t="e">
        <f>IF(ISBLANK('[1]Точность устьев скважин'!K266),#N/A,'[1]Точность устьев скважин'!K266)</f>
        <v>#N/A</v>
      </c>
      <c r="L264" s="63" t="e">
        <f t="shared" si="35"/>
        <v>#N/A</v>
      </c>
      <c r="O264" t="e">
        <f t="shared" si="29"/>
        <v>#N/A</v>
      </c>
      <c r="P264" t="e">
        <f t="shared" si="29"/>
        <v>#N/A</v>
      </c>
      <c r="Q264" t="e">
        <f t="shared" si="30"/>
        <v>#N/A</v>
      </c>
      <c r="R264" t="e">
        <f t="shared" si="30"/>
        <v>#N/A</v>
      </c>
      <c r="S264" t="e">
        <f t="shared" si="31"/>
        <v>#N/A</v>
      </c>
      <c r="T264" t="e">
        <f t="shared" si="31"/>
        <v>#N/A</v>
      </c>
      <c r="U264" t="e">
        <f t="shared" si="32"/>
        <v>#N/A</v>
      </c>
      <c r="V264" t="e">
        <f t="shared" si="32"/>
        <v>#N/A</v>
      </c>
      <c r="W264" t="e">
        <f t="shared" si="33"/>
        <v>#N/A</v>
      </c>
      <c r="X264" t="e">
        <f t="shared" si="33"/>
        <v>#N/A</v>
      </c>
      <c r="Y264" t="e">
        <f t="shared" si="34"/>
        <v>#N/A</v>
      </c>
      <c r="Z264" t="e">
        <f t="shared" si="34"/>
        <v>#N/A</v>
      </c>
    </row>
    <row r="265" spans="1:26">
      <c r="A265" t="e">
        <f>IF(ISBLANK('[1]Точность устьев скважин'!A267),#N/A,'[1]Точность устьев скважин'!A267)</f>
        <v>#N/A</v>
      </c>
      <c r="B265" t="e">
        <f>IF(ISBLANK('[1]Точность устьев скважин'!B267),#N/A,'[1]Точность устьев скважин'!B267)</f>
        <v>#N/A</v>
      </c>
      <c r="C265" t="e">
        <f>IF(ISBLANK('[1]Точность устьев скважин'!C267),#N/A,'[1]Точность устьев скважин'!C267)</f>
        <v>#N/A</v>
      </c>
      <c r="D265" t="e">
        <f>IF(ISBLANK('[1]Точность устьев скважин'!D267),#N/A,'[1]Точность устьев скважин'!D267)</f>
        <v>#N/A</v>
      </c>
      <c r="G265" t="e">
        <f>IF(ISBLANK('[1]Точность устьев скважин'!H267),#N/A,'[1]Точность устьев скважин'!H267)</f>
        <v>#N/A</v>
      </c>
      <c r="H265" t="e">
        <f>IF(ISBLANK('[1]Точность устьев скважин'!I267),#N/A,'[1]Точность устьев скважин'!I267)</f>
        <v>#N/A</v>
      </c>
      <c r="I265" t="e">
        <f>IF(ISBLANK('[1]Точность устьев скважин'!J267),#N/A,'[1]Точность устьев скважин'!J267)</f>
        <v>#N/A</v>
      </c>
      <c r="J265" t="e">
        <f>IF(ISBLANK('[1]Точность устьев скважин'!K267),#N/A,'[1]Точность устьев скважин'!K267)</f>
        <v>#N/A</v>
      </c>
      <c r="L265" s="63" t="e">
        <f t="shared" si="35"/>
        <v>#N/A</v>
      </c>
      <c r="O265" t="e">
        <f t="shared" si="29"/>
        <v>#N/A</v>
      </c>
      <c r="P265" t="e">
        <f t="shared" si="29"/>
        <v>#N/A</v>
      </c>
      <c r="Q265" t="e">
        <f t="shared" si="30"/>
        <v>#N/A</v>
      </c>
      <c r="R265" t="e">
        <f t="shared" si="30"/>
        <v>#N/A</v>
      </c>
      <c r="S265" t="e">
        <f t="shared" si="31"/>
        <v>#N/A</v>
      </c>
      <c r="T265" t="e">
        <f t="shared" si="31"/>
        <v>#N/A</v>
      </c>
      <c r="U265" t="e">
        <f t="shared" si="32"/>
        <v>#N/A</v>
      </c>
      <c r="V265" t="e">
        <f t="shared" si="32"/>
        <v>#N/A</v>
      </c>
      <c r="W265" t="e">
        <f t="shared" si="33"/>
        <v>#N/A</v>
      </c>
      <c r="X265" t="e">
        <f t="shared" si="33"/>
        <v>#N/A</v>
      </c>
      <c r="Y265" t="e">
        <f t="shared" si="34"/>
        <v>#N/A</v>
      </c>
      <c r="Z265" t="e">
        <f t="shared" si="34"/>
        <v>#N/A</v>
      </c>
    </row>
    <row r="266" spans="1:26">
      <c r="A266" t="e">
        <f>IF(ISBLANK('[1]Точность устьев скважин'!A268),#N/A,'[1]Точность устьев скважин'!A268)</f>
        <v>#N/A</v>
      </c>
      <c r="B266" t="e">
        <f>IF(ISBLANK('[1]Точность устьев скважин'!B268),#N/A,'[1]Точность устьев скважин'!B268)</f>
        <v>#N/A</v>
      </c>
      <c r="C266" t="e">
        <f>IF(ISBLANK('[1]Точность устьев скважин'!C268),#N/A,'[1]Точность устьев скважин'!C268)</f>
        <v>#N/A</v>
      </c>
      <c r="D266" t="e">
        <f>IF(ISBLANK('[1]Точность устьев скважин'!D268),#N/A,'[1]Точность устьев скважин'!D268)</f>
        <v>#N/A</v>
      </c>
      <c r="G266" t="e">
        <f>IF(ISBLANK('[1]Точность устьев скважин'!H268),#N/A,'[1]Точность устьев скважин'!H268)</f>
        <v>#N/A</v>
      </c>
      <c r="H266" t="e">
        <f>IF(ISBLANK('[1]Точность устьев скважин'!I268),#N/A,'[1]Точность устьев скважин'!I268)</f>
        <v>#N/A</v>
      </c>
      <c r="I266" t="e">
        <f>IF(ISBLANK('[1]Точность устьев скважин'!J268),#N/A,'[1]Точность устьев скважин'!J268)</f>
        <v>#N/A</v>
      </c>
      <c r="J266" t="e">
        <f>IF(ISBLANK('[1]Точность устьев скважин'!K268),#N/A,'[1]Точность устьев скважин'!K268)</f>
        <v>#N/A</v>
      </c>
      <c r="L266" s="63" t="e">
        <f t="shared" si="35"/>
        <v>#N/A</v>
      </c>
      <c r="O266" t="e">
        <f t="shared" si="29"/>
        <v>#N/A</v>
      </c>
      <c r="P266" t="e">
        <f t="shared" si="29"/>
        <v>#N/A</v>
      </c>
      <c r="Q266" t="e">
        <f t="shared" si="30"/>
        <v>#N/A</v>
      </c>
      <c r="R266" t="e">
        <f t="shared" si="30"/>
        <v>#N/A</v>
      </c>
      <c r="S266" t="e">
        <f t="shared" si="31"/>
        <v>#N/A</v>
      </c>
      <c r="T266" t="e">
        <f t="shared" si="31"/>
        <v>#N/A</v>
      </c>
      <c r="U266" t="e">
        <f t="shared" si="32"/>
        <v>#N/A</v>
      </c>
      <c r="V266" t="e">
        <f t="shared" si="32"/>
        <v>#N/A</v>
      </c>
      <c r="W266" t="e">
        <f t="shared" si="33"/>
        <v>#N/A</v>
      </c>
      <c r="X266" t="e">
        <f t="shared" si="33"/>
        <v>#N/A</v>
      </c>
      <c r="Y266" t="e">
        <f t="shared" si="34"/>
        <v>#N/A</v>
      </c>
      <c r="Z266" t="e">
        <f t="shared" si="34"/>
        <v>#N/A</v>
      </c>
    </row>
    <row r="267" spans="1:26">
      <c r="A267" t="e">
        <f>IF(ISBLANK('[1]Точность устьев скважин'!A269),#N/A,'[1]Точность устьев скважин'!A269)</f>
        <v>#N/A</v>
      </c>
      <c r="B267" t="e">
        <f>IF(ISBLANK('[1]Точность устьев скважин'!B269),#N/A,'[1]Точность устьев скважин'!B269)</f>
        <v>#N/A</v>
      </c>
      <c r="C267" t="e">
        <f>IF(ISBLANK('[1]Точность устьев скважин'!C269),#N/A,'[1]Точность устьев скважин'!C269)</f>
        <v>#N/A</v>
      </c>
      <c r="D267" t="e">
        <f>IF(ISBLANK('[1]Точность устьев скважин'!D269),#N/A,'[1]Точность устьев скважин'!D269)</f>
        <v>#N/A</v>
      </c>
      <c r="G267" t="e">
        <f>IF(ISBLANK('[1]Точность устьев скважин'!H269),#N/A,'[1]Точность устьев скважин'!H269)</f>
        <v>#N/A</v>
      </c>
      <c r="H267" t="e">
        <f>IF(ISBLANK('[1]Точность устьев скважин'!I269),#N/A,'[1]Точность устьев скважин'!I269)</f>
        <v>#N/A</v>
      </c>
      <c r="I267" t="e">
        <f>IF(ISBLANK('[1]Точность устьев скважин'!J269),#N/A,'[1]Точность устьев скважин'!J269)</f>
        <v>#N/A</v>
      </c>
      <c r="J267" t="e">
        <f>IF(ISBLANK('[1]Точность устьев скважин'!K269),#N/A,'[1]Точность устьев скважин'!K269)</f>
        <v>#N/A</v>
      </c>
      <c r="L267" s="63" t="e">
        <f t="shared" si="35"/>
        <v>#N/A</v>
      </c>
      <c r="O267" t="e">
        <f t="shared" si="29"/>
        <v>#N/A</v>
      </c>
      <c r="P267" t="e">
        <f t="shared" si="29"/>
        <v>#N/A</v>
      </c>
      <c r="Q267" t="e">
        <f t="shared" si="30"/>
        <v>#N/A</v>
      </c>
      <c r="R267" t="e">
        <f t="shared" si="30"/>
        <v>#N/A</v>
      </c>
      <c r="S267" t="e">
        <f t="shared" si="31"/>
        <v>#N/A</v>
      </c>
      <c r="T267" t="e">
        <f t="shared" si="31"/>
        <v>#N/A</v>
      </c>
      <c r="U267" t="e">
        <f t="shared" si="32"/>
        <v>#N/A</v>
      </c>
      <c r="V267" t="e">
        <f t="shared" si="32"/>
        <v>#N/A</v>
      </c>
      <c r="W267" t="e">
        <f t="shared" si="33"/>
        <v>#N/A</v>
      </c>
      <c r="X267" t="e">
        <f t="shared" si="33"/>
        <v>#N/A</v>
      </c>
      <c r="Y267" t="e">
        <f t="shared" si="34"/>
        <v>#N/A</v>
      </c>
      <c r="Z267" t="e">
        <f t="shared" si="34"/>
        <v>#N/A</v>
      </c>
    </row>
    <row r="268" spans="1:26">
      <c r="A268" t="e">
        <f>IF(ISBLANK('[1]Точность устьев скважин'!A270),#N/A,'[1]Точность устьев скважин'!A270)</f>
        <v>#N/A</v>
      </c>
      <c r="B268" t="e">
        <f>IF(ISBLANK('[1]Точность устьев скважин'!B270),#N/A,'[1]Точность устьев скважин'!B270)</f>
        <v>#N/A</v>
      </c>
      <c r="C268" t="e">
        <f>IF(ISBLANK('[1]Точность устьев скважин'!C270),#N/A,'[1]Точность устьев скважин'!C270)</f>
        <v>#N/A</v>
      </c>
      <c r="D268" t="e">
        <f>IF(ISBLANK('[1]Точность устьев скважин'!D270),#N/A,'[1]Точность устьев скважин'!D270)</f>
        <v>#N/A</v>
      </c>
      <c r="G268" t="e">
        <f>IF(ISBLANK('[1]Точность устьев скважин'!H270),#N/A,'[1]Точность устьев скважин'!H270)</f>
        <v>#N/A</v>
      </c>
      <c r="H268" t="e">
        <f>IF(ISBLANK('[1]Точность устьев скважин'!I270),#N/A,'[1]Точность устьев скважин'!I270)</f>
        <v>#N/A</v>
      </c>
      <c r="I268" t="e">
        <f>IF(ISBLANK('[1]Точность устьев скважин'!J270),#N/A,'[1]Точность устьев скважин'!J270)</f>
        <v>#N/A</v>
      </c>
      <c r="J268" t="e">
        <f>IF(ISBLANK('[1]Точность устьев скважин'!K270),#N/A,'[1]Точность устьев скважин'!K270)</f>
        <v>#N/A</v>
      </c>
      <c r="L268" s="63" t="e">
        <f t="shared" si="35"/>
        <v>#N/A</v>
      </c>
      <c r="O268" t="e">
        <f t="shared" si="29"/>
        <v>#N/A</v>
      </c>
      <c r="P268" t="e">
        <f t="shared" si="29"/>
        <v>#N/A</v>
      </c>
      <c r="Q268" t="e">
        <f t="shared" si="30"/>
        <v>#N/A</v>
      </c>
      <c r="R268" t="e">
        <f t="shared" si="30"/>
        <v>#N/A</v>
      </c>
      <c r="S268" t="e">
        <f t="shared" si="31"/>
        <v>#N/A</v>
      </c>
      <c r="T268" t="e">
        <f t="shared" si="31"/>
        <v>#N/A</v>
      </c>
      <c r="U268" t="e">
        <f t="shared" si="32"/>
        <v>#N/A</v>
      </c>
      <c r="V268" t="e">
        <f t="shared" si="32"/>
        <v>#N/A</v>
      </c>
      <c r="W268" t="e">
        <f t="shared" si="33"/>
        <v>#N/A</v>
      </c>
      <c r="X268" t="e">
        <f t="shared" si="33"/>
        <v>#N/A</v>
      </c>
      <c r="Y268" t="e">
        <f t="shared" si="34"/>
        <v>#N/A</v>
      </c>
      <c r="Z268" t="e">
        <f t="shared" si="34"/>
        <v>#N/A</v>
      </c>
    </row>
    <row r="269" spans="1:26">
      <c r="A269" t="e">
        <f>IF(ISBLANK('[1]Точность устьев скважин'!A271),#N/A,'[1]Точность устьев скважин'!A271)</f>
        <v>#N/A</v>
      </c>
      <c r="B269" t="e">
        <f>IF(ISBLANK('[1]Точность устьев скважин'!B271),#N/A,'[1]Точность устьев скважин'!B271)</f>
        <v>#N/A</v>
      </c>
      <c r="C269" t="e">
        <f>IF(ISBLANK('[1]Точность устьев скважин'!C271),#N/A,'[1]Точность устьев скважин'!C271)</f>
        <v>#N/A</v>
      </c>
      <c r="D269" t="e">
        <f>IF(ISBLANK('[1]Точность устьев скважин'!D271),#N/A,'[1]Точность устьев скважин'!D271)</f>
        <v>#N/A</v>
      </c>
      <c r="G269" t="e">
        <f>IF(ISBLANK('[1]Точность устьев скважин'!H271),#N/A,'[1]Точность устьев скважин'!H271)</f>
        <v>#N/A</v>
      </c>
      <c r="H269" t="e">
        <f>IF(ISBLANK('[1]Точность устьев скважин'!I271),#N/A,'[1]Точность устьев скважин'!I271)</f>
        <v>#N/A</v>
      </c>
      <c r="I269" t="e">
        <f>IF(ISBLANK('[1]Точность устьев скважин'!J271),#N/A,'[1]Точность устьев скважин'!J271)</f>
        <v>#N/A</v>
      </c>
      <c r="J269" t="e">
        <f>IF(ISBLANK('[1]Точность устьев скважин'!K271),#N/A,'[1]Точность устьев скважин'!K271)</f>
        <v>#N/A</v>
      </c>
      <c r="L269" s="63" t="e">
        <f t="shared" si="35"/>
        <v>#N/A</v>
      </c>
      <c r="O269" t="e">
        <f t="shared" si="29"/>
        <v>#N/A</v>
      </c>
      <c r="P269" t="e">
        <f t="shared" si="29"/>
        <v>#N/A</v>
      </c>
      <c r="Q269" t="e">
        <f t="shared" si="30"/>
        <v>#N/A</v>
      </c>
      <c r="R269" t="e">
        <f t="shared" si="30"/>
        <v>#N/A</v>
      </c>
      <c r="S269" t="e">
        <f t="shared" si="31"/>
        <v>#N/A</v>
      </c>
      <c r="T269" t="e">
        <f t="shared" si="31"/>
        <v>#N/A</v>
      </c>
      <c r="U269" t="e">
        <f t="shared" si="32"/>
        <v>#N/A</v>
      </c>
      <c r="V269" t="e">
        <f t="shared" si="32"/>
        <v>#N/A</v>
      </c>
      <c r="W269" t="e">
        <f t="shared" si="33"/>
        <v>#N/A</v>
      </c>
      <c r="X269" t="e">
        <f t="shared" si="33"/>
        <v>#N/A</v>
      </c>
      <c r="Y269" t="e">
        <f t="shared" si="34"/>
        <v>#N/A</v>
      </c>
      <c r="Z269" t="e">
        <f t="shared" si="34"/>
        <v>#N/A</v>
      </c>
    </row>
    <row r="270" spans="1:26">
      <c r="A270" t="e">
        <f>IF(ISBLANK('[1]Точность устьев скважин'!A272),#N/A,'[1]Точность устьев скважин'!A272)</f>
        <v>#N/A</v>
      </c>
      <c r="B270" t="e">
        <f>IF(ISBLANK('[1]Точность устьев скважин'!B272),#N/A,'[1]Точность устьев скважин'!B272)</f>
        <v>#N/A</v>
      </c>
      <c r="C270" t="e">
        <f>IF(ISBLANK('[1]Точность устьев скважин'!C272),#N/A,'[1]Точность устьев скважин'!C272)</f>
        <v>#N/A</v>
      </c>
      <c r="D270" t="e">
        <f>IF(ISBLANK('[1]Точность устьев скважин'!D272),#N/A,'[1]Точность устьев скважин'!D272)</f>
        <v>#N/A</v>
      </c>
      <c r="G270" t="e">
        <f>IF(ISBLANK('[1]Точность устьев скважин'!H272),#N/A,'[1]Точность устьев скважин'!H272)</f>
        <v>#N/A</v>
      </c>
      <c r="H270" t="e">
        <f>IF(ISBLANK('[1]Точность устьев скважин'!I272),#N/A,'[1]Точность устьев скважин'!I272)</f>
        <v>#N/A</v>
      </c>
      <c r="I270" t="e">
        <f>IF(ISBLANK('[1]Точность устьев скважин'!J272),#N/A,'[1]Точность устьев скважин'!J272)</f>
        <v>#N/A</v>
      </c>
      <c r="J270" t="e">
        <f>IF(ISBLANK('[1]Точность устьев скважин'!K272),#N/A,'[1]Точность устьев скважин'!K272)</f>
        <v>#N/A</v>
      </c>
      <c r="L270" s="63" t="e">
        <f t="shared" si="35"/>
        <v>#N/A</v>
      </c>
      <c r="O270" t="e">
        <f t="shared" si="29"/>
        <v>#N/A</v>
      </c>
      <c r="P270" t="e">
        <f t="shared" si="29"/>
        <v>#N/A</v>
      </c>
      <c r="Q270" t="e">
        <f t="shared" si="30"/>
        <v>#N/A</v>
      </c>
      <c r="R270" t="e">
        <f t="shared" si="30"/>
        <v>#N/A</v>
      </c>
      <c r="S270" t="e">
        <f t="shared" si="31"/>
        <v>#N/A</v>
      </c>
      <c r="T270" t="e">
        <f t="shared" si="31"/>
        <v>#N/A</v>
      </c>
      <c r="U270" t="e">
        <f t="shared" si="32"/>
        <v>#N/A</v>
      </c>
      <c r="V270" t="e">
        <f t="shared" si="32"/>
        <v>#N/A</v>
      </c>
      <c r="W270" t="e">
        <f t="shared" si="33"/>
        <v>#N/A</v>
      </c>
      <c r="X270" t="e">
        <f t="shared" si="33"/>
        <v>#N/A</v>
      </c>
      <c r="Y270" t="e">
        <f t="shared" si="34"/>
        <v>#N/A</v>
      </c>
      <c r="Z270" t="e">
        <f t="shared" si="34"/>
        <v>#N/A</v>
      </c>
    </row>
    <row r="271" spans="1:26">
      <c r="A271" t="e">
        <f>IF(ISBLANK('[1]Точность устьев скважин'!A273),#N/A,'[1]Точность устьев скважин'!A273)</f>
        <v>#N/A</v>
      </c>
      <c r="B271" t="e">
        <f>IF(ISBLANK('[1]Точность устьев скважин'!B273),#N/A,'[1]Точность устьев скважин'!B273)</f>
        <v>#N/A</v>
      </c>
      <c r="C271" t="e">
        <f>IF(ISBLANK('[1]Точность устьев скважин'!C273),#N/A,'[1]Точность устьев скважин'!C273)</f>
        <v>#N/A</v>
      </c>
      <c r="D271" t="e">
        <f>IF(ISBLANK('[1]Точность устьев скважин'!D273),#N/A,'[1]Точность устьев скважин'!D273)</f>
        <v>#N/A</v>
      </c>
      <c r="G271" t="e">
        <f>IF(ISBLANK('[1]Точность устьев скважин'!H273),#N/A,'[1]Точность устьев скважин'!H273)</f>
        <v>#N/A</v>
      </c>
      <c r="H271" t="e">
        <f>IF(ISBLANK('[1]Точность устьев скважин'!I273),#N/A,'[1]Точность устьев скважин'!I273)</f>
        <v>#N/A</v>
      </c>
      <c r="I271" t="e">
        <f>IF(ISBLANK('[1]Точность устьев скважин'!J273),#N/A,'[1]Точность устьев скважин'!J273)</f>
        <v>#N/A</v>
      </c>
      <c r="J271" t="e">
        <f>IF(ISBLANK('[1]Точность устьев скважин'!K273),#N/A,'[1]Точность устьев скважин'!K273)</f>
        <v>#N/A</v>
      </c>
      <c r="L271" s="63" t="e">
        <f t="shared" si="35"/>
        <v>#N/A</v>
      </c>
      <c r="O271" t="e">
        <f t="shared" si="29"/>
        <v>#N/A</v>
      </c>
      <c r="P271" t="e">
        <f t="shared" si="29"/>
        <v>#N/A</v>
      </c>
      <c r="Q271" t="e">
        <f t="shared" si="30"/>
        <v>#N/A</v>
      </c>
      <c r="R271" t="e">
        <f t="shared" si="30"/>
        <v>#N/A</v>
      </c>
      <c r="S271" t="e">
        <f t="shared" si="31"/>
        <v>#N/A</v>
      </c>
      <c r="T271" t="e">
        <f t="shared" si="31"/>
        <v>#N/A</v>
      </c>
      <c r="U271" t="e">
        <f t="shared" si="32"/>
        <v>#N/A</v>
      </c>
      <c r="V271" t="e">
        <f t="shared" si="32"/>
        <v>#N/A</v>
      </c>
      <c r="W271" t="e">
        <f t="shared" si="33"/>
        <v>#N/A</v>
      </c>
      <c r="X271" t="e">
        <f t="shared" si="33"/>
        <v>#N/A</v>
      </c>
      <c r="Y271" t="e">
        <f t="shared" si="34"/>
        <v>#N/A</v>
      </c>
      <c r="Z271" t="e">
        <f t="shared" si="34"/>
        <v>#N/A</v>
      </c>
    </row>
    <row r="272" spans="1:26">
      <c r="A272" t="e">
        <f>IF(ISBLANK('[1]Точность устьев скважин'!A274),#N/A,'[1]Точность устьев скважин'!A274)</f>
        <v>#N/A</v>
      </c>
      <c r="B272" t="e">
        <f>IF(ISBLANK('[1]Точность устьев скважин'!B274),#N/A,'[1]Точность устьев скважин'!B274)</f>
        <v>#N/A</v>
      </c>
      <c r="C272" t="e">
        <f>IF(ISBLANK('[1]Точность устьев скважин'!C274),#N/A,'[1]Точность устьев скважин'!C274)</f>
        <v>#N/A</v>
      </c>
      <c r="D272" t="e">
        <f>IF(ISBLANK('[1]Точность устьев скважин'!D274),#N/A,'[1]Точность устьев скважин'!D274)</f>
        <v>#N/A</v>
      </c>
      <c r="G272" t="e">
        <f>IF(ISBLANK('[1]Точность устьев скважин'!H274),#N/A,'[1]Точность устьев скважин'!H274)</f>
        <v>#N/A</v>
      </c>
      <c r="H272" t="e">
        <f>IF(ISBLANK('[1]Точность устьев скважин'!I274),#N/A,'[1]Точность устьев скважин'!I274)</f>
        <v>#N/A</v>
      </c>
      <c r="I272" t="e">
        <f>IF(ISBLANK('[1]Точность устьев скважин'!J274),#N/A,'[1]Точность устьев скважин'!J274)</f>
        <v>#N/A</v>
      </c>
      <c r="J272" t="e">
        <f>IF(ISBLANK('[1]Точность устьев скважин'!K274),#N/A,'[1]Точность устьев скважин'!K274)</f>
        <v>#N/A</v>
      </c>
      <c r="L272" s="63" t="e">
        <f t="shared" si="35"/>
        <v>#N/A</v>
      </c>
      <c r="O272" t="e">
        <f t="shared" si="29"/>
        <v>#N/A</v>
      </c>
      <c r="P272" t="e">
        <f t="shared" si="29"/>
        <v>#N/A</v>
      </c>
      <c r="Q272" t="e">
        <f t="shared" si="30"/>
        <v>#N/A</v>
      </c>
      <c r="R272" t="e">
        <f t="shared" si="30"/>
        <v>#N/A</v>
      </c>
      <c r="S272" t="e">
        <f t="shared" si="31"/>
        <v>#N/A</v>
      </c>
      <c r="T272" t="e">
        <f t="shared" si="31"/>
        <v>#N/A</v>
      </c>
      <c r="U272" t="e">
        <f t="shared" si="32"/>
        <v>#N/A</v>
      </c>
      <c r="V272" t="e">
        <f t="shared" si="32"/>
        <v>#N/A</v>
      </c>
      <c r="W272" t="e">
        <f t="shared" si="33"/>
        <v>#N/A</v>
      </c>
      <c r="X272" t="e">
        <f t="shared" si="33"/>
        <v>#N/A</v>
      </c>
      <c r="Y272" t="e">
        <f t="shared" si="34"/>
        <v>#N/A</v>
      </c>
      <c r="Z272" t="e">
        <f t="shared" si="34"/>
        <v>#N/A</v>
      </c>
    </row>
    <row r="273" spans="1:26">
      <c r="A273" t="e">
        <f>IF(ISBLANK('[1]Точность устьев скважин'!A275),#N/A,'[1]Точность устьев скважин'!A275)</f>
        <v>#N/A</v>
      </c>
      <c r="B273" t="e">
        <f>IF(ISBLANK('[1]Точность устьев скважин'!B275),#N/A,'[1]Точность устьев скважин'!B275)</f>
        <v>#N/A</v>
      </c>
      <c r="C273" t="e">
        <f>IF(ISBLANK('[1]Точность устьев скважин'!C275),#N/A,'[1]Точность устьев скважин'!C275)</f>
        <v>#N/A</v>
      </c>
      <c r="D273" t="e">
        <f>IF(ISBLANK('[1]Точность устьев скважин'!D275),#N/A,'[1]Точность устьев скважин'!D275)</f>
        <v>#N/A</v>
      </c>
      <c r="G273" t="e">
        <f>IF(ISBLANK('[1]Точность устьев скважин'!H275),#N/A,'[1]Точность устьев скважин'!H275)</f>
        <v>#N/A</v>
      </c>
      <c r="H273" t="e">
        <f>IF(ISBLANK('[1]Точность устьев скважин'!I275),#N/A,'[1]Точность устьев скважин'!I275)</f>
        <v>#N/A</v>
      </c>
      <c r="I273" t="e">
        <f>IF(ISBLANK('[1]Точность устьев скважин'!J275),#N/A,'[1]Точность устьев скважин'!J275)</f>
        <v>#N/A</v>
      </c>
      <c r="J273" t="e">
        <f>IF(ISBLANK('[1]Точность устьев скважин'!K275),#N/A,'[1]Точность устьев скважин'!K275)</f>
        <v>#N/A</v>
      </c>
      <c r="L273" s="63" t="e">
        <f t="shared" si="35"/>
        <v>#N/A</v>
      </c>
      <c r="O273" t="e">
        <f t="shared" si="29"/>
        <v>#N/A</v>
      </c>
      <c r="P273" t="e">
        <f t="shared" si="29"/>
        <v>#N/A</v>
      </c>
      <c r="Q273" t="e">
        <f t="shared" si="30"/>
        <v>#N/A</v>
      </c>
      <c r="R273" t="e">
        <f t="shared" si="30"/>
        <v>#N/A</v>
      </c>
      <c r="S273" t="e">
        <f t="shared" si="31"/>
        <v>#N/A</v>
      </c>
      <c r="T273" t="e">
        <f t="shared" si="31"/>
        <v>#N/A</v>
      </c>
      <c r="U273" t="e">
        <f t="shared" si="32"/>
        <v>#N/A</v>
      </c>
      <c r="V273" t="e">
        <f t="shared" si="32"/>
        <v>#N/A</v>
      </c>
      <c r="W273" t="e">
        <f t="shared" si="33"/>
        <v>#N/A</v>
      </c>
      <c r="X273" t="e">
        <f t="shared" si="33"/>
        <v>#N/A</v>
      </c>
      <c r="Y273" t="e">
        <f t="shared" si="34"/>
        <v>#N/A</v>
      </c>
      <c r="Z273" t="e">
        <f t="shared" si="34"/>
        <v>#N/A</v>
      </c>
    </row>
    <row r="274" spans="1:26">
      <c r="A274" t="e">
        <f>IF(ISBLANK('[1]Точность устьев скважин'!A276),#N/A,'[1]Точность устьев скважин'!A276)</f>
        <v>#N/A</v>
      </c>
      <c r="B274" t="e">
        <f>IF(ISBLANK('[1]Точность устьев скважин'!B276),#N/A,'[1]Точность устьев скважин'!B276)</f>
        <v>#N/A</v>
      </c>
      <c r="C274" t="e">
        <f>IF(ISBLANK('[1]Точность устьев скважин'!C276),#N/A,'[1]Точность устьев скважин'!C276)</f>
        <v>#N/A</v>
      </c>
      <c r="D274" t="e">
        <f>IF(ISBLANK('[1]Точность устьев скважин'!D276),#N/A,'[1]Точность устьев скважин'!D276)</f>
        <v>#N/A</v>
      </c>
      <c r="G274" t="e">
        <f>IF(ISBLANK('[1]Точность устьев скважин'!H276),#N/A,'[1]Точность устьев скважин'!H276)</f>
        <v>#N/A</v>
      </c>
      <c r="H274" t="e">
        <f>IF(ISBLANK('[1]Точность устьев скважин'!I276),#N/A,'[1]Точность устьев скважин'!I276)</f>
        <v>#N/A</v>
      </c>
      <c r="I274" t="e">
        <f>IF(ISBLANK('[1]Точность устьев скважин'!J276),#N/A,'[1]Точность устьев скважин'!J276)</f>
        <v>#N/A</v>
      </c>
      <c r="J274" t="e">
        <f>IF(ISBLANK('[1]Точность устьев скважин'!K276),#N/A,'[1]Точность устьев скважин'!K276)</f>
        <v>#N/A</v>
      </c>
      <c r="L274" s="63" t="e">
        <f t="shared" si="35"/>
        <v>#N/A</v>
      </c>
      <c r="O274" t="e">
        <f t="shared" si="29"/>
        <v>#N/A</v>
      </c>
      <c r="P274" t="e">
        <f t="shared" si="29"/>
        <v>#N/A</v>
      </c>
      <c r="Q274" t="e">
        <f t="shared" si="30"/>
        <v>#N/A</v>
      </c>
      <c r="R274" t="e">
        <f t="shared" si="30"/>
        <v>#N/A</v>
      </c>
      <c r="S274" t="e">
        <f t="shared" si="31"/>
        <v>#N/A</v>
      </c>
      <c r="T274" t="e">
        <f t="shared" si="31"/>
        <v>#N/A</v>
      </c>
      <c r="U274" t="e">
        <f t="shared" si="32"/>
        <v>#N/A</v>
      </c>
      <c r="V274" t="e">
        <f t="shared" si="32"/>
        <v>#N/A</v>
      </c>
      <c r="W274" t="e">
        <f t="shared" si="33"/>
        <v>#N/A</v>
      </c>
      <c r="X274" t="e">
        <f t="shared" si="33"/>
        <v>#N/A</v>
      </c>
      <c r="Y274" t="e">
        <f t="shared" si="34"/>
        <v>#N/A</v>
      </c>
      <c r="Z274" t="e">
        <f t="shared" si="34"/>
        <v>#N/A</v>
      </c>
    </row>
    <row r="275" spans="1:26">
      <c r="A275" t="e">
        <f>IF(ISBLANK('[1]Точность устьев скважин'!A277),#N/A,'[1]Точность устьев скважин'!A277)</f>
        <v>#N/A</v>
      </c>
      <c r="B275" t="e">
        <f>IF(ISBLANK('[1]Точность устьев скважин'!B277),#N/A,'[1]Точность устьев скважин'!B277)</f>
        <v>#N/A</v>
      </c>
      <c r="C275" t="e">
        <f>IF(ISBLANK('[1]Точность устьев скважин'!C277),#N/A,'[1]Точность устьев скважин'!C277)</f>
        <v>#N/A</v>
      </c>
      <c r="D275" t="e">
        <f>IF(ISBLANK('[1]Точность устьев скважин'!D277),#N/A,'[1]Точность устьев скважин'!D277)</f>
        <v>#N/A</v>
      </c>
      <c r="G275" t="e">
        <f>IF(ISBLANK('[1]Точность устьев скважин'!H277),#N/A,'[1]Точность устьев скважин'!H277)</f>
        <v>#N/A</v>
      </c>
      <c r="H275" t="e">
        <f>IF(ISBLANK('[1]Точность устьев скважин'!I277),#N/A,'[1]Точность устьев скважин'!I277)</f>
        <v>#N/A</v>
      </c>
      <c r="I275" t="e">
        <f>IF(ISBLANK('[1]Точность устьев скважин'!J277),#N/A,'[1]Точность устьев скважин'!J277)</f>
        <v>#N/A</v>
      </c>
      <c r="J275" t="e">
        <f>IF(ISBLANK('[1]Точность устьев скважин'!K277),#N/A,'[1]Точность устьев скважин'!K277)</f>
        <v>#N/A</v>
      </c>
      <c r="L275" s="63" t="e">
        <f t="shared" si="35"/>
        <v>#N/A</v>
      </c>
      <c r="O275" t="e">
        <f t="shared" si="29"/>
        <v>#N/A</v>
      </c>
      <c r="P275" t="e">
        <f t="shared" si="29"/>
        <v>#N/A</v>
      </c>
      <c r="Q275" t="e">
        <f t="shared" si="30"/>
        <v>#N/A</v>
      </c>
      <c r="R275" t="e">
        <f t="shared" si="30"/>
        <v>#N/A</v>
      </c>
      <c r="S275" t="e">
        <f t="shared" si="31"/>
        <v>#N/A</v>
      </c>
      <c r="T275" t="e">
        <f t="shared" si="31"/>
        <v>#N/A</v>
      </c>
      <c r="U275" t="e">
        <f t="shared" si="32"/>
        <v>#N/A</v>
      </c>
      <c r="V275" t="e">
        <f t="shared" si="32"/>
        <v>#N/A</v>
      </c>
      <c r="W275" t="e">
        <f t="shared" si="33"/>
        <v>#N/A</v>
      </c>
      <c r="X275" t="e">
        <f t="shared" si="33"/>
        <v>#N/A</v>
      </c>
      <c r="Y275" t="e">
        <f t="shared" si="34"/>
        <v>#N/A</v>
      </c>
      <c r="Z275" t="e">
        <f t="shared" si="34"/>
        <v>#N/A</v>
      </c>
    </row>
    <row r="276" spans="1:26">
      <c r="A276" t="e">
        <f>IF(ISBLANK('[1]Точность устьев скважин'!A278),#N/A,'[1]Точность устьев скважин'!A278)</f>
        <v>#N/A</v>
      </c>
      <c r="B276" t="e">
        <f>IF(ISBLANK('[1]Точность устьев скважин'!B278),#N/A,'[1]Точность устьев скважин'!B278)</f>
        <v>#N/A</v>
      </c>
      <c r="C276" t="e">
        <f>IF(ISBLANK('[1]Точность устьев скважин'!C278),#N/A,'[1]Точность устьев скважин'!C278)</f>
        <v>#N/A</v>
      </c>
      <c r="D276" t="e">
        <f>IF(ISBLANK('[1]Точность устьев скважин'!D278),#N/A,'[1]Точность устьев скважин'!D278)</f>
        <v>#N/A</v>
      </c>
      <c r="G276" t="e">
        <f>IF(ISBLANK('[1]Точность устьев скважин'!H278),#N/A,'[1]Точность устьев скважин'!H278)</f>
        <v>#N/A</v>
      </c>
      <c r="H276" t="e">
        <f>IF(ISBLANK('[1]Точность устьев скважин'!I278),#N/A,'[1]Точность устьев скважин'!I278)</f>
        <v>#N/A</v>
      </c>
      <c r="I276" t="e">
        <f>IF(ISBLANK('[1]Точность устьев скважин'!J278),#N/A,'[1]Точность устьев скважин'!J278)</f>
        <v>#N/A</v>
      </c>
      <c r="J276" t="e">
        <f>IF(ISBLANK('[1]Точность устьев скважин'!K278),#N/A,'[1]Точность устьев скважин'!K278)</f>
        <v>#N/A</v>
      </c>
      <c r="L276" s="63" t="e">
        <f t="shared" si="35"/>
        <v>#N/A</v>
      </c>
      <c r="O276" t="e">
        <f t="shared" si="29"/>
        <v>#N/A</v>
      </c>
      <c r="P276" t="e">
        <f t="shared" si="29"/>
        <v>#N/A</v>
      </c>
      <c r="Q276" t="e">
        <f t="shared" si="30"/>
        <v>#N/A</v>
      </c>
      <c r="R276" t="e">
        <f t="shared" si="30"/>
        <v>#N/A</v>
      </c>
      <c r="S276" t="e">
        <f t="shared" si="31"/>
        <v>#N/A</v>
      </c>
      <c r="T276" t="e">
        <f t="shared" si="31"/>
        <v>#N/A</v>
      </c>
      <c r="U276" t="e">
        <f t="shared" si="32"/>
        <v>#N/A</v>
      </c>
      <c r="V276" t="e">
        <f t="shared" si="32"/>
        <v>#N/A</v>
      </c>
      <c r="W276" t="e">
        <f t="shared" si="33"/>
        <v>#N/A</v>
      </c>
      <c r="X276" t="e">
        <f t="shared" si="33"/>
        <v>#N/A</v>
      </c>
      <c r="Y276" t="e">
        <f t="shared" si="34"/>
        <v>#N/A</v>
      </c>
      <c r="Z276" t="e">
        <f t="shared" si="34"/>
        <v>#N/A</v>
      </c>
    </row>
    <row r="277" spans="1:26">
      <c r="A277" t="e">
        <f>IF(ISBLANK('[1]Точность устьев скважин'!A279),#N/A,'[1]Точность устьев скважин'!A279)</f>
        <v>#N/A</v>
      </c>
      <c r="B277" t="e">
        <f>IF(ISBLANK('[1]Точность устьев скважин'!B279),#N/A,'[1]Точность устьев скважин'!B279)</f>
        <v>#N/A</v>
      </c>
      <c r="C277" t="e">
        <f>IF(ISBLANK('[1]Точность устьев скважин'!C279),#N/A,'[1]Точность устьев скважин'!C279)</f>
        <v>#N/A</v>
      </c>
      <c r="D277" t="e">
        <f>IF(ISBLANK('[1]Точность устьев скважин'!D279),#N/A,'[1]Точность устьев скважин'!D279)</f>
        <v>#N/A</v>
      </c>
      <c r="G277" t="e">
        <f>IF(ISBLANK('[1]Точность устьев скважин'!H279),#N/A,'[1]Точность устьев скважин'!H279)</f>
        <v>#N/A</v>
      </c>
      <c r="H277" t="e">
        <f>IF(ISBLANK('[1]Точность устьев скважин'!I279),#N/A,'[1]Точность устьев скважин'!I279)</f>
        <v>#N/A</v>
      </c>
      <c r="I277" t="e">
        <f>IF(ISBLANK('[1]Точность устьев скважин'!J279),#N/A,'[1]Точность устьев скважин'!J279)</f>
        <v>#N/A</v>
      </c>
      <c r="J277" t="e">
        <f>IF(ISBLANK('[1]Точность устьев скважин'!K279),#N/A,'[1]Точность устьев скважин'!K279)</f>
        <v>#N/A</v>
      </c>
      <c r="L277" s="63" t="e">
        <f t="shared" si="35"/>
        <v>#N/A</v>
      </c>
      <c r="O277" t="e">
        <f t="shared" si="29"/>
        <v>#N/A</v>
      </c>
      <c r="P277" t="e">
        <f t="shared" si="29"/>
        <v>#N/A</v>
      </c>
      <c r="Q277" t="e">
        <f t="shared" si="30"/>
        <v>#N/A</v>
      </c>
      <c r="R277" t="e">
        <f t="shared" si="30"/>
        <v>#N/A</v>
      </c>
      <c r="S277" t="e">
        <f t="shared" si="31"/>
        <v>#N/A</v>
      </c>
      <c r="T277" t="e">
        <f t="shared" si="31"/>
        <v>#N/A</v>
      </c>
      <c r="U277" t="e">
        <f t="shared" si="32"/>
        <v>#N/A</v>
      </c>
      <c r="V277" t="e">
        <f t="shared" si="32"/>
        <v>#N/A</v>
      </c>
      <c r="W277" t="e">
        <f t="shared" si="33"/>
        <v>#N/A</v>
      </c>
      <c r="X277" t="e">
        <f t="shared" si="33"/>
        <v>#N/A</v>
      </c>
      <c r="Y277" t="e">
        <f t="shared" si="34"/>
        <v>#N/A</v>
      </c>
      <c r="Z277" t="e">
        <f t="shared" si="34"/>
        <v>#N/A</v>
      </c>
    </row>
    <row r="278" spans="1:26">
      <c r="A278" t="e">
        <f>IF(ISBLANK('[1]Точность устьев скважин'!A280),#N/A,'[1]Точность устьев скважин'!A280)</f>
        <v>#N/A</v>
      </c>
      <c r="B278" t="e">
        <f>IF(ISBLANK('[1]Точность устьев скважин'!B280),#N/A,'[1]Точность устьев скважин'!B280)</f>
        <v>#N/A</v>
      </c>
      <c r="C278" t="e">
        <f>IF(ISBLANK('[1]Точность устьев скважин'!C280),#N/A,'[1]Точность устьев скважин'!C280)</f>
        <v>#N/A</v>
      </c>
      <c r="D278" t="e">
        <f>IF(ISBLANK('[1]Точность устьев скважин'!D280),#N/A,'[1]Точность устьев скважин'!D280)</f>
        <v>#N/A</v>
      </c>
      <c r="G278" t="e">
        <f>IF(ISBLANK('[1]Точность устьев скважин'!H280),#N/A,'[1]Точность устьев скважин'!H280)</f>
        <v>#N/A</v>
      </c>
      <c r="H278" t="e">
        <f>IF(ISBLANK('[1]Точность устьев скважин'!I280),#N/A,'[1]Точность устьев скважин'!I280)</f>
        <v>#N/A</v>
      </c>
      <c r="I278" t="e">
        <f>IF(ISBLANK('[1]Точность устьев скважин'!J280),#N/A,'[1]Точность устьев скважин'!J280)</f>
        <v>#N/A</v>
      </c>
      <c r="J278" t="e">
        <f>IF(ISBLANK('[1]Точность устьев скважин'!K280),#N/A,'[1]Точность устьев скважин'!K280)</f>
        <v>#N/A</v>
      </c>
      <c r="L278" s="63" t="e">
        <f t="shared" si="35"/>
        <v>#N/A</v>
      </c>
      <c r="O278" t="e">
        <f t="shared" si="29"/>
        <v>#N/A</v>
      </c>
      <c r="P278" t="e">
        <f t="shared" si="29"/>
        <v>#N/A</v>
      </c>
      <c r="Q278" t="e">
        <f t="shared" si="30"/>
        <v>#N/A</v>
      </c>
      <c r="R278" t="e">
        <f t="shared" si="30"/>
        <v>#N/A</v>
      </c>
      <c r="S278" t="e">
        <f t="shared" si="31"/>
        <v>#N/A</v>
      </c>
      <c r="T278" t="e">
        <f t="shared" si="31"/>
        <v>#N/A</v>
      </c>
      <c r="U278" t="e">
        <f t="shared" si="32"/>
        <v>#N/A</v>
      </c>
      <c r="V278" t="e">
        <f t="shared" si="32"/>
        <v>#N/A</v>
      </c>
      <c r="W278" t="e">
        <f t="shared" si="33"/>
        <v>#N/A</v>
      </c>
      <c r="X278" t="e">
        <f t="shared" si="33"/>
        <v>#N/A</v>
      </c>
      <c r="Y278" t="e">
        <f t="shared" si="34"/>
        <v>#N/A</v>
      </c>
      <c r="Z278" t="e">
        <f t="shared" si="34"/>
        <v>#N/A</v>
      </c>
    </row>
    <row r="279" spans="1:26">
      <c r="A279" t="e">
        <f>IF(ISBLANK('[1]Точность устьев скважин'!A281),#N/A,'[1]Точность устьев скважин'!A281)</f>
        <v>#N/A</v>
      </c>
      <c r="B279" t="e">
        <f>IF(ISBLANK('[1]Точность устьев скважин'!B281),#N/A,'[1]Точность устьев скважин'!B281)</f>
        <v>#N/A</v>
      </c>
      <c r="C279" t="e">
        <f>IF(ISBLANK('[1]Точность устьев скважин'!C281),#N/A,'[1]Точность устьев скважин'!C281)</f>
        <v>#N/A</v>
      </c>
      <c r="D279" t="e">
        <f>IF(ISBLANK('[1]Точность устьев скважин'!D281),#N/A,'[1]Точность устьев скважин'!D281)</f>
        <v>#N/A</v>
      </c>
      <c r="G279" t="e">
        <f>IF(ISBLANK('[1]Точность устьев скважин'!H281),#N/A,'[1]Точность устьев скважин'!H281)</f>
        <v>#N/A</v>
      </c>
      <c r="H279" t="e">
        <f>IF(ISBLANK('[1]Точность устьев скважин'!I281),#N/A,'[1]Точность устьев скважин'!I281)</f>
        <v>#N/A</v>
      </c>
      <c r="I279" t="e">
        <f>IF(ISBLANK('[1]Точность устьев скважин'!J281),#N/A,'[1]Точность устьев скважин'!J281)</f>
        <v>#N/A</v>
      </c>
      <c r="J279" t="e">
        <f>IF(ISBLANK('[1]Точность устьев скважин'!K281),#N/A,'[1]Точность устьев скважин'!K281)</f>
        <v>#N/A</v>
      </c>
      <c r="L279" s="63" t="e">
        <f t="shared" si="35"/>
        <v>#N/A</v>
      </c>
      <c r="O279" t="e">
        <f t="shared" si="29"/>
        <v>#N/A</v>
      </c>
      <c r="P279" t="e">
        <f t="shared" si="29"/>
        <v>#N/A</v>
      </c>
      <c r="Q279" t="e">
        <f t="shared" si="30"/>
        <v>#N/A</v>
      </c>
      <c r="R279" t="e">
        <f t="shared" si="30"/>
        <v>#N/A</v>
      </c>
      <c r="S279" t="e">
        <f t="shared" si="31"/>
        <v>#N/A</v>
      </c>
      <c r="T279" t="e">
        <f t="shared" si="31"/>
        <v>#N/A</v>
      </c>
      <c r="U279" t="e">
        <f t="shared" si="32"/>
        <v>#N/A</v>
      </c>
      <c r="V279" t="e">
        <f t="shared" si="32"/>
        <v>#N/A</v>
      </c>
      <c r="W279" t="e">
        <f t="shared" si="33"/>
        <v>#N/A</v>
      </c>
      <c r="X279" t="e">
        <f t="shared" si="33"/>
        <v>#N/A</v>
      </c>
      <c r="Y279" t="e">
        <f t="shared" si="34"/>
        <v>#N/A</v>
      </c>
      <c r="Z279" t="e">
        <f t="shared" si="34"/>
        <v>#N/A</v>
      </c>
    </row>
    <row r="280" spans="1:26">
      <c r="A280" t="e">
        <f>IF(ISBLANK('[1]Точность устьев скважин'!A282),#N/A,'[1]Точность устьев скважин'!A282)</f>
        <v>#N/A</v>
      </c>
      <c r="B280" t="e">
        <f>IF(ISBLANK('[1]Точность устьев скважин'!B282),#N/A,'[1]Точность устьев скважин'!B282)</f>
        <v>#N/A</v>
      </c>
      <c r="C280" t="e">
        <f>IF(ISBLANK('[1]Точность устьев скважин'!C282),#N/A,'[1]Точность устьев скважин'!C282)</f>
        <v>#N/A</v>
      </c>
      <c r="D280" t="e">
        <f>IF(ISBLANK('[1]Точность устьев скважин'!D282),#N/A,'[1]Точность устьев скважин'!D282)</f>
        <v>#N/A</v>
      </c>
      <c r="G280" t="e">
        <f>IF(ISBLANK('[1]Точность устьев скважин'!H282),#N/A,'[1]Точность устьев скважин'!H282)</f>
        <v>#N/A</v>
      </c>
      <c r="H280" t="e">
        <f>IF(ISBLANK('[1]Точность устьев скважин'!I282),#N/A,'[1]Точность устьев скважин'!I282)</f>
        <v>#N/A</v>
      </c>
      <c r="I280" t="e">
        <f>IF(ISBLANK('[1]Точность устьев скважин'!J282),#N/A,'[1]Точность устьев скважин'!J282)</f>
        <v>#N/A</v>
      </c>
      <c r="J280" t="e">
        <f>IF(ISBLANK('[1]Точность устьев скважин'!K282),#N/A,'[1]Точность устьев скважин'!K282)</f>
        <v>#N/A</v>
      </c>
      <c r="L280" s="63" t="e">
        <f t="shared" si="35"/>
        <v>#N/A</v>
      </c>
      <c r="O280" t="e">
        <f t="shared" si="29"/>
        <v>#N/A</v>
      </c>
      <c r="P280" t="e">
        <f t="shared" si="29"/>
        <v>#N/A</v>
      </c>
      <c r="Q280" t="e">
        <f t="shared" si="30"/>
        <v>#N/A</v>
      </c>
      <c r="R280" t="e">
        <f t="shared" si="30"/>
        <v>#N/A</v>
      </c>
      <c r="S280" t="e">
        <f t="shared" si="31"/>
        <v>#N/A</v>
      </c>
      <c r="T280" t="e">
        <f t="shared" si="31"/>
        <v>#N/A</v>
      </c>
      <c r="U280" t="e">
        <f t="shared" si="32"/>
        <v>#N/A</v>
      </c>
      <c r="V280" t="e">
        <f t="shared" si="32"/>
        <v>#N/A</v>
      </c>
      <c r="W280" t="e">
        <f t="shared" si="33"/>
        <v>#N/A</v>
      </c>
      <c r="X280" t="e">
        <f t="shared" si="33"/>
        <v>#N/A</v>
      </c>
      <c r="Y280" t="e">
        <f t="shared" si="34"/>
        <v>#N/A</v>
      </c>
      <c r="Z280" t="e">
        <f t="shared" si="34"/>
        <v>#N/A</v>
      </c>
    </row>
    <row r="281" spans="1:26">
      <c r="A281" t="e">
        <f>IF(ISBLANK('[1]Точность устьев скважин'!A283),#N/A,'[1]Точность устьев скважин'!A283)</f>
        <v>#N/A</v>
      </c>
      <c r="B281" t="e">
        <f>IF(ISBLANK('[1]Точность устьев скважин'!B283),#N/A,'[1]Точность устьев скважин'!B283)</f>
        <v>#N/A</v>
      </c>
      <c r="C281" t="e">
        <f>IF(ISBLANK('[1]Точность устьев скважин'!C283),#N/A,'[1]Точность устьев скважин'!C283)</f>
        <v>#N/A</v>
      </c>
      <c r="D281" t="e">
        <f>IF(ISBLANK('[1]Точность устьев скважин'!D283),#N/A,'[1]Точность устьев скважин'!D283)</f>
        <v>#N/A</v>
      </c>
      <c r="G281" t="e">
        <f>IF(ISBLANK('[1]Точность устьев скважин'!H283),#N/A,'[1]Точность устьев скважин'!H283)</f>
        <v>#N/A</v>
      </c>
      <c r="H281" t="e">
        <f>IF(ISBLANK('[1]Точность устьев скважин'!I283),#N/A,'[1]Точность устьев скважин'!I283)</f>
        <v>#N/A</v>
      </c>
      <c r="I281" t="e">
        <f>IF(ISBLANK('[1]Точность устьев скважин'!J283),#N/A,'[1]Точность устьев скважин'!J283)</f>
        <v>#N/A</v>
      </c>
      <c r="J281" t="e">
        <f>IF(ISBLANK('[1]Точность устьев скважин'!K283),#N/A,'[1]Точность устьев скважин'!K283)</f>
        <v>#N/A</v>
      </c>
      <c r="L281" s="63" t="e">
        <f t="shared" si="35"/>
        <v>#N/A</v>
      </c>
      <c r="O281" t="e">
        <f t="shared" si="29"/>
        <v>#N/A</v>
      </c>
      <c r="P281" t="e">
        <f t="shared" si="29"/>
        <v>#N/A</v>
      </c>
      <c r="Q281" t="e">
        <f t="shared" si="30"/>
        <v>#N/A</v>
      </c>
      <c r="R281" t="e">
        <f t="shared" si="30"/>
        <v>#N/A</v>
      </c>
      <c r="S281" t="e">
        <f t="shared" si="31"/>
        <v>#N/A</v>
      </c>
      <c r="T281" t="e">
        <f t="shared" si="31"/>
        <v>#N/A</v>
      </c>
      <c r="U281" t="e">
        <f t="shared" si="32"/>
        <v>#N/A</v>
      </c>
      <c r="V281" t="e">
        <f t="shared" si="32"/>
        <v>#N/A</v>
      </c>
      <c r="W281" t="e">
        <f t="shared" si="33"/>
        <v>#N/A</v>
      </c>
      <c r="X281" t="e">
        <f t="shared" si="33"/>
        <v>#N/A</v>
      </c>
      <c r="Y281" t="e">
        <f t="shared" si="34"/>
        <v>#N/A</v>
      </c>
      <c r="Z281" t="e">
        <f t="shared" si="34"/>
        <v>#N/A</v>
      </c>
    </row>
    <row r="282" spans="1:26">
      <c r="A282" t="e">
        <f>IF(ISBLANK('[1]Точность устьев скважин'!A284),#N/A,'[1]Точность устьев скважин'!A284)</f>
        <v>#N/A</v>
      </c>
      <c r="B282" t="e">
        <f>IF(ISBLANK('[1]Точность устьев скважин'!B284),#N/A,'[1]Точность устьев скважин'!B284)</f>
        <v>#N/A</v>
      </c>
      <c r="C282" t="e">
        <f>IF(ISBLANK('[1]Точность устьев скважин'!C284),#N/A,'[1]Точность устьев скважин'!C284)</f>
        <v>#N/A</v>
      </c>
      <c r="D282" t="e">
        <f>IF(ISBLANK('[1]Точность устьев скважин'!D284),#N/A,'[1]Точность устьев скважин'!D284)</f>
        <v>#N/A</v>
      </c>
      <c r="G282" t="e">
        <f>IF(ISBLANK('[1]Точность устьев скважин'!H284),#N/A,'[1]Точность устьев скважин'!H284)</f>
        <v>#N/A</v>
      </c>
      <c r="H282" t="e">
        <f>IF(ISBLANK('[1]Точность устьев скважин'!I284),#N/A,'[1]Точность устьев скважин'!I284)</f>
        <v>#N/A</v>
      </c>
      <c r="I282" t="e">
        <f>IF(ISBLANK('[1]Точность устьев скважин'!J284),#N/A,'[1]Точность устьев скважин'!J284)</f>
        <v>#N/A</v>
      </c>
      <c r="J282" t="e">
        <f>IF(ISBLANK('[1]Точность устьев скважин'!K284),#N/A,'[1]Точность устьев скважин'!K284)</f>
        <v>#N/A</v>
      </c>
      <c r="L282" s="63" t="e">
        <f t="shared" si="35"/>
        <v>#N/A</v>
      </c>
      <c r="O282" t="e">
        <f t="shared" si="29"/>
        <v>#N/A</v>
      </c>
      <c r="P282" t="e">
        <f t="shared" si="29"/>
        <v>#N/A</v>
      </c>
      <c r="Q282" t="e">
        <f t="shared" si="30"/>
        <v>#N/A</v>
      </c>
      <c r="R282" t="e">
        <f t="shared" si="30"/>
        <v>#N/A</v>
      </c>
      <c r="S282" t="e">
        <f t="shared" si="31"/>
        <v>#N/A</v>
      </c>
      <c r="T282" t="e">
        <f t="shared" si="31"/>
        <v>#N/A</v>
      </c>
      <c r="U282" t="e">
        <f t="shared" si="32"/>
        <v>#N/A</v>
      </c>
      <c r="V282" t="e">
        <f t="shared" si="32"/>
        <v>#N/A</v>
      </c>
      <c r="W282" t="e">
        <f t="shared" si="33"/>
        <v>#N/A</v>
      </c>
      <c r="X282" t="e">
        <f t="shared" si="33"/>
        <v>#N/A</v>
      </c>
      <c r="Y282" t="e">
        <f t="shared" si="34"/>
        <v>#N/A</v>
      </c>
      <c r="Z282" t="e">
        <f t="shared" si="34"/>
        <v>#N/A</v>
      </c>
    </row>
    <row r="283" spans="1:26">
      <c r="A283" t="e">
        <f>IF(ISBLANK('[1]Точность устьев скважин'!A285),#N/A,'[1]Точность устьев скважин'!A285)</f>
        <v>#N/A</v>
      </c>
      <c r="B283" t="e">
        <f>IF(ISBLANK('[1]Точность устьев скважин'!B285),#N/A,'[1]Точность устьев скважин'!B285)</f>
        <v>#N/A</v>
      </c>
      <c r="C283" t="e">
        <f>IF(ISBLANK('[1]Точность устьев скважин'!C285),#N/A,'[1]Точность устьев скважин'!C285)</f>
        <v>#N/A</v>
      </c>
      <c r="D283" t="e">
        <f>IF(ISBLANK('[1]Точность устьев скважин'!D285),#N/A,'[1]Точность устьев скважин'!D285)</f>
        <v>#N/A</v>
      </c>
      <c r="G283" t="e">
        <f>IF(ISBLANK('[1]Точность устьев скважин'!H285),#N/A,'[1]Точность устьев скважин'!H285)</f>
        <v>#N/A</v>
      </c>
      <c r="H283" t="e">
        <f>IF(ISBLANK('[1]Точность устьев скважин'!I285),#N/A,'[1]Точность устьев скважин'!I285)</f>
        <v>#N/A</v>
      </c>
      <c r="I283" t="e">
        <f>IF(ISBLANK('[1]Точность устьев скважин'!J285),#N/A,'[1]Точность устьев скважин'!J285)</f>
        <v>#N/A</v>
      </c>
      <c r="J283" t="e">
        <f>IF(ISBLANK('[1]Точность устьев скважин'!K285),#N/A,'[1]Точность устьев скважин'!K285)</f>
        <v>#N/A</v>
      </c>
      <c r="L283" s="63" t="e">
        <f t="shared" si="35"/>
        <v>#N/A</v>
      </c>
      <c r="O283" t="e">
        <f t="shared" si="29"/>
        <v>#N/A</v>
      </c>
      <c r="P283" t="e">
        <f t="shared" si="29"/>
        <v>#N/A</v>
      </c>
      <c r="Q283" t="e">
        <f t="shared" si="30"/>
        <v>#N/A</v>
      </c>
      <c r="R283" t="e">
        <f t="shared" si="30"/>
        <v>#N/A</v>
      </c>
      <c r="S283" t="e">
        <f t="shared" si="31"/>
        <v>#N/A</v>
      </c>
      <c r="T283" t="e">
        <f t="shared" si="31"/>
        <v>#N/A</v>
      </c>
      <c r="U283" t="e">
        <f t="shared" si="32"/>
        <v>#N/A</v>
      </c>
      <c r="V283" t="e">
        <f t="shared" si="32"/>
        <v>#N/A</v>
      </c>
      <c r="W283" t="e">
        <f t="shared" si="33"/>
        <v>#N/A</v>
      </c>
      <c r="X283" t="e">
        <f t="shared" si="33"/>
        <v>#N/A</v>
      </c>
      <c r="Y283" t="e">
        <f t="shared" si="34"/>
        <v>#N/A</v>
      </c>
      <c r="Z283" t="e">
        <f t="shared" si="34"/>
        <v>#N/A</v>
      </c>
    </row>
    <row r="284" spans="1:26">
      <c r="A284" t="e">
        <f>IF(ISBLANK('[1]Точность устьев скважин'!A286),#N/A,'[1]Точность устьев скважин'!A286)</f>
        <v>#N/A</v>
      </c>
      <c r="B284" t="e">
        <f>IF(ISBLANK('[1]Точность устьев скважин'!B286),#N/A,'[1]Точность устьев скважин'!B286)</f>
        <v>#N/A</v>
      </c>
      <c r="C284" t="e">
        <f>IF(ISBLANK('[1]Точность устьев скважин'!C286),#N/A,'[1]Точность устьев скважин'!C286)</f>
        <v>#N/A</v>
      </c>
      <c r="D284" t="e">
        <f>IF(ISBLANK('[1]Точность устьев скважин'!D286),#N/A,'[1]Точность устьев скважин'!D286)</f>
        <v>#N/A</v>
      </c>
      <c r="G284" t="e">
        <f>IF(ISBLANK('[1]Точность устьев скважин'!H286),#N/A,'[1]Точность устьев скважин'!H286)</f>
        <v>#N/A</v>
      </c>
      <c r="H284" t="e">
        <f>IF(ISBLANK('[1]Точность устьев скважин'!I286),#N/A,'[1]Точность устьев скважин'!I286)</f>
        <v>#N/A</v>
      </c>
      <c r="I284" t="e">
        <f>IF(ISBLANK('[1]Точность устьев скважин'!J286),#N/A,'[1]Точность устьев скважин'!J286)</f>
        <v>#N/A</v>
      </c>
      <c r="J284" t="e">
        <f>IF(ISBLANK('[1]Точность устьев скважин'!K286),#N/A,'[1]Точность устьев скважин'!K286)</f>
        <v>#N/A</v>
      </c>
      <c r="L284" s="63" t="e">
        <f t="shared" si="35"/>
        <v>#N/A</v>
      </c>
      <c r="O284" t="e">
        <f t="shared" si="29"/>
        <v>#N/A</v>
      </c>
      <c r="P284" t="e">
        <f t="shared" si="29"/>
        <v>#N/A</v>
      </c>
      <c r="Q284" t="e">
        <f t="shared" si="30"/>
        <v>#N/A</v>
      </c>
      <c r="R284" t="e">
        <f t="shared" si="30"/>
        <v>#N/A</v>
      </c>
      <c r="S284" t="e">
        <f t="shared" si="31"/>
        <v>#N/A</v>
      </c>
      <c r="T284" t="e">
        <f t="shared" si="31"/>
        <v>#N/A</v>
      </c>
      <c r="U284" t="e">
        <f t="shared" si="32"/>
        <v>#N/A</v>
      </c>
      <c r="V284" t="e">
        <f t="shared" si="32"/>
        <v>#N/A</v>
      </c>
      <c r="W284" t="e">
        <f t="shared" si="33"/>
        <v>#N/A</v>
      </c>
      <c r="X284" t="e">
        <f t="shared" si="33"/>
        <v>#N/A</v>
      </c>
      <c r="Y284" t="e">
        <f t="shared" si="34"/>
        <v>#N/A</v>
      </c>
      <c r="Z284" t="e">
        <f t="shared" si="34"/>
        <v>#N/A</v>
      </c>
    </row>
    <row r="285" spans="1:26">
      <c r="A285" t="e">
        <f>IF(ISBLANK('[1]Точность устьев скважин'!A287),#N/A,'[1]Точность устьев скважин'!A287)</f>
        <v>#N/A</v>
      </c>
      <c r="B285" t="e">
        <f>IF(ISBLANK('[1]Точность устьев скважин'!B287),#N/A,'[1]Точность устьев скважин'!B287)</f>
        <v>#N/A</v>
      </c>
      <c r="C285" t="e">
        <f>IF(ISBLANK('[1]Точность устьев скважин'!C287),#N/A,'[1]Точность устьев скважин'!C287)</f>
        <v>#N/A</v>
      </c>
      <c r="D285" t="e">
        <f>IF(ISBLANK('[1]Точность устьев скважин'!D287),#N/A,'[1]Точность устьев скважин'!D287)</f>
        <v>#N/A</v>
      </c>
      <c r="G285" t="e">
        <f>IF(ISBLANK('[1]Точность устьев скважин'!H287),#N/A,'[1]Точность устьев скважин'!H287)</f>
        <v>#N/A</v>
      </c>
      <c r="H285" t="e">
        <f>IF(ISBLANK('[1]Точность устьев скважин'!I287),#N/A,'[1]Точность устьев скважин'!I287)</f>
        <v>#N/A</v>
      </c>
      <c r="I285" t="e">
        <f>IF(ISBLANK('[1]Точность устьев скважин'!J287),#N/A,'[1]Точность устьев скважин'!J287)</f>
        <v>#N/A</v>
      </c>
      <c r="J285" t="e">
        <f>IF(ISBLANK('[1]Точность устьев скважин'!K287),#N/A,'[1]Точность устьев скважин'!K287)</f>
        <v>#N/A</v>
      </c>
      <c r="L285" s="63" t="e">
        <f t="shared" si="35"/>
        <v>#N/A</v>
      </c>
      <c r="O285" t="e">
        <f t="shared" si="29"/>
        <v>#N/A</v>
      </c>
      <c r="P285" t="e">
        <f t="shared" si="29"/>
        <v>#N/A</v>
      </c>
      <c r="Q285" t="e">
        <f t="shared" si="30"/>
        <v>#N/A</v>
      </c>
      <c r="R285" t="e">
        <f t="shared" si="30"/>
        <v>#N/A</v>
      </c>
      <c r="S285" t="e">
        <f t="shared" si="31"/>
        <v>#N/A</v>
      </c>
      <c r="T285" t="e">
        <f t="shared" si="31"/>
        <v>#N/A</v>
      </c>
      <c r="U285" t="e">
        <f t="shared" si="32"/>
        <v>#N/A</v>
      </c>
      <c r="V285" t="e">
        <f t="shared" si="32"/>
        <v>#N/A</v>
      </c>
      <c r="W285" t="e">
        <f t="shared" si="33"/>
        <v>#N/A</v>
      </c>
      <c r="X285" t="e">
        <f t="shared" si="33"/>
        <v>#N/A</v>
      </c>
      <c r="Y285" t="e">
        <f t="shared" si="34"/>
        <v>#N/A</v>
      </c>
      <c r="Z285" t="e">
        <f t="shared" si="34"/>
        <v>#N/A</v>
      </c>
    </row>
    <row r="286" spans="1:26">
      <c r="A286" t="e">
        <f>IF(ISBLANK('[1]Точность устьев скважин'!A288),#N/A,'[1]Точность устьев скважин'!A288)</f>
        <v>#N/A</v>
      </c>
      <c r="B286" t="e">
        <f>IF(ISBLANK('[1]Точность устьев скважин'!B288),#N/A,'[1]Точность устьев скважин'!B288)</f>
        <v>#N/A</v>
      </c>
      <c r="C286" t="e">
        <f>IF(ISBLANK('[1]Точность устьев скважин'!C288),#N/A,'[1]Точность устьев скважин'!C288)</f>
        <v>#N/A</v>
      </c>
      <c r="D286" t="e">
        <f>IF(ISBLANK('[1]Точность устьев скважин'!D288),#N/A,'[1]Точность устьев скважин'!D288)</f>
        <v>#N/A</v>
      </c>
      <c r="G286" t="e">
        <f>IF(ISBLANK('[1]Точность устьев скважин'!H288),#N/A,'[1]Точность устьев скважин'!H288)</f>
        <v>#N/A</v>
      </c>
      <c r="H286" t="e">
        <f>IF(ISBLANK('[1]Точность устьев скважин'!I288),#N/A,'[1]Точность устьев скважин'!I288)</f>
        <v>#N/A</v>
      </c>
      <c r="I286" t="e">
        <f>IF(ISBLANK('[1]Точность устьев скважин'!J288),#N/A,'[1]Точность устьев скважин'!J288)</f>
        <v>#N/A</v>
      </c>
      <c r="J286" t="e">
        <f>IF(ISBLANK('[1]Точность устьев скважин'!K288),#N/A,'[1]Точность устьев скважин'!K288)</f>
        <v>#N/A</v>
      </c>
      <c r="L286" s="63" t="e">
        <f t="shared" si="35"/>
        <v>#N/A</v>
      </c>
      <c r="O286" t="e">
        <f t="shared" si="29"/>
        <v>#N/A</v>
      </c>
      <c r="P286" t="e">
        <f t="shared" si="29"/>
        <v>#N/A</v>
      </c>
      <c r="Q286" t="e">
        <f t="shared" si="30"/>
        <v>#N/A</v>
      </c>
      <c r="R286" t="e">
        <f t="shared" si="30"/>
        <v>#N/A</v>
      </c>
      <c r="S286" t="e">
        <f t="shared" si="31"/>
        <v>#N/A</v>
      </c>
      <c r="T286" t="e">
        <f t="shared" si="31"/>
        <v>#N/A</v>
      </c>
      <c r="U286" t="e">
        <f t="shared" si="32"/>
        <v>#N/A</v>
      </c>
      <c r="V286" t="e">
        <f t="shared" si="32"/>
        <v>#N/A</v>
      </c>
      <c r="W286" t="e">
        <f t="shared" si="33"/>
        <v>#N/A</v>
      </c>
      <c r="X286" t="e">
        <f t="shared" si="33"/>
        <v>#N/A</v>
      </c>
      <c r="Y286" t="e">
        <f t="shared" si="34"/>
        <v>#N/A</v>
      </c>
      <c r="Z286" t="e">
        <f t="shared" si="34"/>
        <v>#N/A</v>
      </c>
    </row>
    <row r="287" spans="1:26">
      <c r="A287" t="e">
        <f>IF(ISBLANK('[1]Точность устьев скважин'!A289),#N/A,'[1]Точность устьев скважин'!A289)</f>
        <v>#N/A</v>
      </c>
      <c r="B287" t="e">
        <f>IF(ISBLANK('[1]Точность устьев скважин'!B289),#N/A,'[1]Точность устьев скважин'!B289)</f>
        <v>#N/A</v>
      </c>
      <c r="C287" t="e">
        <f>IF(ISBLANK('[1]Точность устьев скважин'!C289),#N/A,'[1]Точность устьев скважин'!C289)</f>
        <v>#N/A</v>
      </c>
      <c r="D287" t="e">
        <f>IF(ISBLANK('[1]Точность устьев скважин'!D289),#N/A,'[1]Точность устьев скважин'!D289)</f>
        <v>#N/A</v>
      </c>
      <c r="G287" t="e">
        <f>IF(ISBLANK('[1]Точность устьев скважин'!H289),#N/A,'[1]Точность устьев скважин'!H289)</f>
        <v>#N/A</v>
      </c>
      <c r="H287" t="e">
        <f>IF(ISBLANK('[1]Точность устьев скважин'!I289),#N/A,'[1]Точность устьев скважин'!I289)</f>
        <v>#N/A</v>
      </c>
      <c r="I287" t="e">
        <f>IF(ISBLANK('[1]Точность устьев скважин'!J289),#N/A,'[1]Точность устьев скважин'!J289)</f>
        <v>#N/A</v>
      </c>
      <c r="J287" t="e">
        <f>IF(ISBLANK('[1]Точность устьев скважин'!K289),#N/A,'[1]Точность устьев скважин'!K289)</f>
        <v>#N/A</v>
      </c>
      <c r="L287" s="63" t="e">
        <f t="shared" si="35"/>
        <v>#N/A</v>
      </c>
      <c r="O287" t="e">
        <f t="shared" si="29"/>
        <v>#N/A</v>
      </c>
      <c r="P287" t="e">
        <f t="shared" si="29"/>
        <v>#N/A</v>
      </c>
      <c r="Q287" t="e">
        <f t="shared" si="30"/>
        <v>#N/A</v>
      </c>
      <c r="R287" t="e">
        <f t="shared" si="30"/>
        <v>#N/A</v>
      </c>
      <c r="S287" t="e">
        <f t="shared" si="31"/>
        <v>#N/A</v>
      </c>
      <c r="T287" t="e">
        <f t="shared" si="31"/>
        <v>#N/A</v>
      </c>
      <c r="U287" t="e">
        <f t="shared" si="32"/>
        <v>#N/A</v>
      </c>
      <c r="V287" t="e">
        <f t="shared" si="32"/>
        <v>#N/A</v>
      </c>
      <c r="W287" t="e">
        <f t="shared" si="33"/>
        <v>#N/A</v>
      </c>
      <c r="X287" t="e">
        <f t="shared" si="33"/>
        <v>#N/A</v>
      </c>
      <c r="Y287" t="e">
        <f t="shared" si="34"/>
        <v>#N/A</v>
      </c>
      <c r="Z287" t="e">
        <f t="shared" si="34"/>
        <v>#N/A</v>
      </c>
    </row>
    <row r="288" spans="1:26">
      <c r="A288" t="e">
        <f>IF(ISBLANK('[1]Точность устьев скважин'!A290),#N/A,'[1]Точность устьев скважин'!A290)</f>
        <v>#N/A</v>
      </c>
      <c r="B288" t="e">
        <f>IF(ISBLANK('[1]Точность устьев скважин'!B290),#N/A,'[1]Точность устьев скважин'!B290)</f>
        <v>#N/A</v>
      </c>
      <c r="C288" t="e">
        <f>IF(ISBLANK('[1]Точность устьев скважин'!C290),#N/A,'[1]Точность устьев скважин'!C290)</f>
        <v>#N/A</v>
      </c>
      <c r="D288" t="e">
        <f>IF(ISBLANK('[1]Точность устьев скважин'!D290),#N/A,'[1]Точность устьев скважин'!D290)</f>
        <v>#N/A</v>
      </c>
      <c r="G288" t="e">
        <f>IF(ISBLANK('[1]Точность устьев скважин'!H290),#N/A,'[1]Точность устьев скважин'!H290)</f>
        <v>#N/A</v>
      </c>
      <c r="H288" t="e">
        <f>IF(ISBLANK('[1]Точность устьев скважин'!I290),#N/A,'[1]Точность устьев скважин'!I290)</f>
        <v>#N/A</v>
      </c>
      <c r="I288" t="e">
        <f>IF(ISBLANK('[1]Точность устьев скважин'!J290),#N/A,'[1]Точность устьев скважин'!J290)</f>
        <v>#N/A</v>
      </c>
      <c r="J288" t="e">
        <f>IF(ISBLANK('[1]Точность устьев скважин'!K290),#N/A,'[1]Точность устьев скважин'!K290)</f>
        <v>#N/A</v>
      </c>
      <c r="L288" s="63" t="e">
        <f t="shared" si="35"/>
        <v>#N/A</v>
      </c>
      <c r="O288" t="e">
        <f t="shared" si="29"/>
        <v>#N/A</v>
      </c>
      <c r="P288" t="e">
        <f t="shared" si="29"/>
        <v>#N/A</v>
      </c>
      <c r="Q288" t="e">
        <f t="shared" si="30"/>
        <v>#N/A</v>
      </c>
      <c r="R288" t="e">
        <f t="shared" si="30"/>
        <v>#N/A</v>
      </c>
      <c r="S288" t="e">
        <f t="shared" si="31"/>
        <v>#N/A</v>
      </c>
      <c r="T288" t="e">
        <f t="shared" si="31"/>
        <v>#N/A</v>
      </c>
      <c r="U288" t="e">
        <f t="shared" si="32"/>
        <v>#N/A</v>
      </c>
      <c r="V288" t="e">
        <f t="shared" si="32"/>
        <v>#N/A</v>
      </c>
      <c r="W288" t="e">
        <f t="shared" si="33"/>
        <v>#N/A</v>
      </c>
      <c r="X288" t="e">
        <f t="shared" si="33"/>
        <v>#N/A</v>
      </c>
      <c r="Y288" t="e">
        <f t="shared" si="34"/>
        <v>#N/A</v>
      </c>
      <c r="Z288" t="e">
        <f t="shared" si="34"/>
        <v>#N/A</v>
      </c>
    </row>
    <row r="289" spans="1:26">
      <c r="A289" t="e">
        <f>IF(ISBLANK('[1]Точность устьев скважин'!A291),#N/A,'[1]Точность устьев скважин'!A291)</f>
        <v>#N/A</v>
      </c>
      <c r="B289" t="e">
        <f>IF(ISBLANK('[1]Точность устьев скважин'!B291),#N/A,'[1]Точность устьев скважин'!B291)</f>
        <v>#N/A</v>
      </c>
      <c r="C289" t="e">
        <f>IF(ISBLANK('[1]Точность устьев скважин'!C291),#N/A,'[1]Точность устьев скважин'!C291)</f>
        <v>#N/A</v>
      </c>
      <c r="D289" t="e">
        <f>IF(ISBLANK('[1]Точность устьев скважин'!D291),#N/A,'[1]Точность устьев скважин'!D291)</f>
        <v>#N/A</v>
      </c>
      <c r="G289" t="e">
        <f>IF(ISBLANK('[1]Точность устьев скважин'!H291),#N/A,'[1]Точность устьев скважин'!H291)</f>
        <v>#N/A</v>
      </c>
      <c r="H289" t="e">
        <f>IF(ISBLANK('[1]Точность устьев скважин'!I291),#N/A,'[1]Точность устьев скважин'!I291)</f>
        <v>#N/A</v>
      </c>
      <c r="I289" t="e">
        <f>IF(ISBLANK('[1]Точность устьев скважин'!J291),#N/A,'[1]Точность устьев скважин'!J291)</f>
        <v>#N/A</v>
      </c>
      <c r="J289" t="e">
        <f>IF(ISBLANK('[1]Точность устьев скважин'!K291),#N/A,'[1]Точность устьев скважин'!K291)</f>
        <v>#N/A</v>
      </c>
      <c r="L289" s="63" t="e">
        <f t="shared" si="35"/>
        <v>#N/A</v>
      </c>
      <c r="O289" t="e">
        <f t="shared" si="29"/>
        <v>#N/A</v>
      </c>
      <c r="P289" t="e">
        <f t="shared" si="29"/>
        <v>#N/A</v>
      </c>
      <c r="Q289" t="e">
        <f t="shared" si="30"/>
        <v>#N/A</v>
      </c>
      <c r="R289" t="e">
        <f t="shared" si="30"/>
        <v>#N/A</v>
      </c>
      <c r="S289" t="e">
        <f t="shared" si="31"/>
        <v>#N/A</v>
      </c>
      <c r="T289" t="e">
        <f t="shared" si="31"/>
        <v>#N/A</v>
      </c>
      <c r="U289" t="e">
        <f t="shared" si="32"/>
        <v>#N/A</v>
      </c>
      <c r="V289" t="e">
        <f t="shared" si="32"/>
        <v>#N/A</v>
      </c>
      <c r="W289" t="e">
        <f t="shared" si="33"/>
        <v>#N/A</v>
      </c>
      <c r="X289" t="e">
        <f t="shared" si="33"/>
        <v>#N/A</v>
      </c>
      <c r="Y289" t="e">
        <f t="shared" si="34"/>
        <v>#N/A</v>
      </c>
      <c r="Z289" t="e">
        <f t="shared" si="34"/>
        <v>#N/A</v>
      </c>
    </row>
    <row r="290" spans="1:26">
      <c r="A290" t="e">
        <f>IF(ISBLANK('[1]Точность устьев скважин'!A292),#N/A,'[1]Точность устьев скважин'!A292)</f>
        <v>#N/A</v>
      </c>
      <c r="B290" t="e">
        <f>IF(ISBLANK('[1]Точность устьев скважин'!B292),#N/A,'[1]Точность устьев скважин'!B292)</f>
        <v>#N/A</v>
      </c>
      <c r="C290" t="e">
        <f>IF(ISBLANK('[1]Точность устьев скважин'!C292),#N/A,'[1]Точность устьев скважин'!C292)</f>
        <v>#N/A</v>
      </c>
      <c r="D290" t="e">
        <f>IF(ISBLANK('[1]Точность устьев скважин'!D292),#N/A,'[1]Точность устьев скважин'!D292)</f>
        <v>#N/A</v>
      </c>
      <c r="G290" t="e">
        <f>IF(ISBLANK('[1]Точность устьев скважин'!H292),#N/A,'[1]Точность устьев скважин'!H292)</f>
        <v>#N/A</v>
      </c>
      <c r="H290" t="e">
        <f>IF(ISBLANK('[1]Точность устьев скважин'!I292),#N/A,'[1]Точность устьев скважин'!I292)</f>
        <v>#N/A</v>
      </c>
      <c r="I290" t="e">
        <f>IF(ISBLANK('[1]Точность устьев скважин'!J292),#N/A,'[1]Точность устьев скважин'!J292)</f>
        <v>#N/A</v>
      </c>
      <c r="J290" t="e">
        <f>IF(ISBLANK('[1]Точность устьев скважин'!K292),#N/A,'[1]Точность устьев скважин'!K292)</f>
        <v>#N/A</v>
      </c>
      <c r="L290" s="63" t="e">
        <f t="shared" si="35"/>
        <v>#N/A</v>
      </c>
      <c r="O290" t="e">
        <f t="shared" si="29"/>
        <v>#N/A</v>
      </c>
      <c r="P290" t="e">
        <f t="shared" si="29"/>
        <v>#N/A</v>
      </c>
      <c r="Q290" t="e">
        <f t="shared" si="30"/>
        <v>#N/A</v>
      </c>
      <c r="R290" t="e">
        <f t="shared" si="30"/>
        <v>#N/A</v>
      </c>
      <c r="S290" t="e">
        <f t="shared" si="31"/>
        <v>#N/A</v>
      </c>
      <c r="T290" t="e">
        <f t="shared" si="31"/>
        <v>#N/A</v>
      </c>
      <c r="U290" t="e">
        <f t="shared" si="32"/>
        <v>#N/A</v>
      </c>
      <c r="V290" t="e">
        <f t="shared" si="32"/>
        <v>#N/A</v>
      </c>
      <c r="W290" t="e">
        <f t="shared" si="33"/>
        <v>#N/A</v>
      </c>
      <c r="X290" t="e">
        <f t="shared" si="33"/>
        <v>#N/A</v>
      </c>
      <c r="Y290" t="e">
        <f t="shared" si="34"/>
        <v>#N/A</v>
      </c>
      <c r="Z290" t="e">
        <f t="shared" si="34"/>
        <v>#N/A</v>
      </c>
    </row>
    <row r="291" spans="1:26">
      <c r="A291" t="e">
        <f>IF(ISBLANK('[1]Точность устьев скважин'!A293),#N/A,'[1]Точность устьев скважин'!A293)</f>
        <v>#N/A</v>
      </c>
      <c r="B291" t="e">
        <f>IF(ISBLANK('[1]Точность устьев скважин'!B293),#N/A,'[1]Точность устьев скважин'!B293)</f>
        <v>#N/A</v>
      </c>
      <c r="C291" t="e">
        <f>IF(ISBLANK('[1]Точность устьев скважин'!C293),#N/A,'[1]Точность устьев скважин'!C293)</f>
        <v>#N/A</v>
      </c>
      <c r="D291" t="e">
        <f>IF(ISBLANK('[1]Точность устьев скважин'!D293),#N/A,'[1]Точность устьев скважин'!D293)</f>
        <v>#N/A</v>
      </c>
      <c r="G291" t="e">
        <f>IF(ISBLANK('[1]Точность устьев скважин'!H293),#N/A,'[1]Точность устьев скважин'!H293)</f>
        <v>#N/A</v>
      </c>
      <c r="H291" t="e">
        <f>IF(ISBLANK('[1]Точность устьев скважин'!I293),#N/A,'[1]Точность устьев скважин'!I293)</f>
        <v>#N/A</v>
      </c>
      <c r="I291" t="e">
        <f>IF(ISBLANK('[1]Точность устьев скважин'!J293),#N/A,'[1]Точность устьев скважин'!J293)</f>
        <v>#N/A</v>
      </c>
      <c r="J291" t="e">
        <f>IF(ISBLANK('[1]Точность устьев скважин'!K293),#N/A,'[1]Точность устьев скважин'!K293)</f>
        <v>#N/A</v>
      </c>
      <c r="L291" s="63" t="e">
        <f t="shared" si="35"/>
        <v>#N/A</v>
      </c>
      <c r="O291" t="e">
        <f t="shared" si="29"/>
        <v>#N/A</v>
      </c>
      <c r="P291" t="e">
        <f t="shared" si="29"/>
        <v>#N/A</v>
      </c>
      <c r="Q291" t="e">
        <f t="shared" si="30"/>
        <v>#N/A</v>
      </c>
      <c r="R291" t="e">
        <f t="shared" si="30"/>
        <v>#N/A</v>
      </c>
      <c r="S291" t="e">
        <f t="shared" si="31"/>
        <v>#N/A</v>
      </c>
      <c r="T291" t="e">
        <f t="shared" si="31"/>
        <v>#N/A</v>
      </c>
      <c r="U291" t="e">
        <f t="shared" si="32"/>
        <v>#N/A</v>
      </c>
      <c r="V291" t="e">
        <f t="shared" si="32"/>
        <v>#N/A</v>
      </c>
      <c r="W291" t="e">
        <f t="shared" si="33"/>
        <v>#N/A</v>
      </c>
      <c r="X291" t="e">
        <f t="shared" si="33"/>
        <v>#N/A</v>
      </c>
      <c r="Y291" t="e">
        <f t="shared" si="34"/>
        <v>#N/A</v>
      </c>
      <c r="Z291" t="e">
        <f t="shared" si="34"/>
        <v>#N/A</v>
      </c>
    </row>
    <row r="292" spans="1:26">
      <c r="A292" t="e">
        <f>IF(ISBLANK('[1]Точность устьев скважин'!A294),#N/A,'[1]Точность устьев скважин'!A294)</f>
        <v>#N/A</v>
      </c>
      <c r="B292" t="e">
        <f>IF(ISBLANK('[1]Точность устьев скважин'!B294),#N/A,'[1]Точность устьев скважин'!B294)</f>
        <v>#N/A</v>
      </c>
      <c r="C292" t="e">
        <f>IF(ISBLANK('[1]Точность устьев скважин'!C294),#N/A,'[1]Точность устьев скважин'!C294)</f>
        <v>#N/A</v>
      </c>
      <c r="D292" t="e">
        <f>IF(ISBLANK('[1]Точность устьев скважин'!D294),#N/A,'[1]Точность устьев скважин'!D294)</f>
        <v>#N/A</v>
      </c>
      <c r="G292" t="e">
        <f>IF(ISBLANK('[1]Точность устьев скважин'!H294),#N/A,'[1]Точность устьев скважин'!H294)</f>
        <v>#N/A</v>
      </c>
      <c r="H292" t="e">
        <f>IF(ISBLANK('[1]Точность устьев скважин'!I294),#N/A,'[1]Точность устьев скважин'!I294)</f>
        <v>#N/A</v>
      </c>
      <c r="I292" t="e">
        <f>IF(ISBLANK('[1]Точность устьев скважин'!J294),#N/A,'[1]Точность устьев скважин'!J294)</f>
        <v>#N/A</v>
      </c>
      <c r="J292" t="e">
        <f>IF(ISBLANK('[1]Точность устьев скважин'!K294),#N/A,'[1]Точность устьев скважин'!K294)</f>
        <v>#N/A</v>
      </c>
      <c r="L292" s="63" t="e">
        <f t="shared" si="35"/>
        <v>#N/A</v>
      </c>
      <c r="O292" t="e">
        <f t="shared" si="29"/>
        <v>#N/A</v>
      </c>
      <c r="P292" t="e">
        <f t="shared" si="29"/>
        <v>#N/A</v>
      </c>
      <c r="Q292" t="e">
        <f t="shared" si="30"/>
        <v>#N/A</v>
      </c>
      <c r="R292" t="e">
        <f t="shared" si="30"/>
        <v>#N/A</v>
      </c>
      <c r="S292" t="e">
        <f t="shared" si="31"/>
        <v>#N/A</v>
      </c>
      <c r="T292" t="e">
        <f t="shared" si="31"/>
        <v>#N/A</v>
      </c>
      <c r="U292" t="e">
        <f t="shared" si="32"/>
        <v>#N/A</v>
      </c>
      <c r="V292" t="e">
        <f t="shared" si="32"/>
        <v>#N/A</v>
      </c>
      <c r="W292" t="e">
        <f t="shared" si="33"/>
        <v>#N/A</v>
      </c>
      <c r="X292" t="e">
        <f t="shared" si="33"/>
        <v>#N/A</v>
      </c>
      <c r="Y292" t="e">
        <f t="shared" si="34"/>
        <v>#N/A</v>
      </c>
      <c r="Z292" t="e">
        <f t="shared" si="34"/>
        <v>#N/A</v>
      </c>
    </row>
    <row r="293" spans="1:26">
      <c r="A293" t="e">
        <f>IF(ISBLANK('[1]Точность устьев скважин'!A295),#N/A,'[1]Точность устьев скважин'!A295)</f>
        <v>#N/A</v>
      </c>
      <c r="B293" t="e">
        <f>IF(ISBLANK('[1]Точность устьев скважин'!B295),#N/A,'[1]Точность устьев скважин'!B295)</f>
        <v>#N/A</v>
      </c>
      <c r="C293" t="e">
        <f>IF(ISBLANK('[1]Точность устьев скважин'!C295),#N/A,'[1]Точность устьев скважин'!C295)</f>
        <v>#N/A</v>
      </c>
      <c r="D293" t="e">
        <f>IF(ISBLANK('[1]Точность устьев скважин'!D295),#N/A,'[1]Точность устьев скважин'!D295)</f>
        <v>#N/A</v>
      </c>
      <c r="G293" t="e">
        <f>IF(ISBLANK('[1]Точность устьев скважин'!H295),#N/A,'[1]Точность устьев скважин'!H295)</f>
        <v>#N/A</v>
      </c>
      <c r="H293" t="e">
        <f>IF(ISBLANK('[1]Точность устьев скважин'!I295),#N/A,'[1]Точность устьев скважин'!I295)</f>
        <v>#N/A</v>
      </c>
      <c r="I293" t="e">
        <f>IF(ISBLANK('[1]Точность устьев скважин'!J295),#N/A,'[1]Точность устьев скважин'!J295)</f>
        <v>#N/A</v>
      </c>
      <c r="J293" t="e">
        <f>IF(ISBLANK('[1]Точность устьев скважин'!K295),#N/A,'[1]Точность устьев скважин'!K295)</f>
        <v>#N/A</v>
      </c>
      <c r="L293" s="63" t="e">
        <f t="shared" si="35"/>
        <v>#N/A</v>
      </c>
      <c r="O293" t="e">
        <f t="shared" si="29"/>
        <v>#N/A</v>
      </c>
      <c r="P293" t="e">
        <f t="shared" si="29"/>
        <v>#N/A</v>
      </c>
      <c r="Q293" t="e">
        <f t="shared" si="30"/>
        <v>#N/A</v>
      </c>
      <c r="R293" t="e">
        <f t="shared" si="30"/>
        <v>#N/A</v>
      </c>
      <c r="S293" t="e">
        <f t="shared" si="31"/>
        <v>#N/A</v>
      </c>
      <c r="T293" t="e">
        <f t="shared" si="31"/>
        <v>#N/A</v>
      </c>
      <c r="U293" t="e">
        <f t="shared" si="32"/>
        <v>#N/A</v>
      </c>
      <c r="V293" t="e">
        <f t="shared" si="32"/>
        <v>#N/A</v>
      </c>
      <c r="W293" t="e">
        <f t="shared" si="33"/>
        <v>#N/A</v>
      </c>
      <c r="X293" t="e">
        <f t="shared" si="33"/>
        <v>#N/A</v>
      </c>
      <c r="Y293" t="e">
        <f t="shared" si="34"/>
        <v>#N/A</v>
      </c>
      <c r="Z293" t="e">
        <f t="shared" si="34"/>
        <v>#N/A</v>
      </c>
    </row>
    <row r="294" spans="1:26">
      <c r="A294" t="e">
        <f>IF(ISBLANK('[1]Точность устьев скважин'!A296),#N/A,'[1]Точность устьев скважин'!A296)</f>
        <v>#N/A</v>
      </c>
      <c r="B294" t="e">
        <f>IF(ISBLANK('[1]Точность устьев скважин'!B296),#N/A,'[1]Точность устьев скважин'!B296)</f>
        <v>#N/A</v>
      </c>
      <c r="C294" t="e">
        <f>IF(ISBLANK('[1]Точность устьев скважин'!C296),#N/A,'[1]Точность устьев скважин'!C296)</f>
        <v>#N/A</v>
      </c>
      <c r="D294" t="e">
        <f>IF(ISBLANK('[1]Точность устьев скважин'!D296),#N/A,'[1]Точность устьев скважин'!D296)</f>
        <v>#N/A</v>
      </c>
      <c r="G294" t="e">
        <f>IF(ISBLANK('[1]Точность устьев скважин'!H296),#N/A,'[1]Точность устьев скважин'!H296)</f>
        <v>#N/A</v>
      </c>
      <c r="H294" t="e">
        <f>IF(ISBLANK('[1]Точность устьев скважин'!I296),#N/A,'[1]Точность устьев скважин'!I296)</f>
        <v>#N/A</v>
      </c>
      <c r="I294" t="e">
        <f>IF(ISBLANK('[1]Точность устьев скважин'!J296),#N/A,'[1]Точность устьев скважин'!J296)</f>
        <v>#N/A</v>
      </c>
      <c r="J294" t="e">
        <f>IF(ISBLANK('[1]Точность устьев скважин'!K296),#N/A,'[1]Точность устьев скважин'!K296)</f>
        <v>#N/A</v>
      </c>
      <c r="L294" s="63" t="e">
        <f t="shared" si="35"/>
        <v>#N/A</v>
      </c>
      <c r="O294" t="e">
        <f t="shared" si="29"/>
        <v>#N/A</v>
      </c>
      <c r="P294" t="e">
        <f t="shared" si="29"/>
        <v>#N/A</v>
      </c>
      <c r="Q294" t="e">
        <f t="shared" si="30"/>
        <v>#N/A</v>
      </c>
      <c r="R294" t="e">
        <f t="shared" si="30"/>
        <v>#N/A</v>
      </c>
      <c r="S294" t="e">
        <f t="shared" si="31"/>
        <v>#N/A</v>
      </c>
      <c r="T294" t="e">
        <f t="shared" si="31"/>
        <v>#N/A</v>
      </c>
      <c r="U294" t="e">
        <f t="shared" si="32"/>
        <v>#N/A</v>
      </c>
      <c r="V294" t="e">
        <f t="shared" si="32"/>
        <v>#N/A</v>
      </c>
      <c r="W294" t="e">
        <f t="shared" si="33"/>
        <v>#N/A</v>
      </c>
      <c r="X294" t="e">
        <f t="shared" si="33"/>
        <v>#N/A</v>
      </c>
      <c r="Y294" t="e">
        <f t="shared" si="34"/>
        <v>#N/A</v>
      </c>
      <c r="Z294" t="e">
        <f t="shared" si="34"/>
        <v>#N/A</v>
      </c>
    </row>
    <row r="295" spans="1:26">
      <c r="A295" t="e">
        <f>IF(ISBLANK('[1]Точность устьев скважин'!A297),#N/A,'[1]Точность устьев скважин'!A297)</f>
        <v>#N/A</v>
      </c>
      <c r="B295" t="e">
        <f>IF(ISBLANK('[1]Точность устьев скважин'!B297),#N/A,'[1]Точность устьев скважин'!B297)</f>
        <v>#N/A</v>
      </c>
      <c r="C295" t="e">
        <f>IF(ISBLANK('[1]Точность устьев скважин'!C297),#N/A,'[1]Точность устьев скважин'!C297)</f>
        <v>#N/A</v>
      </c>
      <c r="D295" t="e">
        <f>IF(ISBLANK('[1]Точность устьев скважин'!D297),#N/A,'[1]Точность устьев скважин'!D297)</f>
        <v>#N/A</v>
      </c>
      <c r="G295" t="e">
        <f>IF(ISBLANK('[1]Точность устьев скважин'!H297),#N/A,'[1]Точность устьев скважин'!H297)</f>
        <v>#N/A</v>
      </c>
      <c r="H295" t="e">
        <f>IF(ISBLANK('[1]Точность устьев скважин'!I297),#N/A,'[1]Точность устьев скважин'!I297)</f>
        <v>#N/A</v>
      </c>
      <c r="I295" t="e">
        <f>IF(ISBLANK('[1]Точность устьев скважин'!J297),#N/A,'[1]Точность устьев скважин'!J297)</f>
        <v>#N/A</v>
      </c>
      <c r="J295" t="e">
        <f>IF(ISBLANK('[1]Точность устьев скважин'!K297),#N/A,'[1]Точность устьев скважин'!K297)</f>
        <v>#N/A</v>
      </c>
      <c r="L295" s="63" t="e">
        <f t="shared" si="35"/>
        <v>#N/A</v>
      </c>
      <c r="O295" t="e">
        <f t="shared" si="29"/>
        <v>#N/A</v>
      </c>
      <c r="P295" t="e">
        <f t="shared" si="29"/>
        <v>#N/A</v>
      </c>
      <c r="Q295" t="e">
        <f t="shared" si="30"/>
        <v>#N/A</v>
      </c>
      <c r="R295" t="e">
        <f t="shared" si="30"/>
        <v>#N/A</v>
      </c>
      <c r="S295" t="e">
        <f t="shared" si="31"/>
        <v>#N/A</v>
      </c>
      <c r="T295" t="e">
        <f t="shared" si="31"/>
        <v>#N/A</v>
      </c>
      <c r="U295" t="e">
        <f t="shared" si="32"/>
        <v>#N/A</v>
      </c>
      <c r="V295" t="e">
        <f t="shared" si="32"/>
        <v>#N/A</v>
      </c>
      <c r="W295" t="e">
        <f t="shared" si="33"/>
        <v>#N/A</v>
      </c>
      <c r="X295" t="e">
        <f t="shared" si="33"/>
        <v>#N/A</v>
      </c>
      <c r="Y295" t="e">
        <f t="shared" si="34"/>
        <v>#N/A</v>
      </c>
      <c r="Z295" t="e">
        <f t="shared" si="34"/>
        <v>#N/A</v>
      </c>
    </row>
    <row r="296" spans="1:26">
      <c r="A296" t="e">
        <f>IF(ISBLANK('[1]Точность устьев скважин'!A298),#N/A,'[1]Точность устьев скважин'!A298)</f>
        <v>#N/A</v>
      </c>
      <c r="B296" t="e">
        <f>IF(ISBLANK('[1]Точность устьев скважин'!B298),#N/A,'[1]Точность устьев скважин'!B298)</f>
        <v>#N/A</v>
      </c>
      <c r="C296" t="e">
        <f>IF(ISBLANK('[1]Точность устьев скважин'!C298),#N/A,'[1]Точность устьев скважин'!C298)</f>
        <v>#N/A</v>
      </c>
      <c r="D296" t="e">
        <f>IF(ISBLANK('[1]Точность устьев скважин'!D298),#N/A,'[1]Точность устьев скважин'!D298)</f>
        <v>#N/A</v>
      </c>
      <c r="G296" t="e">
        <f>IF(ISBLANK('[1]Точность устьев скважин'!H298),#N/A,'[1]Точность устьев скважин'!H298)</f>
        <v>#N/A</v>
      </c>
      <c r="H296" t="e">
        <f>IF(ISBLANK('[1]Точность устьев скважин'!I298),#N/A,'[1]Точность устьев скважин'!I298)</f>
        <v>#N/A</v>
      </c>
      <c r="I296" t="e">
        <f>IF(ISBLANK('[1]Точность устьев скважин'!J298),#N/A,'[1]Точность устьев скважин'!J298)</f>
        <v>#N/A</v>
      </c>
      <c r="J296" t="e">
        <f>IF(ISBLANK('[1]Точность устьев скважин'!K298),#N/A,'[1]Точность устьев скважин'!K298)</f>
        <v>#N/A</v>
      </c>
      <c r="L296" s="63" t="e">
        <f t="shared" si="35"/>
        <v>#N/A</v>
      </c>
      <c r="O296" t="e">
        <f t="shared" si="29"/>
        <v>#N/A</v>
      </c>
      <c r="P296" t="e">
        <f t="shared" si="29"/>
        <v>#N/A</v>
      </c>
      <c r="Q296" t="e">
        <f t="shared" si="30"/>
        <v>#N/A</v>
      </c>
      <c r="R296" t="e">
        <f t="shared" si="30"/>
        <v>#N/A</v>
      </c>
      <c r="S296" t="e">
        <f t="shared" si="31"/>
        <v>#N/A</v>
      </c>
      <c r="T296" t="e">
        <f t="shared" si="31"/>
        <v>#N/A</v>
      </c>
      <c r="U296" t="e">
        <f t="shared" si="32"/>
        <v>#N/A</v>
      </c>
      <c r="V296" t="e">
        <f t="shared" si="32"/>
        <v>#N/A</v>
      </c>
      <c r="W296" t="e">
        <f t="shared" si="33"/>
        <v>#N/A</v>
      </c>
      <c r="X296" t="e">
        <f t="shared" si="33"/>
        <v>#N/A</v>
      </c>
      <c r="Y296" t="e">
        <f t="shared" si="34"/>
        <v>#N/A</v>
      </c>
      <c r="Z296" t="e">
        <f t="shared" si="34"/>
        <v>#N/A</v>
      </c>
    </row>
    <row r="297" spans="1:26">
      <c r="A297" t="e">
        <f>IF(ISBLANK('[1]Точность устьев скважин'!A299),#N/A,'[1]Точность устьев скважин'!A299)</f>
        <v>#N/A</v>
      </c>
      <c r="B297" t="e">
        <f>IF(ISBLANK('[1]Точность устьев скважин'!B299),#N/A,'[1]Точность устьев скважин'!B299)</f>
        <v>#N/A</v>
      </c>
      <c r="C297" t="e">
        <f>IF(ISBLANK('[1]Точность устьев скважин'!C299),#N/A,'[1]Точность устьев скважин'!C299)</f>
        <v>#N/A</v>
      </c>
      <c r="D297" t="e">
        <f>IF(ISBLANK('[1]Точность устьев скважин'!D299),#N/A,'[1]Точность устьев скважин'!D299)</f>
        <v>#N/A</v>
      </c>
      <c r="G297" t="e">
        <f>IF(ISBLANK('[1]Точность устьев скважин'!H299),#N/A,'[1]Точность устьев скважин'!H299)</f>
        <v>#N/A</v>
      </c>
      <c r="H297" t="e">
        <f>IF(ISBLANK('[1]Точность устьев скважин'!I299),#N/A,'[1]Точность устьев скважин'!I299)</f>
        <v>#N/A</v>
      </c>
      <c r="I297" t="e">
        <f>IF(ISBLANK('[1]Точность устьев скважин'!J299),#N/A,'[1]Точность устьев скважин'!J299)</f>
        <v>#N/A</v>
      </c>
      <c r="J297" t="e">
        <f>IF(ISBLANK('[1]Точность устьев скважин'!K299),#N/A,'[1]Точность устьев скважин'!K299)</f>
        <v>#N/A</v>
      </c>
      <c r="L297" s="63" t="e">
        <f t="shared" si="35"/>
        <v>#N/A</v>
      </c>
      <c r="O297" t="e">
        <f t="shared" ref="O297:P360" si="36">IF($L$1=0.5,IF(AND($L297&gt;0,$L297&lt;0.1),H297,#N/A),"")</f>
        <v>#N/A</v>
      </c>
      <c r="P297" t="e">
        <f t="shared" si="36"/>
        <v>#N/A</v>
      </c>
      <c r="Q297" t="e">
        <f t="shared" ref="Q297:R360" si="37">IF($L$1=0.5,IF(AND($L297&gt;=0.1,$L297&lt;0.2),H297,#N/A),"")</f>
        <v>#N/A</v>
      </c>
      <c r="R297" t="e">
        <f t="shared" si="37"/>
        <v>#N/A</v>
      </c>
      <c r="S297" t="e">
        <f t="shared" ref="S297:T360" si="38">IF($L$1=0.5,IF(AND($L297&gt;=0.2,$L297&lt;0.3),H297,#N/A),"")</f>
        <v>#N/A</v>
      </c>
      <c r="T297" t="e">
        <f t="shared" si="38"/>
        <v>#N/A</v>
      </c>
      <c r="U297" t="e">
        <f t="shared" ref="U297:V360" si="39">IF($L$1=0.5,IF(AND($L297&gt;=0.3,$L297&lt;0.4),H297,#N/A),"")</f>
        <v>#N/A</v>
      </c>
      <c r="V297" t="e">
        <f t="shared" si="39"/>
        <v>#N/A</v>
      </c>
      <c r="W297" t="e">
        <f t="shared" ref="W297:X360" si="40">IF($L$1=0.5,IF(AND($L297&gt;=0.4,$L297&lt;0.5),H297,#N/A),"")</f>
        <v>#N/A</v>
      </c>
      <c r="X297" t="e">
        <f t="shared" si="40"/>
        <v>#N/A</v>
      </c>
      <c r="Y297" t="e">
        <f t="shared" si="34"/>
        <v>#N/A</v>
      </c>
      <c r="Z297" t="e">
        <f t="shared" si="34"/>
        <v>#N/A</v>
      </c>
    </row>
    <row r="298" spans="1:26">
      <c r="A298" t="e">
        <f>IF(ISBLANK('[1]Точность устьев скважин'!A300),#N/A,'[1]Точность устьев скважин'!A300)</f>
        <v>#N/A</v>
      </c>
      <c r="B298" t="e">
        <f>IF(ISBLANK('[1]Точность устьев скважин'!B300),#N/A,'[1]Точность устьев скважин'!B300)</f>
        <v>#N/A</v>
      </c>
      <c r="C298" t="e">
        <f>IF(ISBLANK('[1]Точность устьев скважин'!C300),#N/A,'[1]Точность устьев скважин'!C300)</f>
        <v>#N/A</v>
      </c>
      <c r="D298" t="e">
        <f>IF(ISBLANK('[1]Точность устьев скважин'!D300),#N/A,'[1]Точность устьев скважин'!D300)</f>
        <v>#N/A</v>
      </c>
      <c r="G298" t="e">
        <f>IF(ISBLANK('[1]Точность устьев скважин'!H300),#N/A,'[1]Точность устьев скважин'!H300)</f>
        <v>#N/A</v>
      </c>
      <c r="H298" t="e">
        <f>IF(ISBLANK('[1]Точность устьев скважин'!I300),#N/A,'[1]Точность устьев скважин'!I300)</f>
        <v>#N/A</v>
      </c>
      <c r="I298" t="e">
        <f>IF(ISBLANK('[1]Точность устьев скважин'!J300),#N/A,'[1]Точность устьев скважин'!J300)</f>
        <v>#N/A</v>
      </c>
      <c r="J298" t="e">
        <f>IF(ISBLANK('[1]Точность устьев скважин'!K300),#N/A,'[1]Точность устьев скважин'!K300)</f>
        <v>#N/A</v>
      </c>
      <c r="L298" s="63" t="e">
        <f t="shared" si="35"/>
        <v>#N/A</v>
      </c>
      <c r="O298" t="e">
        <f t="shared" si="36"/>
        <v>#N/A</v>
      </c>
      <c r="P298" t="e">
        <f t="shared" si="36"/>
        <v>#N/A</v>
      </c>
      <c r="Q298" t="e">
        <f t="shared" si="37"/>
        <v>#N/A</v>
      </c>
      <c r="R298" t="e">
        <f t="shared" si="37"/>
        <v>#N/A</v>
      </c>
      <c r="S298" t="e">
        <f t="shared" si="38"/>
        <v>#N/A</v>
      </c>
      <c r="T298" t="e">
        <f t="shared" si="38"/>
        <v>#N/A</v>
      </c>
      <c r="U298" t="e">
        <f t="shared" si="39"/>
        <v>#N/A</v>
      </c>
      <c r="V298" t="e">
        <f t="shared" si="39"/>
        <v>#N/A</v>
      </c>
      <c r="W298" t="e">
        <f t="shared" si="40"/>
        <v>#N/A</v>
      </c>
      <c r="X298" t="e">
        <f t="shared" si="40"/>
        <v>#N/A</v>
      </c>
      <c r="Y298" t="e">
        <f t="shared" si="34"/>
        <v>#N/A</v>
      </c>
      <c r="Z298" t="e">
        <f t="shared" si="34"/>
        <v>#N/A</v>
      </c>
    </row>
    <row r="299" spans="1:26">
      <c r="A299" t="e">
        <f>IF(ISBLANK('[1]Точность устьев скважин'!A301),#N/A,'[1]Точность устьев скважин'!A301)</f>
        <v>#N/A</v>
      </c>
      <c r="B299" t="e">
        <f>IF(ISBLANK('[1]Точность устьев скважин'!B301),#N/A,'[1]Точность устьев скважин'!B301)</f>
        <v>#N/A</v>
      </c>
      <c r="C299" t="e">
        <f>IF(ISBLANK('[1]Точность устьев скважин'!C301),#N/A,'[1]Точность устьев скважин'!C301)</f>
        <v>#N/A</v>
      </c>
      <c r="D299" t="e">
        <f>IF(ISBLANK('[1]Точность устьев скважин'!D301),#N/A,'[1]Точность устьев скважин'!D301)</f>
        <v>#N/A</v>
      </c>
      <c r="G299" t="e">
        <f>IF(ISBLANK('[1]Точность устьев скважин'!H301),#N/A,'[1]Точность устьев скважин'!H301)</f>
        <v>#N/A</v>
      </c>
      <c r="H299" t="e">
        <f>IF(ISBLANK('[1]Точность устьев скважин'!I301),#N/A,'[1]Точность устьев скважин'!I301)</f>
        <v>#N/A</v>
      </c>
      <c r="I299" t="e">
        <f>IF(ISBLANK('[1]Точность устьев скважин'!J301),#N/A,'[1]Точность устьев скважин'!J301)</f>
        <v>#N/A</v>
      </c>
      <c r="J299" t="e">
        <f>IF(ISBLANK('[1]Точность устьев скважин'!K301),#N/A,'[1]Точность устьев скважин'!K301)</f>
        <v>#N/A</v>
      </c>
      <c r="L299" s="63" t="e">
        <f t="shared" si="35"/>
        <v>#N/A</v>
      </c>
      <c r="O299" t="e">
        <f t="shared" si="36"/>
        <v>#N/A</v>
      </c>
      <c r="P299" t="e">
        <f t="shared" si="36"/>
        <v>#N/A</v>
      </c>
      <c r="Q299" t="e">
        <f t="shared" si="37"/>
        <v>#N/A</v>
      </c>
      <c r="R299" t="e">
        <f t="shared" si="37"/>
        <v>#N/A</v>
      </c>
      <c r="S299" t="e">
        <f t="shared" si="38"/>
        <v>#N/A</v>
      </c>
      <c r="T299" t="e">
        <f t="shared" si="38"/>
        <v>#N/A</v>
      </c>
      <c r="U299" t="e">
        <f t="shared" si="39"/>
        <v>#N/A</v>
      </c>
      <c r="V299" t="e">
        <f t="shared" si="39"/>
        <v>#N/A</v>
      </c>
      <c r="W299" t="e">
        <f t="shared" si="40"/>
        <v>#N/A</v>
      </c>
      <c r="X299" t="e">
        <f t="shared" si="40"/>
        <v>#N/A</v>
      </c>
      <c r="Y299" t="e">
        <f t="shared" si="34"/>
        <v>#N/A</v>
      </c>
      <c r="Z299" t="e">
        <f t="shared" si="34"/>
        <v>#N/A</v>
      </c>
    </row>
    <row r="300" spans="1:26">
      <c r="A300" t="e">
        <f>IF(ISBLANK('[1]Точность устьев скважин'!A302),#N/A,'[1]Точность устьев скважин'!A302)</f>
        <v>#N/A</v>
      </c>
      <c r="B300" t="e">
        <f>IF(ISBLANK('[1]Точность устьев скважин'!B302),#N/A,'[1]Точность устьев скважин'!B302)</f>
        <v>#N/A</v>
      </c>
      <c r="C300" t="e">
        <f>IF(ISBLANK('[1]Точность устьев скважин'!C302),#N/A,'[1]Точность устьев скважин'!C302)</f>
        <v>#N/A</v>
      </c>
      <c r="D300" t="e">
        <f>IF(ISBLANK('[1]Точность устьев скважин'!D302),#N/A,'[1]Точность устьев скважин'!D302)</f>
        <v>#N/A</v>
      </c>
      <c r="G300" t="e">
        <f>IF(ISBLANK('[1]Точность устьев скважин'!H302),#N/A,'[1]Точность устьев скважин'!H302)</f>
        <v>#N/A</v>
      </c>
      <c r="H300" t="e">
        <f>IF(ISBLANK('[1]Точность устьев скважин'!I302),#N/A,'[1]Точность устьев скважин'!I302)</f>
        <v>#N/A</v>
      </c>
      <c r="I300" t="e">
        <f>IF(ISBLANK('[1]Точность устьев скважин'!J302),#N/A,'[1]Точность устьев скважин'!J302)</f>
        <v>#N/A</v>
      </c>
      <c r="J300" t="e">
        <f>IF(ISBLANK('[1]Точность устьев скважин'!K302),#N/A,'[1]Точность устьев скважин'!K302)</f>
        <v>#N/A</v>
      </c>
      <c r="L300" s="63" t="e">
        <f t="shared" si="35"/>
        <v>#N/A</v>
      </c>
      <c r="O300" t="e">
        <f t="shared" si="36"/>
        <v>#N/A</v>
      </c>
      <c r="P300" t="e">
        <f t="shared" si="36"/>
        <v>#N/A</v>
      </c>
      <c r="Q300" t="e">
        <f t="shared" si="37"/>
        <v>#N/A</v>
      </c>
      <c r="R300" t="e">
        <f t="shared" si="37"/>
        <v>#N/A</v>
      </c>
      <c r="S300" t="e">
        <f t="shared" si="38"/>
        <v>#N/A</v>
      </c>
      <c r="T300" t="e">
        <f t="shared" si="38"/>
        <v>#N/A</v>
      </c>
      <c r="U300" t="e">
        <f t="shared" si="39"/>
        <v>#N/A</v>
      </c>
      <c r="V300" t="e">
        <f t="shared" si="39"/>
        <v>#N/A</v>
      </c>
      <c r="W300" t="e">
        <f t="shared" si="40"/>
        <v>#N/A</v>
      </c>
      <c r="X300" t="e">
        <f t="shared" si="40"/>
        <v>#N/A</v>
      </c>
      <c r="Y300" t="e">
        <f t="shared" si="34"/>
        <v>#N/A</v>
      </c>
      <c r="Z300" t="e">
        <f t="shared" si="34"/>
        <v>#N/A</v>
      </c>
    </row>
    <row r="301" spans="1:26">
      <c r="A301" t="e">
        <f>IF(ISBLANK('[1]Точность устьев скважин'!A303),#N/A,'[1]Точность устьев скважин'!A303)</f>
        <v>#N/A</v>
      </c>
      <c r="B301" t="e">
        <f>IF(ISBLANK('[1]Точность устьев скважин'!B303),#N/A,'[1]Точность устьев скважин'!B303)</f>
        <v>#N/A</v>
      </c>
      <c r="C301" t="e">
        <f>IF(ISBLANK('[1]Точность устьев скважин'!C303),#N/A,'[1]Точность устьев скважин'!C303)</f>
        <v>#N/A</v>
      </c>
      <c r="D301" t="e">
        <f>IF(ISBLANK('[1]Точность устьев скважин'!D303),#N/A,'[1]Точность устьев скважин'!D303)</f>
        <v>#N/A</v>
      </c>
      <c r="G301" t="e">
        <f>IF(ISBLANK('[1]Точность устьев скважин'!H303),#N/A,'[1]Точность устьев скважин'!H303)</f>
        <v>#N/A</v>
      </c>
      <c r="H301" t="e">
        <f>IF(ISBLANK('[1]Точность устьев скважин'!I303),#N/A,'[1]Точность устьев скважин'!I303)</f>
        <v>#N/A</v>
      </c>
      <c r="I301" t="e">
        <f>IF(ISBLANK('[1]Точность устьев скважин'!J303),#N/A,'[1]Точность устьев скважин'!J303)</f>
        <v>#N/A</v>
      </c>
      <c r="J301" t="e">
        <f>IF(ISBLANK('[1]Точность устьев скважин'!K303),#N/A,'[1]Точность устьев скважин'!K303)</f>
        <v>#N/A</v>
      </c>
      <c r="L301" s="63" t="e">
        <f t="shared" si="35"/>
        <v>#N/A</v>
      </c>
      <c r="O301" t="e">
        <f t="shared" si="36"/>
        <v>#N/A</v>
      </c>
      <c r="P301" t="e">
        <f t="shared" si="36"/>
        <v>#N/A</v>
      </c>
      <c r="Q301" t="e">
        <f t="shared" si="37"/>
        <v>#N/A</v>
      </c>
      <c r="R301" t="e">
        <f t="shared" si="37"/>
        <v>#N/A</v>
      </c>
      <c r="S301" t="e">
        <f t="shared" si="38"/>
        <v>#N/A</v>
      </c>
      <c r="T301" t="e">
        <f t="shared" si="38"/>
        <v>#N/A</v>
      </c>
      <c r="U301" t="e">
        <f t="shared" si="39"/>
        <v>#N/A</v>
      </c>
      <c r="V301" t="e">
        <f t="shared" si="39"/>
        <v>#N/A</v>
      </c>
      <c r="W301" t="e">
        <f t="shared" si="40"/>
        <v>#N/A</v>
      </c>
      <c r="X301" t="e">
        <f t="shared" si="40"/>
        <v>#N/A</v>
      </c>
      <c r="Y301" t="e">
        <f t="shared" si="34"/>
        <v>#N/A</v>
      </c>
      <c r="Z301" t="e">
        <f t="shared" si="34"/>
        <v>#N/A</v>
      </c>
    </row>
    <row r="302" spans="1:26">
      <c r="A302" t="e">
        <f>IF(ISBLANK('[1]Точность устьев скважин'!A304),#N/A,'[1]Точность устьев скважин'!A304)</f>
        <v>#N/A</v>
      </c>
      <c r="B302" t="e">
        <f>IF(ISBLANK('[1]Точность устьев скважин'!B304),#N/A,'[1]Точность устьев скважин'!B304)</f>
        <v>#N/A</v>
      </c>
      <c r="C302" t="e">
        <f>IF(ISBLANK('[1]Точность устьев скважин'!C304),#N/A,'[1]Точность устьев скважин'!C304)</f>
        <v>#N/A</v>
      </c>
      <c r="D302" t="e">
        <f>IF(ISBLANK('[1]Точность устьев скважин'!D304),#N/A,'[1]Точность устьев скважин'!D304)</f>
        <v>#N/A</v>
      </c>
      <c r="G302" t="e">
        <f>IF(ISBLANK('[1]Точность устьев скважин'!H304),#N/A,'[1]Точность устьев скважин'!H304)</f>
        <v>#N/A</v>
      </c>
      <c r="H302" t="e">
        <f>IF(ISBLANK('[1]Точность устьев скважин'!I304),#N/A,'[1]Точность устьев скважин'!I304)</f>
        <v>#N/A</v>
      </c>
      <c r="I302" t="e">
        <f>IF(ISBLANK('[1]Точность устьев скважин'!J304),#N/A,'[1]Точность устьев скважин'!J304)</f>
        <v>#N/A</v>
      </c>
      <c r="J302" t="e">
        <f>IF(ISBLANK('[1]Точность устьев скважин'!K304),#N/A,'[1]Точность устьев скважин'!K304)</f>
        <v>#N/A</v>
      </c>
      <c r="L302" s="63" t="e">
        <f t="shared" si="35"/>
        <v>#N/A</v>
      </c>
      <c r="O302" t="e">
        <f t="shared" si="36"/>
        <v>#N/A</v>
      </c>
      <c r="P302" t="e">
        <f t="shared" si="36"/>
        <v>#N/A</v>
      </c>
      <c r="Q302" t="e">
        <f t="shared" si="37"/>
        <v>#N/A</v>
      </c>
      <c r="R302" t="e">
        <f t="shared" si="37"/>
        <v>#N/A</v>
      </c>
      <c r="S302" t="e">
        <f t="shared" si="38"/>
        <v>#N/A</v>
      </c>
      <c r="T302" t="e">
        <f t="shared" si="38"/>
        <v>#N/A</v>
      </c>
      <c r="U302" t="e">
        <f t="shared" si="39"/>
        <v>#N/A</v>
      </c>
      <c r="V302" t="e">
        <f t="shared" si="39"/>
        <v>#N/A</v>
      </c>
      <c r="W302" t="e">
        <f t="shared" si="40"/>
        <v>#N/A</v>
      </c>
      <c r="X302" t="e">
        <f t="shared" si="40"/>
        <v>#N/A</v>
      </c>
      <c r="Y302" t="e">
        <f t="shared" si="34"/>
        <v>#N/A</v>
      </c>
      <c r="Z302" t="e">
        <f t="shared" si="34"/>
        <v>#N/A</v>
      </c>
    </row>
    <row r="303" spans="1:26">
      <c r="A303" t="e">
        <f>IF(ISBLANK('[1]Точность устьев скважин'!A305),#N/A,'[1]Точность устьев скважин'!A305)</f>
        <v>#N/A</v>
      </c>
      <c r="B303" t="e">
        <f>IF(ISBLANK('[1]Точность устьев скважин'!B305),#N/A,'[1]Точность устьев скважин'!B305)</f>
        <v>#N/A</v>
      </c>
      <c r="C303" t="e">
        <f>IF(ISBLANK('[1]Точность устьев скважин'!C305),#N/A,'[1]Точность устьев скважин'!C305)</f>
        <v>#N/A</v>
      </c>
      <c r="D303" t="e">
        <f>IF(ISBLANK('[1]Точность устьев скважин'!D305),#N/A,'[1]Точность устьев скважин'!D305)</f>
        <v>#N/A</v>
      </c>
      <c r="G303" t="e">
        <f>IF(ISBLANK('[1]Точность устьев скважин'!H305),#N/A,'[1]Точность устьев скважин'!H305)</f>
        <v>#N/A</v>
      </c>
      <c r="H303" t="e">
        <f>IF(ISBLANK('[1]Точность устьев скважин'!I305),#N/A,'[1]Точность устьев скважин'!I305)</f>
        <v>#N/A</v>
      </c>
      <c r="I303" t="e">
        <f>IF(ISBLANK('[1]Точность устьев скважин'!J305),#N/A,'[1]Точность устьев скважин'!J305)</f>
        <v>#N/A</v>
      </c>
      <c r="J303" t="e">
        <f>IF(ISBLANK('[1]Точность устьев скважин'!K305),#N/A,'[1]Точность устьев скважин'!K305)</f>
        <v>#N/A</v>
      </c>
      <c r="L303" s="63" t="e">
        <f t="shared" si="35"/>
        <v>#N/A</v>
      </c>
      <c r="O303" t="e">
        <f t="shared" si="36"/>
        <v>#N/A</v>
      </c>
      <c r="P303" t="e">
        <f t="shared" si="36"/>
        <v>#N/A</v>
      </c>
      <c r="Q303" t="e">
        <f t="shared" si="37"/>
        <v>#N/A</v>
      </c>
      <c r="R303" t="e">
        <f t="shared" si="37"/>
        <v>#N/A</v>
      </c>
      <c r="S303" t="e">
        <f t="shared" si="38"/>
        <v>#N/A</v>
      </c>
      <c r="T303" t="e">
        <f t="shared" si="38"/>
        <v>#N/A</v>
      </c>
      <c r="U303" t="e">
        <f t="shared" si="39"/>
        <v>#N/A</v>
      </c>
      <c r="V303" t="e">
        <f t="shared" si="39"/>
        <v>#N/A</v>
      </c>
      <c r="W303" t="e">
        <f t="shared" si="40"/>
        <v>#N/A</v>
      </c>
      <c r="X303" t="e">
        <f t="shared" si="40"/>
        <v>#N/A</v>
      </c>
      <c r="Y303" t="e">
        <f t="shared" si="34"/>
        <v>#N/A</v>
      </c>
      <c r="Z303" t="e">
        <f t="shared" si="34"/>
        <v>#N/A</v>
      </c>
    </row>
    <row r="304" spans="1:26">
      <c r="A304" t="e">
        <f>IF(ISBLANK('[1]Точность устьев скважин'!A306),#N/A,'[1]Точность устьев скважин'!A306)</f>
        <v>#N/A</v>
      </c>
      <c r="B304" t="e">
        <f>IF(ISBLANK('[1]Точность устьев скважин'!B306),#N/A,'[1]Точность устьев скважин'!B306)</f>
        <v>#N/A</v>
      </c>
      <c r="C304" t="e">
        <f>IF(ISBLANK('[1]Точность устьев скважин'!C306),#N/A,'[1]Точность устьев скважин'!C306)</f>
        <v>#N/A</v>
      </c>
      <c r="D304" t="e">
        <f>IF(ISBLANK('[1]Точность устьев скважин'!D306),#N/A,'[1]Точность устьев скважин'!D306)</f>
        <v>#N/A</v>
      </c>
      <c r="G304" t="e">
        <f>IF(ISBLANK('[1]Точность устьев скважин'!H306),#N/A,'[1]Точность устьев скважин'!H306)</f>
        <v>#N/A</v>
      </c>
      <c r="H304" t="e">
        <f>IF(ISBLANK('[1]Точность устьев скважин'!I306),#N/A,'[1]Точность устьев скважин'!I306)</f>
        <v>#N/A</v>
      </c>
      <c r="I304" t="e">
        <f>IF(ISBLANK('[1]Точность устьев скважин'!J306),#N/A,'[1]Точность устьев скважин'!J306)</f>
        <v>#N/A</v>
      </c>
      <c r="J304" t="e">
        <f>IF(ISBLANK('[1]Точность устьев скважин'!K306),#N/A,'[1]Точность устьев скважин'!K306)</f>
        <v>#N/A</v>
      </c>
      <c r="L304" s="63" t="e">
        <f t="shared" si="35"/>
        <v>#N/A</v>
      </c>
      <c r="O304" t="e">
        <f t="shared" si="36"/>
        <v>#N/A</v>
      </c>
      <c r="P304" t="e">
        <f t="shared" si="36"/>
        <v>#N/A</v>
      </c>
      <c r="Q304" t="e">
        <f t="shared" si="37"/>
        <v>#N/A</v>
      </c>
      <c r="R304" t="e">
        <f t="shared" si="37"/>
        <v>#N/A</v>
      </c>
      <c r="S304" t="e">
        <f t="shared" si="38"/>
        <v>#N/A</v>
      </c>
      <c r="T304" t="e">
        <f t="shared" si="38"/>
        <v>#N/A</v>
      </c>
      <c r="U304" t="e">
        <f t="shared" si="39"/>
        <v>#N/A</v>
      </c>
      <c r="V304" t="e">
        <f t="shared" si="39"/>
        <v>#N/A</v>
      </c>
      <c r="W304" t="e">
        <f t="shared" si="40"/>
        <v>#N/A</v>
      </c>
      <c r="X304" t="e">
        <f t="shared" si="40"/>
        <v>#N/A</v>
      </c>
      <c r="Y304" t="e">
        <f t="shared" si="34"/>
        <v>#N/A</v>
      </c>
      <c r="Z304" t="e">
        <f t="shared" si="34"/>
        <v>#N/A</v>
      </c>
    </row>
    <row r="305" spans="1:26">
      <c r="A305" t="e">
        <f>IF(ISBLANK('[1]Точность устьев скважин'!A307),#N/A,'[1]Точность устьев скважин'!A307)</f>
        <v>#N/A</v>
      </c>
      <c r="B305" t="e">
        <f>IF(ISBLANK('[1]Точность устьев скважин'!B307),#N/A,'[1]Точность устьев скважин'!B307)</f>
        <v>#N/A</v>
      </c>
      <c r="C305" t="e">
        <f>IF(ISBLANK('[1]Точность устьев скважин'!C307),#N/A,'[1]Точность устьев скважин'!C307)</f>
        <v>#N/A</v>
      </c>
      <c r="D305" t="e">
        <f>IF(ISBLANK('[1]Точность устьев скважин'!D307),#N/A,'[1]Точность устьев скважин'!D307)</f>
        <v>#N/A</v>
      </c>
      <c r="G305" t="e">
        <f>IF(ISBLANK('[1]Точность устьев скважин'!H307),#N/A,'[1]Точность устьев скважин'!H307)</f>
        <v>#N/A</v>
      </c>
      <c r="H305" t="e">
        <f>IF(ISBLANK('[1]Точность устьев скважин'!I307),#N/A,'[1]Точность устьев скважин'!I307)</f>
        <v>#N/A</v>
      </c>
      <c r="I305" t="e">
        <f>IF(ISBLANK('[1]Точность устьев скважин'!J307),#N/A,'[1]Точность устьев скважин'!J307)</f>
        <v>#N/A</v>
      </c>
      <c r="J305" t="e">
        <f>IF(ISBLANK('[1]Точность устьев скважин'!K307),#N/A,'[1]Точность устьев скважин'!K307)</f>
        <v>#N/A</v>
      </c>
      <c r="L305" s="63" t="e">
        <f t="shared" si="35"/>
        <v>#N/A</v>
      </c>
      <c r="O305" t="e">
        <f t="shared" si="36"/>
        <v>#N/A</v>
      </c>
      <c r="P305" t="e">
        <f t="shared" si="36"/>
        <v>#N/A</v>
      </c>
      <c r="Q305" t="e">
        <f t="shared" si="37"/>
        <v>#N/A</v>
      </c>
      <c r="R305" t="e">
        <f t="shared" si="37"/>
        <v>#N/A</v>
      </c>
      <c r="S305" t="e">
        <f t="shared" si="38"/>
        <v>#N/A</v>
      </c>
      <c r="T305" t="e">
        <f t="shared" si="38"/>
        <v>#N/A</v>
      </c>
      <c r="U305" t="e">
        <f t="shared" si="39"/>
        <v>#N/A</v>
      </c>
      <c r="V305" t="e">
        <f t="shared" si="39"/>
        <v>#N/A</v>
      </c>
      <c r="W305" t="e">
        <f t="shared" si="40"/>
        <v>#N/A</v>
      </c>
      <c r="X305" t="e">
        <f t="shared" si="40"/>
        <v>#N/A</v>
      </c>
      <c r="Y305" t="e">
        <f t="shared" si="34"/>
        <v>#N/A</v>
      </c>
      <c r="Z305" t="e">
        <f t="shared" si="34"/>
        <v>#N/A</v>
      </c>
    </row>
    <row r="306" spans="1:26">
      <c r="A306" t="e">
        <f>IF(ISBLANK('[1]Точность устьев скважин'!A308),#N/A,'[1]Точность устьев скважин'!A308)</f>
        <v>#N/A</v>
      </c>
      <c r="B306" t="e">
        <f>IF(ISBLANK('[1]Точность устьев скважин'!B308),#N/A,'[1]Точность устьев скважин'!B308)</f>
        <v>#N/A</v>
      </c>
      <c r="C306" t="e">
        <f>IF(ISBLANK('[1]Точность устьев скважин'!C308),#N/A,'[1]Точность устьев скважин'!C308)</f>
        <v>#N/A</v>
      </c>
      <c r="D306" t="e">
        <f>IF(ISBLANK('[1]Точность устьев скважин'!D308),#N/A,'[1]Точность устьев скважин'!D308)</f>
        <v>#N/A</v>
      </c>
      <c r="G306" t="e">
        <f>IF(ISBLANK('[1]Точность устьев скважин'!H308),#N/A,'[1]Точность устьев скважин'!H308)</f>
        <v>#N/A</v>
      </c>
      <c r="H306" t="e">
        <f>IF(ISBLANK('[1]Точность устьев скважин'!I308),#N/A,'[1]Точность устьев скважин'!I308)</f>
        <v>#N/A</v>
      </c>
      <c r="I306" t="e">
        <f>IF(ISBLANK('[1]Точность устьев скважин'!J308),#N/A,'[1]Точность устьев скважин'!J308)</f>
        <v>#N/A</v>
      </c>
      <c r="J306" t="e">
        <f>IF(ISBLANK('[1]Точность устьев скважин'!K308),#N/A,'[1]Точность устьев скважин'!K308)</f>
        <v>#N/A</v>
      </c>
      <c r="L306" s="63" t="e">
        <f t="shared" si="35"/>
        <v>#N/A</v>
      </c>
      <c r="O306" t="e">
        <f t="shared" si="36"/>
        <v>#N/A</v>
      </c>
      <c r="P306" t="e">
        <f t="shared" si="36"/>
        <v>#N/A</v>
      </c>
      <c r="Q306" t="e">
        <f t="shared" si="37"/>
        <v>#N/A</v>
      </c>
      <c r="R306" t="e">
        <f t="shared" si="37"/>
        <v>#N/A</v>
      </c>
      <c r="S306" t="e">
        <f t="shared" si="38"/>
        <v>#N/A</v>
      </c>
      <c r="T306" t="e">
        <f t="shared" si="38"/>
        <v>#N/A</v>
      </c>
      <c r="U306" t="e">
        <f t="shared" si="39"/>
        <v>#N/A</v>
      </c>
      <c r="V306" t="e">
        <f t="shared" si="39"/>
        <v>#N/A</v>
      </c>
      <c r="W306" t="e">
        <f t="shared" si="40"/>
        <v>#N/A</v>
      </c>
      <c r="X306" t="e">
        <f t="shared" si="40"/>
        <v>#N/A</v>
      </c>
      <c r="Y306" t="e">
        <f t="shared" si="34"/>
        <v>#N/A</v>
      </c>
      <c r="Z306" t="e">
        <f t="shared" si="34"/>
        <v>#N/A</v>
      </c>
    </row>
    <row r="307" spans="1:26">
      <c r="A307" t="e">
        <f>IF(ISBLANK('[1]Точность устьев скважин'!A309),#N/A,'[1]Точность устьев скважин'!A309)</f>
        <v>#N/A</v>
      </c>
      <c r="B307" t="e">
        <f>IF(ISBLANK('[1]Точность устьев скважин'!B309),#N/A,'[1]Точность устьев скважин'!B309)</f>
        <v>#N/A</v>
      </c>
      <c r="C307" t="e">
        <f>IF(ISBLANK('[1]Точность устьев скважин'!C309),#N/A,'[1]Точность устьев скважин'!C309)</f>
        <v>#N/A</v>
      </c>
      <c r="D307" t="e">
        <f>IF(ISBLANK('[1]Точность устьев скважин'!D309),#N/A,'[1]Точность устьев скважин'!D309)</f>
        <v>#N/A</v>
      </c>
      <c r="G307" t="e">
        <f>IF(ISBLANK('[1]Точность устьев скважин'!H309),#N/A,'[1]Точность устьев скважин'!H309)</f>
        <v>#N/A</v>
      </c>
      <c r="H307" t="e">
        <f>IF(ISBLANK('[1]Точность устьев скважин'!I309),#N/A,'[1]Точность устьев скважин'!I309)</f>
        <v>#N/A</v>
      </c>
      <c r="I307" t="e">
        <f>IF(ISBLANK('[1]Точность устьев скважин'!J309),#N/A,'[1]Точность устьев скважин'!J309)</f>
        <v>#N/A</v>
      </c>
      <c r="J307" t="e">
        <f>IF(ISBLANK('[1]Точность устьев скважин'!K309),#N/A,'[1]Точность устьев скважин'!K309)</f>
        <v>#N/A</v>
      </c>
      <c r="L307" s="63" t="e">
        <f t="shared" si="35"/>
        <v>#N/A</v>
      </c>
      <c r="O307" t="e">
        <f t="shared" si="36"/>
        <v>#N/A</v>
      </c>
      <c r="P307" t="e">
        <f t="shared" si="36"/>
        <v>#N/A</v>
      </c>
      <c r="Q307" t="e">
        <f t="shared" si="37"/>
        <v>#N/A</v>
      </c>
      <c r="R307" t="e">
        <f t="shared" si="37"/>
        <v>#N/A</v>
      </c>
      <c r="S307" t="e">
        <f t="shared" si="38"/>
        <v>#N/A</v>
      </c>
      <c r="T307" t="e">
        <f t="shared" si="38"/>
        <v>#N/A</v>
      </c>
      <c r="U307" t="e">
        <f t="shared" si="39"/>
        <v>#N/A</v>
      </c>
      <c r="V307" t="e">
        <f t="shared" si="39"/>
        <v>#N/A</v>
      </c>
      <c r="W307" t="e">
        <f t="shared" si="40"/>
        <v>#N/A</v>
      </c>
      <c r="X307" t="e">
        <f t="shared" si="40"/>
        <v>#N/A</v>
      </c>
      <c r="Y307" t="e">
        <f t="shared" si="34"/>
        <v>#N/A</v>
      </c>
      <c r="Z307" t="e">
        <f t="shared" si="34"/>
        <v>#N/A</v>
      </c>
    </row>
    <row r="308" spans="1:26">
      <c r="A308" t="e">
        <f>IF(ISBLANK('[1]Точность устьев скважин'!A310),#N/A,'[1]Точность устьев скважин'!A310)</f>
        <v>#N/A</v>
      </c>
      <c r="B308" t="e">
        <f>IF(ISBLANK('[1]Точность устьев скважин'!B310),#N/A,'[1]Точность устьев скважин'!B310)</f>
        <v>#N/A</v>
      </c>
      <c r="C308" t="e">
        <f>IF(ISBLANK('[1]Точность устьев скважин'!C310),#N/A,'[1]Точность устьев скважин'!C310)</f>
        <v>#N/A</v>
      </c>
      <c r="D308" t="e">
        <f>IF(ISBLANK('[1]Точность устьев скважин'!D310),#N/A,'[1]Точность устьев скважин'!D310)</f>
        <v>#N/A</v>
      </c>
      <c r="G308" t="e">
        <f>IF(ISBLANK('[1]Точность устьев скважин'!H310),#N/A,'[1]Точность устьев скважин'!H310)</f>
        <v>#N/A</v>
      </c>
      <c r="H308" t="e">
        <f>IF(ISBLANK('[1]Точность устьев скважин'!I310),#N/A,'[1]Точность устьев скважин'!I310)</f>
        <v>#N/A</v>
      </c>
      <c r="I308" t="e">
        <f>IF(ISBLANK('[1]Точность устьев скважин'!J310),#N/A,'[1]Точность устьев скважин'!J310)</f>
        <v>#N/A</v>
      </c>
      <c r="J308" t="e">
        <f>IF(ISBLANK('[1]Точность устьев скважин'!K310),#N/A,'[1]Точность устьев скважин'!K310)</f>
        <v>#N/A</v>
      </c>
      <c r="L308" s="63" t="e">
        <f t="shared" si="35"/>
        <v>#N/A</v>
      </c>
      <c r="O308" t="e">
        <f t="shared" si="36"/>
        <v>#N/A</v>
      </c>
      <c r="P308" t="e">
        <f t="shared" si="36"/>
        <v>#N/A</v>
      </c>
      <c r="Q308" t="e">
        <f t="shared" si="37"/>
        <v>#N/A</v>
      </c>
      <c r="R308" t="e">
        <f t="shared" si="37"/>
        <v>#N/A</v>
      </c>
      <c r="S308" t="e">
        <f t="shared" si="38"/>
        <v>#N/A</v>
      </c>
      <c r="T308" t="e">
        <f t="shared" si="38"/>
        <v>#N/A</v>
      </c>
      <c r="U308" t="e">
        <f t="shared" si="39"/>
        <v>#N/A</v>
      </c>
      <c r="V308" t="e">
        <f t="shared" si="39"/>
        <v>#N/A</v>
      </c>
      <c r="W308" t="e">
        <f t="shared" si="40"/>
        <v>#N/A</v>
      </c>
      <c r="X308" t="e">
        <f t="shared" si="40"/>
        <v>#N/A</v>
      </c>
      <c r="Y308" t="e">
        <f t="shared" si="34"/>
        <v>#N/A</v>
      </c>
      <c r="Z308" t="e">
        <f t="shared" si="34"/>
        <v>#N/A</v>
      </c>
    </row>
    <row r="309" spans="1:26">
      <c r="A309" t="e">
        <f>IF(ISBLANK('[1]Точность устьев скважин'!A311),#N/A,'[1]Точность устьев скважин'!A311)</f>
        <v>#N/A</v>
      </c>
      <c r="B309" t="e">
        <f>IF(ISBLANK('[1]Точность устьев скважин'!B311),#N/A,'[1]Точность устьев скважин'!B311)</f>
        <v>#N/A</v>
      </c>
      <c r="C309" t="e">
        <f>IF(ISBLANK('[1]Точность устьев скважин'!C311),#N/A,'[1]Точность устьев скважин'!C311)</f>
        <v>#N/A</v>
      </c>
      <c r="D309" t="e">
        <f>IF(ISBLANK('[1]Точность устьев скважин'!D311),#N/A,'[1]Точность устьев скважин'!D311)</f>
        <v>#N/A</v>
      </c>
      <c r="G309" t="e">
        <f>IF(ISBLANK('[1]Точность устьев скважин'!H311),#N/A,'[1]Точность устьев скважин'!H311)</f>
        <v>#N/A</v>
      </c>
      <c r="H309" t="e">
        <f>IF(ISBLANK('[1]Точность устьев скважин'!I311),#N/A,'[1]Точность устьев скважин'!I311)</f>
        <v>#N/A</v>
      </c>
      <c r="I309" t="e">
        <f>IF(ISBLANK('[1]Точность устьев скважин'!J311),#N/A,'[1]Точность устьев скважин'!J311)</f>
        <v>#N/A</v>
      </c>
      <c r="J309" t="e">
        <f>IF(ISBLANK('[1]Точность устьев скважин'!K311),#N/A,'[1]Точность устьев скважин'!K311)</f>
        <v>#N/A</v>
      </c>
      <c r="L309" s="63" t="e">
        <f t="shared" si="35"/>
        <v>#N/A</v>
      </c>
      <c r="O309" t="e">
        <f t="shared" si="36"/>
        <v>#N/A</v>
      </c>
      <c r="P309" t="e">
        <f t="shared" si="36"/>
        <v>#N/A</v>
      </c>
      <c r="Q309" t="e">
        <f t="shared" si="37"/>
        <v>#N/A</v>
      </c>
      <c r="R309" t="e">
        <f t="shared" si="37"/>
        <v>#N/A</v>
      </c>
      <c r="S309" t="e">
        <f t="shared" si="38"/>
        <v>#N/A</v>
      </c>
      <c r="T309" t="e">
        <f t="shared" si="38"/>
        <v>#N/A</v>
      </c>
      <c r="U309" t="e">
        <f t="shared" si="39"/>
        <v>#N/A</v>
      </c>
      <c r="V309" t="e">
        <f t="shared" si="39"/>
        <v>#N/A</v>
      </c>
      <c r="W309" t="e">
        <f t="shared" si="40"/>
        <v>#N/A</v>
      </c>
      <c r="X309" t="e">
        <f t="shared" si="40"/>
        <v>#N/A</v>
      </c>
      <c r="Y309" t="e">
        <f t="shared" si="34"/>
        <v>#N/A</v>
      </c>
      <c r="Z309" t="e">
        <f t="shared" si="34"/>
        <v>#N/A</v>
      </c>
    </row>
    <row r="310" spans="1:26">
      <c r="A310" t="e">
        <f>IF(ISBLANK('[1]Точность устьев скважин'!A312),#N/A,'[1]Точность устьев скважин'!A312)</f>
        <v>#N/A</v>
      </c>
      <c r="B310" t="e">
        <f>IF(ISBLANK('[1]Точность устьев скважин'!B312),#N/A,'[1]Точность устьев скважин'!B312)</f>
        <v>#N/A</v>
      </c>
      <c r="C310" t="e">
        <f>IF(ISBLANK('[1]Точность устьев скважин'!C312),#N/A,'[1]Точность устьев скважин'!C312)</f>
        <v>#N/A</v>
      </c>
      <c r="D310" t="e">
        <f>IF(ISBLANK('[1]Точность устьев скважин'!D312),#N/A,'[1]Точность устьев скважин'!D312)</f>
        <v>#N/A</v>
      </c>
      <c r="G310" t="e">
        <f>IF(ISBLANK('[1]Точность устьев скважин'!H312),#N/A,'[1]Точность устьев скважин'!H312)</f>
        <v>#N/A</v>
      </c>
      <c r="H310" t="e">
        <f>IF(ISBLANK('[1]Точность устьев скважин'!I312),#N/A,'[1]Точность устьев скважин'!I312)</f>
        <v>#N/A</v>
      </c>
      <c r="I310" t="e">
        <f>IF(ISBLANK('[1]Точность устьев скважин'!J312),#N/A,'[1]Точность устьев скважин'!J312)</f>
        <v>#N/A</v>
      </c>
      <c r="J310" t="e">
        <f>IF(ISBLANK('[1]Точность устьев скважин'!K312),#N/A,'[1]Точность устьев скважин'!K312)</f>
        <v>#N/A</v>
      </c>
      <c r="L310" s="63" t="e">
        <f t="shared" si="35"/>
        <v>#N/A</v>
      </c>
      <c r="O310" t="e">
        <f t="shared" si="36"/>
        <v>#N/A</v>
      </c>
      <c r="P310" t="e">
        <f t="shared" si="36"/>
        <v>#N/A</v>
      </c>
      <c r="Q310" t="e">
        <f t="shared" si="37"/>
        <v>#N/A</v>
      </c>
      <c r="R310" t="e">
        <f t="shared" si="37"/>
        <v>#N/A</v>
      </c>
      <c r="S310" t="e">
        <f t="shared" si="38"/>
        <v>#N/A</v>
      </c>
      <c r="T310" t="e">
        <f t="shared" si="38"/>
        <v>#N/A</v>
      </c>
      <c r="U310" t="e">
        <f t="shared" si="39"/>
        <v>#N/A</v>
      </c>
      <c r="V310" t="e">
        <f t="shared" si="39"/>
        <v>#N/A</v>
      </c>
      <c r="W310" t="e">
        <f t="shared" si="40"/>
        <v>#N/A</v>
      </c>
      <c r="X310" t="e">
        <f t="shared" si="40"/>
        <v>#N/A</v>
      </c>
      <c r="Y310" t="e">
        <f t="shared" ref="Y310:Z373" si="41">IF($L$1=0.5,IF($L310&gt;=0.5,H310,#N/A),"")</f>
        <v>#N/A</v>
      </c>
      <c r="Z310" t="e">
        <f t="shared" si="41"/>
        <v>#N/A</v>
      </c>
    </row>
    <row r="311" spans="1:26">
      <c r="A311" t="e">
        <f>IF(ISBLANK('[1]Точность устьев скважин'!A313),#N/A,'[1]Точность устьев скважин'!A313)</f>
        <v>#N/A</v>
      </c>
      <c r="B311" t="e">
        <f>IF(ISBLANK('[1]Точность устьев скважин'!B313),#N/A,'[1]Точность устьев скважин'!B313)</f>
        <v>#N/A</v>
      </c>
      <c r="C311" t="e">
        <f>IF(ISBLANK('[1]Точность устьев скважин'!C313),#N/A,'[1]Точность устьев скважин'!C313)</f>
        <v>#N/A</v>
      </c>
      <c r="D311" t="e">
        <f>IF(ISBLANK('[1]Точность устьев скважин'!D313),#N/A,'[1]Точность устьев скважин'!D313)</f>
        <v>#N/A</v>
      </c>
      <c r="G311" t="e">
        <f>IF(ISBLANK('[1]Точность устьев скважин'!H313),#N/A,'[1]Точность устьев скважин'!H313)</f>
        <v>#N/A</v>
      </c>
      <c r="H311" t="e">
        <f>IF(ISBLANK('[1]Точность устьев скважин'!I313),#N/A,'[1]Точность устьев скважин'!I313)</f>
        <v>#N/A</v>
      </c>
      <c r="I311" t="e">
        <f>IF(ISBLANK('[1]Точность устьев скважин'!J313),#N/A,'[1]Точность устьев скважин'!J313)</f>
        <v>#N/A</v>
      </c>
      <c r="J311" t="e">
        <f>IF(ISBLANK('[1]Точность устьев скважин'!K313),#N/A,'[1]Точность устьев скважин'!K313)</f>
        <v>#N/A</v>
      </c>
      <c r="L311" s="63" t="e">
        <f t="shared" si="35"/>
        <v>#N/A</v>
      </c>
      <c r="O311" t="e">
        <f t="shared" si="36"/>
        <v>#N/A</v>
      </c>
      <c r="P311" t="e">
        <f t="shared" si="36"/>
        <v>#N/A</v>
      </c>
      <c r="Q311" t="e">
        <f t="shared" si="37"/>
        <v>#N/A</v>
      </c>
      <c r="R311" t="e">
        <f t="shared" si="37"/>
        <v>#N/A</v>
      </c>
      <c r="S311" t="e">
        <f t="shared" si="38"/>
        <v>#N/A</v>
      </c>
      <c r="T311" t="e">
        <f t="shared" si="38"/>
        <v>#N/A</v>
      </c>
      <c r="U311" t="e">
        <f t="shared" si="39"/>
        <v>#N/A</v>
      </c>
      <c r="V311" t="e">
        <f t="shared" si="39"/>
        <v>#N/A</v>
      </c>
      <c r="W311" t="e">
        <f t="shared" si="40"/>
        <v>#N/A</v>
      </c>
      <c r="X311" t="e">
        <f t="shared" si="40"/>
        <v>#N/A</v>
      </c>
      <c r="Y311" t="e">
        <f t="shared" si="41"/>
        <v>#N/A</v>
      </c>
      <c r="Z311" t="e">
        <f t="shared" si="41"/>
        <v>#N/A</v>
      </c>
    </row>
    <row r="312" spans="1:26">
      <c r="A312" t="e">
        <f>IF(ISBLANK('[1]Точность устьев скважин'!A314),#N/A,'[1]Точность устьев скважин'!A314)</f>
        <v>#N/A</v>
      </c>
      <c r="B312" t="e">
        <f>IF(ISBLANK('[1]Точность устьев скважин'!B314),#N/A,'[1]Точность устьев скважин'!B314)</f>
        <v>#N/A</v>
      </c>
      <c r="C312" t="e">
        <f>IF(ISBLANK('[1]Точность устьев скважин'!C314),#N/A,'[1]Точность устьев скважин'!C314)</f>
        <v>#N/A</v>
      </c>
      <c r="D312" t="e">
        <f>IF(ISBLANK('[1]Точность устьев скважин'!D314),#N/A,'[1]Точность устьев скважин'!D314)</f>
        <v>#N/A</v>
      </c>
      <c r="G312" t="e">
        <f>IF(ISBLANK('[1]Точность устьев скважин'!H314),#N/A,'[1]Точность устьев скважин'!H314)</f>
        <v>#N/A</v>
      </c>
      <c r="H312" t="e">
        <f>IF(ISBLANK('[1]Точность устьев скважин'!I314),#N/A,'[1]Точность устьев скважин'!I314)</f>
        <v>#N/A</v>
      </c>
      <c r="I312" t="e">
        <f>IF(ISBLANK('[1]Точность устьев скважин'!J314),#N/A,'[1]Точность устьев скважин'!J314)</f>
        <v>#N/A</v>
      </c>
      <c r="J312" t="e">
        <f>IF(ISBLANK('[1]Точность устьев скважин'!K314),#N/A,'[1]Точность устьев скважин'!K314)</f>
        <v>#N/A</v>
      </c>
      <c r="L312" s="63" t="e">
        <f t="shared" si="35"/>
        <v>#N/A</v>
      </c>
      <c r="O312" t="e">
        <f t="shared" si="36"/>
        <v>#N/A</v>
      </c>
      <c r="P312" t="e">
        <f t="shared" si="36"/>
        <v>#N/A</v>
      </c>
      <c r="Q312" t="e">
        <f t="shared" si="37"/>
        <v>#N/A</v>
      </c>
      <c r="R312" t="e">
        <f t="shared" si="37"/>
        <v>#N/A</v>
      </c>
      <c r="S312" t="e">
        <f t="shared" si="38"/>
        <v>#N/A</v>
      </c>
      <c r="T312" t="e">
        <f t="shared" si="38"/>
        <v>#N/A</v>
      </c>
      <c r="U312" t="e">
        <f t="shared" si="39"/>
        <v>#N/A</v>
      </c>
      <c r="V312" t="e">
        <f t="shared" si="39"/>
        <v>#N/A</v>
      </c>
      <c r="W312" t="e">
        <f t="shared" si="40"/>
        <v>#N/A</v>
      </c>
      <c r="X312" t="e">
        <f t="shared" si="40"/>
        <v>#N/A</v>
      </c>
      <c r="Y312" t="e">
        <f t="shared" si="41"/>
        <v>#N/A</v>
      </c>
      <c r="Z312" t="e">
        <f t="shared" si="41"/>
        <v>#N/A</v>
      </c>
    </row>
    <row r="313" spans="1:26">
      <c r="A313" t="e">
        <f>IF(ISBLANK('[1]Точность устьев скважин'!A315),#N/A,'[1]Точность устьев скважин'!A315)</f>
        <v>#N/A</v>
      </c>
      <c r="B313" t="e">
        <f>IF(ISBLANK('[1]Точность устьев скважин'!B315),#N/A,'[1]Точность устьев скважин'!B315)</f>
        <v>#N/A</v>
      </c>
      <c r="C313" t="e">
        <f>IF(ISBLANK('[1]Точность устьев скважин'!C315),#N/A,'[1]Точность устьев скважин'!C315)</f>
        <v>#N/A</v>
      </c>
      <c r="D313" t="e">
        <f>IF(ISBLANK('[1]Точность устьев скважин'!D315),#N/A,'[1]Точность устьев скважин'!D315)</f>
        <v>#N/A</v>
      </c>
      <c r="G313" t="e">
        <f>IF(ISBLANK('[1]Точность устьев скважин'!H315),#N/A,'[1]Точность устьев скважин'!H315)</f>
        <v>#N/A</v>
      </c>
      <c r="H313" t="e">
        <f>IF(ISBLANK('[1]Точность устьев скважин'!I315),#N/A,'[1]Точность устьев скважин'!I315)</f>
        <v>#N/A</v>
      </c>
      <c r="I313" t="e">
        <f>IF(ISBLANK('[1]Точность устьев скважин'!J315),#N/A,'[1]Точность устьев скважин'!J315)</f>
        <v>#N/A</v>
      </c>
      <c r="J313" t="e">
        <f>IF(ISBLANK('[1]Точность устьев скважин'!K315),#N/A,'[1]Точность устьев скважин'!K315)</f>
        <v>#N/A</v>
      </c>
      <c r="L313" s="63" t="e">
        <f t="shared" si="35"/>
        <v>#N/A</v>
      </c>
      <c r="O313" t="e">
        <f t="shared" si="36"/>
        <v>#N/A</v>
      </c>
      <c r="P313" t="e">
        <f t="shared" si="36"/>
        <v>#N/A</v>
      </c>
      <c r="Q313" t="e">
        <f t="shared" si="37"/>
        <v>#N/A</v>
      </c>
      <c r="R313" t="e">
        <f t="shared" si="37"/>
        <v>#N/A</v>
      </c>
      <c r="S313" t="e">
        <f t="shared" si="38"/>
        <v>#N/A</v>
      </c>
      <c r="T313" t="e">
        <f t="shared" si="38"/>
        <v>#N/A</v>
      </c>
      <c r="U313" t="e">
        <f t="shared" si="39"/>
        <v>#N/A</v>
      </c>
      <c r="V313" t="e">
        <f t="shared" si="39"/>
        <v>#N/A</v>
      </c>
      <c r="W313" t="e">
        <f t="shared" si="40"/>
        <v>#N/A</v>
      </c>
      <c r="X313" t="e">
        <f t="shared" si="40"/>
        <v>#N/A</v>
      </c>
      <c r="Y313" t="e">
        <f t="shared" si="41"/>
        <v>#N/A</v>
      </c>
      <c r="Z313" t="e">
        <f t="shared" si="41"/>
        <v>#N/A</v>
      </c>
    </row>
    <row r="314" spans="1:26">
      <c r="A314" t="e">
        <f>IF(ISBLANK('[1]Точность устьев скважин'!A316),#N/A,'[1]Точность устьев скважин'!A316)</f>
        <v>#N/A</v>
      </c>
      <c r="B314" t="e">
        <f>IF(ISBLANK('[1]Точность устьев скважин'!B316),#N/A,'[1]Точность устьев скважин'!B316)</f>
        <v>#N/A</v>
      </c>
      <c r="C314" t="e">
        <f>IF(ISBLANK('[1]Точность устьев скважин'!C316),#N/A,'[1]Точность устьев скважин'!C316)</f>
        <v>#N/A</v>
      </c>
      <c r="D314" t="e">
        <f>IF(ISBLANK('[1]Точность устьев скважин'!D316),#N/A,'[1]Точность устьев скважин'!D316)</f>
        <v>#N/A</v>
      </c>
      <c r="G314" t="e">
        <f>IF(ISBLANK('[1]Точность устьев скважин'!H316),#N/A,'[1]Точность устьев скважин'!H316)</f>
        <v>#N/A</v>
      </c>
      <c r="H314" t="e">
        <f>IF(ISBLANK('[1]Точность устьев скважин'!I316),#N/A,'[1]Точность устьев скважин'!I316)</f>
        <v>#N/A</v>
      </c>
      <c r="I314" t="e">
        <f>IF(ISBLANK('[1]Точность устьев скважин'!J316),#N/A,'[1]Точность устьев скважин'!J316)</f>
        <v>#N/A</v>
      </c>
      <c r="J314" t="e">
        <f>IF(ISBLANK('[1]Точность устьев скважин'!K316),#N/A,'[1]Точность устьев скважин'!K316)</f>
        <v>#N/A</v>
      </c>
      <c r="L314" s="63" t="e">
        <f t="shared" si="35"/>
        <v>#N/A</v>
      </c>
      <c r="O314" t="e">
        <f t="shared" si="36"/>
        <v>#N/A</v>
      </c>
      <c r="P314" t="e">
        <f t="shared" si="36"/>
        <v>#N/A</v>
      </c>
      <c r="Q314" t="e">
        <f t="shared" si="37"/>
        <v>#N/A</v>
      </c>
      <c r="R314" t="e">
        <f t="shared" si="37"/>
        <v>#N/A</v>
      </c>
      <c r="S314" t="e">
        <f t="shared" si="38"/>
        <v>#N/A</v>
      </c>
      <c r="T314" t="e">
        <f t="shared" si="38"/>
        <v>#N/A</v>
      </c>
      <c r="U314" t="e">
        <f t="shared" si="39"/>
        <v>#N/A</v>
      </c>
      <c r="V314" t="e">
        <f t="shared" si="39"/>
        <v>#N/A</v>
      </c>
      <c r="W314" t="e">
        <f t="shared" si="40"/>
        <v>#N/A</v>
      </c>
      <c r="X314" t="e">
        <f t="shared" si="40"/>
        <v>#N/A</v>
      </c>
      <c r="Y314" t="e">
        <f t="shared" si="41"/>
        <v>#N/A</v>
      </c>
      <c r="Z314" t="e">
        <f t="shared" si="41"/>
        <v>#N/A</v>
      </c>
    </row>
    <row r="315" spans="1:26">
      <c r="A315" t="e">
        <f>IF(ISBLANK('[1]Точность устьев скважин'!A317),#N/A,'[1]Точность устьев скважин'!A317)</f>
        <v>#N/A</v>
      </c>
      <c r="B315" t="e">
        <f>IF(ISBLANK('[1]Точность устьев скважин'!B317),#N/A,'[1]Точность устьев скважин'!B317)</f>
        <v>#N/A</v>
      </c>
      <c r="C315" t="e">
        <f>IF(ISBLANK('[1]Точность устьев скважин'!C317),#N/A,'[1]Точность устьев скважин'!C317)</f>
        <v>#N/A</v>
      </c>
      <c r="D315" t="e">
        <f>IF(ISBLANK('[1]Точность устьев скважин'!D317),#N/A,'[1]Точность устьев скважин'!D317)</f>
        <v>#N/A</v>
      </c>
      <c r="G315" t="e">
        <f>IF(ISBLANK('[1]Точность устьев скважин'!H317),#N/A,'[1]Точность устьев скважин'!H317)</f>
        <v>#N/A</v>
      </c>
      <c r="H315" t="e">
        <f>IF(ISBLANK('[1]Точность устьев скважин'!I317),#N/A,'[1]Точность устьев скважин'!I317)</f>
        <v>#N/A</v>
      </c>
      <c r="I315" t="e">
        <f>IF(ISBLANK('[1]Точность устьев скважин'!J317),#N/A,'[1]Точность устьев скважин'!J317)</f>
        <v>#N/A</v>
      </c>
      <c r="J315" t="e">
        <f>IF(ISBLANK('[1]Точность устьев скважин'!K317),#N/A,'[1]Точность устьев скважин'!K317)</f>
        <v>#N/A</v>
      </c>
      <c r="L315" s="63" t="e">
        <f t="shared" si="35"/>
        <v>#N/A</v>
      </c>
      <c r="O315" t="e">
        <f t="shared" si="36"/>
        <v>#N/A</v>
      </c>
      <c r="P315" t="e">
        <f t="shared" si="36"/>
        <v>#N/A</v>
      </c>
      <c r="Q315" t="e">
        <f t="shared" si="37"/>
        <v>#N/A</v>
      </c>
      <c r="R315" t="e">
        <f t="shared" si="37"/>
        <v>#N/A</v>
      </c>
      <c r="S315" t="e">
        <f t="shared" si="38"/>
        <v>#N/A</v>
      </c>
      <c r="T315" t="e">
        <f t="shared" si="38"/>
        <v>#N/A</v>
      </c>
      <c r="U315" t="e">
        <f t="shared" si="39"/>
        <v>#N/A</v>
      </c>
      <c r="V315" t="e">
        <f t="shared" si="39"/>
        <v>#N/A</v>
      </c>
      <c r="W315" t="e">
        <f t="shared" si="40"/>
        <v>#N/A</v>
      </c>
      <c r="X315" t="e">
        <f t="shared" si="40"/>
        <v>#N/A</v>
      </c>
      <c r="Y315" t="e">
        <f t="shared" si="41"/>
        <v>#N/A</v>
      </c>
      <c r="Z315" t="e">
        <f t="shared" si="41"/>
        <v>#N/A</v>
      </c>
    </row>
    <row r="316" spans="1:26">
      <c r="A316" t="e">
        <f>IF(ISBLANK('[1]Точность устьев скважин'!A318),#N/A,'[1]Точность устьев скважин'!A318)</f>
        <v>#N/A</v>
      </c>
      <c r="B316" t="e">
        <f>IF(ISBLANK('[1]Точность устьев скважин'!B318),#N/A,'[1]Точность устьев скважин'!B318)</f>
        <v>#N/A</v>
      </c>
      <c r="C316" t="e">
        <f>IF(ISBLANK('[1]Точность устьев скважин'!C318),#N/A,'[1]Точность устьев скважин'!C318)</f>
        <v>#N/A</v>
      </c>
      <c r="D316" t="e">
        <f>IF(ISBLANK('[1]Точность устьев скважин'!D318),#N/A,'[1]Точность устьев скважин'!D318)</f>
        <v>#N/A</v>
      </c>
      <c r="G316" t="e">
        <f>IF(ISBLANK('[1]Точность устьев скважин'!H318),#N/A,'[1]Точность устьев скважин'!H318)</f>
        <v>#N/A</v>
      </c>
      <c r="H316" t="e">
        <f>IF(ISBLANK('[1]Точность устьев скважин'!I318),#N/A,'[1]Точность устьев скважин'!I318)</f>
        <v>#N/A</v>
      </c>
      <c r="I316" t="e">
        <f>IF(ISBLANK('[1]Точность устьев скважин'!J318),#N/A,'[1]Точность устьев скважин'!J318)</f>
        <v>#N/A</v>
      </c>
      <c r="J316" t="e">
        <f>IF(ISBLANK('[1]Точность устьев скважин'!K318),#N/A,'[1]Точность устьев скважин'!K318)</f>
        <v>#N/A</v>
      </c>
      <c r="L316" s="63" t="e">
        <f t="shared" si="35"/>
        <v>#N/A</v>
      </c>
      <c r="O316" t="e">
        <f t="shared" si="36"/>
        <v>#N/A</v>
      </c>
      <c r="P316" t="e">
        <f t="shared" si="36"/>
        <v>#N/A</v>
      </c>
      <c r="Q316" t="e">
        <f t="shared" si="37"/>
        <v>#N/A</v>
      </c>
      <c r="R316" t="e">
        <f t="shared" si="37"/>
        <v>#N/A</v>
      </c>
      <c r="S316" t="e">
        <f t="shared" si="38"/>
        <v>#N/A</v>
      </c>
      <c r="T316" t="e">
        <f t="shared" si="38"/>
        <v>#N/A</v>
      </c>
      <c r="U316" t="e">
        <f t="shared" si="39"/>
        <v>#N/A</v>
      </c>
      <c r="V316" t="e">
        <f t="shared" si="39"/>
        <v>#N/A</v>
      </c>
      <c r="W316" t="e">
        <f t="shared" si="40"/>
        <v>#N/A</v>
      </c>
      <c r="X316" t="e">
        <f t="shared" si="40"/>
        <v>#N/A</v>
      </c>
      <c r="Y316" t="e">
        <f t="shared" si="41"/>
        <v>#N/A</v>
      </c>
      <c r="Z316" t="e">
        <f t="shared" si="41"/>
        <v>#N/A</v>
      </c>
    </row>
    <row r="317" spans="1:26">
      <c r="A317" t="e">
        <f>IF(ISBLANK('[1]Точность устьев скважин'!A319),#N/A,'[1]Точность устьев скважин'!A319)</f>
        <v>#N/A</v>
      </c>
      <c r="B317" t="e">
        <f>IF(ISBLANK('[1]Точность устьев скважин'!B319),#N/A,'[1]Точность устьев скважин'!B319)</f>
        <v>#N/A</v>
      </c>
      <c r="C317" t="e">
        <f>IF(ISBLANK('[1]Точность устьев скважин'!C319),#N/A,'[1]Точность устьев скважин'!C319)</f>
        <v>#N/A</v>
      </c>
      <c r="D317" t="e">
        <f>IF(ISBLANK('[1]Точность устьев скважин'!D319),#N/A,'[1]Точность устьев скважин'!D319)</f>
        <v>#N/A</v>
      </c>
      <c r="G317" t="e">
        <f>IF(ISBLANK('[1]Точность устьев скважин'!H319),#N/A,'[1]Точность устьев скважин'!H319)</f>
        <v>#N/A</v>
      </c>
      <c r="H317" t="e">
        <f>IF(ISBLANK('[1]Точность устьев скважин'!I319),#N/A,'[1]Точность устьев скважин'!I319)</f>
        <v>#N/A</v>
      </c>
      <c r="I317" t="e">
        <f>IF(ISBLANK('[1]Точность устьев скважин'!J319),#N/A,'[1]Точность устьев скважин'!J319)</f>
        <v>#N/A</v>
      </c>
      <c r="J317" t="e">
        <f>IF(ISBLANK('[1]Точность устьев скважин'!K319),#N/A,'[1]Точность устьев скважин'!K319)</f>
        <v>#N/A</v>
      </c>
      <c r="L317" s="63" t="e">
        <f t="shared" si="35"/>
        <v>#N/A</v>
      </c>
      <c r="O317" t="e">
        <f t="shared" si="36"/>
        <v>#N/A</v>
      </c>
      <c r="P317" t="e">
        <f t="shared" si="36"/>
        <v>#N/A</v>
      </c>
      <c r="Q317" t="e">
        <f t="shared" si="37"/>
        <v>#N/A</v>
      </c>
      <c r="R317" t="e">
        <f t="shared" si="37"/>
        <v>#N/A</v>
      </c>
      <c r="S317" t="e">
        <f t="shared" si="38"/>
        <v>#N/A</v>
      </c>
      <c r="T317" t="e">
        <f t="shared" si="38"/>
        <v>#N/A</v>
      </c>
      <c r="U317" t="e">
        <f t="shared" si="39"/>
        <v>#N/A</v>
      </c>
      <c r="V317" t="e">
        <f t="shared" si="39"/>
        <v>#N/A</v>
      </c>
      <c r="W317" t="e">
        <f t="shared" si="40"/>
        <v>#N/A</v>
      </c>
      <c r="X317" t="e">
        <f t="shared" si="40"/>
        <v>#N/A</v>
      </c>
      <c r="Y317" t="e">
        <f t="shared" si="41"/>
        <v>#N/A</v>
      </c>
      <c r="Z317" t="e">
        <f t="shared" si="41"/>
        <v>#N/A</v>
      </c>
    </row>
    <row r="318" spans="1:26">
      <c r="A318" t="e">
        <f>IF(ISBLANK('[1]Точность устьев скважин'!A320),#N/A,'[1]Точность устьев скважин'!A320)</f>
        <v>#N/A</v>
      </c>
      <c r="B318" t="e">
        <f>IF(ISBLANK('[1]Точность устьев скважин'!B320),#N/A,'[1]Точность устьев скважин'!B320)</f>
        <v>#N/A</v>
      </c>
      <c r="C318" t="e">
        <f>IF(ISBLANK('[1]Точность устьев скважин'!C320),#N/A,'[1]Точность устьев скважин'!C320)</f>
        <v>#N/A</v>
      </c>
      <c r="D318" t="e">
        <f>IF(ISBLANK('[1]Точность устьев скважин'!D320),#N/A,'[1]Точность устьев скважин'!D320)</f>
        <v>#N/A</v>
      </c>
      <c r="G318" t="e">
        <f>IF(ISBLANK('[1]Точность устьев скважин'!H320),#N/A,'[1]Точность устьев скважин'!H320)</f>
        <v>#N/A</v>
      </c>
      <c r="H318" t="e">
        <f>IF(ISBLANK('[1]Точность устьев скважин'!I320),#N/A,'[1]Точность устьев скважин'!I320)</f>
        <v>#N/A</v>
      </c>
      <c r="I318" t="e">
        <f>IF(ISBLANK('[1]Точность устьев скважин'!J320),#N/A,'[1]Точность устьев скважин'!J320)</f>
        <v>#N/A</v>
      </c>
      <c r="J318" t="e">
        <f>IF(ISBLANK('[1]Точность устьев скважин'!K320),#N/A,'[1]Точность устьев скважин'!K320)</f>
        <v>#N/A</v>
      </c>
      <c r="L318" s="63" t="e">
        <f t="shared" si="35"/>
        <v>#N/A</v>
      </c>
      <c r="O318" t="e">
        <f t="shared" si="36"/>
        <v>#N/A</v>
      </c>
      <c r="P318" t="e">
        <f t="shared" si="36"/>
        <v>#N/A</v>
      </c>
      <c r="Q318" t="e">
        <f t="shared" si="37"/>
        <v>#N/A</v>
      </c>
      <c r="R318" t="e">
        <f t="shared" si="37"/>
        <v>#N/A</v>
      </c>
      <c r="S318" t="e">
        <f t="shared" si="38"/>
        <v>#N/A</v>
      </c>
      <c r="T318" t="e">
        <f t="shared" si="38"/>
        <v>#N/A</v>
      </c>
      <c r="U318" t="e">
        <f t="shared" si="39"/>
        <v>#N/A</v>
      </c>
      <c r="V318" t="e">
        <f t="shared" si="39"/>
        <v>#N/A</v>
      </c>
      <c r="W318" t="e">
        <f t="shared" si="40"/>
        <v>#N/A</v>
      </c>
      <c r="X318" t="e">
        <f t="shared" si="40"/>
        <v>#N/A</v>
      </c>
      <c r="Y318" t="e">
        <f t="shared" si="41"/>
        <v>#N/A</v>
      </c>
      <c r="Z318" t="e">
        <f t="shared" si="41"/>
        <v>#N/A</v>
      </c>
    </row>
    <row r="319" spans="1:26">
      <c r="A319" t="e">
        <f>IF(ISBLANK('[1]Точность устьев скважин'!A321),#N/A,'[1]Точность устьев скважин'!A321)</f>
        <v>#N/A</v>
      </c>
      <c r="B319" t="e">
        <f>IF(ISBLANK('[1]Точность устьев скважин'!B321),#N/A,'[1]Точность устьев скважин'!B321)</f>
        <v>#N/A</v>
      </c>
      <c r="C319" t="e">
        <f>IF(ISBLANK('[1]Точность устьев скважин'!C321),#N/A,'[1]Точность устьев скважин'!C321)</f>
        <v>#N/A</v>
      </c>
      <c r="D319" t="e">
        <f>IF(ISBLANK('[1]Точность устьев скважин'!D321),#N/A,'[1]Точность устьев скважин'!D321)</f>
        <v>#N/A</v>
      </c>
      <c r="G319" t="e">
        <f>IF(ISBLANK('[1]Точность устьев скважин'!H321),#N/A,'[1]Точность устьев скважин'!H321)</f>
        <v>#N/A</v>
      </c>
      <c r="H319" t="e">
        <f>IF(ISBLANK('[1]Точность устьев скважин'!I321),#N/A,'[1]Точность устьев скважин'!I321)</f>
        <v>#N/A</v>
      </c>
      <c r="I319" t="e">
        <f>IF(ISBLANK('[1]Точность устьев скважин'!J321),#N/A,'[1]Точность устьев скважин'!J321)</f>
        <v>#N/A</v>
      </c>
      <c r="J319" t="e">
        <f>IF(ISBLANK('[1]Точность устьев скважин'!K321),#N/A,'[1]Точность устьев скважин'!K321)</f>
        <v>#N/A</v>
      </c>
      <c r="L319" s="63" t="e">
        <f t="shared" si="35"/>
        <v>#N/A</v>
      </c>
      <c r="O319" t="e">
        <f t="shared" si="36"/>
        <v>#N/A</v>
      </c>
      <c r="P319" t="e">
        <f t="shared" si="36"/>
        <v>#N/A</v>
      </c>
      <c r="Q319" t="e">
        <f t="shared" si="37"/>
        <v>#N/A</v>
      </c>
      <c r="R319" t="e">
        <f t="shared" si="37"/>
        <v>#N/A</v>
      </c>
      <c r="S319" t="e">
        <f t="shared" si="38"/>
        <v>#N/A</v>
      </c>
      <c r="T319" t="e">
        <f t="shared" si="38"/>
        <v>#N/A</v>
      </c>
      <c r="U319" t="e">
        <f t="shared" si="39"/>
        <v>#N/A</v>
      </c>
      <c r="V319" t="e">
        <f t="shared" si="39"/>
        <v>#N/A</v>
      </c>
      <c r="W319" t="e">
        <f t="shared" si="40"/>
        <v>#N/A</v>
      </c>
      <c r="X319" t="e">
        <f t="shared" si="40"/>
        <v>#N/A</v>
      </c>
      <c r="Y319" t="e">
        <f t="shared" si="41"/>
        <v>#N/A</v>
      </c>
      <c r="Z319" t="e">
        <f t="shared" si="41"/>
        <v>#N/A</v>
      </c>
    </row>
    <row r="320" spans="1:26">
      <c r="A320" t="e">
        <f>IF(ISBLANK('[1]Точность устьев скважин'!A322),#N/A,'[1]Точность устьев скважин'!A322)</f>
        <v>#N/A</v>
      </c>
      <c r="B320" t="e">
        <f>IF(ISBLANK('[1]Точность устьев скважин'!B322),#N/A,'[1]Точность устьев скважин'!B322)</f>
        <v>#N/A</v>
      </c>
      <c r="C320" t="e">
        <f>IF(ISBLANK('[1]Точность устьев скважин'!C322),#N/A,'[1]Точность устьев скважин'!C322)</f>
        <v>#N/A</v>
      </c>
      <c r="D320" t="e">
        <f>IF(ISBLANK('[1]Точность устьев скважин'!D322),#N/A,'[1]Точность устьев скважин'!D322)</f>
        <v>#N/A</v>
      </c>
      <c r="G320" t="e">
        <f>IF(ISBLANK('[1]Точность устьев скважин'!H322),#N/A,'[1]Точность устьев скважин'!H322)</f>
        <v>#N/A</v>
      </c>
      <c r="H320" t="e">
        <f>IF(ISBLANK('[1]Точность устьев скважин'!I322),#N/A,'[1]Точность устьев скважин'!I322)</f>
        <v>#N/A</v>
      </c>
      <c r="I320" t="e">
        <f>IF(ISBLANK('[1]Точность устьев скважин'!J322),#N/A,'[1]Точность устьев скважин'!J322)</f>
        <v>#N/A</v>
      </c>
      <c r="J320" t="e">
        <f>IF(ISBLANK('[1]Точность устьев скважин'!K322),#N/A,'[1]Точность устьев скважин'!K322)</f>
        <v>#N/A</v>
      </c>
      <c r="L320" s="63" t="e">
        <f t="shared" si="35"/>
        <v>#N/A</v>
      </c>
      <c r="O320" t="e">
        <f t="shared" si="36"/>
        <v>#N/A</v>
      </c>
      <c r="P320" t="e">
        <f t="shared" si="36"/>
        <v>#N/A</v>
      </c>
      <c r="Q320" t="e">
        <f t="shared" si="37"/>
        <v>#N/A</v>
      </c>
      <c r="R320" t="e">
        <f t="shared" si="37"/>
        <v>#N/A</v>
      </c>
      <c r="S320" t="e">
        <f t="shared" si="38"/>
        <v>#N/A</v>
      </c>
      <c r="T320" t="e">
        <f t="shared" si="38"/>
        <v>#N/A</v>
      </c>
      <c r="U320" t="e">
        <f t="shared" si="39"/>
        <v>#N/A</v>
      </c>
      <c r="V320" t="e">
        <f t="shared" si="39"/>
        <v>#N/A</v>
      </c>
      <c r="W320" t="e">
        <f t="shared" si="40"/>
        <v>#N/A</v>
      </c>
      <c r="X320" t="e">
        <f t="shared" si="40"/>
        <v>#N/A</v>
      </c>
      <c r="Y320" t="e">
        <f t="shared" si="41"/>
        <v>#N/A</v>
      </c>
      <c r="Z320" t="e">
        <f t="shared" si="41"/>
        <v>#N/A</v>
      </c>
    </row>
    <row r="321" spans="1:26">
      <c r="A321" t="e">
        <f>IF(ISBLANK('[1]Точность устьев скважин'!A323),#N/A,'[1]Точность устьев скважин'!A323)</f>
        <v>#N/A</v>
      </c>
      <c r="B321" t="e">
        <f>IF(ISBLANK('[1]Точность устьев скважин'!B323),#N/A,'[1]Точность устьев скважин'!B323)</f>
        <v>#N/A</v>
      </c>
      <c r="C321" t="e">
        <f>IF(ISBLANK('[1]Точность устьев скважин'!C323),#N/A,'[1]Точность устьев скважин'!C323)</f>
        <v>#N/A</v>
      </c>
      <c r="D321" t="e">
        <f>IF(ISBLANK('[1]Точность устьев скважин'!D323),#N/A,'[1]Точность устьев скважин'!D323)</f>
        <v>#N/A</v>
      </c>
      <c r="G321" t="e">
        <f>IF(ISBLANK('[1]Точность устьев скважин'!H323),#N/A,'[1]Точность устьев скважин'!H323)</f>
        <v>#N/A</v>
      </c>
      <c r="H321" t="e">
        <f>IF(ISBLANK('[1]Точность устьев скважин'!I323),#N/A,'[1]Точность устьев скважин'!I323)</f>
        <v>#N/A</v>
      </c>
      <c r="I321" t="e">
        <f>IF(ISBLANK('[1]Точность устьев скважин'!J323),#N/A,'[1]Точность устьев скважин'!J323)</f>
        <v>#N/A</v>
      </c>
      <c r="J321" t="e">
        <f>IF(ISBLANK('[1]Точность устьев скважин'!K323),#N/A,'[1]Точность устьев скважин'!K323)</f>
        <v>#N/A</v>
      </c>
      <c r="L321" s="63" t="e">
        <f t="shared" si="35"/>
        <v>#N/A</v>
      </c>
      <c r="O321" t="e">
        <f t="shared" si="36"/>
        <v>#N/A</v>
      </c>
      <c r="P321" t="e">
        <f t="shared" si="36"/>
        <v>#N/A</v>
      </c>
      <c r="Q321" t="e">
        <f t="shared" si="37"/>
        <v>#N/A</v>
      </c>
      <c r="R321" t="e">
        <f t="shared" si="37"/>
        <v>#N/A</v>
      </c>
      <c r="S321" t="e">
        <f t="shared" si="38"/>
        <v>#N/A</v>
      </c>
      <c r="T321" t="e">
        <f t="shared" si="38"/>
        <v>#N/A</v>
      </c>
      <c r="U321" t="e">
        <f t="shared" si="39"/>
        <v>#N/A</v>
      </c>
      <c r="V321" t="e">
        <f t="shared" si="39"/>
        <v>#N/A</v>
      </c>
      <c r="W321" t="e">
        <f t="shared" si="40"/>
        <v>#N/A</v>
      </c>
      <c r="X321" t="e">
        <f t="shared" si="40"/>
        <v>#N/A</v>
      </c>
      <c r="Y321" t="e">
        <f t="shared" si="41"/>
        <v>#N/A</v>
      </c>
      <c r="Z321" t="e">
        <f t="shared" si="41"/>
        <v>#N/A</v>
      </c>
    </row>
    <row r="322" spans="1:26">
      <c r="A322" t="e">
        <f>IF(ISBLANK('[1]Точность устьев скважин'!A324),#N/A,'[1]Точность устьев скважин'!A324)</f>
        <v>#N/A</v>
      </c>
      <c r="B322" t="e">
        <f>IF(ISBLANK('[1]Точность устьев скважин'!B324),#N/A,'[1]Точность устьев скважин'!B324)</f>
        <v>#N/A</v>
      </c>
      <c r="C322" t="e">
        <f>IF(ISBLANK('[1]Точность устьев скважин'!C324),#N/A,'[1]Точность устьев скважин'!C324)</f>
        <v>#N/A</v>
      </c>
      <c r="D322" t="e">
        <f>IF(ISBLANK('[1]Точность устьев скважин'!D324),#N/A,'[1]Точность устьев скважин'!D324)</f>
        <v>#N/A</v>
      </c>
      <c r="G322" t="e">
        <f>IF(ISBLANK('[1]Точность устьев скважин'!H324),#N/A,'[1]Точность устьев скважин'!H324)</f>
        <v>#N/A</v>
      </c>
      <c r="H322" t="e">
        <f>IF(ISBLANK('[1]Точность устьев скважин'!I324),#N/A,'[1]Точность устьев скважин'!I324)</f>
        <v>#N/A</v>
      </c>
      <c r="I322" t="e">
        <f>IF(ISBLANK('[1]Точность устьев скважин'!J324),#N/A,'[1]Точность устьев скважин'!J324)</f>
        <v>#N/A</v>
      </c>
      <c r="J322" t="e">
        <f>IF(ISBLANK('[1]Точность устьев скважин'!K324),#N/A,'[1]Точность устьев скважин'!K324)</f>
        <v>#N/A</v>
      </c>
      <c r="L322" s="63" t="e">
        <f t="shared" si="35"/>
        <v>#N/A</v>
      </c>
      <c r="O322" t="e">
        <f t="shared" si="36"/>
        <v>#N/A</v>
      </c>
      <c r="P322" t="e">
        <f t="shared" si="36"/>
        <v>#N/A</v>
      </c>
      <c r="Q322" t="e">
        <f t="shared" si="37"/>
        <v>#N/A</v>
      </c>
      <c r="R322" t="e">
        <f t="shared" si="37"/>
        <v>#N/A</v>
      </c>
      <c r="S322" t="e">
        <f t="shared" si="38"/>
        <v>#N/A</v>
      </c>
      <c r="T322" t="e">
        <f t="shared" si="38"/>
        <v>#N/A</v>
      </c>
      <c r="U322" t="e">
        <f t="shared" si="39"/>
        <v>#N/A</v>
      </c>
      <c r="V322" t="e">
        <f t="shared" si="39"/>
        <v>#N/A</v>
      </c>
      <c r="W322" t="e">
        <f t="shared" si="40"/>
        <v>#N/A</v>
      </c>
      <c r="X322" t="e">
        <f t="shared" si="40"/>
        <v>#N/A</v>
      </c>
      <c r="Y322" t="e">
        <f t="shared" si="41"/>
        <v>#N/A</v>
      </c>
      <c r="Z322" t="e">
        <f t="shared" si="41"/>
        <v>#N/A</v>
      </c>
    </row>
    <row r="323" spans="1:26">
      <c r="A323" t="e">
        <f>IF(ISBLANK('[1]Точность устьев скважин'!A325),#N/A,'[1]Точность устьев скважин'!A325)</f>
        <v>#N/A</v>
      </c>
      <c r="B323" t="e">
        <f>IF(ISBLANK('[1]Точность устьев скважин'!B325),#N/A,'[1]Точность устьев скважин'!B325)</f>
        <v>#N/A</v>
      </c>
      <c r="C323" t="e">
        <f>IF(ISBLANK('[1]Точность устьев скважин'!C325),#N/A,'[1]Точность устьев скважин'!C325)</f>
        <v>#N/A</v>
      </c>
      <c r="D323" t="e">
        <f>IF(ISBLANK('[1]Точность устьев скважин'!D325),#N/A,'[1]Точность устьев скважин'!D325)</f>
        <v>#N/A</v>
      </c>
      <c r="G323" t="e">
        <f>IF(ISBLANK('[1]Точность устьев скважин'!H325),#N/A,'[1]Точность устьев скважин'!H325)</f>
        <v>#N/A</v>
      </c>
      <c r="H323" t="e">
        <f>IF(ISBLANK('[1]Точность устьев скважин'!I325),#N/A,'[1]Точность устьев скважин'!I325)</f>
        <v>#N/A</v>
      </c>
      <c r="I323" t="e">
        <f>IF(ISBLANK('[1]Точность устьев скважин'!J325),#N/A,'[1]Точность устьев скважин'!J325)</f>
        <v>#N/A</v>
      </c>
      <c r="J323" t="e">
        <f>IF(ISBLANK('[1]Точность устьев скважин'!K325),#N/A,'[1]Точность устьев скважин'!K325)</f>
        <v>#N/A</v>
      </c>
      <c r="L323" s="63" t="e">
        <f t="shared" si="35"/>
        <v>#N/A</v>
      </c>
      <c r="O323" t="e">
        <f t="shared" si="36"/>
        <v>#N/A</v>
      </c>
      <c r="P323" t="e">
        <f t="shared" si="36"/>
        <v>#N/A</v>
      </c>
      <c r="Q323" t="e">
        <f t="shared" si="37"/>
        <v>#N/A</v>
      </c>
      <c r="R323" t="e">
        <f t="shared" si="37"/>
        <v>#N/A</v>
      </c>
      <c r="S323" t="e">
        <f t="shared" si="38"/>
        <v>#N/A</v>
      </c>
      <c r="T323" t="e">
        <f t="shared" si="38"/>
        <v>#N/A</v>
      </c>
      <c r="U323" t="e">
        <f t="shared" si="39"/>
        <v>#N/A</v>
      </c>
      <c r="V323" t="e">
        <f t="shared" si="39"/>
        <v>#N/A</v>
      </c>
      <c r="W323" t="e">
        <f t="shared" si="40"/>
        <v>#N/A</v>
      </c>
      <c r="X323" t="e">
        <f t="shared" si="40"/>
        <v>#N/A</v>
      </c>
      <c r="Y323" t="e">
        <f t="shared" si="41"/>
        <v>#N/A</v>
      </c>
      <c r="Z323" t="e">
        <f t="shared" si="41"/>
        <v>#N/A</v>
      </c>
    </row>
    <row r="324" spans="1:26">
      <c r="A324" t="e">
        <f>IF(ISBLANK('[1]Точность устьев скважин'!A326),#N/A,'[1]Точность устьев скважин'!A326)</f>
        <v>#N/A</v>
      </c>
      <c r="B324" t="e">
        <f>IF(ISBLANK('[1]Точность устьев скважин'!B326),#N/A,'[1]Точность устьев скважин'!B326)</f>
        <v>#N/A</v>
      </c>
      <c r="C324" t="e">
        <f>IF(ISBLANK('[1]Точность устьев скважин'!C326),#N/A,'[1]Точность устьев скважин'!C326)</f>
        <v>#N/A</v>
      </c>
      <c r="D324" t="e">
        <f>IF(ISBLANK('[1]Точность устьев скважин'!D326),#N/A,'[1]Точность устьев скважин'!D326)</f>
        <v>#N/A</v>
      </c>
      <c r="G324" t="e">
        <f>IF(ISBLANK('[1]Точность устьев скважин'!H326),#N/A,'[1]Точность устьев скважин'!H326)</f>
        <v>#N/A</v>
      </c>
      <c r="H324" t="e">
        <f>IF(ISBLANK('[1]Точность устьев скважин'!I326),#N/A,'[1]Точность устьев скважин'!I326)</f>
        <v>#N/A</v>
      </c>
      <c r="I324" t="e">
        <f>IF(ISBLANK('[1]Точность устьев скважин'!J326),#N/A,'[1]Точность устьев скважин'!J326)</f>
        <v>#N/A</v>
      </c>
      <c r="J324" t="e">
        <f>IF(ISBLANK('[1]Точность устьев скважин'!K326),#N/A,'[1]Точность устьев скважин'!K326)</f>
        <v>#N/A</v>
      </c>
      <c r="L324" s="63" t="e">
        <f t="shared" ref="L324:L387" si="42">IF(B324="","",(SQRT((H324-B324)^2+(I324-C324)^2)))</f>
        <v>#N/A</v>
      </c>
      <c r="O324" t="e">
        <f t="shared" si="36"/>
        <v>#N/A</v>
      </c>
      <c r="P324" t="e">
        <f t="shared" si="36"/>
        <v>#N/A</v>
      </c>
      <c r="Q324" t="e">
        <f t="shared" si="37"/>
        <v>#N/A</v>
      </c>
      <c r="R324" t="e">
        <f t="shared" si="37"/>
        <v>#N/A</v>
      </c>
      <c r="S324" t="e">
        <f t="shared" si="38"/>
        <v>#N/A</v>
      </c>
      <c r="T324" t="e">
        <f t="shared" si="38"/>
        <v>#N/A</v>
      </c>
      <c r="U324" t="e">
        <f t="shared" si="39"/>
        <v>#N/A</v>
      </c>
      <c r="V324" t="e">
        <f t="shared" si="39"/>
        <v>#N/A</v>
      </c>
      <c r="W324" t="e">
        <f t="shared" si="40"/>
        <v>#N/A</v>
      </c>
      <c r="X324" t="e">
        <f t="shared" si="40"/>
        <v>#N/A</v>
      </c>
      <c r="Y324" t="e">
        <f t="shared" si="41"/>
        <v>#N/A</v>
      </c>
      <c r="Z324" t="e">
        <f t="shared" si="41"/>
        <v>#N/A</v>
      </c>
    </row>
    <row r="325" spans="1:26">
      <c r="A325" t="e">
        <f>IF(ISBLANK('[1]Точность устьев скважин'!A327),#N/A,'[1]Точность устьев скважин'!A327)</f>
        <v>#N/A</v>
      </c>
      <c r="B325" t="e">
        <f>IF(ISBLANK('[1]Точность устьев скважин'!B327),#N/A,'[1]Точность устьев скважин'!B327)</f>
        <v>#N/A</v>
      </c>
      <c r="C325" t="e">
        <f>IF(ISBLANK('[1]Точность устьев скважин'!C327),#N/A,'[1]Точность устьев скважин'!C327)</f>
        <v>#N/A</v>
      </c>
      <c r="D325" t="e">
        <f>IF(ISBLANK('[1]Точность устьев скважин'!D327),#N/A,'[1]Точность устьев скважин'!D327)</f>
        <v>#N/A</v>
      </c>
      <c r="G325" t="e">
        <f>IF(ISBLANK('[1]Точность устьев скважин'!H327),#N/A,'[1]Точность устьев скважин'!H327)</f>
        <v>#N/A</v>
      </c>
      <c r="H325" t="e">
        <f>IF(ISBLANK('[1]Точность устьев скважин'!I327),#N/A,'[1]Точность устьев скважин'!I327)</f>
        <v>#N/A</v>
      </c>
      <c r="I325" t="e">
        <f>IF(ISBLANK('[1]Точность устьев скважин'!J327),#N/A,'[1]Точность устьев скважин'!J327)</f>
        <v>#N/A</v>
      </c>
      <c r="J325" t="e">
        <f>IF(ISBLANK('[1]Точность устьев скважин'!K327),#N/A,'[1]Точность устьев скважин'!K327)</f>
        <v>#N/A</v>
      </c>
      <c r="L325" s="63" t="e">
        <f t="shared" si="42"/>
        <v>#N/A</v>
      </c>
      <c r="O325" t="e">
        <f t="shared" si="36"/>
        <v>#N/A</v>
      </c>
      <c r="P325" t="e">
        <f t="shared" si="36"/>
        <v>#N/A</v>
      </c>
      <c r="Q325" t="e">
        <f t="shared" si="37"/>
        <v>#N/A</v>
      </c>
      <c r="R325" t="e">
        <f t="shared" si="37"/>
        <v>#N/A</v>
      </c>
      <c r="S325" t="e">
        <f t="shared" si="38"/>
        <v>#N/A</v>
      </c>
      <c r="T325" t="e">
        <f t="shared" si="38"/>
        <v>#N/A</v>
      </c>
      <c r="U325" t="e">
        <f t="shared" si="39"/>
        <v>#N/A</v>
      </c>
      <c r="V325" t="e">
        <f t="shared" si="39"/>
        <v>#N/A</v>
      </c>
      <c r="W325" t="e">
        <f t="shared" si="40"/>
        <v>#N/A</v>
      </c>
      <c r="X325" t="e">
        <f t="shared" si="40"/>
        <v>#N/A</v>
      </c>
      <c r="Y325" t="e">
        <f t="shared" si="41"/>
        <v>#N/A</v>
      </c>
      <c r="Z325" t="e">
        <f t="shared" si="41"/>
        <v>#N/A</v>
      </c>
    </row>
    <row r="326" spans="1:26">
      <c r="A326" t="e">
        <f>IF(ISBLANK('[1]Точность устьев скважин'!A328),#N/A,'[1]Точность устьев скважин'!A328)</f>
        <v>#N/A</v>
      </c>
      <c r="B326" t="e">
        <f>IF(ISBLANK('[1]Точность устьев скважин'!B328),#N/A,'[1]Точность устьев скважин'!B328)</f>
        <v>#N/A</v>
      </c>
      <c r="C326" t="e">
        <f>IF(ISBLANK('[1]Точность устьев скважин'!C328),#N/A,'[1]Точность устьев скважин'!C328)</f>
        <v>#N/A</v>
      </c>
      <c r="D326" t="e">
        <f>IF(ISBLANK('[1]Точность устьев скважин'!D328),#N/A,'[1]Точность устьев скважин'!D328)</f>
        <v>#N/A</v>
      </c>
      <c r="G326" t="e">
        <f>IF(ISBLANK('[1]Точность устьев скважин'!H328),#N/A,'[1]Точность устьев скважин'!H328)</f>
        <v>#N/A</v>
      </c>
      <c r="H326" t="e">
        <f>IF(ISBLANK('[1]Точность устьев скважин'!I328),#N/A,'[1]Точность устьев скважин'!I328)</f>
        <v>#N/A</v>
      </c>
      <c r="I326" t="e">
        <f>IF(ISBLANK('[1]Точность устьев скважин'!J328),#N/A,'[1]Точность устьев скважин'!J328)</f>
        <v>#N/A</v>
      </c>
      <c r="J326" t="e">
        <f>IF(ISBLANK('[1]Точность устьев скважин'!K328),#N/A,'[1]Точность устьев скважин'!K328)</f>
        <v>#N/A</v>
      </c>
      <c r="L326" s="63" t="e">
        <f t="shared" si="42"/>
        <v>#N/A</v>
      </c>
      <c r="O326" t="e">
        <f t="shared" si="36"/>
        <v>#N/A</v>
      </c>
      <c r="P326" t="e">
        <f t="shared" si="36"/>
        <v>#N/A</v>
      </c>
      <c r="Q326" t="e">
        <f t="shared" si="37"/>
        <v>#N/A</v>
      </c>
      <c r="R326" t="e">
        <f t="shared" si="37"/>
        <v>#N/A</v>
      </c>
      <c r="S326" t="e">
        <f t="shared" si="38"/>
        <v>#N/A</v>
      </c>
      <c r="T326" t="e">
        <f t="shared" si="38"/>
        <v>#N/A</v>
      </c>
      <c r="U326" t="e">
        <f t="shared" si="39"/>
        <v>#N/A</v>
      </c>
      <c r="V326" t="e">
        <f t="shared" si="39"/>
        <v>#N/A</v>
      </c>
      <c r="W326" t="e">
        <f t="shared" si="40"/>
        <v>#N/A</v>
      </c>
      <c r="X326" t="e">
        <f t="shared" si="40"/>
        <v>#N/A</v>
      </c>
      <c r="Y326" t="e">
        <f t="shared" si="41"/>
        <v>#N/A</v>
      </c>
      <c r="Z326" t="e">
        <f t="shared" si="41"/>
        <v>#N/A</v>
      </c>
    </row>
    <row r="327" spans="1:26">
      <c r="A327" t="e">
        <f>IF(ISBLANK('[1]Точность устьев скважин'!A329),#N/A,'[1]Точность устьев скважин'!A329)</f>
        <v>#N/A</v>
      </c>
      <c r="B327" t="e">
        <f>IF(ISBLANK('[1]Точность устьев скважин'!B329),#N/A,'[1]Точность устьев скважин'!B329)</f>
        <v>#N/A</v>
      </c>
      <c r="C327" t="e">
        <f>IF(ISBLANK('[1]Точность устьев скважин'!C329),#N/A,'[1]Точность устьев скважин'!C329)</f>
        <v>#N/A</v>
      </c>
      <c r="D327" t="e">
        <f>IF(ISBLANK('[1]Точность устьев скважин'!D329),#N/A,'[1]Точность устьев скважин'!D329)</f>
        <v>#N/A</v>
      </c>
      <c r="G327" t="e">
        <f>IF(ISBLANK('[1]Точность устьев скважин'!H329),#N/A,'[1]Точность устьев скважин'!H329)</f>
        <v>#N/A</v>
      </c>
      <c r="H327" t="e">
        <f>IF(ISBLANK('[1]Точность устьев скважин'!I329),#N/A,'[1]Точность устьев скважин'!I329)</f>
        <v>#N/A</v>
      </c>
      <c r="I327" t="e">
        <f>IF(ISBLANK('[1]Точность устьев скважин'!J329),#N/A,'[1]Точность устьев скважин'!J329)</f>
        <v>#N/A</v>
      </c>
      <c r="J327" t="e">
        <f>IF(ISBLANK('[1]Точность устьев скважин'!K329),#N/A,'[1]Точность устьев скважин'!K329)</f>
        <v>#N/A</v>
      </c>
      <c r="L327" s="63" t="e">
        <f t="shared" si="42"/>
        <v>#N/A</v>
      </c>
      <c r="O327" t="e">
        <f t="shared" si="36"/>
        <v>#N/A</v>
      </c>
      <c r="P327" t="e">
        <f t="shared" si="36"/>
        <v>#N/A</v>
      </c>
      <c r="Q327" t="e">
        <f t="shared" si="37"/>
        <v>#N/A</v>
      </c>
      <c r="R327" t="e">
        <f t="shared" si="37"/>
        <v>#N/A</v>
      </c>
      <c r="S327" t="e">
        <f t="shared" si="38"/>
        <v>#N/A</v>
      </c>
      <c r="T327" t="e">
        <f t="shared" si="38"/>
        <v>#N/A</v>
      </c>
      <c r="U327" t="e">
        <f t="shared" si="39"/>
        <v>#N/A</v>
      </c>
      <c r="V327" t="e">
        <f t="shared" si="39"/>
        <v>#N/A</v>
      </c>
      <c r="W327" t="e">
        <f t="shared" si="40"/>
        <v>#N/A</v>
      </c>
      <c r="X327" t="e">
        <f t="shared" si="40"/>
        <v>#N/A</v>
      </c>
      <c r="Y327" t="e">
        <f t="shared" si="41"/>
        <v>#N/A</v>
      </c>
      <c r="Z327" t="e">
        <f t="shared" si="41"/>
        <v>#N/A</v>
      </c>
    </row>
    <row r="328" spans="1:26">
      <c r="A328" t="e">
        <f>IF(ISBLANK('[1]Точность устьев скважин'!A330),#N/A,'[1]Точность устьев скважин'!A330)</f>
        <v>#N/A</v>
      </c>
      <c r="B328" t="e">
        <f>IF(ISBLANK('[1]Точность устьев скважин'!B330),#N/A,'[1]Точность устьев скважин'!B330)</f>
        <v>#N/A</v>
      </c>
      <c r="C328" t="e">
        <f>IF(ISBLANK('[1]Точность устьев скважин'!C330),#N/A,'[1]Точность устьев скважин'!C330)</f>
        <v>#N/A</v>
      </c>
      <c r="D328" t="e">
        <f>IF(ISBLANK('[1]Точность устьев скважин'!D330),#N/A,'[1]Точность устьев скважин'!D330)</f>
        <v>#N/A</v>
      </c>
      <c r="G328" t="e">
        <f>IF(ISBLANK('[1]Точность устьев скважин'!H330),#N/A,'[1]Точность устьев скважин'!H330)</f>
        <v>#N/A</v>
      </c>
      <c r="H328" t="e">
        <f>IF(ISBLANK('[1]Точность устьев скважин'!I330),#N/A,'[1]Точность устьев скважин'!I330)</f>
        <v>#N/A</v>
      </c>
      <c r="I328" t="e">
        <f>IF(ISBLANK('[1]Точность устьев скважин'!J330),#N/A,'[1]Точность устьев скважин'!J330)</f>
        <v>#N/A</v>
      </c>
      <c r="J328" t="e">
        <f>IF(ISBLANK('[1]Точность устьев скважин'!K330),#N/A,'[1]Точность устьев скважин'!K330)</f>
        <v>#N/A</v>
      </c>
      <c r="L328" s="63" t="e">
        <f t="shared" si="42"/>
        <v>#N/A</v>
      </c>
      <c r="O328" t="e">
        <f t="shared" si="36"/>
        <v>#N/A</v>
      </c>
      <c r="P328" t="e">
        <f t="shared" si="36"/>
        <v>#N/A</v>
      </c>
      <c r="Q328" t="e">
        <f t="shared" si="37"/>
        <v>#N/A</v>
      </c>
      <c r="R328" t="e">
        <f t="shared" si="37"/>
        <v>#N/A</v>
      </c>
      <c r="S328" t="e">
        <f t="shared" si="38"/>
        <v>#N/A</v>
      </c>
      <c r="T328" t="e">
        <f t="shared" si="38"/>
        <v>#N/A</v>
      </c>
      <c r="U328" t="e">
        <f t="shared" si="39"/>
        <v>#N/A</v>
      </c>
      <c r="V328" t="e">
        <f t="shared" si="39"/>
        <v>#N/A</v>
      </c>
      <c r="W328" t="e">
        <f t="shared" si="40"/>
        <v>#N/A</v>
      </c>
      <c r="X328" t="e">
        <f t="shared" si="40"/>
        <v>#N/A</v>
      </c>
      <c r="Y328" t="e">
        <f t="shared" si="41"/>
        <v>#N/A</v>
      </c>
      <c r="Z328" t="e">
        <f t="shared" si="41"/>
        <v>#N/A</v>
      </c>
    </row>
    <row r="329" spans="1:26">
      <c r="A329" t="e">
        <f>IF(ISBLANK('[1]Точность устьев скважин'!A331),#N/A,'[1]Точность устьев скважин'!A331)</f>
        <v>#N/A</v>
      </c>
      <c r="B329" t="e">
        <f>IF(ISBLANK('[1]Точность устьев скважин'!B331),#N/A,'[1]Точность устьев скважин'!B331)</f>
        <v>#N/A</v>
      </c>
      <c r="C329" t="e">
        <f>IF(ISBLANK('[1]Точность устьев скважин'!C331),#N/A,'[1]Точность устьев скважин'!C331)</f>
        <v>#N/A</v>
      </c>
      <c r="D329" t="e">
        <f>IF(ISBLANK('[1]Точность устьев скважин'!D331),#N/A,'[1]Точность устьев скважин'!D331)</f>
        <v>#N/A</v>
      </c>
      <c r="G329" t="e">
        <f>IF(ISBLANK('[1]Точность устьев скважин'!H331),#N/A,'[1]Точность устьев скважин'!H331)</f>
        <v>#N/A</v>
      </c>
      <c r="H329" t="e">
        <f>IF(ISBLANK('[1]Точность устьев скважин'!I331),#N/A,'[1]Точность устьев скважин'!I331)</f>
        <v>#N/A</v>
      </c>
      <c r="I329" t="e">
        <f>IF(ISBLANK('[1]Точность устьев скважин'!J331),#N/A,'[1]Точность устьев скважин'!J331)</f>
        <v>#N/A</v>
      </c>
      <c r="J329" t="e">
        <f>IF(ISBLANK('[1]Точность устьев скважин'!K331),#N/A,'[1]Точность устьев скважин'!K331)</f>
        <v>#N/A</v>
      </c>
      <c r="L329" s="63" t="e">
        <f t="shared" si="42"/>
        <v>#N/A</v>
      </c>
      <c r="O329" t="e">
        <f t="shared" si="36"/>
        <v>#N/A</v>
      </c>
      <c r="P329" t="e">
        <f t="shared" si="36"/>
        <v>#N/A</v>
      </c>
      <c r="Q329" t="e">
        <f t="shared" si="37"/>
        <v>#N/A</v>
      </c>
      <c r="R329" t="e">
        <f t="shared" si="37"/>
        <v>#N/A</v>
      </c>
      <c r="S329" t="e">
        <f t="shared" si="38"/>
        <v>#N/A</v>
      </c>
      <c r="T329" t="e">
        <f t="shared" si="38"/>
        <v>#N/A</v>
      </c>
      <c r="U329" t="e">
        <f t="shared" si="39"/>
        <v>#N/A</v>
      </c>
      <c r="V329" t="e">
        <f t="shared" si="39"/>
        <v>#N/A</v>
      </c>
      <c r="W329" t="e">
        <f t="shared" si="40"/>
        <v>#N/A</v>
      </c>
      <c r="X329" t="e">
        <f t="shared" si="40"/>
        <v>#N/A</v>
      </c>
      <c r="Y329" t="e">
        <f t="shared" si="41"/>
        <v>#N/A</v>
      </c>
      <c r="Z329" t="e">
        <f t="shared" si="41"/>
        <v>#N/A</v>
      </c>
    </row>
    <row r="330" spans="1:26">
      <c r="A330" t="e">
        <f>IF(ISBLANK('[1]Точность устьев скважин'!A332),#N/A,'[1]Точность устьев скважин'!A332)</f>
        <v>#N/A</v>
      </c>
      <c r="B330" t="e">
        <f>IF(ISBLANK('[1]Точность устьев скважин'!B332),#N/A,'[1]Точность устьев скважин'!B332)</f>
        <v>#N/A</v>
      </c>
      <c r="C330" t="e">
        <f>IF(ISBLANK('[1]Точность устьев скважин'!C332),#N/A,'[1]Точность устьев скважин'!C332)</f>
        <v>#N/A</v>
      </c>
      <c r="D330" t="e">
        <f>IF(ISBLANK('[1]Точность устьев скважин'!D332),#N/A,'[1]Точность устьев скважин'!D332)</f>
        <v>#N/A</v>
      </c>
      <c r="G330" t="e">
        <f>IF(ISBLANK('[1]Точность устьев скважин'!H332),#N/A,'[1]Точность устьев скважин'!H332)</f>
        <v>#N/A</v>
      </c>
      <c r="H330" t="e">
        <f>IF(ISBLANK('[1]Точность устьев скважин'!I332),#N/A,'[1]Точность устьев скважин'!I332)</f>
        <v>#N/A</v>
      </c>
      <c r="I330" t="e">
        <f>IF(ISBLANK('[1]Точность устьев скважин'!J332),#N/A,'[1]Точность устьев скважин'!J332)</f>
        <v>#N/A</v>
      </c>
      <c r="J330" t="e">
        <f>IF(ISBLANK('[1]Точность устьев скважин'!K332),#N/A,'[1]Точность устьев скважин'!K332)</f>
        <v>#N/A</v>
      </c>
      <c r="L330" s="63" t="e">
        <f t="shared" si="42"/>
        <v>#N/A</v>
      </c>
      <c r="O330" t="e">
        <f t="shared" si="36"/>
        <v>#N/A</v>
      </c>
      <c r="P330" t="e">
        <f t="shared" si="36"/>
        <v>#N/A</v>
      </c>
      <c r="Q330" t="e">
        <f t="shared" si="37"/>
        <v>#N/A</v>
      </c>
      <c r="R330" t="e">
        <f t="shared" si="37"/>
        <v>#N/A</v>
      </c>
      <c r="S330" t="e">
        <f t="shared" si="38"/>
        <v>#N/A</v>
      </c>
      <c r="T330" t="e">
        <f t="shared" si="38"/>
        <v>#N/A</v>
      </c>
      <c r="U330" t="e">
        <f t="shared" si="39"/>
        <v>#N/A</v>
      </c>
      <c r="V330" t="e">
        <f t="shared" si="39"/>
        <v>#N/A</v>
      </c>
      <c r="W330" t="e">
        <f t="shared" si="40"/>
        <v>#N/A</v>
      </c>
      <c r="X330" t="e">
        <f t="shared" si="40"/>
        <v>#N/A</v>
      </c>
      <c r="Y330" t="e">
        <f t="shared" si="41"/>
        <v>#N/A</v>
      </c>
      <c r="Z330" t="e">
        <f t="shared" si="41"/>
        <v>#N/A</v>
      </c>
    </row>
    <row r="331" spans="1:26">
      <c r="A331" t="e">
        <f>IF(ISBLANK('[1]Точность устьев скважин'!A333),#N/A,'[1]Точность устьев скважин'!A333)</f>
        <v>#N/A</v>
      </c>
      <c r="B331" t="e">
        <f>IF(ISBLANK('[1]Точность устьев скважин'!B333),#N/A,'[1]Точность устьев скважин'!B333)</f>
        <v>#N/A</v>
      </c>
      <c r="C331" t="e">
        <f>IF(ISBLANK('[1]Точность устьев скважин'!C333),#N/A,'[1]Точность устьев скважин'!C333)</f>
        <v>#N/A</v>
      </c>
      <c r="D331" t="e">
        <f>IF(ISBLANK('[1]Точность устьев скважин'!D333),#N/A,'[1]Точность устьев скважин'!D333)</f>
        <v>#N/A</v>
      </c>
      <c r="G331" t="e">
        <f>IF(ISBLANK('[1]Точность устьев скважин'!H333),#N/A,'[1]Точность устьев скважин'!H333)</f>
        <v>#N/A</v>
      </c>
      <c r="H331" t="e">
        <f>IF(ISBLANK('[1]Точность устьев скважин'!I333),#N/A,'[1]Точность устьев скважин'!I333)</f>
        <v>#N/A</v>
      </c>
      <c r="I331" t="e">
        <f>IF(ISBLANK('[1]Точность устьев скважин'!J333),#N/A,'[1]Точность устьев скважин'!J333)</f>
        <v>#N/A</v>
      </c>
      <c r="J331" t="e">
        <f>IF(ISBLANK('[1]Точность устьев скважин'!K333),#N/A,'[1]Точность устьев скважин'!K333)</f>
        <v>#N/A</v>
      </c>
      <c r="L331" s="63" t="e">
        <f t="shared" si="42"/>
        <v>#N/A</v>
      </c>
      <c r="O331" t="e">
        <f t="shared" si="36"/>
        <v>#N/A</v>
      </c>
      <c r="P331" t="e">
        <f t="shared" si="36"/>
        <v>#N/A</v>
      </c>
      <c r="Q331" t="e">
        <f t="shared" si="37"/>
        <v>#N/A</v>
      </c>
      <c r="R331" t="e">
        <f t="shared" si="37"/>
        <v>#N/A</v>
      </c>
      <c r="S331" t="e">
        <f t="shared" si="38"/>
        <v>#N/A</v>
      </c>
      <c r="T331" t="e">
        <f t="shared" si="38"/>
        <v>#N/A</v>
      </c>
      <c r="U331" t="e">
        <f t="shared" si="39"/>
        <v>#N/A</v>
      </c>
      <c r="V331" t="e">
        <f t="shared" si="39"/>
        <v>#N/A</v>
      </c>
      <c r="W331" t="e">
        <f t="shared" si="40"/>
        <v>#N/A</v>
      </c>
      <c r="X331" t="e">
        <f t="shared" si="40"/>
        <v>#N/A</v>
      </c>
      <c r="Y331" t="e">
        <f t="shared" si="41"/>
        <v>#N/A</v>
      </c>
      <c r="Z331" t="e">
        <f t="shared" si="41"/>
        <v>#N/A</v>
      </c>
    </row>
    <row r="332" spans="1:26">
      <c r="A332" t="e">
        <f>IF(ISBLANK('[1]Точность устьев скважин'!A334),#N/A,'[1]Точность устьев скважин'!A334)</f>
        <v>#N/A</v>
      </c>
      <c r="B332" t="e">
        <f>IF(ISBLANK('[1]Точность устьев скважин'!B334),#N/A,'[1]Точность устьев скважин'!B334)</f>
        <v>#N/A</v>
      </c>
      <c r="C332" t="e">
        <f>IF(ISBLANK('[1]Точность устьев скважин'!C334),#N/A,'[1]Точность устьев скважин'!C334)</f>
        <v>#N/A</v>
      </c>
      <c r="D332" t="e">
        <f>IF(ISBLANK('[1]Точность устьев скважин'!D334),#N/A,'[1]Точность устьев скважин'!D334)</f>
        <v>#N/A</v>
      </c>
      <c r="G332" t="e">
        <f>IF(ISBLANK('[1]Точность устьев скважин'!H334),#N/A,'[1]Точность устьев скважин'!H334)</f>
        <v>#N/A</v>
      </c>
      <c r="H332" t="e">
        <f>IF(ISBLANK('[1]Точность устьев скважин'!I334),#N/A,'[1]Точность устьев скважин'!I334)</f>
        <v>#N/A</v>
      </c>
      <c r="I332" t="e">
        <f>IF(ISBLANK('[1]Точность устьев скважин'!J334),#N/A,'[1]Точность устьев скважин'!J334)</f>
        <v>#N/A</v>
      </c>
      <c r="J332" t="e">
        <f>IF(ISBLANK('[1]Точность устьев скважин'!K334),#N/A,'[1]Точность устьев скважин'!K334)</f>
        <v>#N/A</v>
      </c>
      <c r="L332" s="63" t="e">
        <f t="shared" si="42"/>
        <v>#N/A</v>
      </c>
      <c r="O332" t="e">
        <f t="shared" si="36"/>
        <v>#N/A</v>
      </c>
      <c r="P332" t="e">
        <f t="shared" si="36"/>
        <v>#N/A</v>
      </c>
      <c r="Q332" t="e">
        <f t="shared" si="37"/>
        <v>#N/A</v>
      </c>
      <c r="R332" t="e">
        <f t="shared" si="37"/>
        <v>#N/A</v>
      </c>
      <c r="S332" t="e">
        <f t="shared" si="38"/>
        <v>#N/A</v>
      </c>
      <c r="T332" t="e">
        <f t="shared" si="38"/>
        <v>#N/A</v>
      </c>
      <c r="U332" t="e">
        <f t="shared" si="39"/>
        <v>#N/A</v>
      </c>
      <c r="V332" t="e">
        <f t="shared" si="39"/>
        <v>#N/A</v>
      </c>
      <c r="W332" t="e">
        <f t="shared" si="40"/>
        <v>#N/A</v>
      </c>
      <c r="X332" t="e">
        <f t="shared" si="40"/>
        <v>#N/A</v>
      </c>
      <c r="Y332" t="e">
        <f t="shared" si="41"/>
        <v>#N/A</v>
      </c>
      <c r="Z332" t="e">
        <f t="shared" si="41"/>
        <v>#N/A</v>
      </c>
    </row>
    <row r="333" spans="1:26">
      <c r="A333" t="e">
        <f>IF(ISBLANK('[1]Точность устьев скважин'!A335),#N/A,'[1]Точность устьев скважин'!A335)</f>
        <v>#N/A</v>
      </c>
      <c r="B333" t="e">
        <f>IF(ISBLANK('[1]Точность устьев скважин'!B335),#N/A,'[1]Точность устьев скважин'!B335)</f>
        <v>#N/A</v>
      </c>
      <c r="C333" t="e">
        <f>IF(ISBLANK('[1]Точность устьев скважин'!C335),#N/A,'[1]Точность устьев скважин'!C335)</f>
        <v>#N/A</v>
      </c>
      <c r="D333" t="e">
        <f>IF(ISBLANK('[1]Точность устьев скважин'!D335),#N/A,'[1]Точность устьев скважин'!D335)</f>
        <v>#N/A</v>
      </c>
      <c r="G333" t="e">
        <f>IF(ISBLANK('[1]Точность устьев скважин'!H335),#N/A,'[1]Точность устьев скважин'!H335)</f>
        <v>#N/A</v>
      </c>
      <c r="H333" t="e">
        <f>IF(ISBLANK('[1]Точность устьев скважин'!I335),#N/A,'[1]Точность устьев скважин'!I335)</f>
        <v>#N/A</v>
      </c>
      <c r="I333" t="e">
        <f>IF(ISBLANK('[1]Точность устьев скважин'!J335),#N/A,'[1]Точность устьев скважин'!J335)</f>
        <v>#N/A</v>
      </c>
      <c r="J333" t="e">
        <f>IF(ISBLANK('[1]Точность устьев скважин'!K335),#N/A,'[1]Точность устьев скважин'!K335)</f>
        <v>#N/A</v>
      </c>
      <c r="L333" s="63" t="e">
        <f t="shared" si="42"/>
        <v>#N/A</v>
      </c>
      <c r="O333" t="e">
        <f t="shared" si="36"/>
        <v>#N/A</v>
      </c>
      <c r="P333" t="e">
        <f t="shared" si="36"/>
        <v>#N/A</v>
      </c>
      <c r="Q333" t="e">
        <f t="shared" si="37"/>
        <v>#N/A</v>
      </c>
      <c r="R333" t="e">
        <f t="shared" si="37"/>
        <v>#N/A</v>
      </c>
      <c r="S333" t="e">
        <f t="shared" si="38"/>
        <v>#N/A</v>
      </c>
      <c r="T333" t="e">
        <f t="shared" si="38"/>
        <v>#N/A</v>
      </c>
      <c r="U333" t="e">
        <f t="shared" si="39"/>
        <v>#N/A</v>
      </c>
      <c r="V333" t="e">
        <f t="shared" si="39"/>
        <v>#N/A</v>
      </c>
      <c r="W333" t="e">
        <f t="shared" si="40"/>
        <v>#N/A</v>
      </c>
      <c r="X333" t="e">
        <f t="shared" si="40"/>
        <v>#N/A</v>
      </c>
      <c r="Y333" t="e">
        <f t="shared" si="41"/>
        <v>#N/A</v>
      </c>
      <c r="Z333" t="e">
        <f t="shared" si="41"/>
        <v>#N/A</v>
      </c>
    </row>
    <row r="334" spans="1:26">
      <c r="A334" t="e">
        <f>IF(ISBLANK('[1]Точность устьев скважин'!A336),#N/A,'[1]Точность устьев скважин'!A336)</f>
        <v>#N/A</v>
      </c>
      <c r="B334" t="e">
        <f>IF(ISBLANK('[1]Точность устьев скважин'!B336),#N/A,'[1]Точность устьев скважин'!B336)</f>
        <v>#N/A</v>
      </c>
      <c r="C334" t="e">
        <f>IF(ISBLANK('[1]Точность устьев скважин'!C336),#N/A,'[1]Точность устьев скважин'!C336)</f>
        <v>#N/A</v>
      </c>
      <c r="D334" t="e">
        <f>IF(ISBLANK('[1]Точность устьев скважин'!D336),#N/A,'[1]Точность устьев скважин'!D336)</f>
        <v>#N/A</v>
      </c>
      <c r="G334" t="e">
        <f>IF(ISBLANK('[1]Точность устьев скважин'!H336),#N/A,'[1]Точность устьев скважин'!H336)</f>
        <v>#N/A</v>
      </c>
      <c r="H334" t="e">
        <f>IF(ISBLANK('[1]Точность устьев скважин'!I336),#N/A,'[1]Точность устьев скважин'!I336)</f>
        <v>#N/A</v>
      </c>
      <c r="I334" t="e">
        <f>IF(ISBLANK('[1]Точность устьев скважин'!J336),#N/A,'[1]Точность устьев скважин'!J336)</f>
        <v>#N/A</v>
      </c>
      <c r="J334" t="e">
        <f>IF(ISBLANK('[1]Точность устьев скважин'!K336),#N/A,'[1]Точность устьев скважин'!K336)</f>
        <v>#N/A</v>
      </c>
      <c r="L334" s="63" t="e">
        <f t="shared" si="42"/>
        <v>#N/A</v>
      </c>
      <c r="O334" t="e">
        <f t="shared" si="36"/>
        <v>#N/A</v>
      </c>
      <c r="P334" t="e">
        <f t="shared" si="36"/>
        <v>#N/A</v>
      </c>
      <c r="Q334" t="e">
        <f t="shared" si="37"/>
        <v>#N/A</v>
      </c>
      <c r="R334" t="e">
        <f t="shared" si="37"/>
        <v>#N/A</v>
      </c>
      <c r="S334" t="e">
        <f t="shared" si="38"/>
        <v>#N/A</v>
      </c>
      <c r="T334" t="e">
        <f t="shared" si="38"/>
        <v>#N/A</v>
      </c>
      <c r="U334" t="e">
        <f t="shared" si="39"/>
        <v>#N/A</v>
      </c>
      <c r="V334" t="e">
        <f t="shared" si="39"/>
        <v>#N/A</v>
      </c>
      <c r="W334" t="e">
        <f t="shared" si="40"/>
        <v>#N/A</v>
      </c>
      <c r="X334" t="e">
        <f t="shared" si="40"/>
        <v>#N/A</v>
      </c>
      <c r="Y334" t="e">
        <f t="shared" si="41"/>
        <v>#N/A</v>
      </c>
      <c r="Z334" t="e">
        <f t="shared" si="41"/>
        <v>#N/A</v>
      </c>
    </row>
    <row r="335" spans="1:26">
      <c r="A335" t="e">
        <f>IF(ISBLANK('[1]Точность устьев скважин'!A337),#N/A,'[1]Точность устьев скважин'!A337)</f>
        <v>#N/A</v>
      </c>
      <c r="B335" t="e">
        <f>IF(ISBLANK('[1]Точность устьев скважин'!B337),#N/A,'[1]Точность устьев скважин'!B337)</f>
        <v>#N/A</v>
      </c>
      <c r="C335" t="e">
        <f>IF(ISBLANK('[1]Точность устьев скважин'!C337),#N/A,'[1]Точность устьев скважин'!C337)</f>
        <v>#N/A</v>
      </c>
      <c r="D335" t="e">
        <f>IF(ISBLANK('[1]Точность устьев скважин'!D337),#N/A,'[1]Точность устьев скважин'!D337)</f>
        <v>#N/A</v>
      </c>
      <c r="G335" t="e">
        <f>IF(ISBLANK('[1]Точность устьев скважин'!H337),#N/A,'[1]Точность устьев скважин'!H337)</f>
        <v>#N/A</v>
      </c>
      <c r="H335" t="e">
        <f>IF(ISBLANK('[1]Точность устьев скважин'!I337),#N/A,'[1]Точность устьев скважин'!I337)</f>
        <v>#N/A</v>
      </c>
      <c r="I335" t="e">
        <f>IF(ISBLANK('[1]Точность устьев скважин'!J337),#N/A,'[1]Точность устьев скважин'!J337)</f>
        <v>#N/A</v>
      </c>
      <c r="J335" t="e">
        <f>IF(ISBLANK('[1]Точность устьев скважин'!K337),#N/A,'[1]Точность устьев скважин'!K337)</f>
        <v>#N/A</v>
      </c>
      <c r="L335" s="63" t="e">
        <f t="shared" si="42"/>
        <v>#N/A</v>
      </c>
      <c r="O335" t="e">
        <f t="shared" si="36"/>
        <v>#N/A</v>
      </c>
      <c r="P335" t="e">
        <f t="shared" si="36"/>
        <v>#N/A</v>
      </c>
      <c r="Q335" t="e">
        <f t="shared" si="37"/>
        <v>#N/A</v>
      </c>
      <c r="R335" t="e">
        <f t="shared" si="37"/>
        <v>#N/A</v>
      </c>
      <c r="S335" t="e">
        <f t="shared" si="38"/>
        <v>#N/A</v>
      </c>
      <c r="T335" t="e">
        <f t="shared" si="38"/>
        <v>#N/A</v>
      </c>
      <c r="U335" t="e">
        <f t="shared" si="39"/>
        <v>#N/A</v>
      </c>
      <c r="V335" t="e">
        <f t="shared" si="39"/>
        <v>#N/A</v>
      </c>
      <c r="W335" t="e">
        <f t="shared" si="40"/>
        <v>#N/A</v>
      </c>
      <c r="X335" t="e">
        <f t="shared" si="40"/>
        <v>#N/A</v>
      </c>
      <c r="Y335" t="e">
        <f t="shared" si="41"/>
        <v>#N/A</v>
      </c>
      <c r="Z335" t="e">
        <f t="shared" si="41"/>
        <v>#N/A</v>
      </c>
    </row>
    <row r="336" spans="1:26">
      <c r="A336" t="e">
        <f>IF(ISBLANK('[1]Точность устьев скважин'!A338),#N/A,'[1]Точность устьев скважин'!A338)</f>
        <v>#N/A</v>
      </c>
      <c r="B336" t="e">
        <f>IF(ISBLANK('[1]Точность устьев скважин'!B338),#N/A,'[1]Точность устьев скважин'!B338)</f>
        <v>#N/A</v>
      </c>
      <c r="C336" t="e">
        <f>IF(ISBLANK('[1]Точность устьев скважин'!C338),#N/A,'[1]Точность устьев скважин'!C338)</f>
        <v>#N/A</v>
      </c>
      <c r="D336" t="e">
        <f>IF(ISBLANK('[1]Точность устьев скважин'!D338),#N/A,'[1]Точность устьев скважин'!D338)</f>
        <v>#N/A</v>
      </c>
      <c r="G336" t="e">
        <f>IF(ISBLANK('[1]Точность устьев скважин'!H338),#N/A,'[1]Точность устьев скважин'!H338)</f>
        <v>#N/A</v>
      </c>
      <c r="H336" t="e">
        <f>IF(ISBLANK('[1]Точность устьев скважин'!I338),#N/A,'[1]Точность устьев скважин'!I338)</f>
        <v>#N/A</v>
      </c>
      <c r="I336" t="e">
        <f>IF(ISBLANK('[1]Точность устьев скважин'!J338),#N/A,'[1]Точность устьев скважин'!J338)</f>
        <v>#N/A</v>
      </c>
      <c r="J336" t="e">
        <f>IF(ISBLANK('[1]Точность устьев скважин'!K338),#N/A,'[1]Точность устьев скважин'!K338)</f>
        <v>#N/A</v>
      </c>
      <c r="L336" s="63" t="e">
        <f t="shared" si="42"/>
        <v>#N/A</v>
      </c>
      <c r="O336" t="e">
        <f t="shared" si="36"/>
        <v>#N/A</v>
      </c>
      <c r="P336" t="e">
        <f t="shared" si="36"/>
        <v>#N/A</v>
      </c>
      <c r="Q336" t="e">
        <f t="shared" si="37"/>
        <v>#N/A</v>
      </c>
      <c r="R336" t="e">
        <f t="shared" si="37"/>
        <v>#N/A</v>
      </c>
      <c r="S336" t="e">
        <f t="shared" si="38"/>
        <v>#N/A</v>
      </c>
      <c r="T336" t="e">
        <f t="shared" si="38"/>
        <v>#N/A</v>
      </c>
      <c r="U336" t="e">
        <f t="shared" si="39"/>
        <v>#N/A</v>
      </c>
      <c r="V336" t="e">
        <f t="shared" si="39"/>
        <v>#N/A</v>
      </c>
      <c r="W336" t="e">
        <f t="shared" si="40"/>
        <v>#N/A</v>
      </c>
      <c r="X336" t="e">
        <f t="shared" si="40"/>
        <v>#N/A</v>
      </c>
      <c r="Y336" t="e">
        <f t="shared" si="41"/>
        <v>#N/A</v>
      </c>
      <c r="Z336" t="e">
        <f t="shared" si="41"/>
        <v>#N/A</v>
      </c>
    </row>
    <row r="337" spans="1:26">
      <c r="A337" t="e">
        <f>IF(ISBLANK('[1]Точность устьев скважин'!A339),#N/A,'[1]Точность устьев скважин'!A339)</f>
        <v>#N/A</v>
      </c>
      <c r="B337" t="e">
        <f>IF(ISBLANK('[1]Точность устьев скважин'!B339),#N/A,'[1]Точность устьев скважин'!B339)</f>
        <v>#N/A</v>
      </c>
      <c r="C337" t="e">
        <f>IF(ISBLANK('[1]Точность устьев скважин'!C339),#N/A,'[1]Точность устьев скважин'!C339)</f>
        <v>#N/A</v>
      </c>
      <c r="D337" t="e">
        <f>IF(ISBLANK('[1]Точность устьев скважин'!D339),#N/A,'[1]Точность устьев скважин'!D339)</f>
        <v>#N/A</v>
      </c>
      <c r="G337" t="e">
        <f>IF(ISBLANK('[1]Точность устьев скважин'!H339),#N/A,'[1]Точность устьев скважин'!H339)</f>
        <v>#N/A</v>
      </c>
      <c r="H337" t="e">
        <f>IF(ISBLANK('[1]Точность устьев скважин'!I339),#N/A,'[1]Точность устьев скважин'!I339)</f>
        <v>#N/A</v>
      </c>
      <c r="I337" t="e">
        <f>IF(ISBLANK('[1]Точность устьев скважин'!J339),#N/A,'[1]Точность устьев скважин'!J339)</f>
        <v>#N/A</v>
      </c>
      <c r="J337" t="e">
        <f>IF(ISBLANK('[1]Точность устьев скважин'!K339),#N/A,'[1]Точность устьев скважин'!K339)</f>
        <v>#N/A</v>
      </c>
      <c r="L337" s="63" t="e">
        <f t="shared" si="42"/>
        <v>#N/A</v>
      </c>
      <c r="O337" t="e">
        <f t="shared" si="36"/>
        <v>#N/A</v>
      </c>
      <c r="P337" t="e">
        <f t="shared" si="36"/>
        <v>#N/A</v>
      </c>
      <c r="Q337" t="e">
        <f t="shared" si="37"/>
        <v>#N/A</v>
      </c>
      <c r="R337" t="e">
        <f t="shared" si="37"/>
        <v>#N/A</v>
      </c>
      <c r="S337" t="e">
        <f t="shared" si="38"/>
        <v>#N/A</v>
      </c>
      <c r="T337" t="e">
        <f t="shared" si="38"/>
        <v>#N/A</v>
      </c>
      <c r="U337" t="e">
        <f t="shared" si="39"/>
        <v>#N/A</v>
      </c>
      <c r="V337" t="e">
        <f t="shared" si="39"/>
        <v>#N/A</v>
      </c>
      <c r="W337" t="e">
        <f t="shared" si="40"/>
        <v>#N/A</v>
      </c>
      <c r="X337" t="e">
        <f t="shared" si="40"/>
        <v>#N/A</v>
      </c>
      <c r="Y337" t="e">
        <f t="shared" si="41"/>
        <v>#N/A</v>
      </c>
      <c r="Z337" t="e">
        <f t="shared" si="41"/>
        <v>#N/A</v>
      </c>
    </row>
    <row r="338" spans="1:26">
      <c r="A338" t="e">
        <f>IF(ISBLANK('[1]Точность устьев скважин'!A340),#N/A,'[1]Точность устьев скважин'!A340)</f>
        <v>#N/A</v>
      </c>
      <c r="B338" t="e">
        <f>IF(ISBLANK('[1]Точность устьев скважин'!B340),#N/A,'[1]Точность устьев скважин'!B340)</f>
        <v>#N/A</v>
      </c>
      <c r="C338" t="e">
        <f>IF(ISBLANK('[1]Точность устьев скважин'!C340),#N/A,'[1]Точность устьев скважин'!C340)</f>
        <v>#N/A</v>
      </c>
      <c r="D338" t="e">
        <f>IF(ISBLANK('[1]Точность устьев скважин'!D340),#N/A,'[1]Точность устьев скважин'!D340)</f>
        <v>#N/A</v>
      </c>
      <c r="G338" t="e">
        <f>IF(ISBLANK('[1]Точность устьев скважин'!H340),#N/A,'[1]Точность устьев скважин'!H340)</f>
        <v>#N/A</v>
      </c>
      <c r="H338" t="e">
        <f>IF(ISBLANK('[1]Точность устьев скважин'!I340),#N/A,'[1]Точность устьев скважин'!I340)</f>
        <v>#N/A</v>
      </c>
      <c r="I338" t="e">
        <f>IF(ISBLANK('[1]Точность устьев скважин'!J340),#N/A,'[1]Точность устьев скважин'!J340)</f>
        <v>#N/A</v>
      </c>
      <c r="J338" t="e">
        <f>IF(ISBLANK('[1]Точность устьев скважин'!K340),#N/A,'[1]Точность устьев скважин'!K340)</f>
        <v>#N/A</v>
      </c>
      <c r="L338" s="63" t="e">
        <f t="shared" si="42"/>
        <v>#N/A</v>
      </c>
      <c r="O338" t="e">
        <f t="shared" si="36"/>
        <v>#N/A</v>
      </c>
      <c r="P338" t="e">
        <f t="shared" si="36"/>
        <v>#N/A</v>
      </c>
      <c r="Q338" t="e">
        <f t="shared" si="37"/>
        <v>#N/A</v>
      </c>
      <c r="R338" t="e">
        <f t="shared" si="37"/>
        <v>#N/A</v>
      </c>
      <c r="S338" t="e">
        <f t="shared" si="38"/>
        <v>#N/A</v>
      </c>
      <c r="T338" t="e">
        <f t="shared" si="38"/>
        <v>#N/A</v>
      </c>
      <c r="U338" t="e">
        <f t="shared" si="39"/>
        <v>#N/A</v>
      </c>
      <c r="V338" t="e">
        <f t="shared" si="39"/>
        <v>#N/A</v>
      </c>
      <c r="W338" t="e">
        <f t="shared" si="40"/>
        <v>#N/A</v>
      </c>
      <c r="X338" t="e">
        <f t="shared" si="40"/>
        <v>#N/A</v>
      </c>
      <c r="Y338" t="e">
        <f t="shared" si="41"/>
        <v>#N/A</v>
      </c>
      <c r="Z338" t="e">
        <f t="shared" si="41"/>
        <v>#N/A</v>
      </c>
    </row>
    <row r="339" spans="1:26">
      <c r="A339" t="e">
        <f>IF(ISBLANK('[1]Точность устьев скважин'!A341),#N/A,'[1]Точность устьев скважин'!A341)</f>
        <v>#N/A</v>
      </c>
      <c r="B339" t="e">
        <f>IF(ISBLANK('[1]Точность устьев скважин'!B341),#N/A,'[1]Точность устьев скважин'!B341)</f>
        <v>#N/A</v>
      </c>
      <c r="C339" t="e">
        <f>IF(ISBLANK('[1]Точность устьев скважин'!C341),#N/A,'[1]Точность устьев скважин'!C341)</f>
        <v>#N/A</v>
      </c>
      <c r="D339" t="e">
        <f>IF(ISBLANK('[1]Точность устьев скважин'!D341),#N/A,'[1]Точность устьев скважин'!D341)</f>
        <v>#N/A</v>
      </c>
      <c r="G339" t="e">
        <f>IF(ISBLANK('[1]Точность устьев скважин'!H341),#N/A,'[1]Точность устьев скважин'!H341)</f>
        <v>#N/A</v>
      </c>
      <c r="H339" t="e">
        <f>IF(ISBLANK('[1]Точность устьев скважин'!I341),#N/A,'[1]Точность устьев скважин'!I341)</f>
        <v>#N/A</v>
      </c>
      <c r="I339" t="e">
        <f>IF(ISBLANK('[1]Точность устьев скважин'!J341),#N/A,'[1]Точность устьев скважин'!J341)</f>
        <v>#N/A</v>
      </c>
      <c r="J339" t="e">
        <f>IF(ISBLANK('[1]Точность устьев скважин'!K341),#N/A,'[1]Точность устьев скважин'!K341)</f>
        <v>#N/A</v>
      </c>
      <c r="L339" s="63" t="e">
        <f t="shared" si="42"/>
        <v>#N/A</v>
      </c>
      <c r="O339" t="e">
        <f t="shared" si="36"/>
        <v>#N/A</v>
      </c>
      <c r="P339" t="e">
        <f t="shared" si="36"/>
        <v>#N/A</v>
      </c>
      <c r="Q339" t="e">
        <f t="shared" si="37"/>
        <v>#N/A</v>
      </c>
      <c r="R339" t="e">
        <f t="shared" si="37"/>
        <v>#N/A</v>
      </c>
      <c r="S339" t="e">
        <f t="shared" si="38"/>
        <v>#N/A</v>
      </c>
      <c r="T339" t="e">
        <f t="shared" si="38"/>
        <v>#N/A</v>
      </c>
      <c r="U339" t="e">
        <f t="shared" si="39"/>
        <v>#N/A</v>
      </c>
      <c r="V339" t="e">
        <f t="shared" si="39"/>
        <v>#N/A</v>
      </c>
      <c r="W339" t="e">
        <f t="shared" si="40"/>
        <v>#N/A</v>
      </c>
      <c r="X339" t="e">
        <f t="shared" si="40"/>
        <v>#N/A</v>
      </c>
      <c r="Y339" t="e">
        <f t="shared" si="41"/>
        <v>#N/A</v>
      </c>
      <c r="Z339" t="e">
        <f t="shared" si="41"/>
        <v>#N/A</v>
      </c>
    </row>
    <row r="340" spans="1:26">
      <c r="A340" t="e">
        <f>IF(ISBLANK('[1]Точность устьев скважин'!A342),#N/A,'[1]Точность устьев скважин'!A342)</f>
        <v>#N/A</v>
      </c>
      <c r="B340" t="e">
        <f>IF(ISBLANK('[1]Точность устьев скважин'!B342),#N/A,'[1]Точность устьев скважин'!B342)</f>
        <v>#N/A</v>
      </c>
      <c r="C340" t="e">
        <f>IF(ISBLANK('[1]Точность устьев скважин'!C342),#N/A,'[1]Точность устьев скважин'!C342)</f>
        <v>#N/A</v>
      </c>
      <c r="D340" t="e">
        <f>IF(ISBLANK('[1]Точность устьев скважин'!D342),#N/A,'[1]Точность устьев скважин'!D342)</f>
        <v>#N/A</v>
      </c>
      <c r="G340" t="e">
        <f>IF(ISBLANK('[1]Точность устьев скважин'!H342),#N/A,'[1]Точность устьев скважин'!H342)</f>
        <v>#N/A</v>
      </c>
      <c r="H340" t="e">
        <f>IF(ISBLANK('[1]Точность устьев скважин'!I342),#N/A,'[1]Точность устьев скважин'!I342)</f>
        <v>#N/A</v>
      </c>
      <c r="I340" t="e">
        <f>IF(ISBLANK('[1]Точность устьев скважин'!J342),#N/A,'[1]Точность устьев скважин'!J342)</f>
        <v>#N/A</v>
      </c>
      <c r="J340" t="e">
        <f>IF(ISBLANK('[1]Точность устьев скважин'!K342),#N/A,'[1]Точность устьев скважин'!K342)</f>
        <v>#N/A</v>
      </c>
      <c r="L340" s="63" t="e">
        <f t="shared" si="42"/>
        <v>#N/A</v>
      </c>
      <c r="O340" t="e">
        <f t="shared" si="36"/>
        <v>#N/A</v>
      </c>
      <c r="P340" t="e">
        <f t="shared" si="36"/>
        <v>#N/A</v>
      </c>
      <c r="Q340" t="e">
        <f t="shared" si="37"/>
        <v>#N/A</v>
      </c>
      <c r="R340" t="e">
        <f t="shared" si="37"/>
        <v>#N/A</v>
      </c>
      <c r="S340" t="e">
        <f t="shared" si="38"/>
        <v>#N/A</v>
      </c>
      <c r="T340" t="e">
        <f t="shared" si="38"/>
        <v>#N/A</v>
      </c>
      <c r="U340" t="e">
        <f t="shared" si="39"/>
        <v>#N/A</v>
      </c>
      <c r="V340" t="e">
        <f t="shared" si="39"/>
        <v>#N/A</v>
      </c>
      <c r="W340" t="e">
        <f t="shared" si="40"/>
        <v>#N/A</v>
      </c>
      <c r="X340" t="e">
        <f t="shared" si="40"/>
        <v>#N/A</v>
      </c>
      <c r="Y340" t="e">
        <f t="shared" si="41"/>
        <v>#N/A</v>
      </c>
      <c r="Z340" t="e">
        <f t="shared" si="41"/>
        <v>#N/A</v>
      </c>
    </row>
    <row r="341" spans="1:26">
      <c r="A341" t="e">
        <f>IF(ISBLANK('[1]Точность устьев скважин'!A343),#N/A,'[1]Точность устьев скважин'!A343)</f>
        <v>#N/A</v>
      </c>
      <c r="B341" t="e">
        <f>IF(ISBLANK('[1]Точность устьев скважин'!B343),#N/A,'[1]Точность устьев скважин'!B343)</f>
        <v>#N/A</v>
      </c>
      <c r="C341" t="e">
        <f>IF(ISBLANK('[1]Точность устьев скважин'!C343),#N/A,'[1]Точность устьев скважин'!C343)</f>
        <v>#N/A</v>
      </c>
      <c r="D341" t="e">
        <f>IF(ISBLANK('[1]Точность устьев скважин'!D343),#N/A,'[1]Точность устьев скважин'!D343)</f>
        <v>#N/A</v>
      </c>
      <c r="G341" t="e">
        <f>IF(ISBLANK('[1]Точность устьев скважин'!H343),#N/A,'[1]Точность устьев скважин'!H343)</f>
        <v>#N/A</v>
      </c>
      <c r="H341" t="e">
        <f>IF(ISBLANK('[1]Точность устьев скважин'!I343),#N/A,'[1]Точность устьев скважин'!I343)</f>
        <v>#N/A</v>
      </c>
      <c r="I341" t="e">
        <f>IF(ISBLANK('[1]Точность устьев скважин'!J343),#N/A,'[1]Точность устьев скважин'!J343)</f>
        <v>#N/A</v>
      </c>
      <c r="J341" t="e">
        <f>IF(ISBLANK('[1]Точность устьев скважин'!K343),#N/A,'[1]Точность устьев скважин'!K343)</f>
        <v>#N/A</v>
      </c>
      <c r="L341" s="63" t="e">
        <f t="shared" si="42"/>
        <v>#N/A</v>
      </c>
      <c r="O341" t="e">
        <f t="shared" si="36"/>
        <v>#N/A</v>
      </c>
      <c r="P341" t="e">
        <f t="shared" si="36"/>
        <v>#N/A</v>
      </c>
      <c r="Q341" t="e">
        <f t="shared" si="37"/>
        <v>#N/A</v>
      </c>
      <c r="R341" t="e">
        <f t="shared" si="37"/>
        <v>#N/A</v>
      </c>
      <c r="S341" t="e">
        <f t="shared" si="38"/>
        <v>#N/A</v>
      </c>
      <c r="T341" t="e">
        <f t="shared" si="38"/>
        <v>#N/A</v>
      </c>
      <c r="U341" t="e">
        <f t="shared" si="39"/>
        <v>#N/A</v>
      </c>
      <c r="V341" t="e">
        <f t="shared" si="39"/>
        <v>#N/A</v>
      </c>
      <c r="W341" t="e">
        <f t="shared" si="40"/>
        <v>#N/A</v>
      </c>
      <c r="X341" t="e">
        <f t="shared" si="40"/>
        <v>#N/A</v>
      </c>
      <c r="Y341" t="e">
        <f t="shared" si="41"/>
        <v>#N/A</v>
      </c>
      <c r="Z341" t="e">
        <f t="shared" si="41"/>
        <v>#N/A</v>
      </c>
    </row>
    <row r="342" spans="1:26">
      <c r="A342" t="e">
        <f>IF(ISBLANK('[1]Точность устьев скважин'!A344),#N/A,'[1]Точность устьев скважин'!A344)</f>
        <v>#N/A</v>
      </c>
      <c r="B342" t="e">
        <f>IF(ISBLANK('[1]Точность устьев скважин'!B344),#N/A,'[1]Точность устьев скважин'!B344)</f>
        <v>#N/A</v>
      </c>
      <c r="C342" t="e">
        <f>IF(ISBLANK('[1]Точность устьев скважин'!C344),#N/A,'[1]Точность устьев скважин'!C344)</f>
        <v>#N/A</v>
      </c>
      <c r="D342" t="e">
        <f>IF(ISBLANK('[1]Точность устьев скважин'!D344),#N/A,'[1]Точность устьев скважин'!D344)</f>
        <v>#N/A</v>
      </c>
      <c r="G342" t="e">
        <f>IF(ISBLANK('[1]Точность устьев скважин'!H344),#N/A,'[1]Точность устьев скважин'!H344)</f>
        <v>#N/A</v>
      </c>
      <c r="H342" t="e">
        <f>IF(ISBLANK('[1]Точность устьев скважин'!I344),#N/A,'[1]Точность устьев скважин'!I344)</f>
        <v>#N/A</v>
      </c>
      <c r="I342" t="e">
        <f>IF(ISBLANK('[1]Точность устьев скважин'!J344),#N/A,'[1]Точность устьев скважин'!J344)</f>
        <v>#N/A</v>
      </c>
      <c r="J342" t="e">
        <f>IF(ISBLANK('[1]Точность устьев скважин'!K344),#N/A,'[1]Точность устьев скважин'!K344)</f>
        <v>#N/A</v>
      </c>
      <c r="L342" s="63" t="e">
        <f t="shared" si="42"/>
        <v>#N/A</v>
      </c>
      <c r="O342" t="e">
        <f t="shared" si="36"/>
        <v>#N/A</v>
      </c>
      <c r="P342" t="e">
        <f t="shared" si="36"/>
        <v>#N/A</v>
      </c>
      <c r="Q342" t="e">
        <f t="shared" si="37"/>
        <v>#N/A</v>
      </c>
      <c r="R342" t="e">
        <f t="shared" si="37"/>
        <v>#N/A</v>
      </c>
      <c r="S342" t="e">
        <f t="shared" si="38"/>
        <v>#N/A</v>
      </c>
      <c r="T342" t="e">
        <f t="shared" si="38"/>
        <v>#N/A</v>
      </c>
      <c r="U342" t="e">
        <f t="shared" si="39"/>
        <v>#N/A</v>
      </c>
      <c r="V342" t="e">
        <f t="shared" si="39"/>
        <v>#N/A</v>
      </c>
      <c r="W342" t="e">
        <f t="shared" si="40"/>
        <v>#N/A</v>
      </c>
      <c r="X342" t="e">
        <f t="shared" si="40"/>
        <v>#N/A</v>
      </c>
      <c r="Y342" t="e">
        <f t="shared" si="41"/>
        <v>#N/A</v>
      </c>
      <c r="Z342" t="e">
        <f t="shared" si="41"/>
        <v>#N/A</v>
      </c>
    </row>
    <row r="343" spans="1:26">
      <c r="A343" t="e">
        <f>IF(ISBLANK('[1]Точность устьев скважин'!A345),#N/A,'[1]Точность устьев скважин'!A345)</f>
        <v>#N/A</v>
      </c>
      <c r="B343" t="e">
        <f>IF(ISBLANK('[1]Точность устьев скважин'!B345),#N/A,'[1]Точность устьев скважин'!B345)</f>
        <v>#N/A</v>
      </c>
      <c r="C343" t="e">
        <f>IF(ISBLANK('[1]Точность устьев скважин'!C345),#N/A,'[1]Точность устьев скважин'!C345)</f>
        <v>#N/A</v>
      </c>
      <c r="D343" t="e">
        <f>IF(ISBLANK('[1]Точность устьев скважин'!D345),#N/A,'[1]Точность устьев скважин'!D345)</f>
        <v>#N/A</v>
      </c>
      <c r="G343" t="e">
        <f>IF(ISBLANK('[1]Точность устьев скважин'!H345),#N/A,'[1]Точность устьев скважин'!H345)</f>
        <v>#N/A</v>
      </c>
      <c r="H343" t="e">
        <f>IF(ISBLANK('[1]Точность устьев скважин'!I345),#N/A,'[1]Точность устьев скважин'!I345)</f>
        <v>#N/A</v>
      </c>
      <c r="I343" t="e">
        <f>IF(ISBLANK('[1]Точность устьев скважин'!J345),#N/A,'[1]Точность устьев скважин'!J345)</f>
        <v>#N/A</v>
      </c>
      <c r="J343" t="e">
        <f>IF(ISBLANK('[1]Точность устьев скважин'!K345),#N/A,'[1]Точность устьев скважин'!K345)</f>
        <v>#N/A</v>
      </c>
      <c r="L343" s="63" t="e">
        <f t="shared" si="42"/>
        <v>#N/A</v>
      </c>
      <c r="O343" t="e">
        <f t="shared" si="36"/>
        <v>#N/A</v>
      </c>
      <c r="P343" t="e">
        <f t="shared" si="36"/>
        <v>#N/A</v>
      </c>
      <c r="Q343" t="e">
        <f t="shared" si="37"/>
        <v>#N/A</v>
      </c>
      <c r="R343" t="e">
        <f t="shared" si="37"/>
        <v>#N/A</v>
      </c>
      <c r="S343" t="e">
        <f t="shared" si="38"/>
        <v>#N/A</v>
      </c>
      <c r="T343" t="e">
        <f t="shared" si="38"/>
        <v>#N/A</v>
      </c>
      <c r="U343" t="e">
        <f t="shared" si="39"/>
        <v>#N/A</v>
      </c>
      <c r="V343" t="e">
        <f t="shared" si="39"/>
        <v>#N/A</v>
      </c>
      <c r="W343" t="e">
        <f t="shared" si="40"/>
        <v>#N/A</v>
      </c>
      <c r="X343" t="e">
        <f t="shared" si="40"/>
        <v>#N/A</v>
      </c>
      <c r="Y343" t="e">
        <f t="shared" si="41"/>
        <v>#N/A</v>
      </c>
      <c r="Z343" t="e">
        <f t="shared" si="41"/>
        <v>#N/A</v>
      </c>
    </row>
    <row r="344" spans="1:26">
      <c r="A344" t="e">
        <f>IF(ISBLANK('[1]Точность устьев скважин'!A346),#N/A,'[1]Точность устьев скважин'!A346)</f>
        <v>#N/A</v>
      </c>
      <c r="B344" t="e">
        <f>IF(ISBLANK('[1]Точность устьев скважин'!B346),#N/A,'[1]Точность устьев скважин'!B346)</f>
        <v>#N/A</v>
      </c>
      <c r="C344" t="e">
        <f>IF(ISBLANK('[1]Точность устьев скважин'!C346),#N/A,'[1]Точность устьев скважин'!C346)</f>
        <v>#N/A</v>
      </c>
      <c r="D344" t="e">
        <f>IF(ISBLANK('[1]Точность устьев скважин'!D346),#N/A,'[1]Точность устьев скважин'!D346)</f>
        <v>#N/A</v>
      </c>
      <c r="G344" t="e">
        <f>IF(ISBLANK('[1]Точность устьев скважин'!H346),#N/A,'[1]Точность устьев скважин'!H346)</f>
        <v>#N/A</v>
      </c>
      <c r="H344" t="e">
        <f>IF(ISBLANK('[1]Точность устьев скважин'!I346),#N/A,'[1]Точность устьев скважин'!I346)</f>
        <v>#N/A</v>
      </c>
      <c r="I344" t="e">
        <f>IF(ISBLANK('[1]Точность устьев скважин'!J346),#N/A,'[1]Точность устьев скважин'!J346)</f>
        <v>#N/A</v>
      </c>
      <c r="J344" t="e">
        <f>IF(ISBLANK('[1]Точность устьев скважин'!K346),#N/A,'[1]Точность устьев скважин'!K346)</f>
        <v>#N/A</v>
      </c>
      <c r="L344" s="63" t="e">
        <f t="shared" si="42"/>
        <v>#N/A</v>
      </c>
      <c r="O344" t="e">
        <f t="shared" si="36"/>
        <v>#N/A</v>
      </c>
      <c r="P344" t="e">
        <f t="shared" si="36"/>
        <v>#N/A</v>
      </c>
      <c r="Q344" t="e">
        <f t="shared" si="37"/>
        <v>#N/A</v>
      </c>
      <c r="R344" t="e">
        <f t="shared" si="37"/>
        <v>#N/A</v>
      </c>
      <c r="S344" t="e">
        <f t="shared" si="38"/>
        <v>#N/A</v>
      </c>
      <c r="T344" t="e">
        <f t="shared" si="38"/>
        <v>#N/A</v>
      </c>
      <c r="U344" t="e">
        <f t="shared" si="39"/>
        <v>#N/A</v>
      </c>
      <c r="V344" t="e">
        <f t="shared" si="39"/>
        <v>#N/A</v>
      </c>
      <c r="W344" t="e">
        <f t="shared" si="40"/>
        <v>#N/A</v>
      </c>
      <c r="X344" t="e">
        <f t="shared" si="40"/>
        <v>#N/A</v>
      </c>
      <c r="Y344" t="e">
        <f t="shared" si="41"/>
        <v>#N/A</v>
      </c>
      <c r="Z344" t="e">
        <f t="shared" si="41"/>
        <v>#N/A</v>
      </c>
    </row>
    <row r="345" spans="1:26">
      <c r="A345" t="e">
        <f>IF(ISBLANK('[1]Точность устьев скважин'!A347),#N/A,'[1]Точность устьев скважин'!A347)</f>
        <v>#N/A</v>
      </c>
      <c r="B345" t="e">
        <f>IF(ISBLANK('[1]Точность устьев скважин'!B347),#N/A,'[1]Точность устьев скважин'!B347)</f>
        <v>#N/A</v>
      </c>
      <c r="C345" t="e">
        <f>IF(ISBLANK('[1]Точность устьев скважин'!C347),#N/A,'[1]Точность устьев скважин'!C347)</f>
        <v>#N/A</v>
      </c>
      <c r="D345" t="e">
        <f>IF(ISBLANK('[1]Точность устьев скважин'!D347),#N/A,'[1]Точность устьев скважин'!D347)</f>
        <v>#N/A</v>
      </c>
      <c r="G345" t="e">
        <f>IF(ISBLANK('[1]Точность устьев скважин'!H347),#N/A,'[1]Точность устьев скважин'!H347)</f>
        <v>#N/A</v>
      </c>
      <c r="H345" t="e">
        <f>IF(ISBLANK('[1]Точность устьев скважин'!I347),#N/A,'[1]Точность устьев скважин'!I347)</f>
        <v>#N/A</v>
      </c>
      <c r="I345" t="e">
        <f>IF(ISBLANK('[1]Точность устьев скважин'!J347),#N/A,'[1]Точность устьев скважин'!J347)</f>
        <v>#N/A</v>
      </c>
      <c r="J345" t="e">
        <f>IF(ISBLANK('[1]Точность устьев скважин'!K347),#N/A,'[1]Точность устьев скважин'!K347)</f>
        <v>#N/A</v>
      </c>
      <c r="L345" s="63" t="e">
        <f t="shared" si="42"/>
        <v>#N/A</v>
      </c>
      <c r="O345" t="e">
        <f t="shared" si="36"/>
        <v>#N/A</v>
      </c>
      <c r="P345" t="e">
        <f t="shared" si="36"/>
        <v>#N/A</v>
      </c>
      <c r="Q345" t="e">
        <f t="shared" si="37"/>
        <v>#N/A</v>
      </c>
      <c r="R345" t="e">
        <f t="shared" si="37"/>
        <v>#N/A</v>
      </c>
      <c r="S345" t="e">
        <f t="shared" si="38"/>
        <v>#N/A</v>
      </c>
      <c r="T345" t="e">
        <f t="shared" si="38"/>
        <v>#N/A</v>
      </c>
      <c r="U345" t="e">
        <f t="shared" si="39"/>
        <v>#N/A</v>
      </c>
      <c r="V345" t="e">
        <f t="shared" si="39"/>
        <v>#N/A</v>
      </c>
      <c r="W345" t="e">
        <f t="shared" si="40"/>
        <v>#N/A</v>
      </c>
      <c r="X345" t="e">
        <f t="shared" si="40"/>
        <v>#N/A</v>
      </c>
      <c r="Y345" t="e">
        <f t="shared" si="41"/>
        <v>#N/A</v>
      </c>
      <c r="Z345" t="e">
        <f t="shared" si="41"/>
        <v>#N/A</v>
      </c>
    </row>
    <row r="346" spans="1:26">
      <c r="A346" t="e">
        <f>IF(ISBLANK('[1]Точность устьев скважин'!A348),#N/A,'[1]Точность устьев скважин'!A348)</f>
        <v>#N/A</v>
      </c>
      <c r="B346" t="e">
        <f>IF(ISBLANK('[1]Точность устьев скважин'!B348),#N/A,'[1]Точность устьев скважин'!B348)</f>
        <v>#N/A</v>
      </c>
      <c r="C346" t="e">
        <f>IF(ISBLANK('[1]Точность устьев скважин'!C348),#N/A,'[1]Точность устьев скважин'!C348)</f>
        <v>#N/A</v>
      </c>
      <c r="D346" t="e">
        <f>IF(ISBLANK('[1]Точность устьев скважин'!D348),#N/A,'[1]Точность устьев скважин'!D348)</f>
        <v>#N/A</v>
      </c>
      <c r="G346" t="e">
        <f>IF(ISBLANK('[1]Точность устьев скважин'!H348),#N/A,'[1]Точность устьев скважин'!H348)</f>
        <v>#N/A</v>
      </c>
      <c r="H346" t="e">
        <f>IF(ISBLANK('[1]Точность устьев скважин'!I348),#N/A,'[1]Точность устьев скважин'!I348)</f>
        <v>#N/A</v>
      </c>
      <c r="I346" t="e">
        <f>IF(ISBLANK('[1]Точность устьев скважин'!J348),#N/A,'[1]Точность устьев скважин'!J348)</f>
        <v>#N/A</v>
      </c>
      <c r="J346" t="e">
        <f>IF(ISBLANK('[1]Точность устьев скважин'!K348),#N/A,'[1]Точность устьев скважин'!K348)</f>
        <v>#N/A</v>
      </c>
      <c r="L346" s="63" t="e">
        <f t="shared" si="42"/>
        <v>#N/A</v>
      </c>
      <c r="O346" t="e">
        <f t="shared" si="36"/>
        <v>#N/A</v>
      </c>
      <c r="P346" t="e">
        <f t="shared" si="36"/>
        <v>#N/A</v>
      </c>
      <c r="Q346" t="e">
        <f t="shared" si="37"/>
        <v>#N/A</v>
      </c>
      <c r="R346" t="e">
        <f t="shared" si="37"/>
        <v>#N/A</v>
      </c>
      <c r="S346" t="e">
        <f t="shared" si="38"/>
        <v>#N/A</v>
      </c>
      <c r="T346" t="e">
        <f t="shared" si="38"/>
        <v>#N/A</v>
      </c>
      <c r="U346" t="e">
        <f t="shared" si="39"/>
        <v>#N/A</v>
      </c>
      <c r="V346" t="e">
        <f t="shared" si="39"/>
        <v>#N/A</v>
      </c>
      <c r="W346" t="e">
        <f t="shared" si="40"/>
        <v>#N/A</v>
      </c>
      <c r="X346" t="e">
        <f t="shared" si="40"/>
        <v>#N/A</v>
      </c>
      <c r="Y346" t="e">
        <f t="shared" si="41"/>
        <v>#N/A</v>
      </c>
      <c r="Z346" t="e">
        <f t="shared" si="41"/>
        <v>#N/A</v>
      </c>
    </row>
    <row r="347" spans="1:26">
      <c r="A347" t="e">
        <f>IF(ISBLANK('[1]Точность устьев скважин'!A349),#N/A,'[1]Точность устьев скважин'!A349)</f>
        <v>#N/A</v>
      </c>
      <c r="B347" t="e">
        <f>IF(ISBLANK('[1]Точность устьев скважин'!B349),#N/A,'[1]Точность устьев скважин'!B349)</f>
        <v>#N/A</v>
      </c>
      <c r="C347" t="e">
        <f>IF(ISBLANK('[1]Точность устьев скважин'!C349),#N/A,'[1]Точность устьев скважин'!C349)</f>
        <v>#N/A</v>
      </c>
      <c r="D347" t="e">
        <f>IF(ISBLANK('[1]Точность устьев скважин'!D349),#N/A,'[1]Точность устьев скважин'!D349)</f>
        <v>#N/A</v>
      </c>
      <c r="G347" t="e">
        <f>IF(ISBLANK('[1]Точность устьев скважин'!H349),#N/A,'[1]Точность устьев скважин'!H349)</f>
        <v>#N/A</v>
      </c>
      <c r="H347" t="e">
        <f>IF(ISBLANK('[1]Точность устьев скважин'!I349),#N/A,'[1]Точность устьев скважин'!I349)</f>
        <v>#N/A</v>
      </c>
      <c r="I347" t="e">
        <f>IF(ISBLANK('[1]Точность устьев скважин'!J349),#N/A,'[1]Точность устьев скважин'!J349)</f>
        <v>#N/A</v>
      </c>
      <c r="J347" t="e">
        <f>IF(ISBLANK('[1]Точность устьев скважин'!K349),#N/A,'[1]Точность устьев скважин'!K349)</f>
        <v>#N/A</v>
      </c>
      <c r="L347" s="63" t="e">
        <f t="shared" si="42"/>
        <v>#N/A</v>
      </c>
      <c r="O347" t="e">
        <f t="shared" si="36"/>
        <v>#N/A</v>
      </c>
      <c r="P347" t="e">
        <f t="shared" si="36"/>
        <v>#N/A</v>
      </c>
      <c r="Q347" t="e">
        <f t="shared" si="37"/>
        <v>#N/A</v>
      </c>
      <c r="R347" t="e">
        <f t="shared" si="37"/>
        <v>#N/A</v>
      </c>
      <c r="S347" t="e">
        <f t="shared" si="38"/>
        <v>#N/A</v>
      </c>
      <c r="T347" t="e">
        <f t="shared" si="38"/>
        <v>#N/A</v>
      </c>
      <c r="U347" t="e">
        <f t="shared" si="39"/>
        <v>#N/A</v>
      </c>
      <c r="V347" t="e">
        <f t="shared" si="39"/>
        <v>#N/A</v>
      </c>
      <c r="W347" t="e">
        <f t="shared" si="40"/>
        <v>#N/A</v>
      </c>
      <c r="X347" t="e">
        <f t="shared" si="40"/>
        <v>#N/A</v>
      </c>
      <c r="Y347" t="e">
        <f t="shared" si="41"/>
        <v>#N/A</v>
      </c>
      <c r="Z347" t="e">
        <f t="shared" si="41"/>
        <v>#N/A</v>
      </c>
    </row>
    <row r="348" spans="1:26">
      <c r="A348" t="e">
        <f>IF(ISBLANK('[1]Точность устьев скважин'!A350),#N/A,'[1]Точность устьев скважин'!A350)</f>
        <v>#N/A</v>
      </c>
      <c r="B348" t="e">
        <f>IF(ISBLANK('[1]Точность устьев скважин'!B350),#N/A,'[1]Точность устьев скважин'!B350)</f>
        <v>#N/A</v>
      </c>
      <c r="C348" t="e">
        <f>IF(ISBLANK('[1]Точность устьев скважин'!C350),#N/A,'[1]Точность устьев скважин'!C350)</f>
        <v>#N/A</v>
      </c>
      <c r="D348" t="e">
        <f>IF(ISBLANK('[1]Точность устьев скважин'!D350),#N/A,'[1]Точность устьев скважин'!D350)</f>
        <v>#N/A</v>
      </c>
      <c r="G348" t="e">
        <f>IF(ISBLANK('[1]Точность устьев скважин'!H350),#N/A,'[1]Точность устьев скважин'!H350)</f>
        <v>#N/A</v>
      </c>
      <c r="H348" t="e">
        <f>IF(ISBLANK('[1]Точность устьев скважин'!I350),#N/A,'[1]Точность устьев скважин'!I350)</f>
        <v>#N/A</v>
      </c>
      <c r="I348" t="e">
        <f>IF(ISBLANK('[1]Точность устьев скважин'!J350),#N/A,'[1]Точность устьев скважин'!J350)</f>
        <v>#N/A</v>
      </c>
      <c r="J348" t="e">
        <f>IF(ISBLANK('[1]Точность устьев скважин'!K350),#N/A,'[1]Точность устьев скважин'!K350)</f>
        <v>#N/A</v>
      </c>
      <c r="L348" s="63" t="e">
        <f t="shared" si="42"/>
        <v>#N/A</v>
      </c>
      <c r="O348" t="e">
        <f t="shared" si="36"/>
        <v>#N/A</v>
      </c>
      <c r="P348" t="e">
        <f t="shared" si="36"/>
        <v>#N/A</v>
      </c>
      <c r="Q348" t="e">
        <f t="shared" si="37"/>
        <v>#N/A</v>
      </c>
      <c r="R348" t="e">
        <f t="shared" si="37"/>
        <v>#N/A</v>
      </c>
      <c r="S348" t="e">
        <f t="shared" si="38"/>
        <v>#N/A</v>
      </c>
      <c r="T348" t="e">
        <f t="shared" si="38"/>
        <v>#N/A</v>
      </c>
      <c r="U348" t="e">
        <f t="shared" si="39"/>
        <v>#N/A</v>
      </c>
      <c r="V348" t="e">
        <f t="shared" si="39"/>
        <v>#N/A</v>
      </c>
      <c r="W348" t="e">
        <f t="shared" si="40"/>
        <v>#N/A</v>
      </c>
      <c r="X348" t="e">
        <f t="shared" si="40"/>
        <v>#N/A</v>
      </c>
      <c r="Y348" t="e">
        <f t="shared" si="41"/>
        <v>#N/A</v>
      </c>
      <c r="Z348" t="e">
        <f t="shared" si="41"/>
        <v>#N/A</v>
      </c>
    </row>
    <row r="349" spans="1:26">
      <c r="A349" t="e">
        <f>IF(ISBLANK('[1]Точность устьев скважин'!A351),#N/A,'[1]Точность устьев скважин'!A351)</f>
        <v>#N/A</v>
      </c>
      <c r="B349" t="e">
        <f>IF(ISBLANK('[1]Точность устьев скважин'!B351),#N/A,'[1]Точность устьев скважин'!B351)</f>
        <v>#N/A</v>
      </c>
      <c r="C349" t="e">
        <f>IF(ISBLANK('[1]Точность устьев скважин'!C351),#N/A,'[1]Точность устьев скважин'!C351)</f>
        <v>#N/A</v>
      </c>
      <c r="D349" t="e">
        <f>IF(ISBLANK('[1]Точность устьев скважин'!D351),#N/A,'[1]Точность устьев скважин'!D351)</f>
        <v>#N/A</v>
      </c>
      <c r="G349" t="e">
        <f>IF(ISBLANK('[1]Точность устьев скважин'!H351),#N/A,'[1]Точность устьев скважин'!H351)</f>
        <v>#N/A</v>
      </c>
      <c r="H349" t="e">
        <f>IF(ISBLANK('[1]Точность устьев скважин'!I351),#N/A,'[1]Точность устьев скважин'!I351)</f>
        <v>#N/A</v>
      </c>
      <c r="I349" t="e">
        <f>IF(ISBLANK('[1]Точность устьев скважин'!J351),#N/A,'[1]Точность устьев скважин'!J351)</f>
        <v>#N/A</v>
      </c>
      <c r="J349" t="e">
        <f>IF(ISBLANK('[1]Точность устьев скважин'!K351),#N/A,'[1]Точность устьев скважин'!K351)</f>
        <v>#N/A</v>
      </c>
      <c r="L349" s="63" t="e">
        <f t="shared" si="42"/>
        <v>#N/A</v>
      </c>
      <c r="O349" t="e">
        <f t="shared" si="36"/>
        <v>#N/A</v>
      </c>
      <c r="P349" t="e">
        <f t="shared" si="36"/>
        <v>#N/A</v>
      </c>
      <c r="Q349" t="e">
        <f t="shared" si="37"/>
        <v>#N/A</v>
      </c>
      <c r="R349" t="e">
        <f t="shared" si="37"/>
        <v>#N/A</v>
      </c>
      <c r="S349" t="e">
        <f t="shared" si="38"/>
        <v>#N/A</v>
      </c>
      <c r="T349" t="e">
        <f t="shared" si="38"/>
        <v>#N/A</v>
      </c>
      <c r="U349" t="e">
        <f t="shared" si="39"/>
        <v>#N/A</v>
      </c>
      <c r="V349" t="e">
        <f t="shared" si="39"/>
        <v>#N/A</v>
      </c>
      <c r="W349" t="e">
        <f t="shared" si="40"/>
        <v>#N/A</v>
      </c>
      <c r="X349" t="e">
        <f t="shared" si="40"/>
        <v>#N/A</v>
      </c>
      <c r="Y349" t="e">
        <f t="shared" si="41"/>
        <v>#N/A</v>
      </c>
      <c r="Z349" t="e">
        <f t="shared" si="41"/>
        <v>#N/A</v>
      </c>
    </row>
    <row r="350" spans="1:26">
      <c r="A350" t="e">
        <f>IF(ISBLANK('[1]Точность устьев скважин'!A352),#N/A,'[1]Точность устьев скважин'!A352)</f>
        <v>#N/A</v>
      </c>
      <c r="B350" t="e">
        <f>IF(ISBLANK('[1]Точность устьев скважин'!B352),#N/A,'[1]Точность устьев скважин'!B352)</f>
        <v>#N/A</v>
      </c>
      <c r="C350" t="e">
        <f>IF(ISBLANK('[1]Точность устьев скважин'!C352),#N/A,'[1]Точность устьев скважин'!C352)</f>
        <v>#N/A</v>
      </c>
      <c r="D350" t="e">
        <f>IF(ISBLANK('[1]Точность устьев скважин'!D352),#N/A,'[1]Точность устьев скважин'!D352)</f>
        <v>#N/A</v>
      </c>
      <c r="G350" t="e">
        <f>IF(ISBLANK('[1]Точность устьев скважин'!H352),#N/A,'[1]Точность устьев скважин'!H352)</f>
        <v>#N/A</v>
      </c>
      <c r="H350" t="e">
        <f>IF(ISBLANK('[1]Точность устьев скважин'!I352),#N/A,'[1]Точность устьев скважин'!I352)</f>
        <v>#N/A</v>
      </c>
      <c r="I350" t="e">
        <f>IF(ISBLANK('[1]Точность устьев скважин'!J352),#N/A,'[1]Точность устьев скважин'!J352)</f>
        <v>#N/A</v>
      </c>
      <c r="J350" t="e">
        <f>IF(ISBLANK('[1]Точность устьев скважин'!K352),#N/A,'[1]Точность устьев скважин'!K352)</f>
        <v>#N/A</v>
      </c>
      <c r="L350" s="63" t="e">
        <f t="shared" si="42"/>
        <v>#N/A</v>
      </c>
      <c r="O350" t="e">
        <f t="shared" si="36"/>
        <v>#N/A</v>
      </c>
      <c r="P350" t="e">
        <f t="shared" si="36"/>
        <v>#N/A</v>
      </c>
      <c r="Q350" t="e">
        <f t="shared" si="37"/>
        <v>#N/A</v>
      </c>
      <c r="R350" t="e">
        <f t="shared" si="37"/>
        <v>#N/A</v>
      </c>
      <c r="S350" t="e">
        <f t="shared" si="38"/>
        <v>#N/A</v>
      </c>
      <c r="T350" t="e">
        <f t="shared" si="38"/>
        <v>#N/A</v>
      </c>
      <c r="U350" t="e">
        <f t="shared" si="39"/>
        <v>#N/A</v>
      </c>
      <c r="V350" t="e">
        <f t="shared" si="39"/>
        <v>#N/A</v>
      </c>
      <c r="W350" t="e">
        <f t="shared" si="40"/>
        <v>#N/A</v>
      </c>
      <c r="X350" t="e">
        <f t="shared" si="40"/>
        <v>#N/A</v>
      </c>
      <c r="Y350" t="e">
        <f t="shared" si="41"/>
        <v>#N/A</v>
      </c>
      <c r="Z350" t="e">
        <f t="shared" si="41"/>
        <v>#N/A</v>
      </c>
    </row>
    <row r="351" spans="1:26">
      <c r="A351" t="e">
        <f>IF(ISBLANK('[1]Точность устьев скважин'!A353),#N/A,'[1]Точность устьев скважин'!A353)</f>
        <v>#N/A</v>
      </c>
      <c r="B351" t="e">
        <f>IF(ISBLANK('[1]Точность устьев скважин'!B353),#N/A,'[1]Точность устьев скважин'!B353)</f>
        <v>#N/A</v>
      </c>
      <c r="C351" t="e">
        <f>IF(ISBLANK('[1]Точность устьев скважин'!C353),#N/A,'[1]Точность устьев скважин'!C353)</f>
        <v>#N/A</v>
      </c>
      <c r="D351" t="e">
        <f>IF(ISBLANK('[1]Точность устьев скважин'!D353),#N/A,'[1]Точность устьев скважин'!D353)</f>
        <v>#N/A</v>
      </c>
      <c r="G351" t="e">
        <f>IF(ISBLANK('[1]Точность устьев скважин'!H353),#N/A,'[1]Точность устьев скважин'!H353)</f>
        <v>#N/A</v>
      </c>
      <c r="H351" t="e">
        <f>IF(ISBLANK('[1]Точность устьев скважин'!I353),#N/A,'[1]Точность устьев скважин'!I353)</f>
        <v>#N/A</v>
      </c>
      <c r="I351" t="e">
        <f>IF(ISBLANK('[1]Точность устьев скважин'!J353),#N/A,'[1]Точность устьев скважин'!J353)</f>
        <v>#N/A</v>
      </c>
      <c r="J351" t="e">
        <f>IF(ISBLANK('[1]Точность устьев скважин'!K353),#N/A,'[1]Точность устьев скважин'!K353)</f>
        <v>#N/A</v>
      </c>
      <c r="L351" s="63" t="e">
        <f t="shared" si="42"/>
        <v>#N/A</v>
      </c>
      <c r="O351" t="e">
        <f t="shared" si="36"/>
        <v>#N/A</v>
      </c>
      <c r="P351" t="e">
        <f t="shared" si="36"/>
        <v>#N/A</v>
      </c>
      <c r="Q351" t="e">
        <f t="shared" si="37"/>
        <v>#N/A</v>
      </c>
      <c r="R351" t="e">
        <f t="shared" si="37"/>
        <v>#N/A</v>
      </c>
      <c r="S351" t="e">
        <f t="shared" si="38"/>
        <v>#N/A</v>
      </c>
      <c r="T351" t="e">
        <f t="shared" si="38"/>
        <v>#N/A</v>
      </c>
      <c r="U351" t="e">
        <f t="shared" si="39"/>
        <v>#N/A</v>
      </c>
      <c r="V351" t="e">
        <f t="shared" si="39"/>
        <v>#N/A</v>
      </c>
      <c r="W351" t="e">
        <f t="shared" si="40"/>
        <v>#N/A</v>
      </c>
      <c r="X351" t="e">
        <f t="shared" si="40"/>
        <v>#N/A</v>
      </c>
      <c r="Y351" t="e">
        <f t="shared" si="41"/>
        <v>#N/A</v>
      </c>
      <c r="Z351" t="e">
        <f t="shared" si="41"/>
        <v>#N/A</v>
      </c>
    </row>
    <row r="352" spans="1:26">
      <c r="A352" t="e">
        <f>IF(ISBLANK('[1]Точность устьев скважин'!A354),#N/A,'[1]Точность устьев скважин'!A354)</f>
        <v>#N/A</v>
      </c>
      <c r="B352" t="e">
        <f>IF(ISBLANK('[1]Точность устьев скважин'!B354),#N/A,'[1]Точность устьев скважин'!B354)</f>
        <v>#N/A</v>
      </c>
      <c r="C352" t="e">
        <f>IF(ISBLANK('[1]Точность устьев скважин'!C354),#N/A,'[1]Точность устьев скважин'!C354)</f>
        <v>#N/A</v>
      </c>
      <c r="D352" t="e">
        <f>IF(ISBLANK('[1]Точность устьев скважин'!D354),#N/A,'[1]Точность устьев скважин'!D354)</f>
        <v>#N/A</v>
      </c>
      <c r="G352" t="e">
        <f>IF(ISBLANK('[1]Точность устьев скважин'!H354),#N/A,'[1]Точность устьев скважин'!H354)</f>
        <v>#N/A</v>
      </c>
      <c r="H352" t="e">
        <f>IF(ISBLANK('[1]Точность устьев скважин'!I354),#N/A,'[1]Точность устьев скважин'!I354)</f>
        <v>#N/A</v>
      </c>
      <c r="I352" t="e">
        <f>IF(ISBLANK('[1]Точность устьев скважин'!J354),#N/A,'[1]Точность устьев скважин'!J354)</f>
        <v>#N/A</v>
      </c>
      <c r="J352" t="e">
        <f>IF(ISBLANK('[1]Точность устьев скважин'!K354),#N/A,'[1]Точность устьев скважин'!K354)</f>
        <v>#N/A</v>
      </c>
      <c r="L352" s="63" t="e">
        <f t="shared" si="42"/>
        <v>#N/A</v>
      </c>
      <c r="O352" t="e">
        <f t="shared" si="36"/>
        <v>#N/A</v>
      </c>
      <c r="P352" t="e">
        <f t="shared" si="36"/>
        <v>#N/A</v>
      </c>
      <c r="Q352" t="e">
        <f t="shared" si="37"/>
        <v>#N/A</v>
      </c>
      <c r="R352" t="e">
        <f t="shared" si="37"/>
        <v>#N/A</v>
      </c>
      <c r="S352" t="e">
        <f t="shared" si="38"/>
        <v>#N/A</v>
      </c>
      <c r="T352" t="e">
        <f t="shared" si="38"/>
        <v>#N/A</v>
      </c>
      <c r="U352" t="e">
        <f t="shared" si="39"/>
        <v>#N/A</v>
      </c>
      <c r="V352" t="e">
        <f t="shared" si="39"/>
        <v>#N/A</v>
      </c>
      <c r="W352" t="e">
        <f t="shared" si="40"/>
        <v>#N/A</v>
      </c>
      <c r="X352" t="e">
        <f t="shared" si="40"/>
        <v>#N/A</v>
      </c>
      <c r="Y352" t="e">
        <f t="shared" si="41"/>
        <v>#N/A</v>
      </c>
      <c r="Z352" t="e">
        <f t="shared" si="41"/>
        <v>#N/A</v>
      </c>
    </row>
    <row r="353" spans="1:26">
      <c r="A353" t="e">
        <f>IF(ISBLANK('[1]Точность устьев скважин'!A355),#N/A,'[1]Точность устьев скважин'!A355)</f>
        <v>#N/A</v>
      </c>
      <c r="B353" t="e">
        <f>IF(ISBLANK('[1]Точность устьев скважин'!B355),#N/A,'[1]Точность устьев скважин'!B355)</f>
        <v>#N/A</v>
      </c>
      <c r="C353" t="e">
        <f>IF(ISBLANK('[1]Точность устьев скважин'!C355),#N/A,'[1]Точность устьев скважин'!C355)</f>
        <v>#N/A</v>
      </c>
      <c r="D353" t="e">
        <f>IF(ISBLANK('[1]Точность устьев скважин'!D355),#N/A,'[1]Точность устьев скважин'!D355)</f>
        <v>#N/A</v>
      </c>
      <c r="G353" t="e">
        <f>IF(ISBLANK('[1]Точность устьев скважин'!H355),#N/A,'[1]Точность устьев скважин'!H355)</f>
        <v>#N/A</v>
      </c>
      <c r="H353" t="e">
        <f>IF(ISBLANK('[1]Точность устьев скважин'!I355),#N/A,'[1]Точность устьев скважин'!I355)</f>
        <v>#N/A</v>
      </c>
      <c r="I353" t="e">
        <f>IF(ISBLANK('[1]Точность устьев скважин'!J355),#N/A,'[1]Точность устьев скважин'!J355)</f>
        <v>#N/A</v>
      </c>
      <c r="J353" t="e">
        <f>IF(ISBLANK('[1]Точность устьев скважин'!K355),#N/A,'[1]Точность устьев скважин'!K355)</f>
        <v>#N/A</v>
      </c>
      <c r="L353" s="63" t="e">
        <f t="shared" si="42"/>
        <v>#N/A</v>
      </c>
      <c r="O353" t="e">
        <f t="shared" si="36"/>
        <v>#N/A</v>
      </c>
      <c r="P353" t="e">
        <f t="shared" si="36"/>
        <v>#N/A</v>
      </c>
      <c r="Q353" t="e">
        <f t="shared" si="37"/>
        <v>#N/A</v>
      </c>
      <c r="R353" t="e">
        <f t="shared" si="37"/>
        <v>#N/A</v>
      </c>
      <c r="S353" t="e">
        <f t="shared" si="38"/>
        <v>#N/A</v>
      </c>
      <c r="T353" t="e">
        <f t="shared" si="38"/>
        <v>#N/A</v>
      </c>
      <c r="U353" t="e">
        <f t="shared" si="39"/>
        <v>#N/A</v>
      </c>
      <c r="V353" t="e">
        <f t="shared" si="39"/>
        <v>#N/A</v>
      </c>
      <c r="W353" t="e">
        <f t="shared" si="40"/>
        <v>#N/A</v>
      </c>
      <c r="X353" t="e">
        <f t="shared" si="40"/>
        <v>#N/A</v>
      </c>
      <c r="Y353" t="e">
        <f t="shared" si="41"/>
        <v>#N/A</v>
      </c>
      <c r="Z353" t="e">
        <f t="shared" si="41"/>
        <v>#N/A</v>
      </c>
    </row>
    <row r="354" spans="1:26">
      <c r="A354" t="e">
        <f>IF(ISBLANK('[1]Точность устьев скважин'!A356),#N/A,'[1]Точность устьев скважин'!A356)</f>
        <v>#N/A</v>
      </c>
      <c r="B354" t="e">
        <f>IF(ISBLANK('[1]Точность устьев скважин'!B356),#N/A,'[1]Точность устьев скважин'!B356)</f>
        <v>#N/A</v>
      </c>
      <c r="C354" t="e">
        <f>IF(ISBLANK('[1]Точность устьев скважин'!C356),#N/A,'[1]Точность устьев скважин'!C356)</f>
        <v>#N/A</v>
      </c>
      <c r="D354" t="e">
        <f>IF(ISBLANK('[1]Точность устьев скважин'!D356),#N/A,'[1]Точность устьев скважин'!D356)</f>
        <v>#N/A</v>
      </c>
      <c r="G354" t="e">
        <f>IF(ISBLANK('[1]Точность устьев скважин'!H356),#N/A,'[1]Точность устьев скважин'!H356)</f>
        <v>#N/A</v>
      </c>
      <c r="H354" t="e">
        <f>IF(ISBLANK('[1]Точность устьев скважин'!I356),#N/A,'[1]Точность устьев скважин'!I356)</f>
        <v>#N/A</v>
      </c>
      <c r="I354" t="e">
        <f>IF(ISBLANK('[1]Точность устьев скважин'!J356),#N/A,'[1]Точность устьев скважин'!J356)</f>
        <v>#N/A</v>
      </c>
      <c r="J354" t="e">
        <f>IF(ISBLANK('[1]Точность устьев скважин'!K356),#N/A,'[1]Точность устьев скважин'!K356)</f>
        <v>#N/A</v>
      </c>
      <c r="L354" s="63" t="e">
        <f t="shared" si="42"/>
        <v>#N/A</v>
      </c>
      <c r="O354" t="e">
        <f t="shared" si="36"/>
        <v>#N/A</v>
      </c>
      <c r="P354" t="e">
        <f t="shared" si="36"/>
        <v>#N/A</v>
      </c>
      <c r="Q354" t="e">
        <f t="shared" si="37"/>
        <v>#N/A</v>
      </c>
      <c r="R354" t="e">
        <f t="shared" si="37"/>
        <v>#N/A</v>
      </c>
      <c r="S354" t="e">
        <f t="shared" si="38"/>
        <v>#N/A</v>
      </c>
      <c r="T354" t="e">
        <f t="shared" si="38"/>
        <v>#N/A</v>
      </c>
      <c r="U354" t="e">
        <f t="shared" si="39"/>
        <v>#N/A</v>
      </c>
      <c r="V354" t="e">
        <f t="shared" si="39"/>
        <v>#N/A</v>
      </c>
      <c r="W354" t="e">
        <f t="shared" si="40"/>
        <v>#N/A</v>
      </c>
      <c r="X354" t="e">
        <f t="shared" si="40"/>
        <v>#N/A</v>
      </c>
      <c r="Y354" t="e">
        <f t="shared" si="41"/>
        <v>#N/A</v>
      </c>
      <c r="Z354" t="e">
        <f t="shared" si="41"/>
        <v>#N/A</v>
      </c>
    </row>
    <row r="355" spans="1:26">
      <c r="A355" t="e">
        <f>IF(ISBLANK('[1]Точность устьев скважин'!A357),#N/A,'[1]Точность устьев скважин'!A357)</f>
        <v>#N/A</v>
      </c>
      <c r="B355" t="e">
        <f>IF(ISBLANK('[1]Точность устьев скважин'!B357),#N/A,'[1]Точность устьев скважин'!B357)</f>
        <v>#N/A</v>
      </c>
      <c r="C355" t="e">
        <f>IF(ISBLANK('[1]Точность устьев скважин'!C357),#N/A,'[1]Точность устьев скважин'!C357)</f>
        <v>#N/A</v>
      </c>
      <c r="D355" t="e">
        <f>IF(ISBLANK('[1]Точность устьев скважин'!D357),#N/A,'[1]Точность устьев скважин'!D357)</f>
        <v>#N/A</v>
      </c>
      <c r="G355" t="e">
        <f>IF(ISBLANK('[1]Точность устьев скважин'!H357),#N/A,'[1]Точность устьев скважин'!H357)</f>
        <v>#N/A</v>
      </c>
      <c r="H355" t="e">
        <f>IF(ISBLANK('[1]Точность устьев скважин'!I357),#N/A,'[1]Точность устьев скважин'!I357)</f>
        <v>#N/A</v>
      </c>
      <c r="I355" t="e">
        <f>IF(ISBLANK('[1]Точность устьев скважин'!J357),#N/A,'[1]Точность устьев скважин'!J357)</f>
        <v>#N/A</v>
      </c>
      <c r="J355" t="e">
        <f>IF(ISBLANK('[1]Точность устьев скважин'!K357),#N/A,'[1]Точность устьев скважин'!K357)</f>
        <v>#N/A</v>
      </c>
      <c r="L355" s="63" t="e">
        <f t="shared" si="42"/>
        <v>#N/A</v>
      </c>
      <c r="O355" t="e">
        <f t="shared" si="36"/>
        <v>#N/A</v>
      </c>
      <c r="P355" t="e">
        <f t="shared" si="36"/>
        <v>#N/A</v>
      </c>
      <c r="Q355" t="e">
        <f t="shared" si="37"/>
        <v>#N/A</v>
      </c>
      <c r="R355" t="e">
        <f t="shared" si="37"/>
        <v>#N/A</v>
      </c>
      <c r="S355" t="e">
        <f t="shared" si="38"/>
        <v>#N/A</v>
      </c>
      <c r="T355" t="e">
        <f t="shared" si="38"/>
        <v>#N/A</v>
      </c>
      <c r="U355" t="e">
        <f t="shared" si="39"/>
        <v>#N/A</v>
      </c>
      <c r="V355" t="e">
        <f t="shared" si="39"/>
        <v>#N/A</v>
      </c>
      <c r="W355" t="e">
        <f t="shared" si="40"/>
        <v>#N/A</v>
      </c>
      <c r="X355" t="e">
        <f t="shared" si="40"/>
        <v>#N/A</v>
      </c>
      <c r="Y355" t="e">
        <f t="shared" si="41"/>
        <v>#N/A</v>
      </c>
      <c r="Z355" t="e">
        <f t="shared" si="41"/>
        <v>#N/A</v>
      </c>
    </row>
    <row r="356" spans="1:26">
      <c r="A356" t="e">
        <f>IF(ISBLANK('[1]Точность устьев скважин'!A358),#N/A,'[1]Точность устьев скважин'!A358)</f>
        <v>#N/A</v>
      </c>
      <c r="B356" t="e">
        <f>IF(ISBLANK('[1]Точность устьев скважин'!B358),#N/A,'[1]Точность устьев скважин'!B358)</f>
        <v>#N/A</v>
      </c>
      <c r="C356" t="e">
        <f>IF(ISBLANK('[1]Точность устьев скважин'!C358),#N/A,'[1]Точность устьев скважин'!C358)</f>
        <v>#N/A</v>
      </c>
      <c r="D356" t="e">
        <f>IF(ISBLANK('[1]Точность устьев скважин'!D358),#N/A,'[1]Точность устьев скважин'!D358)</f>
        <v>#N/A</v>
      </c>
      <c r="G356" t="e">
        <f>IF(ISBLANK('[1]Точность устьев скважин'!H358),#N/A,'[1]Точность устьев скважин'!H358)</f>
        <v>#N/A</v>
      </c>
      <c r="H356" t="e">
        <f>IF(ISBLANK('[1]Точность устьев скважин'!I358),#N/A,'[1]Точность устьев скважин'!I358)</f>
        <v>#N/A</v>
      </c>
      <c r="I356" t="e">
        <f>IF(ISBLANK('[1]Точность устьев скважин'!J358),#N/A,'[1]Точность устьев скважин'!J358)</f>
        <v>#N/A</v>
      </c>
      <c r="J356" t="e">
        <f>IF(ISBLANK('[1]Точность устьев скважин'!K358),#N/A,'[1]Точность устьев скважин'!K358)</f>
        <v>#N/A</v>
      </c>
      <c r="L356" s="63" t="e">
        <f t="shared" si="42"/>
        <v>#N/A</v>
      </c>
      <c r="O356" t="e">
        <f t="shared" si="36"/>
        <v>#N/A</v>
      </c>
      <c r="P356" t="e">
        <f t="shared" si="36"/>
        <v>#N/A</v>
      </c>
      <c r="Q356" t="e">
        <f t="shared" si="37"/>
        <v>#N/A</v>
      </c>
      <c r="R356" t="e">
        <f t="shared" si="37"/>
        <v>#N/A</v>
      </c>
      <c r="S356" t="e">
        <f t="shared" si="38"/>
        <v>#N/A</v>
      </c>
      <c r="T356" t="e">
        <f t="shared" si="38"/>
        <v>#N/A</v>
      </c>
      <c r="U356" t="e">
        <f t="shared" si="39"/>
        <v>#N/A</v>
      </c>
      <c r="V356" t="e">
        <f t="shared" si="39"/>
        <v>#N/A</v>
      </c>
      <c r="W356" t="e">
        <f t="shared" si="40"/>
        <v>#N/A</v>
      </c>
      <c r="X356" t="e">
        <f t="shared" si="40"/>
        <v>#N/A</v>
      </c>
      <c r="Y356" t="e">
        <f t="shared" si="41"/>
        <v>#N/A</v>
      </c>
      <c r="Z356" t="e">
        <f t="shared" si="41"/>
        <v>#N/A</v>
      </c>
    </row>
    <row r="357" spans="1:26">
      <c r="A357" t="e">
        <f>IF(ISBLANK('[1]Точность устьев скважин'!A359),#N/A,'[1]Точность устьев скважин'!A359)</f>
        <v>#N/A</v>
      </c>
      <c r="B357" t="e">
        <f>IF(ISBLANK('[1]Точность устьев скважин'!B359),#N/A,'[1]Точность устьев скважин'!B359)</f>
        <v>#N/A</v>
      </c>
      <c r="C357" t="e">
        <f>IF(ISBLANK('[1]Точность устьев скважин'!C359),#N/A,'[1]Точность устьев скважин'!C359)</f>
        <v>#N/A</v>
      </c>
      <c r="D357" t="e">
        <f>IF(ISBLANK('[1]Точность устьев скважин'!D359),#N/A,'[1]Точность устьев скважин'!D359)</f>
        <v>#N/A</v>
      </c>
      <c r="G357" t="e">
        <f>IF(ISBLANK('[1]Точность устьев скважин'!H359),#N/A,'[1]Точность устьев скважин'!H359)</f>
        <v>#N/A</v>
      </c>
      <c r="H357" t="e">
        <f>IF(ISBLANK('[1]Точность устьев скважин'!I359),#N/A,'[1]Точность устьев скважин'!I359)</f>
        <v>#N/A</v>
      </c>
      <c r="I357" t="e">
        <f>IF(ISBLANK('[1]Точность устьев скважин'!J359),#N/A,'[1]Точность устьев скважин'!J359)</f>
        <v>#N/A</v>
      </c>
      <c r="J357" t="e">
        <f>IF(ISBLANK('[1]Точность устьев скважин'!K359),#N/A,'[1]Точность устьев скважин'!K359)</f>
        <v>#N/A</v>
      </c>
      <c r="L357" s="63" t="e">
        <f t="shared" si="42"/>
        <v>#N/A</v>
      </c>
      <c r="O357" t="e">
        <f t="shared" si="36"/>
        <v>#N/A</v>
      </c>
      <c r="P357" t="e">
        <f t="shared" si="36"/>
        <v>#N/A</v>
      </c>
      <c r="Q357" t="e">
        <f t="shared" si="37"/>
        <v>#N/A</v>
      </c>
      <c r="R357" t="e">
        <f t="shared" si="37"/>
        <v>#N/A</v>
      </c>
      <c r="S357" t="e">
        <f t="shared" si="38"/>
        <v>#N/A</v>
      </c>
      <c r="T357" t="e">
        <f t="shared" si="38"/>
        <v>#N/A</v>
      </c>
      <c r="U357" t="e">
        <f t="shared" si="39"/>
        <v>#N/A</v>
      </c>
      <c r="V357" t="e">
        <f t="shared" si="39"/>
        <v>#N/A</v>
      </c>
      <c r="W357" t="e">
        <f t="shared" si="40"/>
        <v>#N/A</v>
      </c>
      <c r="X357" t="e">
        <f t="shared" si="40"/>
        <v>#N/A</v>
      </c>
      <c r="Y357" t="e">
        <f t="shared" si="41"/>
        <v>#N/A</v>
      </c>
      <c r="Z357" t="e">
        <f t="shared" si="41"/>
        <v>#N/A</v>
      </c>
    </row>
    <row r="358" spans="1:26">
      <c r="A358" t="e">
        <f>IF(ISBLANK('[1]Точность устьев скважин'!A360),#N/A,'[1]Точность устьев скважин'!A360)</f>
        <v>#N/A</v>
      </c>
      <c r="B358" t="e">
        <f>IF(ISBLANK('[1]Точность устьев скважин'!B360),#N/A,'[1]Точность устьев скважин'!B360)</f>
        <v>#N/A</v>
      </c>
      <c r="C358" t="e">
        <f>IF(ISBLANK('[1]Точность устьев скважин'!C360),#N/A,'[1]Точность устьев скважин'!C360)</f>
        <v>#N/A</v>
      </c>
      <c r="D358" t="e">
        <f>IF(ISBLANK('[1]Точность устьев скважин'!D360),#N/A,'[1]Точность устьев скважин'!D360)</f>
        <v>#N/A</v>
      </c>
      <c r="G358" t="e">
        <f>IF(ISBLANK('[1]Точность устьев скважин'!H360),#N/A,'[1]Точность устьев скважин'!H360)</f>
        <v>#N/A</v>
      </c>
      <c r="H358" t="e">
        <f>IF(ISBLANK('[1]Точность устьев скважин'!I360),#N/A,'[1]Точность устьев скважин'!I360)</f>
        <v>#N/A</v>
      </c>
      <c r="I358" t="e">
        <f>IF(ISBLANK('[1]Точность устьев скважин'!J360),#N/A,'[1]Точность устьев скважин'!J360)</f>
        <v>#N/A</v>
      </c>
      <c r="J358" t="e">
        <f>IF(ISBLANK('[1]Точность устьев скважин'!K360),#N/A,'[1]Точность устьев скважин'!K360)</f>
        <v>#N/A</v>
      </c>
      <c r="L358" s="63" t="e">
        <f t="shared" si="42"/>
        <v>#N/A</v>
      </c>
      <c r="O358" t="e">
        <f t="shared" si="36"/>
        <v>#N/A</v>
      </c>
      <c r="P358" t="e">
        <f t="shared" si="36"/>
        <v>#N/A</v>
      </c>
      <c r="Q358" t="e">
        <f t="shared" si="37"/>
        <v>#N/A</v>
      </c>
      <c r="R358" t="e">
        <f t="shared" si="37"/>
        <v>#N/A</v>
      </c>
      <c r="S358" t="e">
        <f t="shared" si="38"/>
        <v>#N/A</v>
      </c>
      <c r="T358" t="e">
        <f t="shared" si="38"/>
        <v>#N/A</v>
      </c>
      <c r="U358" t="e">
        <f t="shared" si="39"/>
        <v>#N/A</v>
      </c>
      <c r="V358" t="e">
        <f t="shared" si="39"/>
        <v>#N/A</v>
      </c>
      <c r="W358" t="e">
        <f t="shared" si="40"/>
        <v>#N/A</v>
      </c>
      <c r="X358" t="e">
        <f t="shared" si="40"/>
        <v>#N/A</v>
      </c>
      <c r="Y358" t="e">
        <f t="shared" si="41"/>
        <v>#N/A</v>
      </c>
      <c r="Z358" t="e">
        <f t="shared" si="41"/>
        <v>#N/A</v>
      </c>
    </row>
    <row r="359" spans="1:26">
      <c r="A359" t="e">
        <f>IF(ISBLANK('[1]Точность устьев скважин'!A361),#N/A,'[1]Точность устьев скважин'!A361)</f>
        <v>#N/A</v>
      </c>
      <c r="B359" t="e">
        <f>IF(ISBLANK('[1]Точность устьев скважин'!B361),#N/A,'[1]Точность устьев скважин'!B361)</f>
        <v>#N/A</v>
      </c>
      <c r="C359" t="e">
        <f>IF(ISBLANK('[1]Точность устьев скважин'!C361),#N/A,'[1]Точность устьев скважин'!C361)</f>
        <v>#N/A</v>
      </c>
      <c r="D359" t="e">
        <f>IF(ISBLANK('[1]Точность устьев скважин'!D361),#N/A,'[1]Точность устьев скважин'!D361)</f>
        <v>#N/A</v>
      </c>
      <c r="G359" t="e">
        <f>IF(ISBLANK('[1]Точность устьев скважин'!H361),#N/A,'[1]Точность устьев скважин'!H361)</f>
        <v>#N/A</v>
      </c>
      <c r="H359" t="e">
        <f>IF(ISBLANK('[1]Точность устьев скважин'!I361),#N/A,'[1]Точность устьев скважин'!I361)</f>
        <v>#N/A</v>
      </c>
      <c r="I359" t="e">
        <f>IF(ISBLANK('[1]Точность устьев скважин'!J361),#N/A,'[1]Точность устьев скважин'!J361)</f>
        <v>#N/A</v>
      </c>
      <c r="J359" t="e">
        <f>IF(ISBLANK('[1]Точность устьев скважин'!K361),#N/A,'[1]Точность устьев скважин'!K361)</f>
        <v>#N/A</v>
      </c>
      <c r="L359" s="63" t="e">
        <f t="shared" si="42"/>
        <v>#N/A</v>
      </c>
      <c r="O359" t="e">
        <f t="shared" si="36"/>
        <v>#N/A</v>
      </c>
      <c r="P359" t="e">
        <f t="shared" si="36"/>
        <v>#N/A</v>
      </c>
      <c r="Q359" t="e">
        <f t="shared" si="37"/>
        <v>#N/A</v>
      </c>
      <c r="R359" t="e">
        <f t="shared" si="37"/>
        <v>#N/A</v>
      </c>
      <c r="S359" t="e">
        <f t="shared" si="38"/>
        <v>#N/A</v>
      </c>
      <c r="T359" t="e">
        <f t="shared" si="38"/>
        <v>#N/A</v>
      </c>
      <c r="U359" t="e">
        <f t="shared" si="39"/>
        <v>#N/A</v>
      </c>
      <c r="V359" t="e">
        <f t="shared" si="39"/>
        <v>#N/A</v>
      </c>
      <c r="W359" t="e">
        <f t="shared" si="40"/>
        <v>#N/A</v>
      </c>
      <c r="X359" t="e">
        <f t="shared" si="40"/>
        <v>#N/A</v>
      </c>
      <c r="Y359" t="e">
        <f t="shared" si="41"/>
        <v>#N/A</v>
      </c>
      <c r="Z359" t="e">
        <f t="shared" si="41"/>
        <v>#N/A</v>
      </c>
    </row>
    <row r="360" spans="1:26">
      <c r="A360" t="e">
        <f>IF(ISBLANK('[1]Точность устьев скважин'!A362),#N/A,'[1]Точность устьев скважин'!A362)</f>
        <v>#N/A</v>
      </c>
      <c r="B360" t="e">
        <f>IF(ISBLANK('[1]Точность устьев скважин'!B362),#N/A,'[1]Точность устьев скважин'!B362)</f>
        <v>#N/A</v>
      </c>
      <c r="C360" t="e">
        <f>IF(ISBLANK('[1]Точность устьев скважин'!C362),#N/A,'[1]Точность устьев скважин'!C362)</f>
        <v>#N/A</v>
      </c>
      <c r="D360" t="e">
        <f>IF(ISBLANK('[1]Точность устьев скважин'!D362),#N/A,'[1]Точность устьев скважин'!D362)</f>
        <v>#N/A</v>
      </c>
      <c r="G360" t="e">
        <f>IF(ISBLANK('[1]Точность устьев скважин'!H362),#N/A,'[1]Точность устьев скважин'!H362)</f>
        <v>#N/A</v>
      </c>
      <c r="H360" t="e">
        <f>IF(ISBLANK('[1]Точность устьев скважин'!I362),#N/A,'[1]Точность устьев скважин'!I362)</f>
        <v>#N/A</v>
      </c>
      <c r="I360" t="e">
        <f>IF(ISBLANK('[1]Точность устьев скважин'!J362),#N/A,'[1]Точность устьев скважин'!J362)</f>
        <v>#N/A</v>
      </c>
      <c r="J360" t="e">
        <f>IF(ISBLANK('[1]Точность устьев скважин'!K362),#N/A,'[1]Точность устьев скважин'!K362)</f>
        <v>#N/A</v>
      </c>
      <c r="L360" s="63" t="e">
        <f t="shared" si="42"/>
        <v>#N/A</v>
      </c>
      <c r="O360" t="e">
        <f t="shared" si="36"/>
        <v>#N/A</v>
      </c>
      <c r="P360" t="e">
        <f t="shared" si="36"/>
        <v>#N/A</v>
      </c>
      <c r="Q360" t="e">
        <f t="shared" si="37"/>
        <v>#N/A</v>
      </c>
      <c r="R360" t="e">
        <f t="shared" si="37"/>
        <v>#N/A</v>
      </c>
      <c r="S360" t="e">
        <f t="shared" si="38"/>
        <v>#N/A</v>
      </c>
      <c r="T360" t="e">
        <f t="shared" si="38"/>
        <v>#N/A</v>
      </c>
      <c r="U360" t="e">
        <f t="shared" si="39"/>
        <v>#N/A</v>
      </c>
      <c r="V360" t="e">
        <f t="shared" si="39"/>
        <v>#N/A</v>
      </c>
      <c r="W360" t="e">
        <f t="shared" si="40"/>
        <v>#N/A</v>
      </c>
      <c r="X360" t="e">
        <f t="shared" si="40"/>
        <v>#N/A</v>
      </c>
      <c r="Y360" t="e">
        <f t="shared" si="41"/>
        <v>#N/A</v>
      </c>
      <c r="Z360" t="e">
        <f t="shared" si="41"/>
        <v>#N/A</v>
      </c>
    </row>
    <row r="361" spans="1:26">
      <c r="A361" t="e">
        <f>IF(ISBLANK('[1]Точность устьев скважин'!A363),#N/A,'[1]Точность устьев скважин'!A363)</f>
        <v>#N/A</v>
      </c>
      <c r="B361" t="e">
        <f>IF(ISBLANK('[1]Точность устьев скважин'!B363),#N/A,'[1]Точность устьев скважин'!B363)</f>
        <v>#N/A</v>
      </c>
      <c r="C361" t="e">
        <f>IF(ISBLANK('[1]Точность устьев скважин'!C363),#N/A,'[1]Точность устьев скважин'!C363)</f>
        <v>#N/A</v>
      </c>
      <c r="D361" t="e">
        <f>IF(ISBLANK('[1]Точность устьев скважин'!D363),#N/A,'[1]Точность устьев скважин'!D363)</f>
        <v>#N/A</v>
      </c>
      <c r="G361" t="e">
        <f>IF(ISBLANK('[1]Точность устьев скважин'!H363),#N/A,'[1]Точность устьев скважин'!H363)</f>
        <v>#N/A</v>
      </c>
      <c r="H361" t="e">
        <f>IF(ISBLANK('[1]Точность устьев скважин'!I363),#N/A,'[1]Точность устьев скважин'!I363)</f>
        <v>#N/A</v>
      </c>
      <c r="I361" t="e">
        <f>IF(ISBLANK('[1]Точность устьев скважин'!J363),#N/A,'[1]Точность устьев скважин'!J363)</f>
        <v>#N/A</v>
      </c>
      <c r="J361" t="e">
        <f>IF(ISBLANK('[1]Точность устьев скважин'!K363),#N/A,'[1]Точность устьев скважин'!K363)</f>
        <v>#N/A</v>
      </c>
      <c r="L361" s="63" t="e">
        <f t="shared" si="42"/>
        <v>#N/A</v>
      </c>
      <c r="O361" t="e">
        <f t="shared" ref="O361:P424" si="43">IF($L$1=0.5,IF(AND($L361&gt;0,$L361&lt;0.1),H361,#N/A),"")</f>
        <v>#N/A</v>
      </c>
      <c r="P361" t="e">
        <f t="shared" si="43"/>
        <v>#N/A</v>
      </c>
      <c r="Q361" t="e">
        <f t="shared" ref="Q361:R424" si="44">IF($L$1=0.5,IF(AND($L361&gt;=0.1,$L361&lt;0.2),H361,#N/A),"")</f>
        <v>#N/A</v>
      </c>
      <c r="R361" t="e">
        <f t="shared" si="44"/>
        <v>#N/A</v>
      </c>
      <c r="S361" t="e">
        <f t="shared" ref="S361:T424" si="45">IF($L$1=0.5,IF(AND($L361&gt;=0.2,$L361&lt;0.3),H361,#N/A),"")</f>
        <v>#N/A</v>
      </c>
      <c r="T361" t="e">
        <f t="shared" si="45"/>
        <v>#N/A</v>
      </c>
      <c r="U361" t="e">
        <f t="shared" ref="U361:V424" si="46">IF($L$1=0.5,IF(AND($L361&gt;=0.3,$L361&lt;0.4),H361,#N/A),"")</f>
        <v>#N/A</v>
      </c>
      <c r="V361" t="e">
        <f t="shared" si="46"/>
        <v>#N/A</v>
      </c>
      <c r="W361" t="e">
        <f t="shared" ref="W361:X424" si="47">IF($L$1=0.5,IF(AND($L361&gt;=0.4,$L361&lt;0.5),H361,#N/A),"")</f>
        <v>#N/A</v>
      </c>
      <c r="X361" t="e">
        <f t="shared" si="47"/>
        <v>#N/A</v>
      </c>
      <c r="Y361" t="e">
        <f t="shared" si="41"/>
        <v>#N/A</v>
      </c>
      <c r="Z361" t="e">
        <f t="shared" si="41"/>
        <v>#N/A</v>
      </c>
    </row>
    <row r="362" spans="1:26">
      <c r="A362" t="e">
        <f>IF(ISBLANK('[1]Точность устьев скважин'!A364),#N/A,'[1]Точность устьев скважин'!A364)</f>
        <v>#N/A</v>
      </c>
      <c r="B362" t="e">
        <f>IF(ISBLANK('[1]Точность устьев скважин'!B364),#N/A,'[1]Точность устьев скважин'!B364)</f>
        <v>#N/A</v>
      </c>
      <c r="C362" t="e">
        <f>IF(ISBLANK('[1]Точность устьев скважин'!C364),#N/A,'[1]Точность устьев скважин'!C364)</f>
        <v>#N/A</v>
      </c>
      <c r="D362" t="e">
        <f>IF(ISBLANK('[1]Точность устьев скважин'!D364),#N/A,'[1]Точность устьев скважин'!D364)</f>
        <v>#N/A</v>
      </c>
      <c r="G362" t="e">
        <f>IF(ISBLANK('[1]Точность устьев скважин'!H364),#N/A,'[1]Точность устьев скважин'!H364)</f>
        <v>#N/A</v>
      </c>
      <c r="H362" t="e">
        <f>IF(ISBLANK('[1]Точность устьев скважин'!I364),#N/A,'[1]Точность устьев скважин'!I364)</f>
        <v>#N/A</v>
      </c>
      <c r="I362" t="e">
        <f>IF(ISBLANK('[1]Точность устьев скважин'!J364),#N/A,'[1]Точность устьев скважин'!J364)</f>
        <v>#N/A</v>
      </c>
      <c r="J362" t="e">
        <f>IF(ISBLANK('[1]Точность устьев скважин'!K364),#N/A,'[1]Точность устьев скважин'!K364)</f>
        <v>#N/A</v>
      </c>
      <c r="L362" s="63" t="e">
        <f t="shared" si="42"/>
        <v>#N/A</v>
      </c>
      <c r="O362" t="e">
        <f t="shared" si="43"/>
        <v>#N/A</v>
      </c>
      <c r="P362" t="e">
        <f t="shared" si="43"/>
        <v>#N/A</v>
      </c>
      <c r="Q362" t="e">
        <f t="shared" si="44"/>
        <v>#N/A</v>
      </c>
      <c r="R362" t="e">
        <f t="shared" si="44"/>
        <v>#N/A</v>
      </c>
      <c r="S362" t="e">
        <f t="shared" si="45"/>
        <v>#N/A</v>
      </c>
      <c r="T362" t="e">
        <f t="shared" si="45"/>
        <v>#N/A</v>
      </c>
      <c r="U362" t="e">
        <f t="shared" si="46"/>
        <v>#N/A</v>
      </c>
      <c r="V362" t="e">
        <f t="shared" si="46"/>
        <v>#N/A</v>
      </c>
      <c r="W362" t="e">
        <f t="shared" si="47"/>
        <v>#N/A</v>
      </c>
      <c r="X362" t="e">
        <f t="shared" si="47"/>
        <v>#N/A</v>
      </c>
      <c r="Y362" t="e">
        <f t="shared" si="41"/>
        <v>#N/A</v>
      </c>
      <c r="Z362" t="e">
        <f t="shared" si="41"/>
        <v>#N/A</v>
      </c>
    </row>
    <row r="363" spans="1:26">
      <c r="A363" t="e">
        <f>IF(ISBLANK('[1]Точность устьев скважин'!A365),#N/A,'[1]Точность устьев скважин'!A365)</f>
        <v>#N/A</v>
      </c>
      <c r="B363" t="e">
        <f>IF(ISBLANK('[1]Точность устьев скважин'!B365),#N/A,'[1]Точность устьев скважин'!B365)</f>
        <v>#N/A</v>
      </c>
      <c r="C363" t="e">
        <f>IF(ISBLANK('[1]Точность устьев скважин'!C365),#N/A,'[1]Точность устьев скважин'!C365)</f>
        <v>#N/A</v>
      </c>
      <c r="D363" t="e">
        <f>IF(ISBLANK('[1]Точность устьев скважин'!D365),#N/A,'[1]Точность устьев скважин'!D365)</f>
        <v>#N/A</v>
      </c>
      <c r="G363" t="e">
        <f>IF(ISBLANK('[1]Точность устьев скважин'!H365),#N/A,'[1]Точность устьев скважин'!H365)</f>
        <v>#N/A</v>
      </c>
      <c r="H363" t="e">
        <f>IF(ISBLANK('[1]Точность устьев скважин'!I365),#N/A,'[1]Точность устьев скважин'!I365)</f>
        <v>#N/A</v>
      </c>
      <c r="I363" t="e">
        <f>IF(ISBLANK('[1]Точность устьев скважин'!J365),#N/A,'[1]Точность устьев скважин'!J365)</f>
        <v>#N/A</v>
      </c>
      <c r="J363" t="e">
        <f>IF(ISBLANK('[1]Точность устьев скважин'!K365),#N/A,'[1]Точность устьев скважин'!K365)</f>
        <v>#N/A</v>
      </c>
      <c r="L363" s="63" t="e">
        <f t="shared" si="42"/>
        <v>#N/A</v>
      </c>
      <c r="O363" t="e">
        <f t="shared" si="43"/>
        <v>#N/A</v>
      </c>
      <c r="P363" t="e">
        <f t="shared" si="43"/>
        <v>#N/A</v>
      </c>
      <c r="Q363" t="e">
        <f t="shared" si="44"/>
        <v>#N/A</v>
      </c>
      <c r="R363" t="e">
        <f t="shared" si="44"/>
        <v>#N/A</v>
      </c>
      <c r="S363" t="e">
        <f t="shared" si="45"/>
        <v>#N/A</v>
      </c>
      <c r="T363" t="e">
        <f t="shared" si="45"/>
        <v>#N/A</v>
      </c>
      <c r="U363" t="e">
        <f t="shared" si="46"/>
        <v>#N/A</v>
      </c>
      <c r="V363" t="e">
        <f t="shared" si="46"/>
        <v>#N/A</v>
      </c>
      <c r="W363" t="e">
        <f t="shared" si="47"/>
        <v>#N/A</v>
      </c>
      <c r="X363" t="e">
        <f t="shared" si="47"/>
        <v>#N/A</v>
      </c>
      <c r="Y363" t="e">
        <f t="shared" si="41"/>
        <v>#N/A</v>
      </c>
      <c r="Z363" t="e">
        <f t="shared" si="41"/>
        <v>#N/A</v>
      </c>
    </row>
    <row r="364" spans="1:26">
      <c r="A364" t="e">
        <f>IF(ISBLANK('[1]Точность устьев скважин'!A366),#N/A,'[1]Точность устьев скважин'!A366)</f>
        <v>#N/A</v>
      </c>
      <c r="B364" t="e">
        <f>IF(ISBLANK('[1]Точность устьев скважин'!B366),#N/A,'[1]Точность устьев скважин'!B366)</f>
        <v>#N/A</v>
      </c>
      <c r="C364" t="e">
        <f>IF(ISBLANK('[1]Точность устьев скважин'!C366),#N/A,'[1]Точность устьев скважин'!C366)</f>
        <v>#N/A</v>
      </c>
      <c r="D364" t="e">
        <f>IF(ISBLANK('[1]Точность устьев скважин'!D366),#N/A,'[1]Точность устьев скважин'!D366)</f>
        <v>#N/A</v>
      </c>
      <c r="G364" t="e">
        <f>IF(ISBLANK('[1]Точность устьев скважин'!H366),#N/A,'[1]Точность устьев скважин'!H366)</f>
        <v>#N/A</v>
      </c>
      <c r="H364" t="e">
        <f>IF(ISBLANK('[1]Точность устьев скважин'!I366),#N/A,'[1]Точность устьев скважин'!I366)</f>
        <v>#N/A</v>
      </c>
      <c r="I364" t="e">
        <f>IF(ISBLANK('[1]Точность устьев скважин'!J366),#N/A,'[1]Точность устьев скважин'!J366)</f>
        <v>#N/A</v>
      </c>
      <c r="J364" t="e">
        <f>IF(ISBLANK('[1]Точность устьев скважин'!K366),#N/A,'[1]Точность устьев скважин'!K366)</f>
        <v>#N/A</v>
      </c>
      <c r="L364" s="63" t="e">
        <f t="shared" si="42"/>
        <v>#N/A</v>
      </c>
      <c r="O364" t="e">
        <f t="shared" si="43"/>
        <v>#N/A</v>
      </c>
      <c r="P364" t="e">
        <f t="shared" si="43"/>
        <v>#N/A</v>
      </c>
      <c r="Q364" t="e">
        <f t="shared" si="44"/>
        <v>#N/A</v>
      </c>
      <c r="R364" t="e">
        <f t="shared" si="44"/>
        <v>#N/A</v>
      </c>
      <c r="S364" t="e">
        <f t="shared" si="45"/>
        <v>#N/A</v>
      </c>
      <c r="T364" t="e">
        <f t="shared" si="45"/>
        <v>#N/A</v>
      </c>
      <c r="U364" t="e">
        <f t="shared" si="46"/>
        <v>#N/A</v>
      </c>
      <c r="V364" t="e">
        <f t="shared" si="46"/>
        <v>#N/A</v>
      </c>
      <c r="W364" t="e">
        <f t="shared" si="47"/>
        <v>#N/A</v>
      </c>
      <c r="X364" t="e">
        <f t="shared" si="47"/>
        <v>#N/A</v>
      </c>
      <c r="Y364" t="e">
        <f t="shared" si="41"/>
        <v>#N/A</v>
      </c>
      <c r="Z364" t="e">
        <f t="shared" si="41"/>
        <v>#N/A</v>
      </c>
    </row>
    <row r="365" spans="1:26">
      <c r="A365" t="e">
        <f>IF(ISBLANK('[1]Точность устьев скважин'!A367),#N/A,'[1]Точность устьев скважин'!A367)</f>
        <v>#N/A</v>
      </c>
      <c r="B365" t="e">
        <f>IF(ISBLANK('[1]Точность устьев скважин'!B367),#N/A,'[1]Точность устьев скважин'!B367)</f>
        <v>#N/A</v>
      </c>
      <c r="C365" t="e">
        <f>IF(ISBLANK('[1]Точность устьев скважин'!C367),#N/A,'[1]Точность устьев скважин'!C367)</f>
        <v>#N/A</v>
      </c>
      <c r="D365" t="e">
        <f>IF(ISBLANK('[1]Точность устьев скважин'!D367),#N/A,'[1]Точность устьев скважин'!D367)</f>
        <v>#N/A</v>
      </c>
      <c r="G365" t="e">
        <f>IF(ISBLANK('[1]Точность устьев скважин'!H367),#N/A,'[1]Точность устьев скважин'!H367)</f>
        <v>#N/A</v>
      </c>
      <c r="H365" t="e">
        <f>IF(ISBLANK('[1]Точность устьев скважин'!I367),#N/A,'[1]Точность устьев скважин'!I367)</f>
        <v>#N/A</v>
      </c>
      <c r="I365" t="e">
        <f>IF(ISBLANK('[1]Точность устьев скважин'!J367),#N/A,'[1]Точность устьев скважин'!J367)</f>
        <v>#N/A</v>
      </c>
      <c r="J365" t="e">
        <f>IF(ISBLANK('[1]Точность устьев скважин'!K367),#N/A,'[1]Точность устьев скважин'!K367)</f>
        <v>#N/A</v>
      </c>
      <c r="L365" s="63" t="e">
        <f t="shared" si="42"/>
        <v>#N/A</v>
      </c>
      <c r="O365" t="e">
        <f t="shared" si="43"/>
        <v>#N/A</v>
      </c>
      <c r="P365" t="e">
        <f t="shared" si="43"/>
        <v>#N/A</v>
      </c>
      <c r="Q365" t="e">
        <f t="shared" si="44"/>
        <v>#N/A</v>
      </c>
      <c r="R365" t="e">
        <f t="shared" si="44"/>
        <v>#N/A</v>
      </c>
      <c r="S365" t="e">
        <f t="shared" si="45"/>
        <v>#N/A</v>
      </c>
      <c r="T365" t="e">
        <f t="shared" si="45"/>
        <v>#N/A</v>
      </c>
      <c r="U365" t="e">
        <f t="shared" si="46"/>
        <v>#N/A</v>
      </c>
      <c r="V365" t="e">
        <f t="shared" si="46"/>
        <v>#N/A</v>
      </c>
      <c r="W365" t="e">
        <f t="shared" si="47"/>
        <v>#N/A</v>
      </c>
      <c r="X365" t="e">
        <f t="shared" si="47"/>
        <v>#N/A</v>
      </c>
      <c r="Y365" t="e">
        <f t="shared" si="41"/>
        <v>#N/A</v>
      </c>
      <c r="Z365" t="e">
        <f t="shared" si="41"/>
        <v>#N/A</v>
      </c>
    </row>
    <row r="366" spans="1:26">
      <c r="A366" t="e">
        <f>IF(ISBLANK('[1]Точность устьев скважин'!A368),#N/A,'[1]Точность устьев скважин'!A368)</f>
        <v>#N/A</v>
      </c>
      <c r="B366" t="e">
        <f>IF(ISBLANK('[1]Точность устьев скважин'!B368),#N/A,'[1]Точность устьев скважин'!B368)</f>
        <v>#N/A</v>
      </c>
      <c r="C366" t="e">
        <f>IF(ISBLANK('[1]Точность устьев скважин'!C368),#N/A,'[1]Точность устьев скважин'!C368)</f>
        <v>#N/A</v>
      </c>
      <c r="D366" t="e">
        <f>IF(ISBLANK('[1]Точность устьев скважин'!D368),#N/A,'[1]Точность устьев скважин'!D368)</f>
        <v>#N/A</v>
      </c>
      <c r="G366" t="e">
        <f>IF(ISBLANK('[1]Точность устьев скважин'!H368),#N/A,'[1]Точность устьев скважин'!H368)</f>
        <v>#N/A</v>
      </c>
      <c r="H366" t="e">
        <f>IF(ISBLANK('[1]Точность устьев скважин'!I368),#N/A,'[1]Точность устьев скважин'!I368)</f>
        <v>#N/A</v>
      </c>
      <c r="I366" t="e">
        <f>IF(ISBLANK('[1]Точность устьев скважин'!J368),#N/A,'[1]Точность устьев скважин'!J368)</f>
        <v>#N/A</v>
      </c>
      <c r="J366" t="e">
        <f>IF(ISBLANK('[1]Точность устьев скважин'!K368),#N/A,'[1]Точность устьев скважин'!K368)</f>
        <v>#N/A</v>
      </c>
      <c r="L366" s="63" t="e">
        <f t="shared" si="42"/>
        <v>#N/A</v>
      </c>
      <c r="O366" t="e">
        <f t="shared" si="43"/>
        <v>#N/A</v>
      </c>
      <c r="P366" t="e">
        <f t="shared" si="43"/>
        <v>#N/A</v>
      </c>
      <c r="Q366" t="e">
        <f t="shared" si="44"/>
        <v>#N/A</v>
      </c>
      <c r="R366" t="e">
        <f t="shared" si="44"/>
        <v>#N/A</v>
      </c>
      <c r="S366" t="e">
        <f t="shared" si="45"/>
        <v>#N/A</v>
      </c>
      <c r="T366" t="e">
        <f t="shared" si="45"/>
        <v>#N/A</v>
      </c>
      <c r="U366" t="e">
        <f t="shared" si="46"/>
        <v>#N/A</v>
      </c>
      <c r="V366" t="e">
        <f t="shared" si="46"/>
        <v>#N/A</v>
      </c>
      <c r="W366" t="e">
        <f t="shared" si="47"/>
        <v>#N/A</v>
      </c>
      <c r="X366" t="e">
        <f t="shared" si="47"/>
        <v>#N/A</v>
      </c>
      <c r="Y366" t="e">
        <f t="shared" si="41"/>
        <v>#N/A</v>
      </c>
      <c r="Z366" t="e">
        <f t="shared" si="41"/>
        <v>#N/A</v>
      </c>
    </row>
    <row r="367" spans="1:26">
      <c r="A367" t="e">
        <f>IF(ISBLANK('[1]Точность устьев скважин'!A369),#N/A,'[1]Точность устьев скважин'!A369)</f>
        <v>#N/A</v>
      </c>
      <c r="B367" t="e">
        <f>IF(ISBLANK('[1]Точность устьев скважин'!B369),#N/A,'[1]Точность устьев скважин'!B369)</f>
        <v>#N/A</v>
      </c>
      <c r="C367" t="e">
        <f>IF(ISBLANK('[1]Точность устьев скважин'!C369),#N/A,'[1]Точность устьев скважин'!C369)</f>
        <v>#N/A</v>
      </c>
      <c r="D367" t="e">
        <f>IF(ISBLANK('[1]Точность устьев скважин'!D369),#N/A,'[1]Точность устьев скважин'!D369)</f>
        <v>#N/A</v>
      </c>
      <c r="G367" t="e">
        <f>IF(ISBLANK('[1]Точность устьев скважин'!H369),#N/A,'[1]Точность устьев скважин'!H369)</f>
        <v>#N/A</v>
      </c>
      <c r="H367" t="e">
        <f>IF(ISBLANK('[1]Точность устьев скважин'!I369),#N/A,'[1]Точность устьев скважин'!I369)</f>
        <v>#N/A</v>
      </c>
      <c r="I367" t="e">
        <f>IF(ISBLANK('[1]Точность устьев скважин'!J369),#N/A,'[1]Точность устьев скважин'!J369)</f>
        <v>#N/A</v>
      </c>
      <c r="J367" t="e">
        <f>IF(ISBLANK('[1]Точность устьев скважин'!K369),#N/A,'[1]Точность устьев скважин'!K369)</f>
        <v>#N/A</v>
      </c>
      <c r="L367" s="63" t="e">
        <f t="shared" si="42"/>
        <v>#N/A</v>
      </c>
      <c r="O367" t="e">
        <f t="shared" si="43"/>
        <v>#N/A</v>
      </c>
      <c r="P367" t="e">
        <f t="shared" si="43"/>
        <v>#N/A</v>
      </c>
      <c r="Q367" t="e">
        <f t="shared" si="44"/>
        <v>#N/A</v>
      </c>
      <c r="R367" t="e">
        <f t="shared" si="44"/>
        <v>#N/A</v>
      </c>
      <c r="S367" t="e">
        <f t="shared" si="45"/>
        <v>#N/A</v>
      </c>
      <c r="T367" t="e">
        <f t="shared" si="45"/>
        <v>#N/A</v>
      </c>
      <c r="U367" t="e">
        <f t="shared" si="46"/>
        <v>#N/A</v>
      </c>
      <c r="V367" t="e">
        <f t="shared" si="46"/>
        <v>#N/A</v>
      </c>
      <c r="W367" t="e">
        <f t="shared" si="47"/>
        <v>#N/A</v>
      </c>
      <c r="X367" t="e">
        <f t="shared" si="47"/>
        <v>#N/A</v>
      </c>
      <c r="Y367" t="e">
        <f t="shared" si="41"/>
        <v>#N/A</v>
      </c>
      <c r="Z367" t="e">
        <f t="shared" si="41"/>
        <v>#N/A</v>
      </c>
    </row>
    <row r="368" spans="1:26">
      <c r="A368" t="e">
        <f>IF(ISBLANK('[1]Точность устьев скважин'!A370),#N/A,'[1]Точность устьев скважин'!A370)</f>
        <v>#N/A</v>
      </c>
      <c r="B368" t="e">
        <f>IF(ISBLANK('[1]Точность устьев скважин'!B370),#N/A,'[1]Точность устьев скважин'!B370)</f>
        <v>#N/A</v>
      </c>
      <c r="C368" t="e">
        <f>IF(ISBLANK('[1]Точность устьев скважин'!C370),#N/A,'[1]Точность устьев скважин'!C370)</f>
        <v>#N/A</v>
      </c>
      <c r="D368" t="e">
        <f>IF(ISBLANK('[1]Точность устьев скважин'!D370),#N/A,'[1]Точность устьев скважин'!D370)</f>
        <v>#N/A</v>
      </c>
      <c r="G368" t="e">
        <f>IF(ISBLANK('[1]Точность устьев скважин'!H370),#N/A,'[1]Точность устьев скважин'!H370)</f>
        <v>#N/A</v>
      </c>
      <c r="H368" t="e">
        <f>IF(ISBLANK('[1]Точность устьев скважин'!I370),#N/A,'[1]Точность устьев скважин'!I370)</f>
        <v>#N/A</v>
      </c>
      <c r="I368" t="e">
        <f>IF(ISBLANK('[1]Точность устьев скважин'!J370),#N/A,'[1]Точность устьев скважин'!J370)</f>
        <v>#N/A</v>
      </c>
      <c r="J368" t="e">
        <f>IF(ISBLANK('[1]Точность устьев скважин'!K370),#N/A,'[1]Точность устьев скважин'!K370)</f>
        <v>#N/A</v>
      </c>
      <c r="L368" s="63" t="e">
        <f t="shared" si="42"/>
        <v>#N/A</v>
      </c>
      <c r="O368" t="e">
        <f t="shared" si="43"/>
        <v>#N/A</v>
      </c>
      <c r="P368" t="e">
        <f t="shared" si="43"/>
        <v>#N/A</v>
      </c>
      <c r="Q368" t="e">
        <f t="shared" si="44"/>
        <v>#N/A</v>
      </c>
      <c r="R368" t="e">
        <f t="shared" si="44"/>
        <v>#N/A</v>
      </c>
      <c r="S368" t="e">
        <f t="shared" si="45"/>
        <v>#N/A</v>
      </c>
      <c r="T368" t="e">
        <f t="shared" si="45"/>
        <v>#N/A</v>
      </c>
      <c r="U368" t="e">
        <f t="shared" si="46"/>
        <v>#N/A</v>
      </c>
      <c r="V368" t="e">
        <f t="shared" si="46"/>
        <v>#N/A</v>
      </c>
      <c r="W368" t="e">
        <f t="shared" si="47"/>
        <v>#N/A</v>
      </c>
      <c r="X368" t="e">
        <f t="shared" si="47"/>
        <v>#N/A</v>
      </c>
      <c r="Y368" t="e">
        <f t="shared" si="41"/>
        <v>#N/A</v>
      </c>
      <c r="Z368" t="e">
        <f t="shared" si="41"/>
        <v>#N/A</v>
      </c>
    </row>
    <row r="369" spans="1:26">
      <c r="A369" t="e">
        <f>IF(ISBLANK('[1]Точность устьев скважин'!A371),#N/A,'[1]Точность устьев скважин'!A371)</f>
        <v>#N/A</v>
      </c>
      <c r="B369" t="e">
        <f>IF(ISBLANK('[1]Точность устьев скважин'!B371),#N/A,'[1]Точность устьев скважин'!B371)</f>
        <v>#N/A</v>
      </c>
      <c r="C369" t="e">
        <f>IF(ISBLANK('[1]Точность устьев скважин'!C371),#N/A,'[1]Точность устьев скважин'!C371)</f>
        <v>#N/A</v>
      </c>
      <c r="D369" t="e">
        <f>IF(ISBLANK('[1]Точность устьев скважин'!D371),#N/A,'[1]Точность устьев скважин'!D371)</f>
        <v>#N/A</v>
      </c>
      <c r="G369" t="e">
        <f>IF(ISBLANK('[1]Точность устьев скважин'!H371),#N/A,'[1]Точность устьев скважин'!H371)</f>
        <v>#N/A</v>
      </c>
      <c r="H369" t="e">
        <f>IF(ISBLANK('[1]Точность устьев скважин'!I371),#N/A,'[1]Точность устьев скважин'!I371)</f>
        <v>#N/A</v>
      </c>
      <c r="I369" t="e">
        <f>IF(ISBLANK('[1]Точность устьев скважин'!J371),#N/A,'[1]Точность устьев скважин'!J371)</f>
        <v>#N/A</v>
      </c>
      <c r="J369" t="e">
        <f>IF(ISBLANK('[1]Точность устьев скважин'!K371),#N/A,'[1]Точность устьев скважин'!K371)</f>
        <v>#N/A</v>
      </c>
      <c r="L369" s="63" t="e">
        <f t="shared" si="42"/>
        <v>#N/A</v>
      </c>
      <c r="O369" t="e">
        <f t="shared" si="43"/>
        <v>#N/A</v>
      </c>
      <c r="P369" t="e">
        <f t="shared" si="43"/>
        <v>#N/A</v>
      </c>
      <c r="Q369" t="e">
        <f t="shared" si="44"/>
        <v>#N/A</v>
      </c>
      <c r="R369" t="e">
        <f t="shared" si="44"/>
        <v>#N/A</v>
      </c>
      <c r="S369" t="e">
        <f t="shared" si="45"/>
        <v>#N/A</v>
      </c>
      <c r="T369" t="e">
        <f t="shared" si="45"/>
        <v>#N/A</v>
      </c>
      <c r="U369" t="e">
        <f t="shared" si="46"/>
        <v>#N/A</v>
      </c>
      <c r="V369" t="e">
        <f t="shared" si="46"/>
        <v>#N/A</v>
      </c>
      <c r="W369" t="e">
        <f t="shared" si="47"/>
        <v>#N/A</v>
      </c>
      <c r="X369" t="e">
        <f t="shared" si="47"/>
        <v>#N/A</v>
      </c>
      <c r="Y369" t="e">
        <f t="shared" si="41"/>
        <v>#N/A</v>
      </c>
      <c r="Z369" t="e">
        <f t="shared" si="41"/>
        <v>#N/A</v>
      </c>
    </row>
    <row r="370" spans="1:26">
      <c r="A370" t="e">
        <f>IF(ISBLANK('[1]Точность устьев скважин'!A372),#N/A,'[1]Точность устьев скважин'!A372)</f>
        <v>#N/A</v>
      </c>
      <c r="B370" t="e">
        <f>IF(ISBLANK('[1]Точность устьев скважин'!B372),#N/A,'[1]Точность устьев скважин'!B372)</f>
        <v>#N/A</v>
      </c>
      <c r="C370" t="e">
        <f>IF(ISBLANK('[1]Точность устьев скважин'!C372),#N/A,'[1]Точность устьев скважин'!C372)</f>
        <v>#N/A</v>
      </c>
      <c r="D370" t="e">
        <f>IF(ISBLANK('[1]Точность устьев скважин'!D372),#N/A,'[1]Точность устьев скважин'!D372)</f>
        <v>#N/A</v>
      </c>
      <c r="G370" t="e">
        <f>IF(ISBLANK('[1]Точность устьев скважин'!H372),#N/A,'[1]Точность устьев скважин'!H372)</f>
        <v>#N/A</v>
      </c>
      <c r="H370" t="e">
        <f>IF(ISBLANK('[1]Точность устьев скважин'!I372),#N/A,'[1]Точность устьев скважин'!I372)</f>
        <v>#N/A</v>
      </c>
      <c r="I370" t="e">
        <f>IF(ISBLANK('[1]Точность устьев скважин'!J372),#N/A,'[1]Точность устьев скважин'!J372)</f>
        <v>#N/A</v>
      </c>
      <c r="J370" t="e">
        <f>IF(ISBLANK('[1]Точность устьев скважин'!K372),#N/A,'[1]Точность устьев скважин'!K372)</f>
        <v>#N/A</v>
      </c>
      <c r="L370" s="63" t="e">
        <f t="shared" si="42"/>
        <v>#N/A</v>
      </c>
      <c r="O370" t="e">
        <f t="shared" si="43"/>
        <v>#N/A</v>
      </c>
      <c r="P370" t="e">
        <f t="shared" si="43"/>
        <v>#N/A</v>
      </c>
      <c r="Q370" t="e">
        <f t="shared" si="44"/>
        <v>#N/A</v>
      </c>
      <c r="R370" t="e">
        <f t="shared" si="44"/>
        <v>#N/A</v>
      </c>
      <c r="S370" t="e">
        <f t="shared" si="45"/>
        <v>#N/A</v>
      </c>
      <c r="T370" t="e">
        <f t="shared" si="45"/>
        <v>#N/A</v>
      </c>
      <c r="U370" t="e">
        <f t="shared" si="46"/>
        <v>#N/A</v>
      </c>
      <c r="V370" t="e">
        <f t="shared" si="46"/>
        <v>#N/A</v>
      </c>
      <c r="W370" t="e">
        <f t="shared" si="47"/>
        <v>#N/A</v>
      </c>
      <c r="X370" t="e">
        <f t="shared" si="47"/>
        <v>#N/A</v>
      </c>
      <c r="Y370" t="e">
        <f t="shared" si="41"/>
        <v>#N/A</v>
      </c>
      <c r="Z370" t="e">
        <f t="shared" si="41"/>
        <v>#N/A</v>
      </c>
    </row>
    <row r="371" spans="1:26">
      <c r="A371" t="e">
        <f>IF(ISBLANK('[1]Точность устьев скважин'!A373),#N/A,'[1]Точность устьев скважин'!A373)</f>
        <v>#N/A</v>
      </c>
      <c r="B371" t="e">
        <f>IF(ISBLANK('[1]Точность устьев скважин'!B373),#N/A,'[1]Точность устьев скважин'!B373)</f>
        <v>#N/A</v>
      </c>
      <c r="C371" t="e">
        <f>IF(ISBLANK('[1]Точность устьев скважин'!C373),#N/A,'[1]Точность устьев скважин'!C373)</f>
        <v>#N/A</v>
      </c>
      <c r="D371" t="e">
        <f>IF(ISBLANK('[1]Точность устьев скважин'!D373),#N/A,'[1]Точность устьев скважин'!D373)</f>
        <v>#N/A</v>
      </c>
      <c r="G371" t="e">
        <f>IF(ISBLANK('[1]Точность устьев скважин'!H373),#N/A,'[1]Точность устьев скважин'!H373)</f>
        <v>#N/A</v>
      </c>
      <c r="H371" t="e">
        <f>IF(ISBLANK('[1]Точность устьев скважин'!I373),#N/A,'[1]Точность устьев скважин'!I373)</f>
        <v>#N/A</v>
      </c>
      <c r="I371" t="e">
        <f>IF(ISBLANK('[1]Точность устьев скважин'!J373),#N/A,'[1]Точность устьев скважин'!J373)</f>
        <v>#N/A</v>
      </c>
      <c r="J371" t="e">
        <f>IF(ISBLANK('[1]Точность устьев скважин'!K373),#N/A,'[1]Точность устьев скважин'!K373)</f>
        <v>#N/A</v>
      </c>
      <c r="L371" s="63" t="e">
        <f t="shared" si="42"/>
        <v>#N/A</v>
      </c>
      <c r="O371" t="e">
        <f t="shared" si="43"/>
        <v>#N/A</v>
      </c>
      <c r="P371" t="e">
        <f t="shared" si="43"/>
        <v>#N/A</v>
      </c>
      <c r="Q371" t="e">
        <f t="shared" si="44"/>
        <v>#N/A</v>
      </c>
      <c r="R371" t="e">
        <f t="shared" si="44"/>
        <v>#N/A</v>
      </c>
      <c r="S371" t="e">
        <f t="shared" si="45"/>
        <v>#N/A</v>
      </c>
      <c r="T371" t="e">
        <f t="shared" si="45"/>
        <v>#N/A</v>
      </c>
      <c r="U371" t="e">
        <f t="shared" si="46"/>
        <v>#N/A</v>
      </c>
      <c r="V371" t="e">
        <f t="shared" si="46"/>
        <v>#N/A</v>
      </c>
      <c r="W371" t="e">
        <f t="shared" si="47"/>
        <v>#N/A</v>
      </c>
      <c r="X371" t="e">
        <f t="shared" si="47"/>
        <v>#N/A</v>
      </c>
      <c r="Y371" t="e">
        <f t="shared" si="41"/>
        <v>#N/A</v>
      </c>
      <c r="Z371" t="e">
        <f t="shared" si="41"/>
        <v>#N/A</v>
      </c>
    </row>
    <row r="372" spans="1:26">
      <c r="A372" t="e">
        <f>IF(ISBLANK('[1]Точность устьев скважин'!A374),#N/A,'[1]Точность устьев скважин'!A374)</f>
        <v>#N/A</v>
      </c>
      <c r="B372" t="e">
        <f>IF(ISBLANK('[1]Точность устьев скважин'!B374),#N/A,'[1]Точность устьев скважин'!B374)</f>
        <v>#N/A</v>
      </c>
      <c r="C372" t="e">
        <f>IF(ISBLANK('[1]Точность устьев скважин'!C374),#N/A,'[1]Точность устьев скважин'!C374)</f>
        <v>#N/A</v>
      </c>
      <c r="D372" t="e">
        <f>IF(ISBLANK('[1]Точность устьев скважин'!D374),#N/A,'[1]Точность устьев скважин'!D374)</f>
        <v>#N/A</v>
      </c>
      <c r="G372" t="e">
        <f>IF(ISBLANK('[1]Точность устьев скважин'!H374),#N/A,'[1]Точность устьев скважин'!H374)</f>
        <v>#N/A</v>
      </c>
      <c r="H372" t="e">
        <f>IF(ISBLANK('[1]Точность устьев скважин'!I374),#N/A,'[1]Точность устьев скважин'!I374)</f>
        <v>#N/A</v>
      </c>
      <c r="I372" t="e">
        <f>IF(ISBLANK('[1]Точность устьев скважин'!J374),#N/A,'[1]Точность устьев скважин'!J374)</f>
        <v>#N/A</v>
      </c>
      <c r="J372" t="e">
        <f>IF(ISBLANK('[1]Точность устьев скважин'!K374),#N/A,'[1]Точность устьев скважин'!K374)</f>
        <v>#N/A</v>
      </c>
      <c r="L372" s="63" t="e">
        <f t="shared" si="42"/>
        <v>#N/A</v>
      </c>
      <c r="O372" t="e">
        <f t="shared" si="43"/>
        <v>#N/A</v>
      </c>
      <c r="P372" t="e">
        <f t="shared" si="43"/>
        <v>#N/A</v>
      </c>
      <c r="Q372" t="e">
        <f t="shared" si="44"/>
        <v>#N/A</v>
      </c>
      <c r="R372" t="e">
        <f t="shared" si="44"/>
        <v>#N/A</v>
      </c>
      <c r="S372" t="e">
        <f t="shared" si="45"/>
        <v>#N/A</v>
      </c>
      <c r="T372" t="e">
        <f t="shared" si="45"/>
        <v>#N/A</v>
      </c>
      <c r="U372" t="e">
        <f t="shared" si="46"/>
        <v>#N/A</v>
      </c>
      <c r="V372" t="e">
        <f t="shared" si="46"/>
        <v>#N/A</v>
      </c>
      <c r="W372" t="e">
        <f t="shared" si="47"/>
        <v>#N/A</v>
      </c>
      <c r="X372" t="e">
        <f t="shared" si="47"/>
        <v>#N/A</v>
      </c>
      <c r="Y372" t="e">
        <f t="shared" si="41"/>
        <v>#N/A</v>
      </c>
      <c r="Z372" t="e">
        <f t="shared" si="41"/>
        <v>#N/A</v>
      </c>
    </row>
    <row r="373" spans="1:26">
      <c r="A373" t="e">
        <f>IF(ISBLANK('[1]Точность устьев скважин'!A375),#N/A,'[1]Точность устьев скважин'!A375)</f>
        <v>#N/A</v>
      </c>
      <c r="B373" t="e">
        <f>IF(ISBLANK('[1]Точность устьев скважин'!B375),#N/A,'[1]Точность устьев скважин'!B375)</f>
        <v>#N/A</v>
      </c>
      <c r="C373" t="e">
        <f>IF(ISBLANK('[1]Точность устьев скважин'!C375),#N/A,'[1]Точность устьев скважин'!C375)</f>
        <v>#N/A</v>
      </c>
      <c r="D373" t="e">
        <f>IF(ISBLANK('[1]Точность устьев скважин'!D375),#N/A,'[1]Точность устьев скважин'!D375)</f>
        <v>#N/A</v>
      </c>
      <c r="G373" t="e">
        <f>IF(ISBLANK('[1]Точность устьев скважин'!H375),#N/A,'[1]Точность устьев скважин'!H375)</f>
        <v>#N/A</v>
      </c>
      <c r="H373" t="e">
        <f>IF(ISBLANK('[1]Точность устьев скважин'!I375),#N/A,'[1]Точность устьев скважин'!I375)</f>
        <v>#N/A</v>
      </c>
      <c r="I373" t="e">
        <f>IF(ISBLANK('[1]Точность устьев скважин'!J375),#N/A,'[1]Точность устьев скважин'!J375)</f>
        <v>#N/A</v>
      </c>
      <c r="J373" t="e">
        <f>IF(ISBLANK('[1]Точность устьев скважин'!K375),#N/A,'[1]Точность устьев скважин'!K375)</f>
        <v>#N/A</v>
      </c>
      <c r="L373" s="63" t="e">
        <f t="shared" si="42"/>
        <v>#N/A</v>
      </c>
      <c r="O373" t="e">
        <f t="shared" si="43"/>
        <v>#N/A</v>
      </c>
      <c r="P373" t="e">
        <f t="shared" si="43"/>
        <v>#N/A</v>
      </c>
      <c r="Q373" t="e">
        <f t="shared" si="44"/>
        <v>#N/A</v>
      </c>
      <c r="R373" t="e">
        <f t="shared" si="44"/>
        <v>#N/A</v>
      </c>
      <c r="S373" t="e">
        <f t="shared" si="45"/>
        <v>#N/A</v>
      </c>
      <c r="T373" t="e">
        <f t="shared" si="45"/>
        <v>#N/A</v>
      </c>
      <c r="U373" t="e">
        <f t="shared" si="46"/>
        <v>#N/A</v>
      </c>
      <c r="V373" t="e">
        <f t="shared" si="46"/>
        <v>#N/A</v>
      </c>
      <c r="W373" t="e">
        <f t="shared" si="47"/>
        <v>#N/A</v>
      </c>
      <c r="X373" t="e">
        <f t="shared" si="47"/>
        <v>#N/A</v>
      </c>
      <c r="Y373" t="e">
        <f t="shared" si="41"/>
        <v>#N/A</v>
      </c>
      <c r="Z373" t="e">
        <f t="shared" si="41"/>
        <v>#N/A</v>
      </c>
    </row>
    <row r="374" spans="1:26">
      <c r="A374" t="e">
        <f>IF(ISBLANK('[1]Точность устьев скважин'!A376),#N/A,'[1]Точность устьев скважин'!A376)</f>
        <v>#N/A</v>
      </c>
      <c r="B374" t="e">
        <f>IF(ISBLANK('[1]Точность устьев скважин'!B376),#N/A,'[1]Точность устьев скважин'!B376)</f>
        <v>#N/A</v>
      </c>
      <c r="C374" t="e">
        <f>IF(ISBLANK('[1]Точность устьев скважин'!C376),#N/A,'[1]Точность устьев скважин'!C376)</f>
        <v>#N/A</v>
      </c>
      <c r="D374" t="e">
        <f>IF(ISBLANK('[1]Точность устьев скважин'!D376),#N/A,'[1]Точность устьев скважин'!D376)</f>
        <v>#N/A</v>
      </c>
      <c r="G374" t="e">
        <f>IF(ISBLANK('[1]Точность устьев скважин'!H376),#N/A,'[1]Точность устьев скважин'!H376)</f>
        <v>#N/A</v>
      </c>
      <c r="H374" t="e">
        <f>IF(ISBLANK('[1]Точность устьев скважин'!I376),#N/A,'[1]Точность устьев скважин'!I376)</f>
        <v>#N/A</v>
      </c>
      <c r="I374" t="e">
        <f>IF(ISBLANK('[1]Точность устьев скважин'!J376),#N/A,'[1]Точность устьев скважин'!J376)</f>
        <v>#N/A</v>
      </c>
      <c r="J374" t="e">
        <f>IF(ISBLANK('[1]Точность устьев скважин'!K376),#N/A,'[1]Точность устьев скважин'!K376)</f>
        <v>#N/A</v>
      </c>
      <c r="L374" s="63" t="e">
        <f t="shared" si="42"/>
        <v>#N/A</v>
      </c>
      <c r="O374" t="e">
        <f t="shared" si="43"/>
        <v>#N/A</v>
      </c>
      <c r="P374" t="e">
        <f t="shared" si="43"/>
        <v>#N/A</v>
      </c>
      <c r="Q374" t="e">
        <f t="shared" si="44"/>
        <v>#N/A</v>
      </c>
      <c r="R374" t="e">
        <f t="shared" si="44"/>
        <v>#N/A</v>
      </c>
      <c r="S374" t="e">
        <f t="shared" si="45"/>
        <v>#N/A</v>
      </c>
      <c r="T374" t="e">
        <f t="shared" si="45"/>
        <v>#N/A</v>
      </c>
      <c r="U374" t="e">
        <f t="shared" si="46"/>
        <v>#N/A</v>
      </c>
      <c r="V374" t="e">
        <f t="shared" si="46"/>
        <v>#N/A</v>
      </c>
      <c r="W374" t="e">
        <f t="shared" si="47"/>
        <v>#N/A</v>
      </c>
      <c r="X374" t="e">
        <f t="shared" si="47"/>
        <v>#N/A</v>
      </c>
      <c r="Y374" t="e">
        <f t="shared" ref="Y374:Z437" si="48">IF($L$1=0.5,IF($L374&gt;=0.5,H374,#N/A),"")</f>
        <v>#N/A</v>
      </c>
      <c r="Z374" t="e">
        <f t="shared" si="48"/>
        <v>#N/A</v>
      </c>
    </row>
    <row r="375" spans="1:26">
      <c r="A375" t="e">
        <f>IF(ISBLANK('[1]Точность устьев скважин'!A377),#N/A,'[1]Точность устьев скважин'!A377)</f>
        <v>#N/A</v>
      </c>
      <c r="B375" t="e">
        <f>IF(ISBLANK('[1]Точность устьев скважин'!B377),#N/A,'[1]Точность устьев скважин'!B377)</f>
        <v>#N/A</v>
      </c>
      <c r="C375" t="e">
        <f>IF(ISBLANK('[1]Точность устьев скважин'!C377),#N/A,'[1]Точность устьев скважин'!C377)</f>
        <v>#N/A</v>
      </c>
      <c r="D375" t="e">
        <f>IF(ISBLANK('[1]Точность устьев скважин'!D377),#N/A,'[1]Точность устьев скважин'!D377)</f>
        <v>#N/A</v>
      </c>
      <c r="G375" t="e">
        <f>IF(ISBLANK('[1]Точность устьев скважин'!H377),#N/A,'[1]Точность устьев скважин'!H377)</f>
        <v>#N/A</v>
      </c>
      <c r="H375" t="e">
        <f>IF(ISBLANK('[1]Точность устьев скважин'!I377),#N/A,'[1]Точность устьев скважин'!I377)</f>
        <v>#N/A</v>
      </c>
      <c r="I375" t="e">
        <f>IF(ISBLANK('[1]Точность устьев скважин'!J377),#N/A,'[1]Точность устьев скважин'!J377)</f>
        <v>#N/A</v>
      </c>
      <c r="J375" t="e">
        <f>IF(ISBLANK('[1]Точность устьев скважин'!K377),#N/A,'[1]Точность устьев скважин'!K377)</f>
        <v>#N/A</v>
      </c>
      <c r="L375" s="63" t="e">
        <f t="shared" si="42"/>
        <v>#N/A</v>
      </c>
      <c r="O375" t="e">
        <f t="shared" si="43"/>
        <v>#N/A</v>
      </c>
      <c r="P375" t="e">
        <f t="shared" si="43"/>
        <v>#N/A</v>
      </c>
      <c r="Q375" t="e">
        <f t="shared" si="44"/>
        <v>#N/A</v>
      </c>
      <c r="R375" t="e">
        <f t="shared" si="44"/>
        <v>#N/A</v>
      </c>
      <c r="S375" t="e">
        <f t="shared" si="45"/>
        <v>#N/A</v>
      </c>
      <c r="T375" t="e">
        <f t="shared" si="45"/>
        <v>#N/A</v>
      </c>
      <c r="U375" t="e">
        <f t="shared" si="46"/>
        <v>#N/A</v>
      </c>
      <c r="V375" t="e">
        <f t="shared" si="46"/>
        <v>#N/A</v>
      </c>
      <c r="W375" t="e">
        <f t="shared" si="47"/>
        <v>#N/A</v>
      </c>
      <c r="X375" t="e">
        <f t="shared" si="47"/>
        <v>#N/A</v>
      </c>
      <c r="Y375" t="e">
        <f t="shared" si="48"/>
        <v>#N/A</v>
      </c>
      <c r="Z375" t="e">
        <f t="shared" si="48"/>
        <v>#N/A</v>
      </c>
    </row>
    <row r="376" spans="1:26">
      <c r="A376" t="e">
        <f>IF(ISBLANK('[1]Точность устьев скважин'!A378),#N/A,'[1]Точность устьев скважин'!A378)</f>
        <v>#N/A</v>
      </c>
      <c r="B376" t="e">
        <f>IF(ISBLANK('[1]Точность устьев скважин'!B378),#N/A,'[1]Точность устьев скважин'!B378)</f>
        <v>#N/A</v>
      </c>
      <c r="C376" t="e">
        <f>IF(ISBLANK('[1]Точность устьев скважин'!C378),#N/A,'[1]Точность устьев скважин'!C378)</f>
        <v>#N/A</v>
      </c>
      <c r="D376" t="e">
        <f>IF(ISBLANK('[1]Точность устьев скважин'!D378),#N/A,'[1]Точность устьев скважин'!D378)</f>
        <v>#N/A</v>
      </c>
      <c r="G376" t="e">
        <f>IF(ISBLANK('[1]Точность устьев скважин'!H378),#N/A,'[1]Точность устьев скважин'!H378)</f>
        <v>#N/A</v>
      </c>
      <c r="H376" t="e">
        <f>IF(ISBLANK('[1]Точность устьев скважин'!I378),#N/A,'[1]Точность устьев скважин'!I378)</f>
        <v>#N/A</v>
      </c>
      <c r="I376" t="e">
        <f>IF(ISBLANK('[1]Точность устьев скважин'!J378),#N/A,'[1]Точность устьев скважин'!J378)</f>
        <v>#N/A</v>
      </c>
      <c r="J376" t="e">
        <f>IF(ISBLANK('[1]Точность устьев скважин'!K378),#N/A,'[1]Точность устьев скважин'!K378)</f>
        <v>#N/A</v>
      </c>
      <c r="L376" s="63" t="e">
        <f t="shared" si="42"/>
        <v>#N/A</v>
      </c>
      <c r="O376" t="e">
        <f t="shared" si="43"/>
        <v>#N/A</v>
      </c>
      <c r="P376" t="e">
        <f t="shared" si="43"/>
        <v>#N/A</v>
      </c>
      <c r="Q376" t="e">
        <f t="shared" si="44"/>
        <v>#N/A</v>
      </c>
      <c r="R376" t="e">
        <f t="shared" si="44"/>
        <v>#N/A</v>
      </c>
      <c r="S376" t="e">
        <f t="shared" si="45"/>
        <v>#N/A</v>
      </c>
      <c r="T376" t="e">
        <f t="shared" si="45"/>
        <v>#N/A</v>
      </c>
      <c r="U376" t="e">
        <f t="shared" si="46"/>
        <v>#N/A</v>
      </c>
      <c r="V376" t="e">
        <f t="shared" si="46"/>
        <v>#N/A</v>
      </c>
      <c r="W376" t="e">
        <f t="shared" si="47"/>
        <v>#N/A</v>
      </c>
      <c r="X376" t="e">
        <f t="shared" si="47"/>
        <v>#N/A</v>
      </c>
      <c r="Y376" t="e">
        <f t="shared" si="48"/>
        <v>#N/A</v>
      </c>
      <c r="Z376" t="e">
        <f t="shared" si="48"/>
        <v>#N/A</v>
      </c>
    </row>
    <row r="377" spans="1:26">
      <c r="A377" t="e">
        <f>IF(ISBLANK('[1]Точность устьев скважин'!A379),#N/A,'[1]Точность устьев скважин'!A379)</f>
        <v>#N/A</v>
      </c>
      <c r="B377" t="e">
        <f>IF(ISBLANK('[1]Точность устьев скважин'!B379),#N/A,'[1]Точность устьев скважин'!B379)</f>
        <v>#N/A</v>
      </c>
      <c r="C377" t="e">
        <f>IF(ISBLANK('[1]Точность устьев скважин'!C379),#N/A,'[1]Точность устьев скважин'!C379)</f>
        <v>#N/A</v>
      </c>
      <c r="D377" t="e">
        <f>IF(ISBLANK('[1]Точность устьев скважин'!D379),#N/A,'[1]Точность устьев скважин'!D379)</f>
        <v>#N/A</v>
      </c>
      <c r="G377" t="e">
        <f>IF(ISBLANK('[1]Точность устьев скважин'!H379),#N/A,'[1]Точность устьев скважин'!H379)</f>
        <v>#N/A</v>
      </c>
      <c r="H377" t="e">
        <f>IF(ISBLANK('[1]Точность устьев скважин'!I379),#N/A,'[1]Точность устьев скважин'!I379)</f>
        <v>#N/A</v>
      </c>
      <c r="I377" t="e">
        <f>IF(ISBLANK('[1]Точность устьев скважин'!J379),#N/A,'[1]Точность устьев скважин'!J379)</f>
        <v>#N/A</v>
      </c>
      <c r="J377" t="e">
        <f>IF(ISBLANK('[1]Точность устьев скважин'!K379),#N/A,'[1]Точность устьев скважин'!K379)</f>
        <v>#N/A</v>
      </c>
      <c r="L377" s="63" t="e">
        <f t="shared" si="42"/>
        <v>#N/A</v>
      </c>
      <c r="O377" t="e">
        <f t="shared" si="43"/>
        <v>#N/A</v>
      </c>
      <c r="P377" t="e">
        <f t="shared" si="43"/>
        <v>#N/A</v>
      </c>
      <c r="Q377" t="e">
        <f t="shared" si="44"/>
        <v>#N/A</v>
      </c>
      <c r="R377" t="e">
        <f t="shared" si="44"/>
        <v>#N/A</v>
      </c>
      <c r="S377" t="e">
        <f t="shared" si="45"/>
        <v>#N/A</v>
      </c>
      <c r="T377" t="e">
        <f t="shared" si="45"/>
        <v>#N/A</v>
      </c>
      <c r="U377" t="e">
        <f t="shared" si="46"/>
        <v>#N/A</v>
      </c>
      <c r="V377" t="e">
        <f t="shared" si="46"/>
        <v>#N/A</v>
      </c>
      <c r="W377" t="e">
        <f t="shared" si="47"/>
        <v>#N/A</v>
      </c>
      <c r="X377" t="e">
        <f t="shared" si="47"/>
        <v>#N/A</v>
      </c>
      <c r="Y377" t="e">
        <f t="shared" si="48"/>
        <v>#N/A</v>
      </c>
      <c r="Z377" t="e">
        <f t="shared" si="48"/>
        <v>#N/A</v>
      </c>
    </row>
    <row r="378" spans="1:26">
      <c r="A378" t="e">
        <f>IF(ISBLANK('[1]Точность устьев скважин'!A380),#N/A,'[1]Точность устьев скважин'!A380)</f>
        <v>#N/A</v>
      </c>
      <c r="B378" t="e">
        <f>IF(ISBLANK('[1]Точность устьев скважин'!B380),#N/A,'[1]Точность устьев скважин'!B380)</f>
        <v>#N/A</v>
      </c>
      <c r="C378" t="e">
        <f>IF(ISBLANK('[1]Точность устьев скважин'!C380),#N/A,'[1]Точность устьев скважин'!C380)</f>
        <v>#N/A</v>
      </c>
      <c r="D378" t="e">
        <f>IF(ISBLANK('[1]Точность устьев скважин'!D380),#N/A,'[1]Точность устьев скважин'!D380)</f>
        <v>#N/A</v>
      </c>
      <c r="G378" t="e">
        <f>IF(ISBLANK('[1]Точность устьев скважин'!H380),#N/A,'[1]Точность устьев скважин'!H380)</f>
        <v>#N/A</v>
      </c>
      <c r="H378" t="e">
        <f>IF(ISBLANK('[1]Точность устьев скважин'!I380),#N/A,'[1]Точность устьев скважин'!I380)</f>
        <v>#N/A</v>
      </c>
      <c r="I378" t="e">
        <f>IF(ISBLANK('[1]Точность устьев скважин'!J380),#N/A,'[1]Точность устьев скважин'!J380)</f>
        <v>#N/A</v>
      </c>
      <c r="J378" t="e">
        <f>IF(ISBLANK('[1]Точность устьев скважин'!K380),#N/A,'[1]Точность устьев скважин'!K380)</f>
        <v>#N/A</v>
      </c>
      <c r="L378" s="63" t="e">
        <f t="shared" si="42"/>
        <v>#N/A</v>
      </c>
      <c r="O378" t="e">
        <f t="shared" si="43"/>
        <v>#N/A</v>
      </c>
      <c r="P378" t="e">
        <f t="shared" si="43"/>
        <v>#N/A</v>
      </c>
      <c r="Q378" t="e">
        <f t="shared" si="44"/>
        <v>#N/A</v>
      </c>
      <c r="R378" t="e">
        <f t="shared" si="44"/>
        <v>#N/A</v>
      </c>
      <c r="S378" t="e">
        <f t="shared" si="45"/>
        <v>#N/A</v>
      </c>
      <c r="T378" t="e">
        <f t="shared" si="45"/>
        <v>#N/A</v>
      </c>
      <c r="U378" t="e">
        <f t="shared" si="46"/>
        <v>#N/A</v>
      </c>
      <c r="V378" t="e">
        <f t="shared" si="46"/>
        <v>#N/A</v>
      </c>
      <c r="W378" t="e">
        <f t="shared" si="47"/>
        <v>#N/A</v>
      </c>
      <c r="X378" t="e">
        <f t="shared" si="47"/>
        <v>#N/A</v>
      </c>
      <c r="Y378" t="e">
        <f t="shared" si="48"/>
        <v>#N/A</v>
      </c>
      <c r="Z378" t="e">
        <f t="shared" si="48"/>
        <v>#N/A</v>
      </c>
    </row>
    <row r="379" spans="1:26">
      <c r="A379" t="e">
        <f>IF(ISBLANK('[1]Точность устьев скважин'!A381),#N/A,'[1]Точность устьев скважин'!A381)</f>
        <v>#N/A</v>
      </c>
      <c r="B379" t="e">
        <f>IF(ISBLANK('[1]Точность устьев скважин'!B381),#N/A,'[1]Точность устьев скважин'!B381)</f>
        <v>#N/A</v>
      </c>
      <c r="C379" t="e">
        <f>IF(ISBLANK('[1]Точность устьев скважин'!C381),#N/A,'[1]Точность устьев скважин'!C381)</f>
        <v>#N/A</v>
      </c>
      <c r="D379" t="e">
        <f>IF(ISBLANK('[1]Точность устьев скважин'!D381),#N/A,'[1]Точность устьев скважин'!D381)</f>
        <v>#N/A</v>
      </c>
      <c r="G379" t="e">
        <f>IF(ISBLANK('[1]Точность устьев скважин'!H381),#N/A,'[1]Точность устьев скважин'!H381)</f>
        <v>#N/A</v>
      </c>
      <c r="H379" t="e">
        <f>IF(ISBLANK('[1]Точность устьев скважин'!I381),#N/A,'[1]Точность устьев скважин'!I381)</f>
        <v>#N/A</v>
      </c>
      <c r="I379" t="e">
        <f>IF(ISBLANK('[1]Точность устьев скважин'!J381),#N/A,'[1]Точность устьев скважин'!J381)</f>
        <v>#N/A</v>
      </c>
      <c r="J379" t="e">
        <f>IF(ISBLANK('[1]Точность устьев скважин'!K381),#N/A,'[1]Точность устьев скважин'!K381)</f>
        <v>#N/A</v>
      </c>
      <c r="L379" s="63" t="e">
        <f t="shared" si="42"/>
        <v>#N/A</v>
      </c>
      <c r="O379" t="e">
        <f t="shared" si="43"/>
        <v>#N/A</v>
      </c>
      <c r="P379" t="e">
        <f t="shared" si="43"/>
        <v>#N/A</v>
      </c>
      <c r="Q379" t="e">
        <f t="shared" si="44"/>
        <v>#N/A</v>
      </c>
      <c r="R379" t="e">
        <f t="shared" si="44"/>
        <v>#N/A</v>
      </c>
      <c r="S379" t="e">
        <f t="shared" si="45"/>
        <v>#N/A</v>
      </c>
      <c r="T379" t="e">
        <f t="shared" si="45"/>
        <v>#N/A</v>
      </c>
      <c r="U379" t="e">
        <f t="shared" si="46"/>
        <v>#N/A</v>
      </c>
      <c r="V379" t="e">
        <f t="shared" si="46"/>
        <v>#N/A</v>
      </c>
      <c r="W379" t="e">
        <f t="shared" si="47"/>
        <v>#N/A</v>
      </c>
      <c r="X379" t="e">
        <f t="shared" si="47"/>
        <v>#N/A</v>
      </c>
      <c r="Y379" t="e">
        <f t="shared" si="48"/>
        <v>#N/A</v>
      </c>
      <c r="Z379" t="e">
        <f t="shared" si="48"/>
        <v>#N/A</v>
      </c>
    </row>
    <row r="380" spans="1:26">
      <c r="A380" t="e">
        <f>IF(ISBLANK('[1]Точность устьев скважин'!A382),#N/A,'[1]Точность устьев скважин'!A382)</f>
        <v>#N/A</v>
      </c>
      <c r="B380" t="e">
        <f>IF(ISBLANK('[1]Точность устьев скважин'!B382),#N/A,'[1]Точность устьев скважин'!B382)</f>
        <v>#N/A</v>
      </c>
      <c r="C380" t="e">
        <f>IF(ISBLANK('[1]Точность устьев скважин'!C382),#N/A,'[1]Точность устьев скважин'!C382)</f>
        <v>#N/A</v>
      </c>
      <c r="D380" t="e">
        <f>IF(ISBLANK('[1]Точность устьев скважин'!D382),#N/A,'[1]Точность устьев скважин'!D382)</f>
        <v>#N/A</v>
      </c>
      <c r="G380" t="e">
        <f>IF(ISBLANK('[1]Точность устьев скважин'!H382),#N/A,'[1]Точность устьев скважин'!H382)</f>
        <v>#N/A</v>
      </c>
      <c r="H380" t="e">
        <f>IF(ISBLANK('[1]Точность устьев скважин'!I382),#N/A,'[1]Точность устьев скважин'!I382)</f>
        <v>#N/A</v>
      </c>
      <c r="I380" t="e">
        <f>IF(ISBLANK('[1]Точность устьев скважин'!J382),#N/A,'[1]Точность устьев скважин'!J382)</f>
        <v>#N/A</v>
      </c>
      <c r="J380" t="e">
        <f>IF(ISBLANK('[1]Точность устьев скважин'!K382),#N/A,'[1]Точность устьев скважин'!K382)</f>
        <v>#N/A</v>
      </c>
      <c r="L380" s="63" t="e">
        <f t="shared" si="42"/>
        <v>#N/A</v>
      </c>
      <c r="O380" t="e">
        <f t="shared" si="43"/>
        <v>#N/A</v>
      </c>
      <c r="P380" t="e">
        <f t="shared" si="43"/>
        <v>#N/A</v>
      </c>
      <c r="Q380" t="e">
        <f t="shared" si="44"/>
        <v>#N/A</v>
      </c>
      <c r="R380" t="e">
        <f t="shared" si="44"/>
        <v>#N/A</v>
      </c>
      <c r="S380" t="e">
        <f t="shared" si="45"/>
        <v>#N/A</v>
      </c>
      <c r="T380" t="e">
        <f t="shared" si="45"/>
        <v>#N/A</v>
      </c>
      <c r="U380" t="e">
        <f t="shared" si="46"/>
        <v>#N/A</v>
      </c>
      <c r="V380" t="e">
        <f t="shared" si="46"/>
        <v>#N/A</v>
      </c>
      <c r="W380" t="e">
        <f t="shared" si="47"/>
        <v>#N/A</v>
      </c>
      <c r="X380" t="e">
        <f t="shared" si="47"/>
        <v>#N/A</v>
      </c>
      <c r="Y380" t="e">
        <f t="shared" si="48"/>
        <v>#N/A</v>
      </c>
      <c r="Z380" t="e">
        <f t="shared" si="48"/>
        <v>#N/A</v>
      </c>
    </row>
    <row r="381" spans="1:26">
      <c r="A381" t="e">
        <f>IF(ISBLANK('[1]Точность устьев скважин'!A383),#N/A,'[1]Точность устьев скважин'!A383)</f>
        <v>#N/A</v>
      </c>
      <c r="B381" t="e">
        <f>IF(ISBLANK('[1]Точность устьев скважин'!B383),#N/A,'[1]Точность устьев скважин'!B383)</f>
        <v>#N/A</v>
      </c>
      <c r="C381" t="e">
        <f>IF(ISBLANK('[1]Точность устьев скважин'!C383),#N/A,'[1]Точность устьев скважин'!C383)</f>
        <v>#N/A</v>
      </c>
      <c r="D381" t="e">
        <f>IF(ISBLANK('[1]Точность устьев скважин'!D383),#N/A,'[1]Точность устьев скважин'!D383)</f>
        <v>#N/A</v>
      </c>
      <c r="G381" t="e">
        <f>IF(ISBLANK('[1]Точность устьев скважин'!H383),#N/A,'[1]Точность устьев скважин'!H383)</f>
        <v>#N/A</v>
      </c>
      <c r="H381" t="e">
        <f>IF(ISBLANK('[1]Точность устьев скважин'!I383),#N/A,'[1]Точность устьев скважин'!I383)</f>
        <v>#N/A</v>
      </c>
      <c r="I381" t="e">
        <f>IF(ISBLANK('[1]Точность устьев скважин'!J383),#N/A,'[1]Точность устьев скважин'!J383)</f>
        <v>#N/A</v>
      </c>
      <c r="J381" t="e">
        <f>IF(ISBLANK('[1]Точность устьев скважин'!K383),#N/A,'[1]Точность устьев скважин'!K383)</f>
        <v>#N/A</v>
      </c>
      <c r="L381" s="63" t="e">
        <f t="shared" si="42"/>
        <v>#N/A</v>
      </c>
      <c r="O381" t="e">
        <f t="shared" si="43"/>
        <v>#N/A</v>
      </c>
      <c r="P381" t="e">
        <f t="shared" si="43"/>
        <v>#N/A</v>
      </c>
      <c r="Q381" t="e">
        <f t="shared" si="44"/>
        <v>#N/A</v>
      </c>
      <c r="R381" t="e">
        <f t="shared" si="44"/>
        <v>#N/A</v>
      </c>
      <c r="S381" t="e">
        <f t="shared" si="45"/>
        <v>#N/A</v>
      </c>
      <c r="T381" t="e">
        <f t="shared" si="45"/>
        <v>#N/A</v>
      </c>
      <c r="U381" t="e">
        <f t="shared" si="46"/>
        <v>#N/A</v>
      </c>
      <c r="V381" t="e">
        <f t="shared" si="46"/>
        <v>#N/A</v>
      </c>
      <c r="W381" t="e">
        <f t="shared" si="47"/>
        <v>#N/A</v>
      </c>
      <c r="X381" t="e">
        <f t="shared" si="47"/>
        <v>#N/A</v>
      </c>
      <c r="Y381" t="e">
        <f t="shared" si="48"/>
        <v>#N/A</v>
      </c>
      <c r="Z381" t="e">
        <f t="shared" si="48"/>
        <v>#N/A</v>
      </c>
    </row>
    <row r="382" spans="1:26">
      <c r="A382" t="e">
        <f>IF(ISBLANK('[1]Точность устьев скважин'!A384),#N/A,'[1]Точность устьев скважин'!A384)</f>
        <v>#N/A</v>
      </c>
      <c r="B382" t="e">
        <f>IF(ISBLANK('[1]Точность устьев скважин'!B384),#N/A,'[1]Точность устьев скважин'!B384)</f>
        <v>#N/A</v>
      </c>
      <c r="C382" t="e">
        <f>IF(ISBLANK('[1]Точность устьев скважин'!C384),#N/A,'[1]Точность устьев скважин'!C384)</f>
        <v>#N/A</v>
      </c>
      <c r="D382" t="e">
        <f>IF(ISBLANK('[1]Точность устьев скважин'!D384),#N/A,'[1]Точность устьев скважин'!D384)</f>
        <v>#N/A</v>
      </c>
      <c r="G382" t="e">
        <f>IF(ISBLANK('[1]Точность устьев скважин'!H384),#N/A,'[1]Точность устьев скважин'!H384)</f>
        <v>#N/A</v>
      </c>
      <c r="H382" t="e">
        <f>IF(ISBLANK('[1]Точность устьев скважин'!I384),#N/A,'[1]Точность устьев скважин'!I384)</f>
        <v>#N/A</v>
      </c>
      <c r="I382" t="e">
        <f>IF(ISBLANK('[1]Точность устьев скважин'!J384),#N/A,'[1]Точность устьев скважин'!J384)</f>
        <v>#N/A</v>
      </c>
      <c r="J382" t="e">
        <f>IF(ISBLANK('[1]Точность устьев скважин'!K384),#N/A,'[1]Точность устьев скважин'!K384)</f>
        <v>#N/A</v>
      </c>
      <c r="L382" s="63" t="e">
        <f t="shared" si="42"/>
        <v>#N/A</v>
      </c>
      <c r="O382" t="e">
        <f t="shared" si="43"/>
        <v>#N/A</v>
      </c>
      <c r="P382" t="e">
        <f t="shared" si="43"/>
        <v>#N/A</v>
      </c>
      <c r="Q382" t="e">
        <f t="shared" si="44"/>
        <v>#N/A</v>
      </c>
      <c r="R382" t="e">
        <f t="shared" si="44"/>
        <v>#N/A</v>
      </c>
      <c r="S382" t="e">
        <f t="shared" si="45"/>
        <v>#N/A</v>
      </c>
      <c r="T382" t="e">
        <f t="shared" si="45"/>
        <v>#N/A</v>
      </c>
      <c r="U382" t="e">
        <f t="shared" si="46"/>
        <v>#N/A</v>
      </c>
      <c r="V382" t="e">
        <f t="shared" si="46"/>
        <v>#N/A</v>
      </c>
      <c r="W382" t="e">
        <f t="shared" si="47"/>
        <v>#N/A</v>
      </c>
      <c r="X382" t="e">
        <f t="shared" si="47"/>
        <v>#N/A</v>
      </c>
      <c r="Y382" t="e">
        <f t="shared" si="48"/>
        <v>#N/A</v>
      </c>
      <c r="Z382" t="e">
        <f t="shared" si="48"/>
        <v>#N/A</v>
      </c>
    </row>
    <row r="383" spans="1:26">
      <c r="A383" t="e">
        <f>IF(ISBLANK('[1]Точность устьев скважин'!A385),#N/A,'[1]Точность устьев скважин'!A385)</f>
        <v>#N/A</v>
      </c>
      <c r="B383" t="e">
        <f>IF(ISBLANK('[1]Точность устьев скважин'!B385),#N/A,'[1]Точность устьев скважин'!B385)</f>
        <v>#N/A</v>
      </c>
      <c r="C383" t="e">
        <f>IF(ISBLANK('[1]Точность устьев скважин'!C385),#N/A,'[1]Точность устьев скважин'!C385)</f>
        <v>#N/A</v>
      </c>
      <c r="D383" t="e">
        <f>IF(ISBLANK('[1]Точность устьев скважин'!D385),#N/A,'[1]Точность устьев скважин'!D385)</f>
        <v>#N/A</v>
      </c>
      <c r="G383" t="e">
        <f>IF(ISBLANK('[1]Точность устьев скважин'!H385),#N/A,'[1]Точность устьев скважин'!H385)</f>
        <v>#N/A</v>
      </c>
      <c r="H383" t="e">
        <f>IF(ISBLANK('[1]Точность устьев скважин'!I385),#N/A,'[1]Точность устьев скважин'!I385)</f>
        <v>#N/A</v>
      </c>
      <c r="I383" t="e">
        <f>IF(ISBLANK('[1]Точность устьев скважин'!J385),#N/A,'[1]Точность устьев скважин'!J385)</f>
        <v>#N/A</v>
      </c>
      <c r="J383" t="e">
        <f>IF(ISBLANK('[1]Точность устьев скважин'!K385),#N/A,'[1]Точность устьев скважин'!K385)</f>
        <v>#N/A</v>
      </c>
      <c r="L383" s="63" t="e">
        <f t="shared" si="42"/>
        <v>#N/A</v>
      </c>
      <c r="O383" t="e">
        <f t="shared" si="43"/>
        <v>#N/A</v>
      </c>
      <c r="P383" t="e">
        <f t="shared" si="43"/>
        <v>#N/A</v>
      </c>
      <c r="Q383" t="e">
        <f t="shared" si="44"/>
        <v>#N/A</v>
      </c>
      <c r="R383" t="e">
        <f t="shared" si="44"/>
        <v>#N/A</v>
      </c>
      <c r="S383" t="e">
        <f t="shared" si="45"/>
        <v>#N/A</v>
      </c>
      <c r="T383" t="e">
        <f t="shared" si="45"/>
        <v>#N/A</v>
      </c>
      <c r="U383" t="e">
        <f t="shared" si="46"/>
        <v>#N/A</v>
      </c>
      <c r="V383" t="e">
        <f t="shared" si="46"/>
        <v>#N/A</v>
      </c>
      <c r="W383" t="e">
        <f t="shared" si="47"/>
        <v>#N/A</v>
      </c>
      <c r="X383" t="e">
        <f t="shared" si="47"/>
        <v>#N/A</v>
      </c>
      <c r="Y383" t="e">
        <f t="shared" si="48"/>
        <v>#N/A</v>
      </c>
      <c r="Z383" t="e">
        <f t="shared" si="48"/>
        <v>#N/A</v>
      </c>
    </row>
    <row r="384" spans="1:26">
      <c r="A384" t="e">
        <f>IF(ISBLANK('[1]Точность устьев скважин'!A386),#N/A,'[1]Точность устьев скважин'!A386)</f>
        <v>#N/A</v>
      </c>
      <c r="B384" t="e">
        <f>IF(ISBLANK('[1]Точность устьев скважин'!B386),#N/A,'[1]Точность устьев скважин'!B386)</f>
        <v>#N/A</v>
      </c>
      <c r="C384" t="e">
        <f>IF(ISBLANK('[1]Точность устьев скважин'!C386),#N/A,'[1]Точность устьев скважин'!C386)</f>
        <v>#N/A</v>
      </c>
      <c r="D384" t="e">
        <f>IF(ISBLANK('[1]Точность устьев скважин'!D386),#N/A,'[1]Точность устьев скважин'!D386)</f>
        <v>#N/A</v>
      </c>
      <c r="G384" t="e">
        <f>IF(ISBLANK('[1]Точность устьев скважин'!H386),#N/A,'[1]Точность устьев скважин'!H386)</f>
        <v>#N/A</v>
      </c>
      <c r="H384" t="e">
        <f>IF(ISBLANK('[1]Точность устьев скважин'!I386),#N/A,'[1]Точность устьев скважин'!I386)</f>
        <v>#N/A</v>
      </c>
      <c r="I384" t="e">
        <f>IF(ISBLANK('[1]Точность устьев скважин'!J386),#N/A,'[1]Точность устьев скважин'!J386)</f>
        <v>#N/A</v>
      </c>
      <c r="J384" t="e">
        <f>IF(ISBLANK('[1]Точность устьев скважин'!K386),#N/A,'[1]Точность устьев скважин'!K386)</f>
        <v>#N/A</v>
      </c>
      <c r="L384" s="63" t="e">
        <f t="shared" si="42"/>
        <v>#N/A</v>
      </c>
      <c r="O384" t="e">
        <f t="shared" si="43"/>
        <v>#N/A</v>
      </c>
      <c r="P384" t="e">
        <f t="shared" si="43"/>
        <v>#N/A</v>
      </c>
      <c r="Q384" t="e">
        <f t="shared" si="44"/>
        <v>#N/A</v>
      </c>
      <c r="R384" t="e">
        <f t="shared" si="44"/>
        <v>#N/A</v>
      </c>
      <c r="S384" t="e">
        <f t="shared" si="45"/>
        <v>#N/A</v>
      </c>
      <c r="T384" t="e">
        <f t="shared" si="45"/>
        <v>#N/A</v>
      </c>
      <c r="U384" t="e">
        <f t="shared" si="46"/>
        <v>#N/A</v>
      </c>
      <c r="V384" t="e">
        <f t="shared" si="46"/>
        <v>#N/A</v>
      </c>
      <c r="W384" t="e">
        <f t="shared" si="47"/>
        <v>#N/A</v>
      </c>
      <c r="X384" t="e">
        <f t="shared" si="47"/>
        <v>#N/A</v>
      </c>
      <c r="Y384" t="e">
        <f t="shared" si="48"/>
        <v>#N/A</v>
      </c>
      <c r="Z384" t="e">
        <f t="shared" si="48"/>
        <v>#N/A</v>
      </c>
    </row>
    <row r="385" spans="1:26">
      <c r="A385" t="e">
        <f>IF(ISBLANK('[1]Точность устьев скважин'!A387),#N/A,'[1]Точность устьев скважин'!A387)</f>
        <v>#N/A</v>
      </c>
      <c r="B385" t="e">
        <f>IF(ISBLANK('[1]Точность устьев скважин'!B387),#N/A,'[1]Точность устьев скважин'!B387)</f>
        <v>#N/A</v>
      </c>
      <c r="C385" t="e">
        <f>IF(ISBLANK('[1]Точность устьев скважин'!C387),#N/A,'[1]Точность устьев скважин'!C387)</f>
        <v>#N/A</v>
      </c>
      <c r="D385" t="e">
        <f>IF(ISBLANK('[1]Точность устьев скважин'!D387),#N/A,'[1]Точность устьев скважин'!D387)</f>
        <v>#N/A</v>
      </c>
      <c r="G385" t="e">
        <f>IF(ISBLANK('[1]Точность устьев скважин'!H387),#N/A,'[1]Точность устьев скважин'!H387)</f>
        <v>#N/A</v>
      </c>
      <c r="H385" t="e">
        <f>IF(ISBLANK('[1]Точность устьев скважин'!I387),#N/A,'[1]Точность устьев скважин'!I387)</f>
        <v>#N/A</v>
      </c>
      <c r="I385" t="e">
        <f>IF(ISBLANK('[1]Точность устьев скважин'!J387),#N/A,'[1]Точность устьев скважин'!J387)</f>
        <v>#N/A</v>
      </c>
      <c r="J385" t="e">
        <f>IF(ISBLANK('[1]Точность устьев скважин'!K387),#N/A,'[1]Точность устьев скважин'!K387)</f>
        <v>#N/A</v>
      </c>
      <c r="L385" s="63" t="e">
        <f t="shared" si="42"/>
        <v>#N/A</v>
      </c>
      <c r="O385" t="e">
        <f t="shared" si="43"/>
        <v>#N/A</v>
      </c>
      <c r="P385" t="e">
        <f t="shared" si="43"/>
        <v>#N/A</v>
      </c>
      <c r="Q385" t="e">
        <f t="shared" si="44"/>
        <v>#N/A</v>
      </c>
      <c r="R385" t="e">
        <f t="shared" si="44"/>
        <v>#N/A</v>
      </c>
      <c r="S385" t="e">
        <f t="shared" si="45"/>
        <v>#N/A</v>
      </c>
      <c r="T385" t="e">
        <f t="shared" si="45"/>
        <v>#N/A</v>
      </c>
      <c r="U385" t="e">
        <f t="shared" si="46"/>
        <v>#N/A</v>
      </c>
      <c r="V385" t="e">
        <f t="shared" si="46"/>
        <v>#N/A</v>
      </c>
      <c r="W385" t="e">
        <f t="shared" si="47"/>
        <v>#N/A</v>
      </c>
      <c r="X385" t="e">
        <f t="shared" si="47"/>
        <v>#N/A</v>
      </c>
      <c r="Y385" t="e">
        <f t="shared" si="48"/>
        <v>#N/A</v>
      </c>
      <c r="Z385" t="e">
        <f t="shared" si="48"/>
        <v>#N/A</v>
      </c>
    </row>
    <row r="386" spans="1:26">
      <c r="A386" t="e">
        <f>IF(ISBLANK('[1]Точность устьев скважин'!A388),#N/A,'[1]Точность устьев скважин'!A388)</f>
        <v>#N/A</v>
      </c>
      <c r="B386" t="e">
        <f>IF(ISBLANK('[1]Точность устьев скважин'!B388),#N/A,'[1]Точность устьев скважин'!B388)</f>
        <v>#N/A</v>
      </c>
      <c r="C386" t="e">
        <f>IF(ISBLANK('[1]Точность устьев скважин'!C388),#N/A,'[1]Точность устьев скважин'!C388)</f>
        <v>#N/A</v>
      </c>
      <c r="D386" t="e">
        <f>IF(ISBLANK('[1]Точность устьев скважин'!D388),#N/A,'[1]Точность устьев скважин'!D388)</f>
        <v>#N/A</v>
      </c>
      <c r="G386" t="e">
        <f>IF(ISBLANK('[1]Точность устьев скважин'!H388),#N/A,'[1]Точность устьев скважин'!H388)</f>
        <v>#N/A</v>
      </c>
      <c r="H386" t="e">
        <f>IF(ISBLANK('[1]Точность устьев скважин'!I388),#N/A,'[1]Точность устьев скважин'!I388)</f>
        <v>#N/A</v>
      </c>
      <c r="I386" t="e">
        <f>IF(ISBLANK('[1]Точность устьев скважин'!J388),#N/A,'[1]Точность устьев скважин'!J388)</f>
        <v>#N/A</v>
      </c>
      <c r="J386" t="e">
        <f>IF(ISBLANK('[1]Точность устьев скважин'!K388),#N/A,'[1]Точность устьев скважин'!K388)</f>
        <v>#N/A</v>
      </c>
      <c r="L386" s="63" t="e">
        <f t="shared" si="42"/>
        <v>#N/A</v>
      </c>
      <c r="O386" t="e">
        <f t="shared" si="43"/>
        <v>#N/A</v>
      </c>
      <c r="P386" t="e">
        <f t="shared" si="43"/>
        <v>#N/A</v>
      </c>
      <c r="Q386" t="e">
        <f t="shared" si="44"/>
        <v>#N/A</v>
      </c>
      <c r="R386" t="e">
        <f t="shared" si="44"/>
        <v>#N/A</v>
      </c>
      <c r="S386" t="e">
        <f t="shared" si="45"/>
        <v>#N/A</v>
      </c>
      <c r="T386" t="e">
        <f t="shared" si="45"/>
        <v>#N/A</v>
      </c>
      <c r="U386" t="e">
        <f t="shared" si="46"/>
        <v>#N/A</v>
      </c>
      <c r="V386" t="e">
        <f t="shared" si="46"/>
        <v>#N/A</v>
      </c>
      <c r="W386" t="e">
        <f t="shared" si="47"/>
        <v>#N/A</v>
      </c>
      <c r="X386" t="e">
        <f t="shared" si="47"/>
        <v>#N/A</v>
      </c>
      <c r="Y386" t="e">
        <f t="shared" si="48"/>
        <v>#N/A</v>
      </c>
      <c r="Z386" t="e">
        <f t="shared" si="48"/>
        <v>#N/A</v>
      </c>
    </row>
    <row r="387" spans="1:26">
      <c r="A387" t="e">
        <f>IF(ISBLANK('[1]Точность устьев скважин'!A389),#N/A,'[1]Точность устьев скважин'!A389)</f>
        <v>#N/A</v>
      </c>
      <c r="B387" t="e">
        <f>IF(ISBLANK('[1]Точность устьев скважин'!B389),#N/A,'[1]Точность устьев скважин'!B389)</f>
        <v>#N/A</v>
      </c>
      <c r="C387" t="e">
        <f>IF(ISBLANK('[1]Точность устьев скважин'!C389),#N/A,'[1]Точность устьев скважин'!C389)</f>
        <v>#N/A</v>
      </c>
      <c r="D387" t="e">
        <f>IF(ISBLANK('[1]Точность устьев скважин'!D389),#N/A,'[1]Точность устьев скважин'!D389)</f>
        <v>#N/A</v>
      </c>
      <c r="G387" t="e">
        <f>IF(ISBLANK('[1]Точность устьев скважин'!H389),#N/A,'[1]Точность устьев скважин'!H389)</f>
        <v>#N/A</v>
      </c>
      <c r="H387" t="e">
        <f>IF(ISBLANK('[1]Точность устьев скважин'!I389),#N/A,'[1]Точность устьев скважин'!I389)</f>
        <v>#N/A</v>
      </c>
      <c r="I387" t="e">
        <f>IF(ISBLANK('[1]Точность устьев скважин'!J389),#N/A,'[1]Точность устьев скважин'!J389)</f>
        <v>#N/A</v>
      </c>
      <c r="J387" t="e">
        <f>IF(ISBLANK('[1]Точность устьев скважин'!K389),#N/A,'[1]Точность устьев скважин'!K389)</f>
        <v>#N/A</v>
      </c>
      <c r="L387" s="63" t="e">
        <f t="shared" si="42"/>
        <v>#N/A</v>
      </c>
      <c r="O387" t="e">
        <f t="shared" si="43"/>
        <v>#N/A</v>
      </c>
      <c r="P387" t="e">
        <f t="shared" si="43"/>
        <v>#N/A</v>
      </c>
      <c r="Q387" t="e">
        <f t="shared" si="44"/>
        <v>#N/A</v>
      </c>
      <c r="R387" t="e">
        <f t="shared" si="44"/>
        <v>#N/A</v>
      </c>
      <c r="S387" t="e">
        <f t="shared" si="45"/>
        <v>#N/A</v>
      </c>
      <c r="T387" t="e">
        <f t="shared" si="45"/>
        <v>#N/A</v>
      </c>
      <c r="U387" t="e">
        <f t="shared" si="46"/>
        <v>#N/A</v>
      </c>
      <c r="V387" t="e">
        <f t="shared" si="46"/>
        <v>#N/A</v>
      </c>
      <c r="W387" t="e">
        <f t="shared" si="47"/>
        <v>#N/A</v>
      </c>
      <c r="X387" t="e">
        <f t="shared" si="47"/>
        <v>#N/A</v>
      </c>
      <c r="Y387" t="e">
        <f t="shared" si="48"/>
        <v>#N/A</v>
      </c>
      <c r="Z387" t="e">
        <f t="shared" si="48"/>
        <v>#N/A</v>
      </c>
    </row>
    <row r="388" spans="1:26">
      <c r="A388" t="e">
        <f>IF(ISBLANK('[1]Точность устьев скважин'!A390),#N/A,'[1]Точность устьев скважин'!A390)</f>
        <v>#N/A</v>
      </c>
      <c r="B388" t="e">
        <f>IF(ISBLANK('[1]Точность устьев скважин'!B390),#N/A,'[1]Точность устьев скважин'!B390)</f>
        <v>#N/A</v>
      </c>
      <c r="C388" t="e">
        <f>IF(ISBLANK('[1]Точность устьев скважин'!C390),#N/A,'[1]Точность устьев скважин'!C390)</f>
        <v>#N/A</v>
      </c>
      <c r="D388" t="e">
        <f>IF(ISBLANK('[1]Точность устьев скважин'!D390),#N/A,'[1]Точность устьев скважин'!D390)</f>
        <v>#N/A</v>
      </c>
      <c r="G388" t="e">
        <f>IF(ISBLANK('[1]Точность устьев скважин'!H390),#N/A,'[1]Точность устьев скважин'!H390)</f>
        <v>#N/A</v>
      </c>
      <c r="H388" t="e">
        <f>IF(ISBLANK('[1]Точность устьев скважин'!I390),#N/A,'[1]Точность устьев скважин'!I390)</f>
        <v>#N/A</v>
      </c>
      <c r="I388" t="e">
        <f>IF(ISBLANK('[1]Точность устьев скважин'!J390),#N/A,'[1]Точность устьев скважин'!J390)</f>
        <v>#N/A</v>
      </c>
      <c r="J388" t="e">
        <f>IF(ISBLANK('[1]Точность устьев скважин'!K390),#N/A,'[1]Точность устьев скважин'!K390)</f>
        <v>#N/A</v>
      </c>
      <c r="L388" s="63" t="e">
        <f t="shared" ref="L388:L451" si="49">IF(B388="","",(SQRT((H388-B388)^2+(I388-C388)^2)))</f>
        <v>#N/A</v>
      </c>
      <c r="O388" t="e">
        <f t="shared" si="43"/>
        <v>#N/A</v>
      </c>
      <c r="P388" t="e">
        <f t="shared" si="43"/>
        <v>#N/A</v>
      </c>
      <c r="Q388" t="e">
        <f t="shared" si="44"/>
        <v>#N/A</v>
      </c>
      <c r="R388" t="e">
        <f t="shared" si="44"/>
        <v>#N/A</v>
      </c>
      <c r="S388" t="e">
        <f t="shared" si="45"/>
        <v>#N/A</v>
      </c>
      <c r="T388" t="e">
        <f t="shared" si="45"/>
        <v>#N/A</v>
      </c>
      <c r="U388" t="e">
        <f t="shared" si="46"/>
        <v>#N/A</v>
      </c>
      <c r="V388" t="e">
        <f t="shared" si="46"/>
        <v>#N/A</v>
      </c>
      <c r="W388" t="e">
        <f t="shared" si="47"/>
        <v>#N/A</v>
      </c>
      <c r="X388" t="e">
        <f t="shared" si="47"/>
        <v>#N/A</v>
      </c>
      <c r="Y388" t="e">
        <f t="shared" si="48"/>
        <v>#N/A</v>
      </c>
      <c r="Z388" t="e">
        <f t="shared" si="48"/>
        <v>#N/A</v>
      </c>
    </row>
    <row r="389" spans="1:26">
      <c r="A389" t="e">
        <f>IF(ISBLANK('[1]Точность устьев скважин'!A391),#N/A,'[1]Точность устьев скважин'!A391)</f>
        <v>#N/A</v>
      </c>
      <c r="B389" t="e">
        <f>IF(ISBLANK('[1]Точность устьев скважин'!B391),#N/A,'[1]Точность устьев скважин'!B391)</f>
        <v>#N/A</v>
      </c>
      <c r="C389" t="e">
        <f>IF(ISBLANK('[1]Точность устьев скважин'!C391),#N/A,'[1]Точность устьев скважин'!C391)</f>
        <v>#N/A</v>
      </c>
      <c r="D389" t="e">
        <f>IF(ISBLANK('[1]Точность устьев скважин'!D391),#N/A,'[1]Точность устьев скважин'!D391)</f>
        <v>#N/A</v>
      </c>
      <c r="G389" t="e">
        <f>IF(ISBLANK('[1]Точность устьев скважин'!H391),#N/A,'[1]Точность устьев скважин'!H391)</f>
        <v>#N/A</v>
      </c>
      <c r="H389" t="e">
        <f>IF(ISBLANK('[1]Точность устьев скважин'!I391),#N/A,'[1]Точность устьев скважин'!I391)</f>
        <v>#N/A</v>
      </c>
      <c r="I389" t="e">
        <f>IF(ISBLANK('[1]Точность устьев скважин'!J391),#N/A,'[1]Точность устьев скважин'!J391)</f>
        <v>#N/A</v>
      </c>
      <c r="J389" t="e">
        <f>IF(ISBLANK('[1]Точность устьев скважин'!K391),#N/A,'[1]Точность устьев скважин'!K391)</f>
        <v>#N/A</v>
      </c>
      <c r="L389" s="63" t="e">
        <f t="shared" si="49"/>
        <v>#N/A</v>
      </c>
      <c r="O389" t="e">
        <f t="shared" si="43"/>
        <v>#N/A</v>
      </c>
      <c r="P389" t="e">
        <f t="shared" si="43"/>
        <v>#N/A</v>
      </c>
      <c r="Q389" t="e">
        <f t="shared" si="44"/>
        <v>#N/A</v>
      </c>
      <c r="R389" t="e">
        <f t="shared" si="44"/>
        <v>#N/A</v>
      </c>
      <c r="S389" t="e">
        <f t="shared" si="45"/>
        <v>#N/A</v>
      </c>
      <c r="T389" t="e">
        <f t="shared" si="45"/>
        <v>#N/A</v>
      </c>
      <c r="U389" t="e">
        <f t="shared" si="46"/>
        <v>#N/A</v>
      </c>
      <c r="V389" t="e">
        <f t="shared" si="46"/>
        <v>#N/A</v>
      </c>
      <c r="W389" t="e">
        <f t="shared" si="47"/>
        <v>#N/A</v>
      </c>
      <c r="X389" t="e">
        <f t="shared" si="47"/>
        <v>#N/A</v>
      </c>
      <c r="Y389" t="e">
        <f t="shared" si="48"/>
        <v>#N/A</v>
      </c>
      <c r="Z389" t="e">
        <f t="shared" si="48"/>
        <v>#N/A</v>
      </c>
    </row>
    <row r="390" spans="1:26">
      <c r="A390" t="e">
        <f>IF(ISBLANK('[1]Точность устьев скважин'!A392),#N/A,'[1]Точность устьев скважин'!A392)</f>
        <v>#N/A</v>
      </c>
      <c r="B390" t="e">
        <f>IF(ISBLANK('[1]Точность устьев скважин'!B392),#N/A,'[1]Точность устьев скважин'!B392)</f>
        <v>#N/A</v>
      </c>
      <c r="C390" t="e">
        <f>IF(ISBLANK('[1]Точность устьев скважин'!C392),#N/A,'[1]Точность устьев скважин'!C392)</f>
        <v>#N/A</v>
      </c>
      <c r="D390" t="e">
        <f>IF(ISBLANK('[1]Точность устьев скважин'!D392),#N/A,'[1]Точность устьев скважин'!D392)</f>
        <v>#N/A</v>
      </c>
      <c r="G390" t="e">
        <f>IF(ISBLANK('[1]Точность устьев скважин'!H392),#N/A,'[1]Точность устьев скважин'!H392)</f>
        <v>#N/A</v>
      </c>
      <c r="H390" t="e">
        <f>IF(ISBLANK('[1]Точность устьев скважин'!I392),#N/A,'[1]Точность устьев скважин'!I392)</f>
        <v>#N/A</v>
      </c>
      <c r="I390" t="e">
        <f>IF(ISBLANK('[1]Точность устьев скважин'!J392),#N/A,'[1]Точность устьев скважин'!J392)</f>
        <v>#N/A</v>
      </c>
      <c r="J390" t="e">
        <f>IF(ISBLANK('[1]Точность устьев скважин'!K392),#N/A,'[1]Точность устьев скважин'!K392)</f>
        <v>#N/A</v>
      </c>
      <c r="L390" s="63" t="e">
        <f t="shared" si="49"/>
        <v>#N/A</v>
      </c>
      <c r="O390" t="e">
        <f t="shared" si="43"/>
        <v>#N/A</v>
      </c>
      <c r="P390" t="e">
        <f t="shared" si="43"/>
        <v>#N/A</v>
      </c>
      <c r="Q390" t="e">
        <f t="shared" si="44"/>
        <v>#N/A</v>
      </c>
      <c r="R390" t="e">
        <f t="shared" si="44"/>
        <v>#N/A</v>
      </c>
      <c r="S390" t="e">
        <f t="shared" si="45"/>
        <v>#N/A</v>
      </c>
      <c r="T390" t="e">
        <f t="shared" si="45"/>
        <v>#N/A</v>
      </c>
      <c r="U390" t="e">
        <f t="shared" si="46"/>
        <v>#N/A</v>
      </c>
      <c r="V390" t="e">
        <f t="shared" si="46"/>
        <v>#N/A</v>
      </c>
      <c r="W390" t="e">
        <f t="shared" si="47"/>
        <v>#N/A</v>
      </c>
      <c r="X390" t="e">
        <f t="shared" si="47"/>
        <v>#N/A</v>
      </c>
      <c r="Y390" t="e">
        <f t="shared" si="48"/>
        <v>#N/A</v>
      </c>
      <c r="Z390" t="e">
        <f t="shared" si="48"/>
        <v>#N/A</v>
      </c>
    </row>
    <row r="391" spans="1:26">
      <c r="A391" t="e">
        <f>IF(ISBLANK('[1]Точность устьев скважин'!A393),#N/A,'[1]Точность устьев скважин'!A393)</f>
        <v>#N/A</v>
      </c>
      <c r="B391" t="e">
        <f>IF(ISBLANK('[1]Точность устьев скважин'!B393),#N/A,'[1]Точность устьев скважин'!B393)</f>
        <v>#N/A</v>
      </c>
      <c r="C391" t="e">
        <f>IF(ISBLANK('[1]Точность устьев скважин'!C393),#N/A,'[1]Точность устьев скважин'!C393)</f>
        <v>#N/A</v>
      </c>
      <c r="D391" t="e">
        <f>IF(ISBLANK('[1]Точность устьев скважин'!D393),#N/A,'[1]Точность устьев скважин'!D393)</f>
        <v>#N/A</v>
      </c>
      <c r="G391" t="e">
        <f>IF(ISBLANK('[1]Точность устьев скважин'!H393),#N/A,'[1]Точность устьев скважин'!H393)</f>
        <v>#N/A</v>
      </c>
      <c r="H391" t="e">
        <f>IF(ISBLANK('[1]Точность устьев скважин'!I393),#N/A,'[1]Точность устьев скважин'!I393)</f>
        <v>#N/A</v>
      </c>
      <c r="I391" t="e">
        <f>IF(ISBLANK('[1]Точность устьев скважин'!J393),#N/A,'[1]Точность устьев скважин'!J393)</f>
        <v>#N/A</v>
      </c>
      <c r="J391" t="e">
        <f>IF(ISBLANK('[1]Точность устьев скважин'!K393),#N/A,'[1]Точность устьев скважин'!K393)</f>
        <v>#N/A</v>
      </c>
      <c r="L391" s="63" t="e">
        <f t="shared" si="49"/>
        <v>#N/A</v>
      </c>
      <c r="O391" t="e">
        <f t="shared" si="43"/>
        <v>#N/A</v>
      </c>
      <c r="P391" t="e">
        <f t="shared" si="43"/>
        <v>#N/A</v>
      </c>
      <c r="Q391" t="e">
        <f t="shared" si="44"/>
        <v>#N/A</v>
      </c>
      <c r="R391" t="e">
        <f t="shared" si="44"/>
        <v>#N/A</v>
      </c>
      <c r="S391" t="e">
        <f t="shared" si="45"/>
        <v>#N/A</v>
      </c>
      <c r="T391" t="e">
        <f t="shared" si="45"/>
        <v>#N/A</v>
      </c>
      <c r="U391" t="e">
        <f t="shared" si="46"/>
        <v>#N/A</v>
      </c>
      <c r="V391" t="e">
        <f t="shared" si="46"/>
        <v>#N/A</v>
      </c>
      <c r="W391" t="e">
        <f t="shared" si="47"/>
        <v>#N/A</v>
      </c>
      <c r="X391" t="e">
        <f t="shared" si="47"/>
        <v>#N/A</v>
      </c>
      <c r="Y391" t="e">
        <f t="shared" si="48"/>
        <v>#N/A</v>
      </c>
      <c r="Z391" t="e">
        <f t="shared" si="48"/>
        <v>#N/A</v>
      </c>
    </row>
    <row r="392" spans="1:26">
      <c r="A392" t="e">
        <f>IF(ISBLANK('[1]Точность устьев скважин'!A394),#N/A,'[1]Точность устьев скважин'!A394)</f>
        <v>#N/A</v>
      </c>
      <c r="B392" t="e">
        <f>IF(ISBLANK('[1]Точность устьев скважин'!B394),#N/A,'[1]Точность устьев скважин'!B394)</f>
        <v>#N/A</v>
      </c>
      <c r="C392" t="e">
        <f>IF(ISBLANK('[1]Точность устьев скважин'!C394),#N/A,'[1]Точность устьев скважин'!C394)</f>
        <v>#N/A</v>
      </c>
      <c r="D392" t="e">
        <f>IF(ISBLANK('[1]Точность устьев скважин'!D394),#N/A,'[1]Точность устьев скважин'!D394)</f>
        <v>#N/A</v>
      </c>
      <c r="G392" t="e">
        <f>IF(ISBLANK('[1]Точность устьев скважин'!H394),#N/A,'[1]Точность устьев скважин'!H394)</f>
        <v>#N/A</v>
      </c>
      <c r="H392" t="e">
        <f>IF(ISBLANK('[1]Точность устьев скважин'!I394),#N/A,'[1]Точность устьев скважин'!I394)</f>
        <v>#N/A</v>
      </c>
      <c r="I392" t="e">
        <f>IF(ISBLANK('[1]Точность устьев скважин'!J394),#N/A,'[1]Точность устьев скважин'!J394)</f>
        <v>#N/A</v>
      </c>
      <c r="J392" t="e">
        <f>IF(ISBLANK('[1]Точность устьев скважин'!K394),#N/A,'[1]Точность устьев скважин'!K394)</f>
        <v>#N/A</v>
      </c>
      <c r="L392" s="63" t="e">
        <f t="shared" si="49"/>
        <v>#N/A</v>
      </c>
      <c r="O392" t="e">
        <f t="shared" si="43"/>
        <v>#N/A</v>
      </c>
      <c r="P392" t="e">
        <f t="shared" si="43"/>
        <v>#N/A</v>
      </c>
      <c r="Q392" t="e">
        <f t="shared" si="44"/>
        <v>#N/A</v>
      </c>
      <c r="R392" t="e">
        <f t="shared" si="44"/>
        <v>#N/A</v>
      </c>
      <c r="S392" t="e">
        <f t="shared" si="45"/>
        <v>#N/A</v>
      </c>
      <c r="T392" t="e">
        <f t="shared" si="45"/>
        <v>#N/A</v>
      </c>
      <c r="U392" t="e">
        <f t="shared" si="46"/>
        <v>#N/A</v>
      </c>
      <c r="V392" t="e">
        <f t="shared" si="46"/>
        <v>#N/A</v>
      </c>
      <c r="W392" t="e">
        <f t="shared" si="47"/>
        <v>#N/A</v>
      </c>
      <c r="X392" t="e">
        <f t="shared" si="47"/>
        <v>#N/A</v>
      </c>
      <c r="Y392" t="e">
        <f t="shared" si="48"/>
        <v>#N/A</v>
      </c>
      <c r="Z392" t="e">
        <f t="shared" si="48"/>
        <v>#N/A</v>
      </c>
    </row>
    <row r="393" spans="1:26">
      <c r="A393" t="e">
        <f>IF(ISBLANK('[1]Точность устьев скважин'!A395),#N/A,'[1]Точность устьев скважин'!A395)</f>
        <v>#N/A</v>
      </c>
      <c r="B393" t="e">
        <f>IF(ISBLANK('[1]Точность устьев скважин'!B395),#N/A,'[1]Точность устьев скважин'!B395)</f>
        <v>#N/A</v>
      </c>
      <c r="C393" t="e">
        <f>IF(ISBLANK('[1]Точность устьев скважин'!C395),#N/A,'[1]Точность устьев скважин'!C395)</f>
        <v>#N/A</v>
      </c>
      <c r="D393" t="e">
        <f>IF(ISBLANK('[1]Точность устьев скважин'!D395),#N/A,'[1]Точность устьев скважин'!D395)</f>
        <v>#N/A</v>
      </c>
      <c r="G393" t="e">
        <f>IF(ISBLANK('[1]Точность устьев скважин'!H395),#N/A,'[1]Точность устьев скважин'!H395)</f>
        <v>#N/A</v>
      </c>
      <c r="H393" t="e">
        <f>IF(ISBLANK('[1]Точность устьев скважин'!I395),#N/A,'[1]Точность устьев скважин'!I395)</f>
        <v>#N/A</v>
      </c>
      <c r="I393" t="e">
        <f>IF(ISBLANK('[1]Точность устьев скважин'!J395),#N/A,'[1]Точность устьев скважин'!J395)</f>
        <v>#N/A</v>
      </c>
      <c r="J393" t="e">
        <f>IF(ISBLANK('[1]Точность устьев скважин'!K395),#N/A,'[1]Точность устьев скважин'!K395)</f>
        <v>#N/A</v>
      </c>
      <c r="L393" s="63" t="e">
        <f t="shared" si="49"/>
        <v>#N/A</v>
      </c>
      <c r="O393" t="e">
        <f t="shared" si="43"/>
        <v>#N/A</v>
      </c>
      <c r="P393" t="e">
        <f t="shared" si="43"/>
        <v>#N/A</v>
      </c>
      <c r="Q393" t="e">
        <f t="shared" si="44"/>
        <v>#N/A</v>
      </c>
      <c r="R393" t="e">
        <f t="shared" si="44"/>
        <v>#N/A</v>
      </c>
      <c r="S393" t="e">
        <f t="shared" si="45"/>
        <v>#N/A</v>
      </c>
      <c r="T393" t="e">
        <f t="shared" si="45"/>
        <v>#N/A</v>
      </c>
      <c r="U393" t="e">
        <f t="shared" si="46"/>
        <v>#N/A</v>
      </c>
      <c r="V393" t="e">
        <f t="shared" si="46"/>
        <v>#N/A</v>
      </c>
      <c r="W393" t="e">
        <f t="shared" si="47"/>
        <v>#N/A</v>
      </c>
      <c r="X393" t="e">
        <f t="shared" si="47"/>
        <v>#N/A</v>
      </c>
      <c r="Y393" t="e">
        <f t="shared" si="48"/>
        <v>#N/A</v>
      </c>
      <c r="Z393" t="e">
        <f t="shared" si="48"/>
        <v>#N/A</v>
      </c>
    </row>
    <row r="394" spans="1:26">
      <c r="A394" t="e">
        <f>IF(ISBLANK('[1]Точность устьев скважин'!A396),#N/A,'[1]Точность устьев скважин'!A396)</f>
        <v>#N/A</v>
      </c>
      <c r="B394" t="e">
        <f>IF(ISBLANK('[1]Точность устьев скважин'!B396),#N/A,'[1]Точность устьев скважин'!B396)</f>
        <v>#N/A</v>
      </c>
      <c r="C394" t="e">
        <f>IF(ISBLANK('[1]Точность устьев скважин'!C396),#N/A,'[1]Точность устьев скважин'!C396)</f>
        <v>#N/A</v>
      </c>
      <c r="D394" t="e">
        <f>IF(ISBLANK('[1]Точность устьев скважин'!D396),#N/A,'[1]Точность устьев скважин'!D396)</f>
        <v>#N/A</v>
      </c>
      <c r="G394" t="e">
        <f>IF(ISBLANK('[1]Точность устьев скважин'!H396),#N/A,'[1]Точность устьев скважин'!H396)</f>
        <v>#N/A</v>
      </c>
      <c r="H394" t="e">
        <f>IF(ISBLANK('[1]Точность устьев скважин'!I396),#N/A,'[1]Точность устьев скважин'!I396)</f>
        <v>#N/A</v>
      </c>
      <c r="I394" t="e">
        <f>IF(ISBLANK('[1]Точность устьев скважин'!J396),#N/A,'[1]Точность устьев скважин'!J396)</f>
        <v>#N/A</v>
      </c>
      <c r="J394" t="e">
        <f>IF(ISBLANK('[1]Точность устьев скважин'!K396),#N/A,'[1]Точность устьев скважин'!K396)</f>
        <v>#N/A</v>
      </c>
      <c r="L394" s="63" t="e">
        <f t="shared" si="49"/>
        <v>#N/A</v>
      </c>
      <c r="O394" t="e">
        <f t="shared" si="43"/>
        <v>#N/A</v>
      </c>
      <c r="P394" t="e">
        <f t="shared" si="43"/>
        <v>#N/A</v>
      </c>
      <c r="Q394" t="e">
        <f t="shared" si="44"/>
        <v>#N/A</v>
      </c>
      <c r="R394" t="e">
        <f t="shared" si="44"/>
        <v>#N/A</v>
      </c>
      <c r="S394" t="e">
        <f t="shared" si="45"/>
        <v>#N/A</v>
      </c>
      <c r="T394" t="e">
        <f t="shared" si="45"/>
        <v>#N/A</v>
      </c>
      <c r="U394" t="e">
        <f t="shared" si="46"/>
        <v>#N/A</v>
      </c>
      <c r="V394" t="e">
        <f t="shared" si="46"/>
        <v>#N/A</v>
      </c>
      <c r="W394" t="e">
        <f t="shared" si="47"/>
        <v>#N/A</v>
      </c>
      <c r="X394" t="e">
        <f t="shared" si="47"/>
        <v>#N/A</v>
      </c>
      <c r="Y394" t="e">
        <f t="shared" si="48"/>
        <v>#N/A</v>
      </c>
      <c r="Z394" t="e">
        <f t="shared" si="48"/>
        <v>#N/A</v>
      </c>
    </row>
    <row r="395" spans="1:26">
      <c r="A395" t="e">
        <f>IF(ISBLANK('[1]Точность устьев скважин'!A397),#N/A,'[1]Точность устьев скважин'!A397)</f>
        <v>#N/A</v>
      </c>
      <c r="B395" t="e">
        <f>IF(ISBLANK('[1]Точность устьев скважин'!B397),#N/A,'[1]Точность устьев скважин'!B397)</f>
        <v>#N/A</v>
      </c>
      <c r="C395" t="e">
        <f>IF(ISBLANK('[1]Точность устьев скважин'!C397),#N/A,'[1]Точность устьев скважин'!C397)</f>
        <v>#N/A</v>
      </c>
      <c r="D395" t="e">
        <f>IF(ISBLANK('[1]Точность устьев скважин'!D397),#N/A,'[1]Точность устьев скважин'!D397)</f>
        <v>#N/A</v>
      </c>
      <c r="G395" t="e">
        <f>IF(ISBLANK('[1]Точность устьев скважин'!H397),#N/A,'[1]Точность устьев скважин'!H397)</f>
        <v>#N/A</v>
      </c>
      <c r="H395" t="e">
        <f>IF(ISBLANK('[1]Точность устьев скважин'!I397),#N/A,'[1]Точность устьев скважин'!I397)</f>
        <v>#N/A</v>
      </c>
      <c r="I395" t="e">
        <f>IF(ISBLANK('[1]Точность устьев скважин'!J397),#N/A,'[1]Точность устьев скважин'!J397)</f>
        <v>#N/A</v>
      </c>
      <c r="J395" t="e">
        <f>IF(ISBLANK('[1]Точность устьев скважин'!K397),#N/A,'[1]Точность устьев скважин'!K397)</f>
        <v>#N/A</v>
      </c>
      <c r="L395" s="63" t="e">
        <f t="shared" si="49"/>
        <v>#N/A</v>
      </c>
      <c r="O395" t="e">
        <f t="shared" si="43"/>
        <v>#N/A</v>
      </c>
      <c r="P395" t="e">
        <f t="shared" si="43"/>
        <v>#N/A</v>
      </c>
      <c r="Q395" t="e">
        <f t="shared" si="44"/>
        <v>#N/A</v>
      </c>
      <c r="R395" t="e">
        <f t="shared" si="44"/>
        <v>#N/A</v>
      </c>
      <c r="S395" t="e">
        <f t="shared" si="45"/>
        <v>#N/A</v>
      </c>
      <c r="T395" t="e">
        <f t="shared" si="45"/>
        <v>#N/A</v>
      </c>
      <c r="U395" t="e">
        <f t="shared" si="46"/>
        <v>#N/A</v>
      </c>
      <c r="V395" t="e">
        <f t="shared" si="46"/>
        <v>#N/A</v>
      </c>
      <c r="W395" t="e">
        <f t="shared" si="47"/>
        <v>#N/A</v>
      </c>
      <c r="X395" t="e">
        <f t="shared" si="47"/>
        <v>#N/A</v>
      </c>
      <c r="Y395" t="e">
        <f t="shared" si="48"/>
        <v>#N/A</v>
      </c>
      <c r="Z395" t="e">
        <f t="shared" si="48"/>
        <v>#N/A</v>
      </c>
    </row>
    <row r="396" spans="1:26">
      <c r="A396" t="e">
        <f>IF(ISBLANK('[1]Точность устьев скважин'!A398),#N/A,'[1]Точность устьев скважин'!A398)</f>
        <v>#N/A</v>
      </c>
      <c r="B396" t="e">
        <f>IF(ISBLANK('[1]Точность устьев скважин'!B398),#N/A,'[1]Точность устьев скважин'!B398)</f>
        <v>#N/A</v>
      </c>
      <c r="C396" t="e">
        <f>IF(ISBLANK('[1]Точность устьев скважин'!C398),#N/A,'[1]Точность устьев скважин'!C398)</f>
        <v>#N/A</v>
      </c>
      <c r="D396" t="e">
        <f>IF(ISBLANK('[1]Точность устьев скважин'!D398),#N/A,'[1]Точность устьев скважин'!D398)</f>
        <v>#N/A</v>
      </c>
      <c r="G396" t="e">
        <f>IF(ISBLANK('[1]Точность устьев скважин'!H398),#N/A,'[1]Точность устьев скважин'!H398)</f>
        <v>#N/A</v>
      </c>
      <c r="H396" t="e">
        <f>IF(ISBLANK('[1]Точность устьев скважин'!I398),#N/A,'[1]Точность устьев скважин'!I398)</f>
        <v>#N/A</v>
      </c>
      <c r="I396" t="e">
        <f>IF(ISBLANK('[1]Точность устьев скважин'!J398),#N/A,'[1]Точность устьев скважин'!J398)</f>
        <v>#N/A</v>
      </c>
      <c r="J396" t="e">
        <f>IF(ISBLANK('[1]Точность устьев скважин'!K398),#N/A,'[1]Точность устьев скважин'!K398)</f>
        <v>#N/A</v>
      </c>
      <c r="L396" s="63" t="e">
        <f t="shared" si="49"/>
        <v>#N/A</v>
      </c>
      <c r="O396" t="e">
        <f t="shared" si="43"/>
        <v>#N/A</v>
      </c>
      <c r="P396" t="e">
        <f t="shared" si="43"/>
        <v>#N/A</v>
      </c>
      <c r="Q396" t="e">
        <f t="shared" si="44"/>
        <v>#N/A</v>
      </c>
      <c r="R396" t="e">
        <f t="shared" si="44"/>
        <v>#N/A</v>
      </c>
      <c r="S396" t="e">
        <f t="shared" si="45"/>
        <v>#N/A</v>
      </c>
      <c r="T396" t="e">
        <f t="shared" si="45"/>
        <v>#N/A</v>
      </c>
      <c r="U396" t="e">
        <f t="shared" si="46"/>
        <v>#N/A</v>
      </c>
      <c r="V396" t="e">
        <f t="shared" si="46"/>
        <v>#N/A</v>
      </c>
      <c r="W396" t="e">
        <f t="shared" si="47"/>
        <v>#N/A</v>
      </c>
      <c r="X396" t="e">
        <f t="shared" si="47"/>
        <v>#N/A</v>
      </c>
      <c r="Y396" t="e">
        <f t="shared" si="48"/>
        <v>#N/A</v>
      </c>
      <c r="Z396" t="e">
        <f t="shared" si="48"/>
        <v>#N/A</v>
      </c>
    </row>
    <row r="397" spans="1:26">
      <c r="A397" t="e">
        <f>IF(ISBLANK('[1]Точность устьев скважин'!A399),#N/A,'[1]Точность устьев скважин'!A399)</f>
        <v>#N/A</v>
      </c>
      <c r="B397" t="e">
        <f>IF(ISBLANK('[1]Точность устьев скважин'!B399),#N/A,'[1]Точность устьев скважин'!B399)</f>
        <v>#N/A</v>
      </c>
      <c r="C397" t="e">
        <f>IF(ISBLANK('[1]Точность устьев скважин'!C399),#N/A,'[1]Точность устьев скважин'!C399)</f>
        <v>#N/A</v>
      </c>
      <c r="D397" t="e">
        <f>IF(ISBLANK('[1]Точность устьев скважин'!D399),#N/A,'[1]Точность устьев скважин'!D399)</f>
        <v>#N/A</v>
      </c>
      <c r="G397" t="e">
        <f>IF(ISBLANK('[1]Точность устьев скважин'!H399),#N/A,'[1]Точность устьев скважин'!H399)</f>
        <v>#N/A</v>
      </c>
      <c r="H397" t="e">
        <f>IF(ISBLANK('[1]Точность устьев скважин'!I399),#N/A,'[1]Точность устьев скважин'!I399)</f>
        <v>#N/A</v>
      </c>
      <c r="I397" t="e">
        <f>IF(ISBLANK('[1]Точность устьев скважин'!J399),#N/A,'[1]Точность устьев скважин'!J399)</f>
        <v>#N/A</v>
      </c>
      <c r="J397" t="e">
        <f>IF(ISBLANK('[1]Точность устьев скважин'!K399),#N/A,'[1]Точность устьев скважин'!K399)</f>
        <v>#N/A</v>
      </c>
      <c r="L397" s="63" t="e">
        <f t="shared" si="49"/>
        <v>#N/A</v>
      </c>
      <c r="O397" t="e">
        <f t="shared" si="43"/>
        <v>#N/A</v>
      </c>
      <c r="P397" t="e">
        <f t="shared" si="43"/>
        <v>#N/A</v>
      </c>
      <c r="Q397" t="e">
        <f t="shared" si="44"/>
        <v>#N/A</v>
      </c>
      <c r="R397" t="e">
        <f t="shared" si="44"/>
        <v>#N/A</v>
      </c>
      <c r="S397" t="e">
        <f t="shared" si="45"/>
        <v>#N/A</v>
      </c>
      <c r="T397" t="e">
        <f t="shared" si="45"/>
        <v>#N/A</v>
      </c>
      <c r="U397" t="e">
        <f t="shared" si="46"/>
        <v>#N/A</v>
      </c>
      <c r="V397" t="e">
        <f t="shared" si="46"/>
        <v>#N/A</v>
      </c>
      <c r="W397" t="e">
        <f t="shared" si="47"/>
        <v>#N/A</v>
      </c>
      <c r="X397" t="e">
        <f t="shared" si="47"/>
        <v>#N/A</v>
      </c>
      <c r="Y397" t="e">
        <f t="shared" si="48"/>
        <v>#N/A</v>
      </c>
      <c r="Z397" t="e">
        <f t="shared" si="48"/>
        <v>#N/A</v>
      </c>
    </row>
    <row r="398" spans="1:26">
      <c r="A398" t="e">
        <f>IF(ISBLANK('[1]Точность устьев скважин'!A400),#N/A,'[1]Точность устьев скважин'!A400)</f>
        <v>#N/A</v>
      </c>
      <c r="B398" t="e">
        <f>IF(ISBLANK('[1]Точность устьев скважин'!B400),#N/A,'[1]Точность устьев скважин'!B400)</f>
        <v>#N/A</v>
      </c>
      <c r="C398" t="e">
        <f>IF(ISBLANK('[1]Точность устьев скважин'!C400),#N/A,'[1]Точность устьев скважин'!C400)</f>
        <v>#N/A</v>
      </c>
      <c r="D398" t="e">
        <f>IF(ISBLANK('[1]Точность устьев скважин'!D400),#N/A,'[1]Точность устьев скважин'!D400)</f>
        <v>#N/A</v>
      </c>
      <c r="G398" t="e">
        <f>IF(ISBLANK('[1]Точность устьев скважин'!H400),#N/A,'[1]Точность устьев скважин'!H400)</f>
        <v>#N/A</v>
      </c>
      <c r="H398" t="e">
        <f>IF(ISBLANK('[1]Точность устьев скважин'!I400),#N/A,'[1]Точность устьев скважин'!I400)</f>
        <v>#N/A</v>
      </c>
      <c r="I398" t="e">
        <f>IF(ISBLANK('[1]Точность устьев скважин'!J400),#N/A,'[1]Точность устьев скважин'!J400)</f>
        <v>#N/A</v>
      </c>
      <c r="J398" t="e">
        <f>IF(ISBLANK('[1]Точность устьев скважин'!K400),#N/A,'[1]Точность устьев скважин'!K400)</f>
        <v>#N/A</v>
      </c>
      <c r="L398" s="63" t="e">
        <f t="shared" si="49"/>
        <v>#N/A</v>
      </c>
      <c r="O398" t="e">
        <f t="shared" si="43"/>
        <v>#N/A</v>
      </c>
      <c r="P398" t="e">
        <f t="shared" si="43"/>
        <v>#N/A</v>
      </c>
      <c r="Q398" t="e">
        <f t="shared" si="44"/>
        <v>#N/A</v>
      </c>
      <c r="R398" t="e">
        <f t="shared" si="44"/>
        <v>#N/A</v>
      </c>
      <c r="S398" t="e">
        <f t="shared" si="45"/>
        <v>#N/A</v>
      </c>
      <c r="T398" t="e">
        <f t="shared" si="45"/>
        <v>#N/A</v>
      </c>
      <c r="U398" t="e">
        <f t="shared" si="46"/>
        <v>#N/A</v>
      </c>
      <c r="V398" t="e">
        <f t="shared" si="46"/>
        <v>#N/A</v>
      </c>
      <c r="W398" t="e">
        <f t="shared" si="47"/>
        <v>#N/A</v>
      </c>
      <c r="X398" t="e">
        <f t="shared" si="47"/>
        <v>#N/A</v>
      </c>
      <c r="Y398" t="e">
        <f t="shared" si="48"/>
        <v>#N/A</v>
      </c>
      <c r="Z398" t="e">
        <f t="shared" si="48"/>
        <v>#N/A</v>
      </c>
    </row>
    <row r="399" spans="1:26">
      <c r="A399" t="e">
        <f>IF(ISBLANK('[1]Точность устьев скважин'!A401),#N/A,'[1]Точность устьев скважин'!A401)</f>
        <v>#N/A</v>
      </c>
      <c r="B399" t="e">
        <f>IF(ISBLANK('[1]Точность устьев скважин'!B401),#N/A,'[1]Точность устьев скважин'!B401)</f>
        <v>#N/A</v>
      </c>
      <c r="C399" t="e">
        <f>IF(ISBLANK('[1]Точность устьев скважин'!C401),#N/A,'[1]Точность устьев скважин'!C401)</f>
        <v>#N/A</v>
      </c>
      <c r="D399" t="e">
        <f>IF(ISBLANK('[1]Точность устьев скважин'!D401),#N/A,'[1]Точность устьев скважин'!D401)</f>
        <v>#N/A</v>
      </c>
      <c r="G399" t="e">
        <f>IF(ISBLANK('[1]Точность устьев скважин'!H401),#N/A,'[1]Точность устьев скважин'!H401)</f>
        <v>#N/A</v>
      </c>
      <c r="H399" t="e">
        <f>IF(ISBLANK('[1]Точность устьев скважин'!I401),#N/A,'[1]Точность устьев скважин'!I401)</f>
        <v>#N/A</v>
      </c>
      <c r="I399" t="e">
        <f>IF(ISBLANK('[1]Точность устьев скважин'!J401),#N/A,'[1]Точность устьев скважин'!J401)</f>
        <v>#N/A</v>
      </c>
      <c r="J399" t="e">
        <f>IF(ISBLANK('[1]Точность устьев скважин'!K401),#N/A,'[1]Точность устьев скважин'!K401)</f>
        <v>#N/A</v>
      </c>
      <c r="L399" s="63" t="e">
        <f t="shared" si="49"/>
        <v>#N/A</v>
      </c>
      <c r="O399" t="e">
        <f t="shared" si="43"/>
        <v>#N/A</v>
      </c>
      <c r="P399" t="e">
        <f t="shared" si="43"/>
        <v>#N/A</v>
      </c>
      <c r="Q399" t="e">
        <f t="shared" si="44"/>
        <v>#N/A</v>
      </c>
      <c r="R399" t="e">
        <f t="shared" si="44"/>
        <v>#N/A</v>
      </c>
      <c r="S399" t="e">
        <f t="shared" si="45"/>
        <v>#N/A</v>
      </c>
      <c r="T399" t="e">
        <f t="shared" si="45"/>
        <v>#N/A</v>
      </c>
      <c r="U399" t="e">
        <f t="shared" si="46"/>
        <v>#N/A</v>
      </c>
      <c r="V399" t="e">
        <f t="shared" si="46"/>
        <v>#N/A</v>
      </c>
      <c r="W399" t="e">
        <f t="shared" si="47"/>
        <v>#N/A</v>
      </c>
      <c r="X399" t="e">
        <f t="shared" si="47"/>
        <v>#N/A</v>
      </c>
      <c r="Y399" t="e">
        <f t="shared" si="48"/>
        <v>#N/A</v>
      </c>
      <c r="Z399" t="e">
        <f t="shared" si="48"/>
        <v>#N/A</v>
      </c>
    </row>
    <row r="400" spans="1:26">
      <c r="A400" t="e">
        <f>IF(ISBLANK('[1]Точность устьев скважин'!A402),#N/A,'[1]Точность устьев скважин'!A402)</f>
        <v>#N/A</v>
      </c>
      <c r="B400" t="e">
        <f>IF(ISBLANK('[1]Точность устьев скважин'!B402),#N/A,'[1]Точность устьев скважин'!B402)</f>
        <v>#N/A</v>
      </c>
      <c r="C400" t="e">
        <f>IF(ISBLANK('[1]Точность устьев скважин'!C402),#N/A,'[1]Точность устьев скважин'!C402)</f>
        <v>#N/A</v>
      </c>
      <c r="D400" t="e">
        <f>IF(ISBLANK('[1]Точность устьев скважин'!D402),#N/A,'[1]Точность устьев скважин'!D402)</f>
        <v>#N/A</v>
      </c>
      <c r="G400" t="e">
        <f>IF(ISBLANK('[1]Точность устьев скважин'!H402),#N/A,'[1]Точность устьев скважин'!H402)</f>
        <v>#N/A</v>
      </c>
      <c r="H400" t="e">
        <f>IF(ISBLANK('[1]Точность устьев скважин'!I402),#N/A,'[1]Точность устьев скважин'!I402)</f>
        <v>#N/A</v>
      </c>
      <c r="I400" t="e">
        <f>IF(ISBLANK('[1]Точность устьев скважин'!J402),#N/A,'[1]Точность устьев скважин'!J402)</f>
        <v>#N/A</v>
      </c>
      <c r="J400" t="e">
        <f>IF(ISBLANK('[1]Точность устьев скважин'!K402),#N/A,'[1]Точность устьев скважин'!K402)</f>
        <v>#N/A</v>
      </c>
      <c r="L400" s="63" t="e">
        <f t="shared" si="49"/>
        <v>#N/A</v>
      </c>
      <c r="O400" t="e">
        <f t="shared" si="43"/>
        <v>#N/A</v>
      </c>
      <c r="P400" t="e">
        <f t="shared" si="43"/>
        <v>#N/A</v>
      </c>
      <c r="Q400" t="e">
        <f t="shared" si="44"/>
        <v>#N/A</v>
      </c>
      <c r="R400" t="e">
        <f t="shared" si="44"/>
        <v>#N/A</v>
      </c>
      <c r="S400" t="e">
        <f t="shared" si="45"/>
        <v>#N/A</v>
      </c>
      <c r="T400" t="e">
        <f t="shared" si="45"/>
        <v>#N/A</v>
      </c>
      <c r="U400" t="e">
        <f t="shared" si="46"/>
        <v>#N/A</v>
      </c>
      <c r="V400" t="e">
        <f t="shared" si="46"/>
        <v>#N/A</v>
      </c>
      <c r="W400" t="e">
        <f t="shared" si="47"/>
        <v>#N/A</v>
      </c>
      <c r="X400" t="e">
        <f t="shared" si="47"/>
        <v>#N/A</v>
      </c>
      <c r="Y400" t="e">
        <f t="shared" si="48"/>
        <v>#N/A</v>
      </c>
      <c r="Z400" t="e">
        <f t="shared" si="48"/>
        <v>#N/A</v>
      </c>
    </row>
    <row r="401" spans="1:26">
      <c r="A401" t="e">
        <f>IF(ISBLANK('[1]Точность устьев скважин'!A403),#N/A,'[1]Точность устьев скважин'!A403)</f>
        <v>#N/A</v>
      </c>
      <c r="B401" t="e">
        <f>IF(ISBLANK('[1]Точность устьев скважин'!B403),#N/A,'[1]Точность устьев скважин'!B403)</f>
        <v>#N/A</v>
      </c>
      <c r="C401" t="e">
        <f>IF(ISBLANK('[1]Точность устьев скважин'!C403),#N/A,'[1]Точность устьев скважин'!C403)</f>
        <v>#N/A</v>
      </c>
      <c r="D401" t="e">
        <f>IF(ISBLANK('[1]Точность устьев скважин'!D403),#N/A,'[1]Точность устьев скважин'!D403)</f>
        <v>#N/A</v>
      </c>
      <c r="G401" t="e">
        <f>IF(ISBLANK('[1]Точность устьев скважин'!H403),#N/A,'[1]Точность устьев скважин'!H403)</f>
        <v>#N/A</v>
      </c>
      <c r="H401" t="e">
        <f>IF(ISBLANK('[1]Точность устьев скважин'!I403),#N/A,'[1]Точность устьев скважин'!I403)</f>
        <v>#N/A</v>
      </c>
      <c r="I401" t="e">
        <f>IF(ISBLANK('[1]Точность устьев скважин'!J403),#N/A,'[1]Точность устьев скважин'!J403)</f>
        <v>#N/A</v>
      </c>
      <c r="J401" t="e">
        <f>IF(ISBLANK('[1]Точность устьев скважин'!K403),#N/A,'[1]Точность устьев скважин'!K403)</f>
        <v>#N/A</v>
      </c>
      <c r="L401" s="63" t="e">
        <f t="shared" si="49"/>
        <v>#N/A</v>
      </c>
      <c r="O401" t="e">
        <f t="shared" si="43"/>
        <v>#N/A</v>
      </c>
      <c r="P401" t="e">
        <f t="shared" si="43"/>
        <v>#N/A</v>
      </c>
      <c r="Q401" t="e">
        <f t="shared" si="44"/>
        <v>#N/A</v>
      </c>
      <c r="R401" t="e">
        <f t="shared" si="44"/>
        <v>#N/A</v>
      </c>
      <c r="S401" t="e">
        <f t="shared" si="45"/>
        <v>#N/A</v>
      </c>
      <c r="T401" t="e">
        <f t="shared" si="45"/>
        <v>#N/A</v>
      </c>
      <c r="U401" t="e">
        <f t="shared" si="46"/>
        <v>#N/A</v>
      </c>
      <c r="V401" t="e">
        <f t="shared" si="46"/>
        <v>#N/A</v>
      </c>
      <c r="W401" t="e">
        <f t="shared" si="47"/>
        <v>#N/A</v>
      </c>
      <c r="X401" t="e">
        <f t="shared" si="47"/>
        <v>#N/A</v>
      </c>
      <c r="Y401" t="e">
        <f t="shared" si="48"/>
        <v>#N/A</v>
      </c>
      <c r="Z401" t="e">
        <f t="shared" si="48"/>
        <v>#N/A</v>
      </c>
    </row>
    <row r="402" spans="1:26">
      <c r="A402" t="e">
        <f>IF(ISBLANK('[1]Точность устьев скважин'!A404),#N/A,'[1]Точность устьев скважин'!A404)</f>
        <v>#N/A</v>
      </c>
      <c r="B402" t="e">
        <f>IF(ISBLANK('[1]Точность устьев скважин'!B404),#N/A,'[1]Точность устьев скважин'!B404)</f>
        <v>#N/A</v>
      </c>
      <c r="C402" t="e">
        <f>IF(ISBLANK('[1]Точность устьев скважин'!C404),#N/A,'[1]Точность устьев скважин'!C404)</f>
        <v>#N/A</v>
      </c>
      <c r="D402" t="e">
        <f>IF(ISBLANK('[1]Точность устьев скважин'!D404),#N/A,'[1]Точность устьев скважин'!D404)</f>
        <v>#N/A</v>
      </c>
      <c r="G402" t="e">
        <f>IF(ISBLANK('[1]Точность устьев скважин'!H404),#N/A,'[1]Точность устьев скважин'!H404)</f>
        <v>#N/A</v>
      </c>
      <c r="H402" t="e">
        <f>IF(ISBLANK('[1]Точность устьев скважин'!I404),#N/A,'[1]Точность устьев скважин'!I404)</f>
        <v>#N/A</v>
      </c>
      <c r="I402" t="e">
        <f>IF(ISBLANK('[1]Точность устьев скважин'!J404),#N/A,'[1]Точность устьев скважин'!J404)</f>
        <v>#N/A</v>
      </c>
      <c r="J402" t="e">
        <f>IF(ISBLANK('[1]Точность устьев скважин'!K404),#N/A,'[1]Точность устьев скважин'!K404)</f>
        <v>#N/A</v>
      </c>
      <c r="L402" s="63" t="e">
        <f t="shared" si="49"/>
        <v>#N/A</v>
      </c>
      <c r="O402" t="e">
        <f t="shared" si="43"/>
        <v>#N/A</v>
      </c>
      <c r="P402" t="e">
        <f t="shared" si="43"/>
        <v>#N/A</v>
      </c>
      <c r="Q402" t="e">
        <f t="shared" si="44"/>
        <v>#N/A</v>
      </c>
      <c r="R402" t="e">
        <f t="shared" si="44"/>
        <v>#N/A</v>
      </c>
      <c r="S402" t="e">
        <f t="shared" si="45"/>
        <v>#N/A</v>
      </c>
      <c r="T402" t="e">
        <f t="shared" si="45"/>
        <v>#N/A</v>
      </c>
      <c r="U402" t="e">
        <f t="shared" si="46"/>
        <v>#N/A</v>
      </c>
      <c r="V402" t="e">
        <f t="shared" si="46"/>
        <v>#N/A</v>
      </c>
      <c r="W402" t="e">
        <f t="shared" si="47"/>
        <v>#N/A</v>
      </c>
      <c r="X402" t="e">
        <f t="shared" si="47"/>
        <v>#N/A</v>
      </c>
      <c r="Y402" t="e">
        <f t="shared" si="48"/>
        <v>#N/A</v>
      </c>
      <c r="Z402" t="e">
        <f t="shared" si="48"/>
        <v>#N/A</v>
      </c>
    </row>
    <row r="403" spans="1:26">
      <c r="A403" t="e">
        <f>IF(ISBLANK('[1]Точность устьев скважин'!A405),#N/A,'[1]Точность устьев скважин'!A405)</f>
        <v>#N/A</v>
      </c>
      <c r="B403" t="e">
        <f>IF(ISBLANK('[1]Точность устьев скважин'!B405),#N/A,'[1]Точность устьев скважин'!B405)</f>
        <v>#N/A</v>
      </c>
      <c r="C403" t="e">
        <f>IF(ISBLANK('[1]Точность устьев скважин'!C405),#N/A,'[1]Точность устьев скважин'!C405)</f>
        <v>#N/A</v>
      </c>
      <c r="D403" t="e">
        <f>IF(ISBLANK('[1]Точность устьев скважин'!D405),#N/A,'[1]Точность устьев скважин'!D405)</f>
        <v>#N/A</v>
      </c>
      <c r="G403" t="e">
        <f>IF(ISBLANK('[1]Точность устьев скважин'!H405),#N/A,'[1]Точность устьев скважин'!H405)</f>
        <v>#N/A</v>
      </c>
      <c r="H403" t="e">
        <f>IF(ISBLANK('[1]Точность устьев скважин'!I405),#N/A,'[1]Точность устьев скважин'!I405)</f>
        <v>#N/A</v>
      </c>
      <c r="I403" t="e">
        <f>IF(ISBLANK('[1]Точность устьев скважин'!J405),#N/A,'[1]Точность устьев скважин'!J405)</f>
        <v>#N/A</v>
      </c>
      <c r="J403" t="e">
        <f>IF(ISBLANK('[1]Точность устьев скважин'!K405),#N/A,'[1]Точность устьев скважин'!K405)</f>
        <v>#N/A</v>
      </c>
      <c r="L403" s="63" t="e">
        <f t="shared" si="49"/>
        <v>#N/A</v>
      </c>
      <c r="O403" t="e">
        <f t="shared" si="43"/>
        <v>#N/A</v>
      </c>
      <c r="P403" t="e">
        <f t="shared" si="43"/>
        <v>#N/A</v>
      </c>
      <c r="Q403" t="e">
        <f t="shared" si="44"/>
        <v>#N/A</v>
      </c>
      <c r="R403" t="e">
        <f t="shared" si="44"/>
        <v>#N/A</v>
      </c>
      <c r="S403" t="e">
        <f t="shared" si="45"/>
        <v>#N/A</v>
      </c>
      <c r="T403" t="e">
        <f t="shared" si="45"/>
        <v>#N/A</v>
      </c>
      <c r="U403" t="e">
        <f t="shared" si="46"/>
        <v>#N/A</v>
      </c>
      <c r="V403" t="e">
        <f t="shared" si="46"/>
        <v>#N/A</v>
      </c>
      <c r="W403" t="e">
        <f t="shared" si="47"/>
        <v>#N/A</v>
      </c>
      <c r="X403" t="e">
        <f t="shared" si="47"/>
        <v>#N/A</v>
      </c>
      <c r="Y403" t="e">
        <f t="shared" si="48"/>
        <v>#N/A</v>
      </c>
      <c r="Z403" t="e">
        <f t="shared" si="48"/>
        <v>#N/A</v>
      </c>
    </row>
    <row r="404" spans="1:26">
      <c r="A404" t="e">
        <f>IF(ISBLANK('[1]Точность устьев скважин'!A406),#N/A,'[1]Точность устьев скважин'!A406)</f>
        <v>#N/A</v>
      </c>
      <c r="B404" t="e">
        <f>IF(ISBLANK('[1]Точность устьев скважин'!B406),#N/A,'[1]Точность устьев скважин'!B406)</f>
        <v>#N/A</v>
      </c>
      <c r="C404" t="e">
        <f>IF(ISBLANK('[1]Точность устьев скважин'!C406),#N/A,'[1]Точность устьев скважин'!C406)</f>
        <v>#N/A</v>
      </c>
      <c r="D404" t="e">
        <f>IF(ISBLANK('[1]Точность устьев скважин'!D406),#N/A,'[1]Точность устьев скважин'!D406)</f>
        <v>#N/A</v>
      </c>
      <c r="G404" t="e">
        <f>IF(ISBLANK('[1]Точность устьев скважин'!H406),#N/A,'[1]Точность устьев скважин'!H406)</f>
        <v>#N/A</v>
      </c>
      <c r="H404" t="e">
        <f>IF(ISBLANK('[1]Точность устьев скважин'!I406),#N/A,'[1]Точность устьев скважин'!I406)</f>
        <v>#N/A</v>
      </c>
      <c r="I404" t="e">
        <f>IF(ISBLANK('[1]Точность устьев скважин'!J406),#N/A,'[1]Точность устьев скважин'!J406)</f>
        <v>#N/A</v>
      </c>
      <c r="J404" t="e">
        <f>IF(ISBLANK('[1]Точность устьев скважин'!K406),#N/A,'[1]Точность устьев скважин'!K406)</f>
        <v>#N/A</v>
      </c>
      <c r="L404" s="63" t="e">
        <f t="shared" si="49"/>
        <v>#N/A</v>
      </c>
      <c r="O404" t="e">
        <f t="shared" si="43"/>
        <v>#N/A</v>
      </c>
      <c r="P404" t="e">
        <f t="shared" si="43"/>
        <v>#N/A</v>
      </c>
      <c r="Q404" t="e">
        <f t="shared" si="44"/>
        <v>#N/A</v>
      </c>
      <c r="R404" t="e">
        <f t="shared" si="44"/>
        <v>#N/A</v>
      </c>
      <c r="S404" t="e">
        <f t="shared" si="45"/>
        <v>#N/A</v>
      </c>
      <c r="T404" t="e">
        <f t="shared" si="45"/>
        <v>#N/A</v>
      </c>
      <c r="U404" t="e">
        <f t="shared" si="46"/>
        <v>#N/A</v>
      </c>
      <c r="V404" t="e">
        <f t="shared" si="46"/>
        <v>#N/A</v>
      </c>
      <c r="W404" t="e">
        <f t="shared" si="47"/>
        <v>#N/A</v>
      </c>
      <c r="X404" t="e">
        <f t="shared" si="47"/>
        <v>#N/A</v>
      </c>
      <c r="Y404" t="e">
        <f t="shared" si="48"/>
        <v>#N/A</v>
      </c>
      <c r="Z404" t="e">
        <f t="shared" si="48"/>
        <v>#N/A</v>
      </c>
    </row>
    <row r="405" spans="1:26">
      <c r="A405" t="e">
        <f>IF(ISBLANK('[1]Точность устьев скважин'!A407),#N/A,'[1]Точность устьев скважин'!A407)</f>
        <v>#N/A</v>
      </c>
      <c r="B405" t="e">
        <f>IF(ISBLANK('[1]Точность устьев скважин'!B407),#N/A,'[1]Точность устьев скважин'!B407)</f>
        <v>#N/A</v>
      </c>
      <c r="C405" t="e">
        <f>IF(ISBLANK('[1]Точность устьев скважин'!C407),#N/A,'[1]Точность устьев скважин'!C407)</f>
        <v>#N/A</v>
      </c>
      <c r="D405" t="e">
        <f>IF(ISBLANK('[1]Точность устьев скважин'!D407),#N/A,'[1]Точность устьев скважин'!D407)</f>
        <v>#N/A</v>
      </c>
      <c r="G405" t="e">
        <f>IF(ISBLANK('[1]Точность устьев скважин'!H407),#N/A,'[1]Точность устьев скважин'!H407)</f>
        <v>#N/A</v>
      </c>
      <c r="H405" t="e">
        <f>IF(ISBLANK('[1]Точность устьев скважин'!I407),#N/A,'[1]Точность устьев скважин'!I407)</f>
        <v>#N/A</v>
      </c>
      <c r="I405" t="e">
        <f>IF(ISBLANK('[1]Точность устьев скважин'!J407),#N/A,'[1]Точность устьев скважин'!J407)</f>
        <v>#N/A</v>
      </c>
      <c r="J405" t="e">
        <f>IF(ISBLANK('[1]Точность устьев скважин'!K407),#N/A,'[1]Точность устьев скважин'!K407)</f>
        <v>#N/A</v>
      </c>
      <c r="L405" s="63" t="e">
        <f t="shared" si="49"/>
        <v>#N/A</v>
      </c>
      <c r="O405" t="e">
        <f t="shared" si="43"/>
        <v>#N/A</v>
      </c>
      <c r="P405" t="e">
        <f t="shared" si="43"/>
        <v>#N/A</v>
      </c>
      <c r="Q405" t="e">
        <f t="shared" si="44"/>
        <v>#N/A</v>
      </c>
      <c r="R405" t="e">
        <f t="shared" si="44"/>
        <v>#N/A</v>
      </c>
      <c r="S405" t="e">
        <f t="shared" si="45"/>
        <v>#N/A</v>
      </c>
      <c r="T405" t="e">
        <f t="shared" si="45"/>
        <v>#N/A</v>
      </c>
      <c r="U405" t="e">
        <f t="shared" si="46"/>
        <v>#N/A</v>
      </c>
      <c r="V405" t="e">
        <f t="shared" si="46"/>
        <v>#N/A</v>
      </c>
      <c r="W405" t="e">
        <f t="shared" si="47"/>
        <v>#N/A</v>
      </c>
      <c r="X405" t="e">
        <f t="shared" si="47"/>
        <v>#N/A</v>
      </c>
      <c r="Y405" t="e">
        <f t="shared" si="48"/>
        <v>#N/A</v>
      </c>
      <c r="Z405" t="e">
        <f t="shared" si="48"/>
        <v>#N/A</v>
      </c>
    </row>
    <row r="406" spans="1:26">
      <c r="A406" t="e">
        <f>IF(ISBLANK('[1]Точность устьев скважин'!A408),#N/A,'[1]Точность устьев скважин'!A408)</f>
        <v>#N/A</v>
      </c>
      <c r="B406" t="e">
        <f>IF(ISBLANK('[1]Точность устьев скважин'!B408),#N/A,'[1]Точность устьев скважин'!B408)</f>
        <v>#N/A</v>
      </c>
      <c r="C406" t="e">
        <f>IF(ISBLANK('[1]Точность устьев скважин'!C408),#N/A,'[1]Точность устьев скважин'!C408)</f>
        <v>#N/A</v>
      </c>
      <c r="D406" t="e">
        <f>IF(ISBLANK('[1]Точность устьев скважин'!D408),#N/A,'[1]Точность устьев скважин'!D408)</f>
        <v>#N/A</v>
      </c>
      <c r="G406" t="e">
        <f>IF(ISBLANK('[1]Точность устьев скважин'!H408),#N/A,'[1]Точность устьев скважин'!H408)</f>
        <v>#N/A</v>
      </c>
      <c r="H406" t="e">
        <f>IF(ISBLANK('[1]Точность устьев скважин'!I408),#N/A,'[1]Точность устьев скважин'!I408)</f>
        <v>#N/A</v>
      </c>
      <c r="I406" t="e">
        <f>IF(ISBLANK('[1]Точность устьев скважин'!J408),#N/A,'[1]Точность устьев скважин'!J408)</f>
        <v>#N/A</v>
      </c>
      <c r="J406" t="e">
        <f>IF(ISBLANK('[1]Точность устьев скважин'!K408),#N/A,'[1]Точность устьев скважин'!K408)</f>
        <v>#N/A</v>
      </c>
      <c r="L406" s="63" t="e">
        <f t="shared" si="49"/>
        <v>#N/A</v>
      </c>
      <c r="O406" t="e">
        <f t="shared" si="43"/>
        <v>#N/A</v>
      </c>
      <c r="P406" t="e">
        <f t="shared" si="43"/>
        <v>#N/A</v>
      </c>
      <c r="Q406" t="e">
        <f t="shared" si="44"/>
        <v>#N/A</v>
      </c>
      <c r="R406" t="e">
        <f t="shared" si="44"/>
        <v>#N/A</v>
      </c>
      <c r="S406" t="e">
        <f t="shared" si="45"/>
        <v>#N/A</v>
      </c>
      <c r="T406" t="e">
        <f t="shared" si="45"/>
        <v>#N/A</v>
      </c>
      <c r="U406" t="e">
        <f t="shared" si="46"/>
        <v>#N/A</v>
      </c>
      <c r="V406" t="e">
        <f t="shared" si="46"/>
        <v>#N/A</v>
      </c>
      <c r="W406" t="e">
        <f t="shared" si="47"/>
        <v>#N/A</v>
      </c>
      <c r="X406" t="e">
        <f t="shared" si="47"/>
        <v>#N/A</v>
      </c>
      <c r="Y406" t="e">
        <f t="shared" si="48"/>
        <v>#N/A</v>
      </c>
      <c r="Z406" t="e">
        <f t="shared" si="48"/>
        <v>#N/A</v>
      </c>
    </row>
    <row r="407" spans="1:26">
      <c r="A407" t="e">
        <f>IF(ISBLANK('[1]Точность устьев скважин'!A409),#N/A,'[1]Точность устьев скважин'!A409)</f>
        <v>#N/A</v>
      </c>
      <c r="B407" t="e">
        <f>IF(ISBLANK('[1]Точность устьев скважин'!B409),#N/A,'[1]Точность устьев скважин'!B409)</f>
        <v>#N/A</v>
      </c>
      <c r="C407" t="e">
        <f>IF(ISBLANK('[1]Точность устьев скважин'!C409),#N/A,'[1]Точность устьев скважин'!C409)</f>
        <v>#N/A</v>
      </c>
      <c r="D407" t="e">
        <f>IF(ISBLANK('[1]Точность устьев скважин'!D409),#N/A,'[1]Точность устьев скважин'!D409)</f>
        <v>#N/A</v>
      </c>
      <c r="G407" t="e">
        <f>IF(ISBLANK('[1]Точность устьев скважин'!H409),#N/A,'[1]Точность устьев скважин'!H409)</f>
        <v>#N/A</v>
      </c>
      <c r="H407" t="e">
        <f>IF(ISBLANK('[1]Точность устьев скважин'!I409),#N/A,'[1]Точность устьев скважин'!I409)</f>
        <v>#N/A</v>
      </c>
      <c r="I407" t="e">
        <f>IF(ISBLANK('[1]Точность устьев скважин'!J409),#N/A,'[1]Точность устьев скважин'!J409)</f>
        <v>#N/A</v>
      </c>
      <c r="J407" t="e">
        <f>IF(ISBLANK('[1]Точность устьев скважин'!K409),#N/A,'[1]Точность устьев скважин'!K409)</f>
        <v>#N/A</v>
      </c>
      <c r="L407" s="63" t="e">
        <f t="shared" si="49"/>
        <v>#N/A</v>
      </c>
      <c r="O407" t="e">
        <f t="shared" si="43"/>
        <v>#N/A</v>
      </c>
      <c r="P407" t="e">
        <f t="shared" si="43"/>
        <v>#N/A</v>
      </c>
      <c r="Q407" t="e">
        <f t="shared" si="44"/>
        <v>#N/A</v>
      </c>
      <c r="R407" t="e">
        <f t="shared" si="44"/>
        <v>#N/A</v>
      </c>
      <c r="S407" t="e">
        <f t="shared" si="45"/>
        <v>#N/A</v>
      </c>
      <c r="T407" t="e">
        <f t="shared" si="45"/>
        <v>#N/A</v>
      </c>
      <c r="U407" t="e">
        <f t="shared" si="46"/>
        <v>#N/A</v>
      </c>
      <c r="V407" t="e">
        <f t="shared" si="46"/>
        <v>#N/A</v>
      </c>
      <c r="W407" t="e">
        <f t="shared" si="47"/>
        <v>#N/A</v>
      </c>
      <c r="X407" t="e">
        <f t="shared" si="47"/>
        <v>#N/A</v>
      </c>
      <c r="Y407" t="e">
        <f t="shared" si="48"/>
        <v>#N/A</v>
      </c>
      <c r="Z407" t="e">
        <f t="shared" si="48"/>
        <v>#N/A</v>
      </c>
    </row>
    <row r="408" spans="1:26">
      <c r="A408" t="e">
        <f>IF(ISBLANK('[1]Точность устьев скважин'!A410),#N/A,'[1]Точность устьев скважин'!A410)</f>
        <v>#N/A</v>
      </c>
      <c r="B408" t="e">
        <f>IF(ISBLANK('[1]Точность устьев скважин'!B410),#N/A,'[1]Точность устьев скважин'!B410)</f>
        <v>#N/A</v>
      </c>
      <c r="C408" t="e">
        <f>IF(ISBLANK('[1]Точность устьев скважин'!C410),#N/A,'[1]Точность устьев скважин'!C410)</f>
        <v>#N/A</v>
      </c>
      <c r="D408" t="e">
        <f>IF(ISBLANK('[1]Точность устьев скважин'!D410),#N/A,'[1]Точность устьев скважин'!D410)</f>
        <v>#N/A</v>
      </c>
      <c r="G408" t="e">
        <f>IF(ISBLANK('[1]Точность устьев скважин'!H410),#N/A,'[1]Точность устьев скважин'!H410)</f>
        <v>#N/A</v>
      </c>
      <c r="H408" t="e">
        <f>IF(ISBLANK('[1]Точность устьев скважин'!I410),#N/A,'[1]Точность устьев скважин'!I410)</f>
        <v>#N/A</v>
      </c>
      <c r="I408" t="e">
        <f>IF(ISBLANK('[1]Точность устьев скважин'!J410),#N/A,'[1]Точность устьев скважин'!J410)</f>
        <v>#N/A</v>
      </c>
      <c r="J408" t="e">
        <f>IF(ISBLANK('[1]Точность устьев скважин'!K410),#N/A,'[1]Точность устьев скважин'!K410)</f>
        <v>#N/A</v>
      </c>
      <c r="L408" s="63" t="e">
        <f t="shared" si="49"/>
        <v>#N/A</v>
      </c>
      <c r="O408" t="e">
        <f t="shared" si="43"/>
        <v>#N/A</v>
      </c>
      <c r="P408" t="e">
        <f t="shared" si="43"/>
        <v>#N/A</v>
      </c>
      <c r="Q408" t="e">
        <f t="shared" si="44"/>
        <v>#N/A</v>
      </c>
      <c r="R408" t="e">
        <f t="shared" si="44"/>
        <v>#N/A</v>
      </c>
      <c r="S408" t="e">
        <f t="shared" si="45"/>
        <v>#N/A</v>
      </c>
      <c r="T408" t="e">
        <f t="shared" si="45"/>
        <v>#N/A</v>
      </c>
      <c r="U408" t="e">
        <f t="shared" si="46"/>
        <v>#N/A</v>
      </c>
      <c r="V408" t="e">
        <f t="shared" si="46"/>
        <v>#N/A</v>
      </c>
      <c r="W408" t="e">
        <f t="shared" si="47"/>
        <v>#N/A</v>
      </c>
      <c r="X408" t="e">
        <f t="shared" si="47"/>
        <v>#N/A</v>
      </c>
      <c r="Y408" t="e">
        <f t="shared" si="48"/>
        <v>#N/A</v>
      </c>
      <c r="Z408" t="e">
        <f t="shared" si="48"/>
        <v>#N/A</v>
      </c>
    </row>
    <row r="409" spans="1:26">
      <c r="A409" t="e">
        <f>IF(ISBLANK('[1]Точность устьев скважин'!A411),#N/A,'[1]Точность устьев скважин'!A411)</f>
        <v>#N/A</v>
      </c>
      <c r="B409" t="e">
        <f>IF(ISBLANK('[1]Точность устьев скважин'!B411),#N/A,'[1]Точность устьев скважин'!B411)</f>
        <v>#N/A</v>
      </c>
      <c r="C409" t="e">
        <f>IF(ISBLANK('[1]Точность устьев скважин'!C411),#N/A,'[1]Точность устьев скважин'!C411)</f>
        <v>#N/A</v>
      </c>
      <c r="D409" t="e">
        <f>IF(ISBLANK('[1]Точность устьев скважин'!D411),#N/A,'[1]Точность устьев скважин'!D411)</f>
        <v>#N/A</v>
      </c>
      <c r="G409" t="e">
        <f>IF(ISBLANK('[1]Точность устьев скважин'!H411),#N/A,'[1]Точность устьев скважин'!H411)</f>
        <v>#N/A</v>
      </c>
      <c r="H409" t="e">
        <f>IF(ISBLANK('[1]Точность устьев скважин'!I411),#N/A,'[1]Точность устьев скважин'!I411)</f>
        <v>#N/A</v>
      </c>
      <c r="I409" t="e">
        <f>IF(ISBLANK('[1]Точность устьев скважин'!J411),#N/A,'[1]Точность устьев скважин'!J411)</f>
        <v>#N/A</v>
      </c>
      <c r="J409" t="e">
        <f>IF(ISBLANK('[1]Точность устьев скважин'!K411),#N/A,'[1]Точность устьев скважин'!K411)</f>
        <v>#N/A</v>
      </c>
      <c r="L409" s="63" t="e">
        <f t="shared" si="49"/>
        <v>#N/A</v>
      </c>
      <c r="O409" t="e">
        <f t="shared" si="43"/>
        <v>#N/A</v>
      </c>
      <c r="P409" t="e">
        <f t="shared" si="43"/>
        <v>#N/A</v>
      </c>
      <c r="Q409" t="e">
        <f t="shared" si="44"/>
        <v>#N/A</v>
      </c>
      <c r="R409" t="e">
        <f t="shared" si="44"/>
        <v>#N/A</v>
      </c>
      <c r="S409" t="e">
        <f t="shared" si="45"/>
        <v>#N/A</v>
      </c>
      <c r="T409" t="e">
        <f t="shared" si="45"/>
        <v>#N/A</v>
      </c>
      <c r="U409" t="e">
        <f t="shared" si="46"/>
        <v>#N/A</v>
      </c>
      <c r="V409" t="e">
        <f t="shared" si="46"/>
        <v>#N/A</v>
      </c>
      <c r="W409" t="e">
        <f t="shared" si="47"/>
        <v>#N/A</v>
      </c>
      <c r="X409" t="e">
        <f t="shared" si="47"/>
        <v>#N/A</v>
      </c>
      <c r="Y409" t="e">
        <f t="shared" si="48"/>
        <v>#N/A</v>
      </c>
      <c r="Z409" t="e">
        <f t="shared" si="48"/>
        <v>#N/A</v>
      </c>
    </row>
    <row r="410" spans="1:26">
      <c r="A410" t="e">
        <f>IF(ISBLANK('[1]Точность устьев скважин'!A412),#N/A,'[1]Точность устьев скважин'!A412)</f>
        <v>#N/A</v>
      </c>
      <c r="B410" t="e">
        <f>IF(ISBLANK('[1]Точность устьев скважин'!B412),#N/A,'[1]Точность устьев скважин'!B412)</f>
        <v>#N/A</v>
      </c>
      <c r="C410" t="e">
        <f>IF(ISBLANK('[1]Точность устьев скважин'!C412),#N/A,'[1]Точность устьев скважин'!C412)</f>
        <v>#N/A</v>
      </c>
      <c r="D410" t="e">
        <f>IF(ISBLANK('[1]Точность устьев скважин'!D412),#N/A,'[1]Точность устьев скважин'!D412)</f>
        <v>#N/A</v>
      </c>
      <c r="G410" t="e">
        <f>IF(ISBLANK('[1]Точность устьев скважин'!H412),#N/A,'[1]Точность устьев скважин'!H412)</f>
        <v>#N/A</v>
      </c>
      <c r="H410" t="e">
        <f>IF(ISBLANK('[1]Точность устьев скважин'!I412),#N/A,'[1]Точность устьев скважин'!I412)</f>
        <v>#N/A</v>
      </c>
      <c r="I410" t="e">
        <f>IF(ISBLANK('[1]Точность устьев скважин'!J412),#N/A,'[1]Точность устьев скважин'!J412)</f>
        <v>#N/A</v>
      </c>
      <c r="J410" t="e">
        <f>IF(ISBLANK('[1]Точность устьев скважин'!K412),#N/A,'[1]Точность устьев скважин'!K412)</f>
        <v>#N/A</v>
      </c>
      <c r="L410" s="63" t="e">
        <f t="shared" si="49"/>
        <v>#N/A</v>
      </c>
      <c r="O410" t="e">
        <f t="shared" si="43"/>
        <v>#N/A</v>
      </c>
      <c r="P410" t="e">
        <f t="shared" si="43"/>
        <v>#N/A</v>
      </c>
      <c r="Q410" t="e">
        <f t="shared" si="44"/>
        <v>#N/A</v>
      </c>
      <c r="R410" t="e">
        <f t="shared" si="44"/>
        <v>#N/A</v>
      </c>
      <c r="S410" t="e">
        <f t="shared" si="45"/>
        <v>#N/A</v>
      </c>
      <c r="T410" t="e">
        <f t="shared" si="45"/>
        <v>#N/A</v>
      </c>
      <c r="U410" t="e">
        <f t="shared" si="46"/>
        <v>#N/A</v>
      </c>
      <c r="V410" t="e">
        <f t="shared" si="46"/>
        <v>#N/A</v>
      </c>
      <c r="W410" t="e">
        <f t="shared" si="47"/>
        <v>#N/A</v>
      </c>
      <c r="X410" t="e">
        <f t="shared" si="47"/>
        <v>#N/A</v>
      </c>
      <c r="Y410" t="e">
        <f t="shared" si="48"/>
        <v>#N/A</v>
      </c>
      <c r="Z410" t="e">
        <f t="shared" si="48"/>
        <v>#N/A</v>
      </c>
    </row>
    <row r="411" spans="1:26">
      <c r="A411" t="e">
        <f>IF(ISBLANK('[1]Точность устьев скважин'!A413),#N/A,'[1]Точность устьев скважин'!A413)</f>
        <v>#N/A</v>
      </c>
      <c r="B411" t="e">
        <f>IF(ISBLANK('[1]Точность устьев скважин'!B413),#N/A,'[1]Точность устьев скважин'!B413)</f>
        <v>#N/A</v>
      </c>
      <c r="C411" t="e">
        <f>IF(ISBLANK('[1]Точность устьев скважин'!C413),#N/A,'[1]Точность устьев скважин'!C413)</f>
        <v>#N/A</v>
      </c>
      <c r="D411" t="e">
        <f>IF(ISBLANK('[1]Точность устьев скважин'!D413),#N/A,'[1]Точность устьев скважин'!D413)</f>
        <v>#N/A</v>
      </c>
      <c r="G411" t="e">
        <f>IF(ISBLANK('[1]Точность устьев скважин'!H413),#N/A,'[1]Точность устьев скважин'!H413)</f>
        <v>#N/A</v>
      </c>
      <c r="H411" t="e">
        <f>IF(ISBLANK('[1]Точность устьев скважин'!I413),#N/A,'[1]Точность устьев скважин'!I413)</f>
        <v>#N/A</v>
      </c>
      <c r="I411" t="e">
        <f>IF(ISBLANK('[1]Точность устьев скважин'!J413),#N/A,'[1]Точность устьев скважин'!J413)</f>
        <v>#N/A</v>
      </c>
      <c r="J411" t="e">
        <f>IF(ISBLANK('[1]Точность устьев скважин'!K413),#N/A,'[1]Точность устьев скважин'!K413)</f>
        <v>#N/A</v>
      </c>
      <c r="L411" s="63" t="e">
        <f t="shared" si="49"/>
        <v>#N/A</v>
      </c>
      <c r="O411" t="e">
        <f t="shared" si="43"/>
        <v>#N/A</v>
      </c>
      <c r="P411" t="e">
        <f t="shared" si="43"/>
        <v>#N/A</v>
      </c>
      <c r="Q411" t="e">
        <f t="shared" si="44"/>
        <v>#N/A</v>
      </c>
      <c r="R411" t="e">
        <f t="shared" si="44"/>
        <v>#N/A</v>
      </c>
      <c r="S411" t="e">
        <f t="shared" si="45"/>
        <v>#N/A</v>
      </c>
      <c r="T411" t="e">
        <f t="shared" si="45"/>
        <v>#N/A</v>
      </c>
      <c r="U411" t="e">
        <f t="shared" si="46"/>
        <v>#N/A</v>
      </c>
      <c r="V411" t="e">
        <f t="shared" si="46"/>
        <v>#N/A</v>
      </c>
      <c r="W411" t="e">
        <f t="shared" si="47"/>
        <v>#N/A</v>
      </c>
      <c r="X411" t="e">
        <f t="shared" si="47"/>
        <v>#N/A</v>
      </c>
      <c r="Y411" t="e">
        <f t="shared" si="48"/>
        <v>#N/A</v>
      </c>
      <c r="Z411" t="e">
        <f t="shared" si="48"/>
        <v>#N/A</v>
      </c>
    </row>
    <row r="412" spans="1:26">
      <c r="A412" t="e">
        <f>IF(ISBLANK('[1]Точность устьев скважин'!A414),#N/A,'[1]Точность устьев скважин'!A414)</f>
        <v>#N/A</v>
      </c>
      <c r="B412" t="e">
        <f>IF(ISBLANK('[1]Точность устьев скважин'!B414),#N/A,'[1]Точность устьев скважин'!B414)</f>
        <v>#N/A</v>
      </c>
      <c r="C412" t="e">
        <f>IF(ISBLANK('[1]Точность устьев скважин'!C414),#N/A,'[1]Точность устьев скважин'!C414)</f>
        <v>#N/A</v>
      </c>
      <c r="D412" t="e">
        <f>IF(ISBLANK('[1]Точность устьев скважин'!D414),#N/A,'[1]Точность устьев скважин'!D414)</f>
        <v>#N/A</v>
      </c>
      <c r="G412" t="e">
        <f>IF(ISBLANK('[1]Точность устьев скважин'!H414),#N/A,'[1]Точность устьев скважин'!H414)</f>
        <v>#N/A</v>
      </c>
      <c r="H412" t="e">
        <f>IF(ISBLANK('[1]Точность устьев скважин'!I414),#N/A,'[1]Точность устьев скважин'!I414)</f>
        <v>#N/A</v>
      </c>
      <c r="I412" t="e">
        <f>IF(ISBLANK('[1]Точность устьев скважин'!J414),#N/A,'[1]Точность устьев скважин'!J414)</f>
        <v>#N/A</v>
      </c>
      <c r="J412" t="e">
        <f>IF(ISBLANK('[1]Точность устьев скважин'!K414),#N/A,'[1]Точность устьев скважин'!K414)</f>
        <v>#N/A</v>
      </c>
      <c r="L412" s="63" t="e">
        <f t="shared" si="49"/>
        <v>#N/A</v>
      </c>
      <c r="O412" t="e">
        <f t="shared" si="43"/>
        <v>#N/A</v>
      </c>
      <c r="P412" t="e">
        <f t="shared" si="43"/>
        <v>#N/A</v>
      </c>
      <c r="Q412" t="e">
        <f t="shared" si="44"/>
        <v>#N/A</v>
      </c>
      <c r="R412" t="e">
        <f t="shared" si="44"/>
        <v>#N/A</v>
      </c>
      <c r="S412" t="e">
        <f t="shared" si="45"/>
        <v>#N/A</v>
      </c>
      <c r="T412" t="e">
        <f t="shared" si="45"/>
        <v>#N/A</v>
      </c>
      <c r="U412" t="e">
        <f t="shared" si="46"/>
        <v>#N/A</v>
      </c>
      <c r="V412" t="e">
        <f t="shared" si="46"/>
        <v>#N/A</v>
      </c>
      <c r="W412" t="e">
        <f t="shared" si="47"/>
        <v>#N/A</v>
      </c>
      <c r="X412" t="e">
        <f t="shared" si="47"/>
        <v>#N/A</v>
      </c>
      <c r="Y412" t="e">
        <f t="shared" si="48"/>
        <v>#N/A</v>
      </c>
      <c r="Z412" t="e">
        <f t="shared" si="48"/>
        <v>#N/A</v>
      </c>
    </row>
    <row r="413" spans="1:26">
      <c r="A413" t="e">
        <f>IF(ISBLANK('[1]Точность устьев скважин'!A415),#N/A,'[1]Точность устьев скважин'!A415)</f>
        <v>#N/A</v>
      </c>
      <c r="B413" t="e">
        <f>IF(ISBLANK('[1]Точность устьев скважин'!B415),#N/A,'[1]Точность устьев скважин'!B415)</f>
        <v>#N/A</v>
      </c>
      <c r="C413" t="e">
        <f>IF(ISBLANK('[1]Точность устьев скважин'!C415),#N/A,'[1]Точность устьев скважин'!C415)</f>
        <v>#N/A</v>
      </c>
      <c r="D413" t="e">
        <f>IF(ISBLANK('[1]Точность устьев скважин'!D415),#N/A,'[1]Точность устьев скважин'!D415)</f>
        <v>#N/A</v>
      </c>
      <c r="G413" t="e">
        <f>IF(ISBLANK('[1]Точность устьев скважин'!H415),#N/A,'[1]Точность устьев скважин'!H415)</f>
        <v>#N/A</v>
      </c>
      <c r="H413" t="e">
        <f>IF(ISBLANK('[1]Точность устьев скважин'!I415),#N/A,'[1]Точность устьев скважин'!I415)</f>
        <v>#N/A</v>
      </c>
      <c r="I413" t="e">
        <f>IF(ISBLANK('[1]Точность устьев скважин'!J415),#N/A,'[1]Точность устьев скважин'!J415)</f>
        <v>#N/A</v>
      </c>
      <c r="J413" t="e">
        <f>IF(ISBLANK('[1]Точность устьев скважин'!K415),#N/A,'[1]Точность устьев скважин'!K415)</f>
        <v>#N/A</v>
      </c>
      <c r="L413" s="63" t="e">
        <f t="shared" si="49"/>
        <v>#N/A</v>
      </c>
      <c r="O413" t="e">
        <f t="shared" si="43"/>
        <v>#N/A</v>
      </c>
      <c r="P413" t="e">
        <f t="shared" si="43"/>
        <v>#N/A</v>
      </c>
      <c r="Q413" t="e">
        <f t="shared" si="44"/>
        <v>#N/A</v>
      </c>
      <c r="R413" t="e">
        <f t="shared" si="44"/>
        <v>#N/A</v>
      </c>
      <c r="S413" t="e">
        <f t="shared" si="45"/>
        <v>#N/A</v>
      </c>
      <c r="T413" t="e">
        <f t="shared" si="45"/>
        <v>#N/A</v>
      </c>
      <c r="U413" t="e">
        <f t="shared" si="46"/>
        <v>#N/A</v>
      </c>
      <c r="V413" t="e">
        <f t="shared" si="46"/>
        <v>#N/A</v>
      </c>
      <c r="W413" t="e">
        <f t="shared" si="47"/>
        <v>#N/A</v>
      </c>
      <c r="X413" t="e">
        <f t="shared" si="47"/>
        <v>#N/A</v>
      </c>
      <c r="Y413" t="e">
        <f t="shared" si="48"/>
        <v>#N/A</v>
      </c>
      <c r="Z413" t="e">
        <f t="shared" si="48"/>
        <v>#N/A</v>
      </c>
    </row>
    <row r="414" spans="1:26">
      <c r="A414" t="e">
        <f>IF(ISBLANK('[1]Точность устьев скважин'!A416),#N/A,'[1]Точность устьев скважин'!A416)</f>
        <v>#N/A</v>
      </c>
      <c r="B414" t="e">
        <f>IF(ISBLANK('[1]Точность устьев скважин'!B416),#N/A,'[1]Точность устьев скважин'!B416)</f>
        <v>#N/A</v>
      </c>
      <c r="C414" t="e">
        <f>IF(ISBLANK('[1]Точность устьев скважин'!C416),#N/A,'[1]Точность устьев скважин'!C416)</f>
        <v>#N/A</v>
      </c>
      <c r="D414" t="e">
        <f>IF(ISBLANK('[1]Точность устьев скважин'!D416),#N/A,'[1]Точность устьев скважин'!D416)</f>
        <v>#N/A</v>
      </c>
      <c r="G414" t="e">
        <f>IF(ISBLANK('[1]Точность устьев скважин'!H416),#N/A,'[1]Точность устьев скважин'!H416)</f>
        <v>#N/A</v>
      </c>
      <c r="H414" t="e">
        <f>IF(ISBLANK('[1]Точность устьев скважин'!I416),#N/A,'[1]Точность устьев скважин'!I416)</f>
        <v>#N/A</v>
      </c>
      <c r="I414" t="e">
        <f>IF(ISBLANK('[1]Точность устьев скважин'!J416),#N/A,'[1]Точность устьев скважин'!J416)</f>
        <v>#N/A</v>
      </c>
      <c r="J414" t="e">
        <f>IF(ISBLANK('[1]Точность устьев скважин'!K416),#N/A,'[1]Точность устьев скважин'!K416)</f>
        <v>#N/A</v>
      </c>
      <c r="L414" s="63" t="e">
        <f t="shared" si="49"/>
        <v>#N/A</v>
      </c>
      <c r="O414" t="e">
        <f t="shared" si="43"/>
        <v>#N/A</v>
      </c>
      <c r="P414" t="e">
        <f t="shared" si="43"/>
        <v>#N/A</v>
      </c>
      <c r="Q414" t="e">
        <f t="shared" si="44"/>
        <v>#N/A</v>
      </c>
      <c r="R414" t="e">
        <f t="shared" si="44"/>
        <v>#N/A</v>
      </c>
      <c r="S414" t="e">
        <f t="shared" si="45"/>
        <v>#N/A</v>
      </c>
      <c r="T414" t="e">
        <f t="shared" si="45"/>
        <v>#N/A</v>
      </c>
      <c r="U414" t="e">
        <f t="shared" si="46"/>
        <v>#N/A</v>
      </c>
      <c r="V414" t="e">
        <f t="shared" si="46"/>
        <v>#N/A</v>
      </c>
      <c r="W414" t="e">
        <f t="shared" si="47"/>
        <v>#N/A</v>
      </c>
      <c r="X414" t="e">
        <f t="shared" si="47"/>
        <v>#N/A</v>
      </c>
      <c r="Y414" t="e">
        <f t="shared" si="48"/>
        <v>#N/A</v>
      </c>
      <c r="Z414" t="e">
        <f t="shared" si="48"/>
        <v>#N/A</v>
      </c>
    </row>
    <row r="415" spans="1:26">
      <c r="A415" t="e">
        <f>IF(ISBLANK('[1]Точность устьев скважин'!A417),#N/A,'[1]Точность устьев скважин'!A417)</f>
        <v>#N/A</v>
      </c>
      <c r="B415" t="e">
        <f>IF(ISBLANK('[1]Точность устьев скважин'!B417),#N/A,'[1]Точность устьев скважин'!B417)</f>
        <v>#N/A</v>
      </c>
      <c r="C415" t="e">
        <f>IF(ISBLANK('[1]Точность устьев скважин'!C417),#N/A,'[1]Точность устьев скважин'!C417)</f>
        <v>#N/A</v>
      </c>
      <c r="D415" t="e">
        <f>IF(ISBLANK('[1]Точность устьев скважин'!D417),#N/A,'[1]Точность устьев скважин'!D417)</f>
        <v>#N/A</v>
      </c>
      <c r="G415" t="e">
        <f>IF(ISBLANK('[1]Точность устьев скважин'!H417),#N/A,'[1]Точность устьев скважин'!H417)</f>
        <v>#N/A</v>
      </c>
      <c r="H415" t="e">
        <f>IF(ISBLANK('[1]Точность устьев скважин'!I417),#N/A,'[1]Точность устьев скважин'!I417)</f>
        <v>#N/A</v>
      </c>
      <c r="I415" t="e">
        <f>IF(ISBLANK('[1]Точность устьев скважин'!J417),#N/A,'[1]Точность устьев скважин'!J417)</f>
        <v>#N/A</v>
      </c>
      <c r="J415" t="e">
        <f>IF(ISBLANK('[1]Точность устьев скважин'!K417),#N/A,'[1]Точность устьев скважин'!K417)</f>
        <v>#N/A</v>
      </c>
      <c r="L415" s="63" t="e">
        <f t="shared" si="49"/>
        <v>#N/A</v>
      </c>
      <c r="O415" t="e">
        <f t="shared" si="43"/>
        <v>#N/A</v>
      </c>
      <c r="P415" t="e">
        <f t="shared" si="43"/>
        <v>#N/A</v>
      </c>
      <c r="Q415" t="e">
        <f t="shared" si="44"/>
        <v>#N/A</v>
      </c>
      <c r="R415" t="e">
        <f t="shared" si="44"/>
        <v>#N/A</v>
      </c>
      <c r="S415" t="e">
        <f t="shared" si="45"/>
        <v>#N/A</v>
      </c>
      <c r="T415" t="e">
        <f t="shared" si="45"/>
        <v>#N/A</v>
      </c>
      <c r="U415" t="e">
        <f t="shared" si="46"/>
        <v>#N/A</v>
      </c>
      <c r="V415" t="e">
        <f t="shared" si="46"/>
        <v>#N/A</v>
      </c>
      <c r="W415" t="e">
        <f t="shared" si="47"/>
        <v>#N/A</v>
      </c>
      <c r="X415" t="e">
        <f t="shared" si="47"/>
        <v>#N/A</v>
      </c>
      <c r="Y415" t="e">
        <f t="shared" si="48"/>
        <v>#N/A</v>
      </c>
      <c r="Z415" t="e">
        <f t="shared" si="48"/>
        <v>#N/A</v>
      </c>
    </row>
    <row r="416" spans="1:26">
      <c r="A416" t="e">
        <f>IF(ISBLANK('[1]Точность устьев скважин'!A418),#N/A,'[1]Точность устьев скважин'!A418)</f>
        <v>#N/A</v>
      </c>
      <c r="B416" t="e">
        <f>IF(ISBLANK('[1]Точность устьев скважин'!B418),#N/A,'[1]Точность устьев скважин'!B418)</f>
        <v>#N/A</v>
      </c>
      <c r="C416" t="e">
        <f>IF(ISBLANK('[1]Точность устьев скважин'!C418),#N/A,'[1]Точность устьев скважин'!C418)</f>
        <v>#N/A</v>
      </c>
      <c r="D416" t="e">
        <f>IF(ISBLANK('[1]Точность устьев скважин'!D418),#N/A,'[1]Точность устьев скважин'!D418)</f>
        <v>#N/A</v>
      </c>
      <c r="G416" t="e">
        <f>IF(ISBLANK('[1]Точность устьев скважин'!H418),#N/A,'[1]Точность устьев скважин'!H418)</f>
        <v>#N/A</v>
      </c>
      <c r="H416" t="e">
        <f>IF(ISBLANK('[1]Точность устьев скважин'!I418),#N/A,'[1]Точность устьев скважин'!I418)</f>
        <v>#N/A</v>
      </c>
      <c r="I416" t="e">
        <f>IF(ISBLANK('[1]Точность устьев скважин'!J418),#N/A,'[1]Точность устьев скважин'!J418)</f>
        <v>#N/A</v>
      </c>
      <c r="J416" t="e">
        <f>IF(ISBLANK('[1]Точность устьев скважин'!K418),#N/A,'[1]Точность устьев скважин'!K418)</f>
        <v>#N/A</v>
      </c>
      <c r="L416" s="63" t="e">
        <f t="shared" si="49"/>
        <v>#N/A</v>
      </c>
      <c r="O416" t="e">
        <f t="shared" si="43"/>
        <v>#N/A</v>
      </c>
      <c r="P416" t="e">
        <f t="shared" si="43"/>
        <v>#N/A</v>
      </c>
      <c r="Q416" t="e">
        <f t="shared" si="44"/>
        <v>#N/A</v>
      </c>
      <c r="R416" t="e">
        <f t="shared" si="44"/>
        <v>#N/A</v>
      </c>
      <c r="S416" t="e">
        <f t="shared" si="45"/>
        <v>#N/A</v>
      </c>
      <c r="T416" t="e">
        <f t="shared" si="45"/>
        <v>#N/A</v>
      </c>
      <c r="U416" t="e">
        <f t="shared" si="46"/>
        <v>#N/A</v>
      </c>
      <c r="V416" t="e">
        <f t="shared" si="46"/>
        <v>#N/A</v>
      </c>
      <c r="W416" t="e">
        <f t="shared" si="47"/>
        <v>#N/A</v>
      </c>
      <c r="X416" t="e">
        <f t="shared" si="47"/>
        <v>#N/A</v>
      </c>
      <c r="Y416" t="e">
        <f t="shared" si="48"/>
        <v>#N/A</v>
      </c>
      <c r="Z416" t="e">
        <f t="shared" si="48"/>
        <v>#N/A</v>
      </c>
    </row>
    <row r="417" spans="1:26">
      <c r="A417" t="e">
        <f>IF(ISBLANK('[1]Точность устьев скважин'!A419),#N/A,'[1]Точность устьев скважин'!A419)</f>
        <v>#N/A</v>
      </c>
      <c r="B417" t="e">
        <f>IF(ISBLANK('[1]Точность устьев скважин'!B419),#N/A,'[1]Точность устьев скважин'!B419)</f>
        <v>#N/A</v>
      </c>
      <c r="C417" t="e">
        <f>IF(ISBLANK('[1]Точность устьев скважин'!C419),#N/A,'[1]Точность устьев скважин'!C419)</f>
        <v>#N/A</v>
      </c>
      <c r="D417" t="e">
        <f>IF(ISBLANK('[1]Точность устьев скважин'!D419),#N/A,'[1]Точность устьев скважин'!D419)</f>
        <v>#N/A</v>
      </c>
      <c r="G417" t="e">
        <f>IF(ISBLANK('[1]Точность устьев скважин'!H419),#N/A,'[1]Точность устьев скважин'!H419)</f>
        <v>#N/A</v>
      </c>
      <c r="H417" t="e">
        <f>IF(ISBLANK('[1]Точность устьев скважин'!I419),#N/A,'[1]Точность устьев скважин'!I419)</f>
        <v>#N/A</v>
      </c>
      <c r="I417" t="e">
        <f>IF(ISBLANK('[1]Точность устьев скважин'!J419),#N/A,'[1]Точность устьев скважин'!J419)</f>
        <v>#N/A</v>
      </c>
      <c r="J417" t="e">
        <f>IF(ISBLANK('[1]Точность устьев скважин'!K419),#N/A,'[1]Точность устьев скважин'!K419)</f>
        <v>#N/A</v>
      </c>
      <c r="L417" s="63" t="e">
        <f t="shared" si="49"/>
        <v>#N/A</v>
      </c>
      <c r="O417" t="e">
        <f t="shared" si="43"/>
        <v>#N/A</v>
      </c>
      <c r="P417" t="e">
        <f t="shared" si="43"/>
        <v>#N/A</v>
      </c>
      <c r="Q417" t="e">
        <f t="shared" si="44"/>
        <v>#N/A</v>
      </c>
      <c r="R417" t="e">
        <f t="shared" si="44"/>
        <v>#N/A</v>
      </c>
      <c r="S417" t="e">
        <f t="shared" si="45"/>
        <v>#N/A</v>
      </c>
      <c r="T417" t="e">
        <f t="shared" si="45"/>
        <v>#N/A</v>
      </c>
      <c r="U417" t="e">
        <f t="shared" si="46"/>
        <v>#N/A</v>
      </c>
      <c r="V417" t="e">
        <f t="shared" si="46"/>
        <v>#N/A</v>
      </c>
      <c r="W417" t="e">
        <f t="shared" si="47"/>
        <v>#N/A</v>
      </c>
      <c r="X417" t="e">
        <f t="shared" si="47"/>
        <v>#N/A</v>
      </c>
      <c r="Y417" t="e">
        <f t="shared" si="48"/>
        <v>#N/A</v>
      </c>
      <c r="Z417" t="e">
        <f t="shared" si="48"/>
        <v>#N/A</v>
      </c>
    </row>
    <row r="418" spans="1:26">
      <c r="A418" t="e">
        <f>IF(ISBLANK('[1]Точность устьев скважин'!A420),#N/A,'[1]Точность устьев скважин'!A420)</f>
        <v>#N/A</v>
      </c>
      <c r="B418" t="e">
        <f>IF(ISBLANK('[1]Точность устьев скважин'!B420),#N/A,'[1]Точность устьев скважин'!B420)</f>
        <v>#N/A</v>
      </c>
      <c r="C418" t="e">
        <f>IF(ISBLANK('[1]Точность устьев скважин'!C420),#N/A,'[1]Точность устьев скважин'!C420)</f>
        <v>#N/A</v>
      </c>
      <c r="D418" t="e">
        <f>IF(ISBLANK('[1]Точность устьев скважин'!D420),#N/A,'[1]Точность устьев скважин'!D420)</f>
        <v>#N/A</v>
      </c>
      <c r="G418" t="e">
        <f>IF(ISBLANK('[1]Точность устьев скважин'!H420),#N/A,'[1]Точность устьев скважин'!H420)</f>
        <v>#N/A</v>
      </c>
      <c r="H418" t="e">
        <f>IF(ISBLANK('[1]Точность устьев скважин'!I420),#N/A,'[1]Точность устьев скважин'!I420)</f>
        <v>#N/A</v>
      </c>
      <c r="I418" t="e">
        <f>IF(ISBLANK('[1]Точность устьев скважин'!J420),#N/A,'[1]Точность устьев скважин'!J420)</f>
        <v>#N/A</v>
      </c>
      <c r="J418" t="e">
        <f>IF(ISBLANK('[1]Точность устьев скважин'!K420),#N/A,'[1]Точность устьев скважин'!K420)</f>
        <v>#N/A</v>
      </c>
      <c r="L418" s="63" t="e">
        <f t="shared" si="49"/>
        <v>#N/A</v>
      </c>
      <c r="O418" t="e">
        <f t="shared" si="43"/>
        <v>#N/A</v>
      </c>
      <c r="P418" t="e">
        <f t="shared" si="43"/>
        <v>#N/A</v>
      </c>
      <c r="Q418" t="e">
        <f t="shared" si="44"/>
        <v>#N/A</v>
      </c>
      <c r="R418" t="e">
        <f t="shared" si="44"/>
        <v>#N/A</v>
      </c>
      <c r="S418" t="e">
        <f t="shared" si="45"/>
        <v>#N/A</v>
      </c>
      <c r="T418" t="e">
        <f t="shared" si="45"/>
        <v>#N/A</v>
      </c>
      <c r="U418" t="e">
        <f t="shared" si="46"/>
        <v>#N/A</v>
      </c>
      <c r="V418" t="e">
        <f t="shared" si="46"/>
        <v>#N/A</v>
      </c>
      <c r="W418" t="e">
        <f t="shared" si="47"/>
        <v>#N/A</v>
      </c>
      <c r="X418" t="e">
        <f t="shared" si="47"/>
        <v>#N/A</v>
      </c>
      <c r="Y418" t="e">
        <f t="shared" si="48"/>
        <v>#N/A</v>
      </c>
      <c r="Z418" t="e">
        <f t="shared" si="48"/>
        <v>#N/A</v>
      </c>
    </row>
    <row r="419" spans="1:26">
      <c r="A419" t="e">
        <f>IF(ISBLANK('[1]Точность устьев скважин'!A421),#N/A,'[1]Точность устьев скважин'!A421)</f>
        <v>#N/A</v>
      </c>
      <c r="B419" t="e">
        <f>IF(ISBLANK('[1]Точность устьев скважин'!B421),#N/A,'[1]Точность устьев скважин'!B421)</f>
        <v>#N/A</v>
      </c>
      <c r="C419" t="e">
        <f>IF(ISBLANK('[1]Точность устьев скважин'!C421),#N/A,'[1]Точность устьев скважин'!C421)</f>
        <v>#N/A</v>
      </c>
      <c r="D419" t="e">
        <f>IF(ISBLANK('[1]Точность устьев скважин'!D421),#N/A,'[1]Точность устьев скважин'!D421)</f>
        <v>#N/A</v>
      </c>
      <c r="G419" t="e">
        <f>IF(ISBLANK('[1]Точность устьев скважин'!H421),#N/A,'[1]Точность устьев скважин'!H421)</f>
        <v>#N/A</v>
      </c>
      <c r="H419" t="e">
        <f>IF(ISBLANK('[1]Точность устьев скважин'!I421),#N/A,'[1]Точность устьев скважин'!I421)</f>
        <v>#N/A</v>
      </c>
      <c r="I419" t="e">
        <f>IF(ISBLANK('[1]Точность устьев скважин'!J421),#N/A,'[1]Точность устьев скважин'!J421)</f>
        <v>#N/A</v>
      </c>
      <c r="J419" t="e">
        <f>IF(ISBLANK('[1]Точность устьев скважин'!K421),#N/A,'[1]Точность устьев скважин'!K421)</f>
        <v>#N/A</v>
      </c>
      <c r="L419" s="63" t="e">
        <f t="shared" si="49"/>
        <v>#N/A</v>
      </c>
      <c r="O419" t="e">
        <f t="shared" si="43"/>
        <v>#N/A</v>
      </c>
      <c r="P419" t="e">
        <f t="shared" si="43"/>
        <v>#N/A</v>
      </c>
      <c r="Q419" t="e">
        <f t="shared" si="44"/>
        <v>#N/A</v>
      </c>
      <c r="R419" t="e">
        <f t="shared" si="44"/>
        <v>#N/A</v>
      </c>
      <c r="S419" t="e">
        <f t="shared" si="45"/>
        <v>#N/A</v>
      </c>
      <c r="T419" t="e">
        <f t="shared" si="45"/>
        <v>#N/A</v>
      </c>
      <c r="U419" t="e">
        <f t="shared" si="46"/>
        <v>#N/A</v>
      </c>
      <c r="V419" t="e">
        <f t="shared" si="46"/>
        <v>#N/A</v>
      </c>
      <c r="W419" t="e">
        <f t="shared" si="47"/>
        <v>#N/A</v>
      </c>
      <c r="X419" t="e">
        <f t="shared" si="47"/>
        <v>#N/A</v>
      </c>
      <c r="Y419" t="e">
        <f t="shared" si="48"/>
        <v>#N/A</v>
      </c>
      <c r="Z419" t="e">
        <f t="shared" si="48"/>
        <v>#N/A</v>
      </c>
    </row>
    <row r="420" spans="1:26">
      <c r="A420" t="e">
        <f>IF(ISBLANK('[1]Точность устьев скважин'!A422),#N/A,'[1]Точность устьев скважин'!A422)</f>
        <v>#N/A</v>
      </c>
      <c r="B420" t="e">
        <f>IF(ISBLANK('[1]Точность устьев скважин'!B422),#N/A,'[1]Точность устьев скважин'!B422)</f>
        <v>#N/A</v>
      </c>
      <c r="C420" t="e">
        <f>IF(ISBLANK('[1]Точность устьев скважин'!C422),#N/A,'[1]Точность устьев скважин'!C422)</f>
        <v>#N/A</v>
      </c>
      <c r="D420" t="e">
        <f>IF(ISBLANK('[1]Точность устьев скважин'!D422),#N/A,'[1]Точность устьев скважин'!D422)</f>
        <v>#N/A</v>
      </c>
      <c r="G420" t="e">
        <f>IF(ISBLANK('[1]Точность устьев скважин'!H422),#N/A,'[1]Точность устьев скважин'!H422)</f>
        <v>#N/A</v>
      </c>
      <c r="H420" t="e">
        <f>IF(ISBLANK('[1]Точность устьев скважин'!I422),#N/A,'[1]Точность устьев скважин'!I422)</f>
        <v>#N/A</v>
      </c>
      <c r="I420" t="e">
        <f>IF(ISBLANK('[1]Точность устьев скважин'!J422),#N/A,'[1]Точность устьев скважин'!J422)</f>
        <v>#N/A</v>
      </c>
      <c r="J420" t="e">
        <f>IF(ISBLANK('[1]Точность устьев скважин'!K422),#N/A,'[1]Точность устьев скважин'!K422)</f>
        <v>#N/A</v>
      </c>
      <c r="L420" s="63" t="e">
        <f t="shared" si="49"/>
        <v>#N/A</v>
      </c>
      <c r="O420" t="e">
        <f t="shared" si="43"/>
        <v>#N/A</v>
      </c>
      <c r="P420" t="e">
        <f t="shared" si="43"/>
        <v>#N/A</v>
      </c>
      <c r="Q420" t="e">
        <f t="shared" si="44"/>
        <v>#N/A</v>
      </c>
      <c r="R420" t="e">
        <f t="shared" si="44"/>
        <v>#N/A</v>
      </c>
      <c r="S420" t="e">
        <f t="shared" si="45"/>
        <v>#N/A</v>
      </c>
      <c r="T420" t="e">
        <f t="shared" si="45"/>
        <v>#N/A</v>
      </c>
      <c r="U420" t="e">
        <f t="shared" si="46"/>
        <v>#N/A</v>
      </c>
      <c r="V420" t="e">
        <f t="shared" si="46"/>
        <v>#N/A</v>
      </c>
      <c r="W420" t="e">
        <f t="shared" si="47"/>
        <v>#N/A</v>
      </c>
      <c r="X420" t="e">
        <f t="shared" si="47"/>
        <v>#N/A</v>
      </c>
      <c r="Y420" t="e">
        <f t="shared" si="48"/>
        <v>#N/A</v>
      </c>
      <c r="Z420" t="e">
        <f t="shared" si="48"/>
        <v>#N/A</v>
      </c>
    </row>
    <row r="421" spans="1:26">
      <c r="A421" t="e">
        <f>IF(ISBLANK('[1]Точность устьев скважин'!A423),#N/A,'[1]Точность устьев скважин'!A423)</f>
        <v>#N/A</v>
      </c>
      <c r="B421" t="e">
        <f>IF(ISBLANK('[1]Точность устьев скважин'!B423),#N/A,'[1]Точность устьев скважин'!B423)</f>
        <v>#N/A</v>
      </c>
      <c r="C421" t="e">
        <f>IF(ISBLANK('[1]Точность устьев скважин'!C423),#N/A,'[1]Точность устьев скважин'!C423)</f>
        <v>#N/A</v>
      </c>
      <c r="D421" t="e">
        <f>IF(ISBLANK('[1]Точность устьев скважин'!D423),#N/A,'[1]Точность устьев скважин'!D423)</f>
        <v>#N/A</v>
      </c>
      <c r="G421" t="e">
        <f>IF(ISBLANK('[1]Точность устьев скважин'!H423),#N/A,'[1]Точность устьев скважин'!H423)</f>
        <v>#N/A</v>
      </c>
      <c r="H421" t="e">
        <f>IF(ISBLANK('[1]Точность устьев скважин'!I423),#N/A,'[1]Точность устьев скважин'!I423)</f>
        <v>#N/A</v>
      </c>
      <c r="I421" t="e">
        <f>IF(ISBLANK('[1]Точность устьев скважин'!J423),#N/A,'[1]Точность устьев скважин'!J423)</f>
        <v>#N/A</v>
      </c>
      <c r="J421" t="e">
        <f>IF(ISBLANK('[1]Точность устьев скважин'!K423),#N/A,'[1]Точность устьев скважин'!K423)</f>
        <v>#N/A</v>
      </c>
      <c r="L421" s="63" t="e">
        <f t="shared" si="49"/>
        <v>#N/A</v>
      </c>
      <c r="O421" t="e">
        <f t="shared" si="43"/>
        <v>#N/A</v>
      </c>
      <c r="P421" t="e">
        <f t="shared" si="43"/>
        <v>#N/A</v>
      </c>
      <c r="Q421" t="e">
        <f t="shared" si="44"/>
        <v>#N/A</v>
      </c>
      <c r="R421" t="e">
        <f t="shared" si="44"/>
        <v>#N/A</v>
      </c>
      <c r="S421" t="e">
        <f t="shared" si="45"/>
        <v>#N/A</v>
      </c>
      <c r="T421" t="e">
        <f t="shared" si="45"/>
        <v>#N/A</v>
      </c>
      <c r="U421" t="e">
        <f t="shared" si="46"/>
        <v>#N/A</v>
      </c>
      <c r="V421" t="e">
        <f t="shared" si="46"/>
        <v>#N/A</v>
      </c>
      <c r="W421" t="e">
        <f t="shared" si="47"/>
        <v>#N/A</v>
      </c>
      <c r="X421" t="e">
        <f t="shared" si="47"/>
        <v>#N/A</v>
      </c>
      <c r="Y421" t="e">
        <f t="shared" si="48"/>
        <v>#N/A</v>
      </c>
      <c r="Z421" t="e">
        <f t="shared" si="48"/>
        <v>#N/A</v>
      </c>
    </row>
    <row r="422" spans="1:26">
      <c r="A422" t="e">
        <f>IF(ISBLANK('[1]Точность устьев скважин'!A424),#N/A,'[1]Точность устьев скважин'!A424)</f>
        <v>#N/A</v>
      </c>
      <c r="B422" t="e">
        <f>IF(ISBLANK('[1]Точность устьев скважин'!B424),#N/A,'[1]Точность устьев скважин'!B424)</f>
        <v>#N/A</v>
      </c>
      <c r="C422" t="e">
        <f>IF(ISBLANK('[1]Точность устьев скважин'!C424),#N/A,'[1]Точность устьев скважин'!C424)</f>
        <v>#N/A</v>
      </c>
      <c r="D422" t="e">
        <f>IF(ISBLANK('[1]Точность устьев скважин'!D424),#N/A,'[1]Точность устьев скважин'!D424)</f>
        <v>#N/A</v>
      </c>
      <c r="G422" t="e">
        <f>IF(ISBLANK('[1]Точность устьев скважин'!H424),#N/A,'[1]Точность устьев скважин'!H424)</f>
        <v>#N/A</v>
      </c>
      <c r="H422" t="e">
        <f>IF(ISBLANK('[1]Точность устьев скважин'!I424),#N/A,'[1]Точность устьев скважин'!I424)</f>
        <v>#N/A</v>
      </c>
      <c r="I422" t="e">
        <f>IF(ISBLANK('[1]Точность устьев скважин'!J424),#N/A,'[1]Точность устьев скважин'!J424)</f>
        <v>#N/A</v>
      </c>
      <c r="J422" t="e">
        <f>IF(ISBLANK('[1]Точность устьев скважин'!K424),#N/A,'[1]Точность устьев скважин'!K424)</f>
        <v>#N/A</v>
      </c>
      <c r="L422" s="63" t="e">
        <f t="shared" si="49"/>
        <v>#N/A</v>
      </c>
      <c r="O422" t="e">
        <f t="shared" si="43"/>
        <v>#N/A</v>
      </c>
      <c r="P422" t="e">
        <f t="shared" si="43"/>
        <v>#N/A</v>
      </c>
      <c r="Q422" t="e">
        <f t="shared" si="44"/>
        <v>#N/A</v>
      </c>
      <c r="R422" t="e">
        <f t="shared" si="44"/>
        <v>#N/A</v>
      </c>
      <c r="S422" t="e">
        <f t="shared" si="45"/>
        <v>#N/A</v>
      </c>
      <c r="T422" t="e">
        <f t="shared" si="45"/>
        <v>#N/A</v>
      </c>
      <c r="U422" t="e">
        <f t="shared" si="46"/>
        <v>#N/A</v>
      </c>
      <c r="V422" t="e">
        <f t="shared" si="46"/>
        <v>#N/A</v>
      </c>
      <c r="W422" t="e">
        <f t="shared" si="47"/>
        <v>#N/A</v>
      </c>
      <c r="X422" t="e">
        <f t="shared" si="47"/>
        <v>#N/A</v>
      </c>
      <c r="Y422" t="e">
        <f t="shared" si="48"/>
        <v>#N/A</v>
      </c>
      <c r="Z422" t="e">
        <f t="shared" si="48"/>
        <v>#N/A</v>
      </c>
    </row>
    <row r="423" spans="1:26">
      <c r="A423" t="e">
        <f>IF(ISBLANK('[1]Точность устьев скважин'!A425),#N/A,'[1]Точность устьев скважин'!A425)</f>
        <v>#N/A</v>
      </c>
      <c r="B423" t="e">
        <f>IF(ISBLANK('[1]Точность устьев скважин'!B425),#N/A,'[1]Точность устьев скважин'!B425)</f>
        <v>#N/A</v>
      </c>
      <c r="C423" t="e">
        <f>IF(ISBLANK('[1]Точность устьев скважин'!C425),#N/A,'[1]Точность устьев скважин'!C425)</f>
        <v>#N/A</v>
      </c>
      <c r="D423" t="e">
        <f>IF(ISBLANK('[1]Точность устьев скважин'!D425),#N/A,'[1]Точность устьев скважин'!D425)</f>
        <v>#N/A</v>
      </c>
      <c r="G423" t="e">
        <f>IF(ISBLANK('[1]Точность устьев скважин'!H425),#N/A,'[1]Точность устьев скважин'!H425)</f>
        <v>#N/A</v>
      </c>
      <c r="H423" t="e">
        <f>IF(ISBLANK('[1]Точность устьев скважин'!I425),#N/A,'[1]Точность устьев скважин'!I425)</f>
        <v>#N/A</v>
      </c>
      <c r="I423" t="e">
        <f>IF(ISBLANK('[1]Точность устьев скважин'!J425),#N/A,'[1]Точность устьев скважин'!J425)</f>
        <v>#N/A</v>
      </c>
      <c r="J423" t="e">
        <f>IF(ISBLANK('[1]Точность устьев скважин'!K425),#N/A,'[1]Точность устьев скважин'!K425)</f>
        <v>#N/A</v>
      </c>
      <c r="L423" s="63" t="e">
        <f t="shared" si="49"/>
        <v>#N/A</v>
      </c>
      <c r="O423" t="e">
        <f t="shared" si="43"/>
        <v>#N/A</v>
      </c>
      <c r="P423" t="e">
        <f t="shared" si="43"/>
        <v>#N/A</v>
      </c>
      <c r="Q423" t="e">
        <f t="shared" si="44"/>
        <v>#N/A</v>
      </c>
      <c r="R423" t="e">
        <f t="shared" si="44"/>
        <v>#N/A</v>
      </c>
      <c r="S423" t="e">
        <f t="shared" si="45"/>
        <v>#N/A</v>
      </c>
      <c r="T423" t="e">
        <f t="shared" si="45"/>
        <v>#N/A</v>
      </c>
      <c r="U423" t="e">
        <f t="shared" si="46"/>
        <v>#N/A</v>
      </c>
      <c r="V423" t="e">
        <f t="shared" si="46"/>
        <v>#N/A</v>
      </c>
      <c r="W423" t="e">
        <f t="shared" si="47"/>
        <v>#N/A</v>
      </c>
      <c r="X423" t="e">
        <f t="shared" si="47"/>
        <v>#N/A</v>
      </c>
      <c r="Y423" t="e">
        <f t="shared" si="48"/>
        <v>#N/A</v>
      </c>
      <c r="Z423" t="e">
        <f t="shared" si="48"/>
        <v>#N/A</v>
      </c>
    </row>
    <row r="424" spans="1:26">
      <c r="A424" t="e">
        <f>IF(ISBLANK('[1]Точность устьев скважин'!A426),#N/A,'[1]Точность устьев скважин'!A426)</f>
        <v>#N/A</v>
      </c>
      <c r="B424" t="e">
        <f>IF(ISBLANK('[1]Точность устьев скважин'!B426),#N/A,'[1]Точность устьев скважин'!B426)</f>
        <v>#N/A</v>
      </c>
      <c r="C424" t="e">
        <f>IF(ISBLANK('[1]Точность устьев скважин'!C426),#N/A,'[1]Точность устьев скважин'!C426)</f>
        <v>#N/A</v>
      </c>
      <c r="D424" t="e">
        <f>IF(ISBLANK('[1]Точность устьев скважин'!D426),#N/A,'[1]Точность устьев скважин'!D426)</f>
        <v>#N/A</v>
      </c>
      <c r="G424" t="e">
        <f>IF(ISBLANK('[1]Точность устьев скважин'!H426),#N/A,'[1]Точность устьев скважин'!H426)</f>
        <v>#N/A</v>
      </c>
      <c r="H424" t="e">
        <f>IF(ISBLANK('[1]Точность устьев скважин'!I426),#N/A,'[1]Точность устьев скважин'!I426)</f>
        <v>#N/A</v>
      </c>
      <c r="I424" t="e">
        <f>IF(ISBLANK('[1]Точность устьев скважин'!J426),#N/A,'[1]Точность устьев скважин'!J426)</f>
        <v>#N/A</v>
      </c>
      <c r="J424" t="e">
        <f>IF(ISBLANK('[1]Точность устьев скважин'!K426),#N/A,'[1]Точность устьев скважин'!K426)</f>
        <v>#N/A</v>
      </c>
      <c r="L424" s="63" t="e">
        <f t="shared" si="49"/>
        <v>#N/A</v>
      </c>
      <c r="O424" t="e">
        <f t="shared" si="43"/>
        <v>#N/A</v>
      </c>
      <c r="P424" t="e">
        <f t="shared" si="43"/>
        <v>#N/A</v>
      </c>
      <c r="Q424" t="e">
        <f t="shared" si="44"/>
        <v>#N/A</v>
      </c>
      <c r="R424" t="e">
        <f t="shared" si="44"/>
        <v>#N/A</v>
      </c>
      <c r="S424" t="e">
        <f t="shared" si="45"/>
        <v>#N/A</v>
      </c>
      <c r="T424" t="e">
        <f t="shared" si="45"/>
        <v>#N/A</v>
      </c>
      <c r="U424" t="e">
        <f t="shared" si="46"/>
        <v>#N/A</v>
      </c>
      <c r="V424" t="e">
        <f t="shared" si="46"/>
        <v>#N/A</v>
      </c>
      <c r="W424" t="e">
        <f t="shared" si="47"/>
        <v>#N/A</v>
      </c>
      <c r="X424" t="e">
        <f t="shared" si="47"/>
        <v>#N/A</v>
      </c>
      <c r="Y424" t="e">
        <f t="shared" si="48"/>
        <v>#N/A</v>
      </c>
      <c r="Z424" t="e">
        <f t="shared" si="48"/>
        <v>#N/A</v>
      </c>
    </row>
    <row r="425" spans="1:26">
      <c r="A425" t="e">
        <f>IF(ISBLANK('[1]Точность устьев скважин'!A427),#N/A,'[1]Точность устьев скважин'!A427)</f>
        <v>#N/A</v>
      </c>
      <c r="B425" t="e">
        <f>IF(ISBLANK('[1]Точность устьев скважин'!B427),#N/A,'[1]Точность устьев скважин'!B427)</f>
        <v>#N/A</v>
      </c>
      <c r="C425" t="e">
        <f>IF(ISBLANK('[1]Точность устьев скважин'!C427),#N/A,'[1]Точность устьев скважин'!C427)</f>
        <v>#N/A</v>
      </c>
      <c r="D425" t="e">
        <f>IF(ISBLANK('[1]Точность устьев скважин'!D427),#N/A,'[1]Точность устьев скважин'!D427)</f>
        <v>#N/A</v>
      </c>
      <c r="G425" t="e">
        <f>IF(ISBLANK('[1]Точность устьев скважин'!H427),#N/A,'[1]Точность устьев скважин'!H427)</f>
        <v>#N/A</v>
      </c>
      <c r="H425" t="e">
        <f>IF(ISBLANK('[1]Точность устьев скважин'!I427),#N/A,'[1]Точность устьев скважин'!I427)</f>
        <v>#N/A</v>
      </c>
      <c r="I425" t="e">
        <f>IF(ISBLANK('[1]Точность устьев скважин'!J427),#N/A,'[1]Точность устьев скважин'!J427)</f>
        <v>#N/A</v>
      </c>
      <c r="J425" t="e">
        <f>IF(ISBLANK('[1]Точность устьев скважин'!K427),#N/A,'[1]Точность устьев скважин'!K427)</f>
        <v>#N/A</v>
      </c>
      <c r="L425" s="63" t="e">
        <f t="shared" si="49"/>
        <v>#N/A</v>
      </c>
      <c r="O425" t="e">
        <f t="shared" ref="O425:P488" si="50">IF($L$1=0.5,IF(AND($L425&gt;0,$L425&lt;0.1),H425,#N/A),"")</f>
        <v>#N/A</v>
      </c>
      <c r="P425" t="e">
        <f t="shared" si="50"/>
        <v>#N/A</v>
      </c>
      <c r="Q425" t="e">
        <f t="shared" ref="Q425:R488" si="51">IF($L$1=0.5,IF(AND($L425&gt;=0.1,$L425&lt;0.2),H425,#N/A),"")</f>
        <v>#N/A</v>
      </c>
      <c r="R425" t="e">
        <f t="shared" si="51"/>
        <v>#N/A</v>
      </c>
      <c r="S425" t="e">
        <f t="shared" ref="S425:T488" si="52">IF($L$1=0.5,IF(AND($L425&gt;=0.2,$L425&lt;0.3),H425,#N/A),"")</f>
        <v>#N/A</v>
      </c>
      <c r="T425" t="e">
        <f t="shared" si="52"/>
        <v>#N/A</v>
      </c>
      <c r="U425" t="e">
        <f t="shared" ref="U425:V488" si="53">IF($L$1=0.5,IF(AND($L425&gt;=0.3,$L425&lt;0.4),H425,#N/A),"")</f>
        <v>#N/A</v>
      </c>
      <c r="V425" t="e">
        <f t="shared" si="53"/>
        <v>#N/A</v>
      </c>
      <c r="W425" t="e">
        <f t="shared" ref="W425:X488" si="54">IF($L$1=0.5,IF(AND($L425&gt;=0.4,$L425&lt;0.5),H425,#N/A),"")</f>
        <v>#N/A</v>
      </c>
      <c r="X425" t="e">
        <f t="shared" si="54"/>
        <v>#N/A</v>
      </c>
      <c r="Y425" t="e">
        <f t="shared" si="48"/>
        <v>#N/A</v>
      </c>
      <c r="Z425" t="e">
        <f t="shared" si="48"/>
        <v>#N/A</v>
      </c>
    </row>
    <row r="426" spans="1:26">
      <c r="A426" t="e">
        <f>IF(ISBLANK('[1]Точность устьев скважин'!A428),#N/A,'[1]Точность устьев скважин'!A428)</f>
        <v>#N/A</v>
      </c>
      <c r="B426" t="e">
        <f>IF(ISBLANK('[1]Точность устьев скважин'!B428),#N/A,'[1]Точность устьев скважин'!B428)</f>
        <v>#N/A</v>
      </c>
      <c r="C426" t="e">
        <f>IF(ISBLANK('[1]Точность устьев скважин'!C428),#N/A,'[1]Точность устьев скважин'!C428)</f>
        <v>#N/A</v>
      </c>
      <c r="D426" t="e">
        <f>IF(ISBLANK('[1]Точность устьев скважин'!D428),#N/A,'[1]Точность устьев скважин'!D428)</f>
        <v>#N/A</v>
      </c>
      <c r="G426" t="e">
        <f>IF(ISBLANK('[1]Точность устьев скважин'!H428),#N/A,'[1]Точность устьев скважин'!H428)</f>
        <v>#N/A</v>
      </c>
      <c r="H426" t="e">
        <f>IF(ISBLANK('[1]Точность устьев скважин'!I428),#N/A,'[1]Точность устьев скважин'!I428)</f>
        <v>#N/A</v>
      </c>
      <c r="I426" t="e">
        <f>IF(ISBLANK('[1]Точность устьев скважин'!J428),#N/A,'[1]Точность устьев скважин'!J428)</f>
        <v>#N/A</v>
      </c>
      <c r="J426" t="e">
        <f>IF(ISBLANK('[1]Точность устьев скважин'!K428),#N/A,'[1]Точность устьев скважин'!K428)</f>
        <v>#N/A</v>
      </c>
      <c r="L426" s="63" t="e">
        <f t="shared" si="49"/>
        <v>#N/A</v>
      </c>
      <c r="O426" t="e">
        <f t="shared" si="50"/>
        <v>#N/A</v>
      </c>
      <c r="P426" t="e">
        <f t="shared" si="50"/>
        <v>#N/A</v>
      </c>
      <c r="Q426" t="e">
        <f t="shared" si="51"/>
        <v>#N/A</v>
      </c>
      <c r="R426" t="e">
        <f t="shared" si="51"/>
        <v>#N/A</v>
      </c>
      <c r="S426" t="e">
        <f t="shared" si="52"/>
        <v>#N/A</v>
      </c>
      <c r="T426" t="e">
        <f t="shared" si="52"/>
        <v>#N/A</v>
      </c>
      <c r="U426" t="e">
        <f t="shared" si="53"/>
        <v>#N/A</v>
      </c>
      <c r="V426" t="e">
        <f t="shared" si="53"/>
        <v>#N/A</v>
      </c>
      <c r="W426" t="e">
        <f t="shared" si="54"/>
        <v>#N/A</v>
      </c>
      <c r="X426" t="e">
        <f t="shared" si="54"/>
        <v>#N/A</v>
      </c>
      <c r="Y426" t="e">
        <f t="shared" si="48"/>
        <v>#N/A</v>
      </c>
      <c r="Z426" t="e">
        <f t="shared" si="48"/>
        <v>#N/A</v>
      </c>
    </row>
    <row r="427" spans="1:26">
      <c r="A427" t="e">
        <f>IF(ISBLANK('[1]Точность устьев скважин'!A429),#N/A,'[1]Точность устьев скважин'!A429)</f>
        <v>#N/A</v>
      </c>
      <c r="B427" t="e">
        <f>IF(ISBLANK('[1]Точность устьев скважин'!B429),#N/A,'[1]Точность устьев скважин'!B429)</f>
        <v>#N/A</v>
      </c>
      <c r="C427" t="e">
        <f>IF(ISBLANK('[1]Точность устьев скважин'!C429),#N/A,'[1]Точность устьев скважин'!C429)</f>
        <v>#N/A</v>
      </c>
      <c r="D427" t="e">
        <f>IF(ISBLANK('[1]Точность устьев скважин'!D429),#N/A,'[1]Точность устьев скважин'!D429)</f>
        <v>#N/A</v>
      </c>
      <c r="G427" t="e">
        <f>IF(ISBLANK('[1]Точность устьев скважин'!H429),#N/A,'[1]Точность устьев скважин'!H429)</f>
        <v>#N/A</v>
      </c>
      <c r="H427" t="e">
        <f>IF(ISBLANK('[1]Точность устьев скважин'!I429),#N/A,'[1]Точность устьев скважин'!I429)</f>
        <v>#N/A</v>
      </c>
      <c r="I427" t="e">
        <f>IF(ISBLANK('[1]Точность устьев скважин'!J429),#N/A,'[1]Точность устьев скважин'!J429)</f>
        <v>#N/A</v>
      </c>
      <c r="J427" t="e">
        <f>IF(ISBLANK('[1]Точность устьев скважин'!K429),#N/A,'[1]Точность устьев скважин'!K429)</f>
        <v>#N/A</v>
      </c>
      <c r="L427" s="63" t="e">
        <f t="shared" si="49"/>
        <v>#N/A</v>
      </c>
      <c r="O427" t="e">
        <f t="shared" si="50"/>
        <v>#N/A</v>
      </c>
      <c r="P427" t="e">
        <f t="shared" si="50"/>
        <v>#N/A</v>
      </c>
      <c r="Q427" t="e">
        <f t="shared" si="51"/>
        <v>#N/A</v>
      </c>
      <c r="R427" t="e">
        <f t="shared" si="51"/>
        <v>#N/A</v>
      </c>
      <c r="S427" t="e">
        <f t="shared" si="52"/>
        <v>#N/A</v>
      </c>
      <c r="T427" t="e">
        <f t="shared" si="52"/>
        <v>#N/A</v>
      </c>
      <c r="U427" t="e">
        <f t="shared" si="53"/>
        <v>#N/A</v>
      </c>
      <c r="V427" t="e">
        <f t="shared" si="53"/>
        <v>#N/A</v>
      </c>
      <c r="W427" t="e">
        <f t="shared" si="54"/>
        <v>#N/A</v>
      </c>
      <c r="X427" t="e">
        <f t="shared" si="54"/>
        <v>#N/A</v>
      </c>
      <c r="Y427" t="e">
        <f t="shared" si="48"/>
        <v>#N/A</v>
      </c>
      <c r="Z427" t="e">
        <f t="shared" si="48"/>
        <v>#N/A</v>
      </c>
    </row>
    <row r="428" spans="1:26">
      <c r="A428" t="e">
        <f>IF(ISBLANK('[1]Точность устьев скважин'!A430),#N/A,'[1]Точность устьев скважин'!A430)</f>
        <v>#N/A</v>
      </c>
      <c r="B428" t="e">
        <f>IF(ISBLANK('[1]Точность устьев скважин'!B430),#N/A,'[1]Точность устьев скважин'!B430)</f>
        <v>#N/A</v>
      </c>
      <c r="C428" t="e">
        <f>IF(ISBLANK('[1]Точность устьев скважин'!C430),#N/A,'[1]Точность устьев скважин'!C430)</f>
        <v>#N/A</v>
      </c>
      <c r="D428" t="e">
        <f>IF(ISBLANK('[1]Точность устьев скважин'!D430),#N/A,'[1]Точность устьев скважин'!D430)</f>
        <v>#N/A</v>
      </c>
      <c r="G428" t="e">
        <f>IF(ISBLANK('[1]Точность устьев скважин'!H430),#N/A,'[1]Точность устьев скважин'!H430)</f>
        <v>#N/A</v>
      </c>
      <c r="H428" t="e">
        <f>IF(ISBLANK('[1]Точность устьев скважин'!I430),#N/A,'[1]Точность устьев скважин'!I430)</f>
        <v>#N/A</v>
      </c>
      <c r="I428" t="e">
        <f>IF(ISBLANK('[1]Точность устьев скважин'!J430),#N/A,'[1]Точность устьев скважин'!J430)</f>
        <v>#N/A</v>
      </c>
      <c r="J428" t="e">
        <f>IF(ISBLANK('[1]Точность устьев скважин'!K430),#N/A,'[1]Точность устьев скважин'!K430)</f>
        <v>#N/A</v>
      </c>
      <c r="L428" s="63" t="e">
        <f t="shared" si="49"/>
        <v>#N/A</v>
      </c>
      <c r="O428" t="e">
        <f t="shared" si="50"/>
        <v>#N/A</v>
      </c>
      <c r="P428" t="e">
        <f t="shared" si="50"/>
        <v>#N/A</v>
      </c>
      <c r="Q428" t="e">
        <f t="shared" si="51"/>
        <v>#N/A</v>
      </c>
      <c r="R428" t="e">
        <f t="shared" si="51"/>
        <v>#N/A</v>
      </c>
      <c r="S428" t="e">
        <f t="shared" si="52"/>
        <v>#N/A</v>
      </c>
      <c r="T428" t="e">
        <f t="shared" si="52"/>
        <v>#N/A</v>
      </c>
      <c r="U428" t="e">
        <f t="shared" si="53"/>
        <v>#N/A</v>
      </c>
      <c r="V428" t="e">
        <f t="shared" si="53"/>
        <v>#N/A</v>
      </c>
      <c r="W428" t="e">
        <f t="shared" si="54"/>
        <v>#N/A</v>
      </c>
      <c r="X428" t="e">
        <f t="shared" si="54"/>
        <v>#N/A</v>
      </c>
      <c r="Y428" t="e">
        <f t="shared" si="48"/>
        <v>#N/A</v>
      </c>
      <c r="Z428" t="e">
        <f t="shared" si="48"/>
        <v>#N/A</v>
      </c>
    </row>
    <row r="429" spans="1:26">
      <c r="A429" t="e">
        <f>IF(ISBLANK('[1]Точность устьев скважин'!A431),#N/A,'[1]Точность устьев скважин'!A431)</f>
        <v>#N/A</v>
      </c>
      <c r="B429" t="e">
        <f>IF(ISBLANK('[1]Точность устьев скважин'!B431),#N/A,'[1]Точность устьев скважин'!B431)</f>
        <v>#N/A</v>
      </c>
      <c r="C429" t="e">
        <f>IF(ISBLANK('[1]Точность устьев скважин'!C431),#N/A,'[1]Точность устьев скважин'!C431)</f>
        <v>#N/A</v>
      </c>
      <c r="D429" t="e">
        <f>IF(ISBLANK('[1]Точность устьев скважин'!D431),#N/A,'[1]Точность устьев скважин'!D431)</f>
        <v>#N/A</v>
      </c>
      <c r="G429" t="e">
        <f>IF(ISBLANK('[1]Точность устьев скважин'!H431),#N/A,'[1]Точность устьев скважин'!H431)</f>
        <v>#N/A</v>
      </c>
      <c r="H429" t="e">
        <f>IF(ISBLANK('[1]Точность устьев скважин'!I431),#N/A,'[1]Точность устьев скважин'!I431)</f>
        <v>#N/A</v>
      </c>
      <c r="I429" t="e">
        <f>IF(ISBLANK('[1]Точность устьев скважин'!J431),#N/A,'[1]Точность устьев скважин'!J431)</f>
        <v>#N/A</v>
      </c>
      <c r="J429" t="e">
        <f>IF(ISBLANK('[1]Точность устьев скважин'!K431),#N/A,'[1]Точность устьев скважин'!K431)</f>
        <v>#N/A</v>
      </c>
      <c r="L429" s="63" t="e">
        <f t="shared" si="49"/>
        <v>#N/A</v>
      </c>
      <c r="O429" t="e">
        <f t="shared" si="50"/>
        <v>#N/A</v>
      </c>
      <c r="P429" t="e">
        <f t="shared" si="50"/>
        <v>#N/A</v>
      </c>
      <c r="Q429" t="e">
        <f t="shared" si="51"/>
        <v>#N/A</v>
      </c>
      <c r="R429" t="e">
        <f t="shared" si="51"/>
        <v>#N/A</v>
      </c>
      <c r="S429" t="e">
        <f t="shared" si="52"/>
        <v>#N/A</v>
      </c>
      <c r="T429" t="e">
        <f t="shared" si="52"/>
        <v>#N/A</v>
      </c>
      <c r="U429" t="e">
        <f t="shared" si="53"/>
        <v>#N/A</v>
      </c>
      <c r="V429" t="e">
        <f t="shared" si="53"/>
        <v>#N/A</v>
      </c>
      <c r="W429" t="e">
        <f t="shared" si="54"/>
        <v>#N/A</v>
      </c>
      <c r="X429" t="e">
        <f t="shared" si="54"/>
        <v>#N/A</v>
      </c>
      <c r="Y429" t="e">
        <f t="shared" si="48"/>
        <v>#N/A</v>
      </c>
      <c r="Z429" t="e">
        <f t="shared" si="48"/>
        <v>#N/A</v>
      </c>
    </row>
    <row r="430" spans="1:26">
      <c r="A430" t="e">
        <f>IF(ISBLANK('[1]Точность устьев скважин'!A432),#N/A,'[1]Точность устьев скважин'!A432)</f>
        <v>#N/A</v>
      </c>
      <c r="B430" t="e">
        <f>IF(ISBLANK('[1]Точность устьев скважин'!B432),#N/A,'[1]Точность устьев скважин'!B432)</f>
        <v>#N/A</v>
      </c>
      <c r="C430" t="e">
        <f>IF(ISBLANK('[1]Точность устьев скважин'!C432),#N/A,'[1]Точность устьев скважин'!C432)</f>
        <v>#N/A</v>
      </c>
      <c r="D430" t="e">
        <f>IF(ISBLANK('[1]Точность устьев скважин'!D432),#N/A,'[1]Точность устьев скважин'!D432)</f>
        <v>#N/A</v>
      </c>
      <c r="G430" t="e">
        <f>IF(ISBLANK('[1]Точность устьев скважин'!H432),#N/A,'[1]Точность устьев скважин'!H432)</f>
        <v>#N/A</v>
      </c>
      <c r="H430" t="e">
        <f>IF(ISBLANK('[1]Точность устьев скважин'!I432),#N/A,'[1]Точность устьев скважин'!I432)</f>
        <v>#N/A</v>
      </c>
      <c r="I430" t="e">
        <f>IF(ISBLANK('[1]Точность устьев скважин'!J432),#N/A,'[1]Точность устьев скважин'!J432)</f>
        <v>#N/A</v>
      </c>
      <c r="J430" t="e">
        <f>IF(ISBLANK('[1]Точность устьев скважин'!K432),#N/A,'[1]Точность устьев скважин'!K432)</f>
        <v>#N/A</v>
      </c>
      <c r="L430" s="63" t="e">
        <f t="shared" si="49"/>
        <v>#N/A</v>
      </c>
      <c r="O430" t="e">
        <f t="shared" si="50"/>
        <v>#N/A</v>
      </c>
      <c r="P430" t="e">
        <f t="shared" si="50"/>
        <v>#N/A</v>
      </c>
      <c r="Q430" t="e">
        <f t="shared" si="51"/>
        <v>#N/A</v>
      </c>
      <c r="R430" t="e">
        <f t="shared" si="51"/>
        <v>#N/A</v>
      </c>
      <c r="S430" t="e">
        <f t="shared" si="52"/>
        <v>#N/A</v>
      </c>
      <c r="T430" t="e">
        <f t="shared" si="52"/>
        <v>#N/A</v>
      </c>
      <c r="U430" t="e">
        <f t="shared" si="53"/>
        <v>#N/A</v>
      </c>
      <c r="V430" t="e">
        <f t="shared" si="53"/>
        <v>#N/A</v>
      </c>
      <c r="W430" t="e">
        <f t="shared" si="54"/>
        <v>#N/A</v>
      </c>
      <c r="X430" t="e">
        <f t="shared" si="54"/>
        <v>#N/A</v>
      </c>
      <c r="Y430" t="e">
        <f t="shared" si="48"/>
        <v>#N/A</v>
      </c>
      <c r="Z430" t="e">
        <f t="shared" si="48"/>
        <v>#N/A</v>
      </c>
    </row>
    <row r="431" spans="1:26">
      <c r="A431" t="e">
        <f>IF(ISBLANK('[1]Точность устьев скважин'!A433),#N/A,'[1]Точность устьев скважин'!A433)</f>
        <v>#N/A</v>
      </c>
      <c r="B431" t="e">
        <f>IF(ISBLANK('[1]Точность устьев скважин'!B433),#N/A,'[1]Точность устьев скважин'!B433)</f>
        <v>#N/A</v>
      </c>
      <c r="C431" t="e">
        <f>IF(ISBLANK('[1]Точность устьев скважин'!C433),#N/A,'[1]Точность устьев скважин'!C433)</f>
        <v>#N/A</v>
      </c>
      <c r="D431" t="e">
        <f>IF(ISBLANK('[1]Точность устьев скважин'!D433),#N/A,'[1]Точность устьев скважин'!D433)</f>
        <v>#N/A</v>
      </c>
      <c r="G431" t="e">
        <f>IF(ISBLANK('[1]Точность устьев скважин'!H433),#N/A,'[1]Точность устьев скважин'!H433)</f>
        <v>#N/A</v>
      </c>
      <c r="H431" t="e">
        <f>IF(ISBLANK('[1]Точность устьев скважин'!I433),#N/A,'[1]Точность устьев скважин'!I433)</f>
        <v>#N/A</v>
      </c>
      <c r="I431" t="e">
        <f>IF(ISBLANK('[1]Точность устьев скважин'!J433),#N/A,'[1]Точность устьев скважин'!J433)</f>
        <v>#N/A</v>
      </c>
      <c r="J431" t="e">
        <f>IF(ISBLANK('[1]Точность устьев скважин'!K433),#N/A,'[1]Точность устьев скважин'!K433)</f>
        <v>#N/A</v>
      </c>
      <c r="L431" s="63" t="e">
        <f t="shared" si="49"/>
        <v>#N/A</v>
      </c>
      <c r="O431" t="e">
        <f t="shared" si="50"/>
        <v>#N/A</v>
      </c>
      <c r="P431" t="e">
        <f t="shared" si="50"/>
        <v>#N/A</v>
      </c>
      <c r="Q431" t="e">
        <f t="shared" si="51"/>
        <v>#N/A</v>
      </c>
      <c r="R431" t="e">
        <f t="shared" si="51"/>
        <v>#N/A</v>
      </c>
      <c r="S431" t="e">
        <f t="shared" si="52"/>
        <v>#N/A</v>
      </c>
      <c r="T431" t="e">
        <f t="shared" si="52"/>
        <v>#N/A</v>
      </c>
      <c r="U431" t="e">
        <f t="shared" si="53"/>
        <v>#N/A</v>
      </c>
      <c r="V431" t="e">
        <f t="shared" si="53"/>
        <v>#N/A</v>
      </c>
      <c r="W431" t="e">
        <f t="shared" si="54"/>
        <v>#N/A</v>
      </c>
      <c r="X431" t="e">
        <f t="shared" si="54"/>
        <v>#N/A</v>
      </c>
      <c r="Y431" t="e">
        <f t="shared" si="48"/>
        <v>#N/A</v>
      </c>
      <c r="Z431" t="e">
        <f t="shared" si="48"/>
        <v>#N/A</v>
      </c>
    </row>
    <row r="432" spans="1:26">
      <c r="A432" t="e">
        <f>IF(ISBLANK('[1]Точность устьев скважин'!A434),#N/A,'[1]Точность устьев скважин'!A434)</f>
        <v>#N/A</v>
      </c>
      <c r="B432" t="e">
        <f>IF(ISBLANK('[1]Точность устьев скважин'!B434),#N/A,'[1]Точность устьев скважин'!B434)</f>
        <v>#N/A</v>
      </c>
      <c r="C432" t="e">
        <f>IF(ISBLANK('[1]Точность устьев скважин'!C434),#N/A,'[1]Точность устьев скважин'!C434)</f>
        <v>#N/A</v>
      </c>
      <c r="D432" t="e">
        <f>IF(ISBLANK('[1]Точность устьев скважин'!D434),#N/A,'[1]Точность устьев скважин'!D434)</f>
        <v>#N/A</v>
      </c>
      <c r="G432" t="e">
        <f>IF(ISBLANK('[1]Точность устьев скважин'!H434),#N/A,'[1]Точность устьев скважин'!H434)</f>
        <v>#N/A</v>
      </c>
      <c r="H432" t="e">
        <f>IF(ISBLANK('[1]Точность устьев скважин'!I434),#N/A,'[1]Точность устьев скважин'!I434)</f>
        <v>#N/A</v>
      </c>
      <c r="I432" t="e">
        <f>IF(ISBLANK('[1]Точность устьев скважин'!J434),#N/A,'[1]Точность устьев скважин'!J434)</f>
        <v>#N/A</v>
      </c>
      <c r="J432" t="e">
        <f>IF(ISBLANK('[1]Точность устьев скважин'!K434),#N/A,'[1]Точность устьев скважин'!K434)</f>
        <v>#N/A</v>
      </c>
      <c r="L432" s="63" t="e">
        <f t="shared" si="49"/>
        <v>#N/A</v>
      </c>
      <c r="O432" t="e">
        <f t="shared" si="50"/>
        <v>#N/A</v>
      </c>
      <c r="P432" t="e">
        <f t="shared" si="50"/>
        <v>#N/A</v>
      </c>
      <c r="Q432" t="e">
        <f t="shared" si="51"/>
        <v>#N/A</v>
      </c>
      <c r="R432" t="e">
        <f t="shared" si="51"/>
        <v>#N/A</v>
      </c>
      <c r="S432" t="e">
        <f t="shared" si="52"/>
        <v>#N/A</v>
      </c>
      <c r="T432" t="e">
        <f t="shared" si="52"/>
        <v>#N/A</v>
      </c>
      <c r="U432" t="e">
        <f t="shared" si="53"/>
        <v>#N/A</v>
      </c>
      <c r="V432" t="e">
        <f t="shared" si="53"/>
        <v>#N/A</v>
      </c>
      <c r="W432" t="e">
        <f t="shared" si="54"/>
        <v>#N/A</v>
      </c>
      <c r="X432" t="e">
        <f t="shared" si="54"/>
        <v>#N/A</v>
      </c>
      <c r="Y432" t="e">
        <f t="shared" si="48"/>
        <v>#N/A</v>
      </c>
      <c r="Z432" t="e">
        <f t="shared" si="48"/>
        <v>#N/A</v>
      </c>
    </row>
    <row r="433" spans="1:26">
      <c r="A433" t="e">
        <f>IF(ISBLANK('[1]Точность устьев скважин'!A435),#N/A,'[1]Точность устьев скважин'!A435)</f>
        <v>#N/A</v>
      </c>
      <c r="B433" t="e">
        <f>IF(ISBLANK('[1]Точность устьев скважин'!B435),#N/A,'[1]Точность устьев скважин'!B435)</f>
        <v>#N/A</v>
      </c>
      <c r="C433" t="e">
        <f>IF(ISBLANK('[1]Точность устьев скважин'!C435),#N/A,'[1]Точность устьев скважин'!C435)</f>
        <v>#N/A</v>
      </c>
      <c r="D433" t="e">
        <f>IF(ISBLANK('[1]Точность устьев скважин'!D435),#N/A,'[1]Точность устьев скважин'!D435)</f>
        <v>#N/A</v>
      </c>
      <c r="G433" t="e">
        <f>IF(ISBLANK('[1]Точность устьев скважин'!H435),#N/A,'[1]Точность устьев скважин'!H435)</f>
        <v>#N/A</v>
      </c>
      <c r="H433" t="e">
        <f>IF(ISBLANK('[1]Точность устьев скважин'!I435),#N/A,'[1]Точность устьев скважин'!I435)</f>
        <v>#N/A</v>
      </c>
      <c r="I433" t="e">
        <f>IF(ISBLANK('[1]Точность устьев скважин'!J435),#N/A,'[1]Точность устьев скважин'!J435)</f>
        <v>#N/A</v>
      </c>
      <c r="J433" t="e">
        <f>IF(ISBLANK('[1]Точность устьев скважин'!K435),#N/A,'[1]Точность устьев скважин'!K435)</f>
        <v>#N/A</v>
      </c>
      <c r="L433" s="63" t="e">
        <f t="shared" si="49"/>
        <v>#N/A</v>
      </c>
      <c r="O433" t="e">
        <f t="shared" si="50"/>
        <v>#N/A</v>
      </c>
      <c r="P433" t="e">
        <f t="shared" si="50"/>
        <v>#N/A</v>
      </c>
      <c r="Q433" t="e">
        <f t="shared" si="51"/>
        <v>#N/A</v>
      </c>
      <c r="R433" t="e">
        <f t="shared" si="51"/>
        <v>#N/A</v>
      </c>
      <c r="S433" t="e">
        <f t="shared" si="52"/>
        <v>#N/A</v>
      </c>
      <c r="T433" t="e">
        <f t="shared" si="52"/>
        <v>#N/A</v>
      </c>
      <c r="U433" t="e">
        <f t="shared" si="53"/>
        <v>#N/A</v>
      </c>
      <c r="V433" t="e">
        <f t="shared" si="53"/>
        <v>#N/A</v>
      </c>
      <c r="W433" t="e">
        <f t="shared" si="54"/>
        <v>#N/A</v>
      </c>
      <c r="X433" t="e">
        <f t="shared" si="54"/>
        <v>#N/A</v>
      </c>
      <c r="Y433" t="e">
        <f t="shared" si="48"/>
        <v>#N/A</v>
      </c>
      <c r="Z433" t="e">
        <f t="shared" si="48"/>
        <v>#N/A</v>
      </c>
    </row>
    <row r="434" spans="1:26">
      <c r="A434" t="e">
        <f>IF(ISBLANK('[1]Точность устьев скважин'!A436),#N/A,'[1]Точность устьев скважин'!A436)</f>
        <v>#N/A</v>
      </c>
      <c r="B434" t="e">
        <f>IF(ISBLANK('[1]Точность устьев скважин'!B436),#N/A,'[1]Точность устьев скважин'!B436)</f>
        <v>#N/A</v>
      </c>
      <c r="C434" t="e">
        <f>IF(ISBLANK('[1]Точность устьев скважин'!C436),#N/A,'[1]Точность устьев скважин'!C436)</f>
        <v>#N/A</v>
      </c>
      <c r="D434" t="e">
        <f>IF(ISBLANK('[1]Точность устьев скважин'!D436),#N/A,'[1]Точность устьев скважин'!D436)</f>
        <v>#N/A</v>
      </c>
      <c r="G434" t="e">
        <f>IF(ISBLANK('[1]Точность устьев скважин'!H436),#N/A,'[1]Точность устьев скважин'!H436)</f>
        <v>#N/A</v>
      </c>
      <c r="H434" t="e">
        <f>IF(ISBLANK('[1]Точность устьев скважин'!I436),#N/A,'[1]Точность устьев скважин'!I436)</f>
        <v>#N/A</v>
      </c>
      <c r="I434" t="e">
        <f>IF(ISBLANK('[1]Точность устьев скважин'!J436),#N/A,'[1]Точность устьев скважин'!J436)</f>
        <v>#N/A</v>
      </c>
      <c r="J434" t="e">
        <f>IF(ISBLANK('[1]Точность устьев скважин'!K436),#N/A,'[1]Точность устьев скважин'!K436)</f>
        <v>#N/A</v>
      </c>
      <c r="L434" s="63" t="e">
        <f t="shared" si="49"/>
        <v>#N/A</v>
      </c>
      <c r="O434" t="e">
        <f t="shared" si="50"/>
        <v>#N/A</v>
      </c>
      <c r="P434" t="e">
        <f t="shared" si="50"/>
        <v>#N/A</v>
      </c>
      <c r="Q434" t="e">
        <f t="shared" si="51"/>
        <v>#N/A</v>
      </c>
      <c r="R434" t="e">
        <f t="shared" si="51"/>
        <v>#N/A</v>
      </c>
      <c r="S434" t="e">
        <f t="shared" si="52"/>
        <v>#N/A</v>
      </c>
      <c r="T434" t="e">
        <f t="shared" si="52"/>
        <v>#N/A</v>
      </c>
      <c r="U434" t="e">
        <f t="shared" si="53"/>
        <v>#N/A</v>
      </c>
      <c r="V434" t="e">
        <f t="shared" si="53"/>
        <v>#N/A</v>
      </c>
      <c r="W434" t="e">
        <f t="shared" si="54"/>
        <v>#N/A</v>
      </c>
      <c r="X434" t="e">
        <f t="shared" si="54"/>
        <v>#N/A</v>
      </c>
      <c r="Y434" t="e">
        <f t="shared" si="48"/>
        <v>#N/A</v>
      </c>
      <c r="Z434" t="e">
        <f t="shared" si="48"/>
        <v>#N/A</v>
      </c>
    </row>
    <row r="435" spans="1:26">
      <c r="A435" t="e">
        <f>IF(ISBLANK('[1]Точность устьев скважин'!A437),#N/A,'[1]Точность устьев скважин'!A437)</f>
        <v>#N/A</v>
      </c>
      <c r="B435" t="e">
        <f>IF(ISBLANK('[1]Точность устьев скважин'!B437),#N/A,'[1]Точность устьев скважин'!B437)</f>
        <v>#N/A</v>
      </c>
      <c r="C435" t="e">
        <f>IF(ISBLANK('[1]Точность устьев скважин'!C437),#N/A,'[1]Точность устьев скважин'!C437)</f>
        <v>#N/A</v>
      </c>
      <c r="D435" t="e">
        <f>IF(ISBLANK('[1]Точность устьев скважин'!D437),#N/A,'[1]Точность устьев скважин'!D437)</f>
        <v>#N/A</v>
      </c>
      <c r="G435" t="e">
        <f>IF(ISBLANK('[1]Точность устьев скважин'!H437),#N/A,'[1]Точность устьев скважин'!H437)</f>
        <v>#N/A</v>
      </c>
      <c r="H435" t="e">
        <f>IF(ISBLANK('[1]Точность устьев скважин'!I437),#N/A,'[1]Точность устьев скважин'!I437)</f>
        <v>#N/A</v>
      </c>
      <c r="I435" t="e">
        <f>IF(ISBLANK('[1]Точность устьев скважин'!J437),#N/A,'[1]Точность устьев скважин'!J437)</f>
        <v>#N/A</v>
      </c>
      <c r="J435" t="e">
        <f>IF(ISBLANK('[1]Точность устьев скважин'!K437),#N/A,'[1]Точность устьев скважин'!K437)</f>
        <v>#N/A</v>
      </c>
      <c r="L435" s="63" t="e">
        <f t="shared" si="49"/>
        <v>#N/A</v>
      </c>
      <c r="O435" t="e">
        <f t="shared" si="50"/>
        <v>#N/A</v>
      </c>
      <c r="P435" t="e">
        <f t="shared" si="50"/>
        <v>#N/A</v>
      </c>
      <c r="Q435" t="e">
        <f t="shared" si="51"/>
        <v>#N/A</v>
      </c>
      <c r="R435" t="e">
        <f t="shared" si="51"/>
        <v>#N/A</v>
      </c>
      <c r="S435" t="e">
        <f t="shared" si="52"/>
        <v>#N/A</v>
      </c>
      <c r="T435" t="e">
        <f t="shared" si="52"/>
        <v>#N/A</v>
      </c>
      <c r="U435" t="e">
        <f t="shared" si="53"/>
        <v>#N/A</v>
      </c>
      <c r="V435" t="e">
        <f t="shared" si="53"/>
        <v>#N/A</v>
      </c>
      <c r="W435" t="e">
        <f t="shared" si="54"/>
        <v>#N/A</v>
      </c>
      <c r="X435" t="e">
        <f t="shared" si="54"/>
        <v>#N/A</v>
      </c>
      <c r="Y435" t="e">
        <f t="shared" si="48"/>
        <v>#N/A</v>
      </c>
      <c r="Z435" t="e">
        <f t="shared" si="48"/>
        <v>#N/A</v>
      </c>
    </row>
    <row r="436" spans="1:26">
      <c r="A436" t="e">
        <f>IF(ISBLANK('[1]Точность устьев скважин'!A438),#N/A,'[1]Точность устьев скважин'!A438)</f>
        <v>#N/A</v>
      </c>
      <c r="B436" t="e">
        <f>IF(ISBLANK('[1]Точность устьев скважин'!B438),#N/A,'[1]Точность устьев скважин'!B438)</f>
        <v>#N/A</v>
      </c>
      <c r="C436" t="e">
        <f>IF(ISBLANK('[1]Точность устьев скважин'!C438),#N/A,'[1]Точность устьев скважин'!C438)</f>
        <v>#N/A</v>
      </c>
      <c r="D436" t="e">
        <f>IF(ISBLANK('[1]Точность устьев скважин'!D438),#N/A,'[1]Точность устьев скважин'!D438)</f>
        <v>#N/A</v>
      </c>
      <c r="G436" t="e">
        <f>IF(ISBLANK('[1]Точность устьев скважин'!H438),#N/A,'[1]Точность устьев скважин'!H438)</f>
        <v>#N/A</v>
      </c>
      <c r="H436" t="e">
        <f>IF(ISBLANK('[1]Точность устьев скважин'!I438),#N/A,'[1]Точность устьев скважин'!I438)</f>
        <v>#N/A</v>
      </c>
      <c r="I436" t="e">
        <f>IF(ISBLANK('[1]Точность устьев скважин'!J438),#N/A,'[1]Точность устьев скважин'!J438)</f>
        <v>#N/A</v>
      </c>
      <c r="J436" t="e">
        <f>IF(ISBLANK('[1]Точность устьев скважин'!K438),#N/A,'[1]Точность устьев скважин'!K438)</f>
        <v>#N/A</v>
      </c>
      <c r="L436" s="63" t="e">
        <f t="shared" si="49"/>
        <v>#N/A</v>
      </c>
      <c r="O436" t="e">
        <f t="shared" si="50"/>
        <v>#N/A</v>
      </c>
      <c r="P436" t="e">
        <f t="shared" si="50"/>
        <v>#N/A</v>
      </c>
      <c r="Q436" t="e">
        <f t="shared" si="51"/>
        <v>#N/A</v>
      </c>
      <c r="R436" t="e">
        <f t="shared" si="51"/>
        <v>#N/A</v>
      </c>
      <c r="S436" t="e">
        <f t="shared" si="52"/>
        <v>#N/A</v>
      </c>
      <c r="T436" t="e">
        <f t="shared" si="52"/>
        <v>#N/A</v>
      </c>
      <c r="U436" t="e">
        <f t="shared" si="53"/>
        <v>#N/A</v>
      </c>
      <c r="V436" t="e">
        <f t="shared" si="53"/>
        <v>#N/A</v>
      </c>
      <c r="W436" t="e">
        <f t="shared" si="54"/>
        <v>#N/A</v>
      </c>
      <c r="X436" t="e">
        <f t="shared" si="54"/>
        <v>#N/A</v>
      </c>
      <c r="Y436" t="e">
        <f t="shared" si="48"/>
        <v>#N/A</v>
      </c>
      <c r="Z436" t="e">
        <f t="shared" si="48"/>
        <v>#N/A</v>
      </c>
    </row>
    <row r="437" spans="1:26">
      <c r="A437" t="e">
        <f>IF(ISBLANK('[1]Точность устьев скважин'!A439),#N/A,'[1]Точность устьев скважин'!A439)</f>
        <v>#N/A</v>
      </c>
      <c r="B437" t="e">
        <f>IF(ISBLANK('[1]Точность устьев скважин'!B439),#N/A,'[1]Точность устьев скважин'!B439)</f>
        <v>#N/A</v>
      </c>
      <c r="C437" t="e">
        <f>IF(ISBLANK('[1]Точность устьев скважин'!C439),#N/A,'[1]Точность устьев скважин'!C439)</f>
        <v>#N/A</v>
      </c>
      <c r="D437" t="e">
        <f>IF(ISBLANK('[1]Точность устьев скважин'!D439),#N/A,'[1]Точность устьев скважин'!D439)</f>
        <v>#N/A</v>
      </c>
      <c r="G437" t="e">
        <f>IF(ISBLANK('[1]Точность устьев скважин'!H439),#N/A,'[1]Точность устьев скважин'!H439)</f>
        <v>#N/A</v>
      </c>
      <c r="H437" t="e">
        <f>IF(ISBLANK('[1]Точность устьев скважин'!I439),#N/A,'[1]Точность устьев скважин'!I439)</f>
        <v>#N/A</v>
      </c>
      <c r="I437" t="e">
        <f>IF(ISBLANK('[1]Точность устьев скважин'!J439),#N/A,'[1]Точность устьев скважин'!J439)</f>
        <v>#N/A</v>
      </c>
      <c r="J437" t="e">
        <f>IF(ISBLANK('[1]Точность устьев скважин'!K439),#N/A,'[1]Точность устьев скважин'!K439)</f>
        <v>#N/A</v>
      </c>
      <c r="L437" s="63" t="e">
        <f t="shared" si="49"/>
        <v>#N/A</v>
      </c>
      <c r="O437" t="e">
        <f t="shared" si="50"/>
        <v>#N/A</v>
      </c>
      <c r="P437" t="e">
        <f t="shared" si="50"/>
        <v>#N/A</v>
      </c>
      <c r="Q437" t="e">
        <f t="shared" si="51"/>
        <v>#N/A</v>
      </c>
      <c r="R437" t="e">
        <f t="shared" si="51"/>
        <v>#N/A</v>
      </c>
      <c r="S437" t="e">
        <f t="shared" si="52"/>
        <v>#N/A</v>
      </c>
      <c r="T437" t="e">
        <f t="shared" si="52"/>
        <v>#N/A</v>
      </c>
      <c r="U437" t="e">
        <f t="shared" si="53"/>
        <v>#N/A</v>
      </c>
      <c r="V437" t="e">
        <f t="shared" si="53"/>
        <v>#N/A</v>
      </c>
      <c r="W437" t="e">
        <f t="shared" si="54"/>
        <v>#N/A</v>
      </c>
      <c r="X437" t="e">
        <f t="shared" si="54"/>
        <v>#N/A</v>
      </c>
      <c r="Y437" t="e">
        <f t="shared" si="48"/>
        <v>#N/A</v>
      </c>
      <c r="Z437" t="e">
        <f t="shared" si="48"/>
        <v>#N/A</v>
      </c>
    </row>
    <row r="438" spans="1:26">
      <c r="A438" t="e">
        <f>IF(ISBLANK('[1]Точность устьев скважин'!A440),#N/A,'[1]Точность устьев скважин'!A440)</f>
        <v>#N/A</v>
      </c>
      <c r="B438" t="e">
        <f>IF(ISBLANK('[1]Точность устьев скважин'!B440),#N/A,'[1]Точность устьев скважин'!B440)</f>
        <v>#N/A</v>
      </c>
      <c r="C438" t="e">
        <f>IF(ISBLANK('[1]Точность устьев скважин'!C440),#N/A,'[1]Точность устьев скважин'!C440)</f>
        <v>#N/A</v>
      </c>
      <c r="D438" t="e">
        <f>IF(ISBLANK('[1]Точность устьев скважин'!D440),#N/A,'[1]Точность устьев скважин'!D440)</f>
        <v>#N/A</v>
      </c>
      <c r="G438" t="e">
        <f>IF(ISBLANK('[1]Точность устьев скважин'!H440),#N/A,'[1]Точность устьев скважин'!H440)</f>
        <v>#N/A</v>
      </c>
      <c r="H438" t="e">
        <f>IF(ISBLANK('[1]Точность устьев скважин'!I440),#N/A,'[1]Точность устьев скважин'!I440)</f>
        <v>#N/A</v>
      </c>
      <c r="I438" t="e">
        <f>IF(ISBLANK('[1]Точность устьев скважин'!J440),#N/A,'[1]Точность устьев скважин'!J440)</f>
        <v>#N/A</v>
      </c>
      <c r="J438" t="e">
        <f>IF(ISBLANK('[1]Точность устьев скважин'!K440),#N/A,'[1]Точность устьев скважин'!K440)</f>
        <v>#N/A</v>
      </c>
      <c r="L438" s="63" t="e">
        <f t="shared" si="49"/>
        <v>#N/A</v>
      </c>
      <c r="O438" t="e">
        <f t="shared" si="50"/>
        <v>#N/A</v>
      </c>
      <c r="P438" t="e">
        <f t="shared" si="50"/>
        <v>#N/A</v>
      </c>
      <c r="Q438" t="e">
        <f t="shared" si="51"/>
        <v>#N/A</v>
      </c>
      <c r="R438" t="e">
        <f t="shared" si="51"/>
        <v>#N/A</v>
      </c>
      <c r="S438" t="e">
        <f t="shared" si="52"/>
        <v>#N/A</v>
      </c>
      <c r="T438" t="e">
        <f t="shared" si="52"/>
        <v>#N/A</v>
      </c>
      <c r="U438" t="e">
        <f t="shared" si="53"/>
        <v>#N/A</v>
      </c>
      <c r="V438" t="e">
        <f t="shared" si="53"/>
        <v>#N/A</v>
      </c>
      <c r="W438" t="e">
        <f t="shared" si="54"/>
        <v>#N/A</v>
      </c>
      <c r="X438" t="e">
        <f t="shared" si="54"/>
        <v>#N/A</v>
      </c>
      <c r="Y438" t="e">
        <f t="shared" ref="Y438:Z501" si="55">IF($L$1=0.5,IF($L438&gt;=0.5,H438,#N/A),"")</f>
        <v>#N/A</v>
      </c>
      <c r="Z438" t="e">
        <f t="shared" si="55"/>
        <v>#N/A</v>
      </c>
    </row>
    <row r="439" spans="1:26">
      <c r="A439" t="e">
        <f>IF(ISBLANK('[1]Точность устьев скважин'!A441),#N/A,'[1]Точность устьев скважин'!A441)</f>
        <v>#N/A</v>
      </c>
      <c r="B439" t="e">
        <f>IF(ISBLANK('[1]Точность устьев скважин'!B441),#N/A,'[1]Точность устьев скважин'!B441)</f>
        <v>#N/A</v>
      </c>
      <c r="C439" t="e">
        <f>IF(ISBLANK('[1]Точность устьев скважин'!C441),#N/A,'[1]Точность устьев скважин'!C441)</f>
        <v>#N/A</v>
      </c>
      <c r="D439" t="e">
        <f>IF(ISBLANK('[1]Точность устьев скважин'!D441),#N/A,'[1]Точность устьев скважин'!D441)</f>
        <v>#N/A</v>
      </c>
      <c r="G439" t="e">
        <f>IF(ISBLANK('[1]Точность устьев скважин'!H441),#N/A,'[1]Точность устьев скважин'!H441)</f>
        <v>#N/A</v>
      </c>
      <c r="H439" t="e">
        <f>IF(ISBLANK('[1]Точность устьев скважин'!I441),#N/A,'[1]Точность устьев скважин'!I441)</f>
        <v>#N/A</v>
      </c>
      <c r="I439" t="e">
        <f>IF(ISBLANK('[1]Точность устьев скважин'!J441),#N/A,'[1]Точность устьев скважин'!J441)</f>
        <v>#N/A</v>
      </c>
      <c r="J439" t="e">
        <f>IF(ISBLANK('[1]Точность устьев скважин'!K441),#N/A,'[1]Точность устьев скважин'!K441)</f>
        <v>#N/A</v>
      </c>
      <c r="L439" s="63" t="e">
        <f t="shared" si="49"/>
        <v>#N/A</v>
      </c>
      <c r="O439" t="e">
        <f t="shared" si="50"/>
        <v>#N/A</v>
      </c>
      <c r="P439" t="e">
        <f t="shared" si="50"/>
        <v>#N/A</v>
      </c>
      <c r="Q439" t="e">
        <f t="shared" si="51"/>
        <v>#N/A</v>
      </c>
      <c r="R439" t="e">
        <f t="shared" si="51"/>
        <v>#N/A</v>
      </c>
      <c r="S439" t="e">
        <f t="shared" si="52"/>
        <v>#N/A</v>
      </c>
      <c r="T439" t="e">
        <f t="shared" si="52"/>
        <v>#N/A</v>
      </c>
      <c r="U439" t="e">
        <f t="shared" si="53"/>
        <v>#N/A</v>
      </c>
      <c r="V439" t="e">
        <f t="shared" si="53"/>
        <v>#N/A</v>
      </c>
      <c r="W439" t="e">
        <f t="shared" si="54"/>
        <v>#N/A</v>
      </c>
      <c r="X439" t="e">
        <f t="shared" si="54"/>
        <v>#N/A</v>
      </c>
      <c r="Y439" t="e">
        <f t="shared" si="55"/>
        <v>#N/A</v>
      </c>
      <c r="Z439" t="e">
        <f t="shared" si="55"/>
        <v>#N/A</v>
      </c>
    </row>
    <row r="440" spans="1:26">
      <c r="A440" t="e">
        <f>IF(ISBLANK('[1]Точность устьев скважин'!A442),#N/A,'[1]Точность устьев скважин'!A442)</f>
        <v>#N/A</v>
      </c>
      <c r="B440" t="e">
        <f>IF(ISBLANK('[1]Точность устьев скважин'!B442),#N/A,'[1]Точность устьев скважин'!B442)</f>
        <v>#N/A</v>
      </c>
      <c r="C440" t="e">
        <f>IF(ISBLANK('[1]Точность устьев скважин'!C442),#N/A,'[1]Точность устьев скважин'!C442)</f>
        <v>#N/A</v>
      </c>
      <c r="D440" t="e">
        <f>IF(ISBLANK('[1]Точность устьев скважин'!D442),#N/A,'[1]Точность устьев скважин'!D442)</f>
        <v>#N/A</v>
      </c>
      <c r="G440" t="e">
        <f>IF(ISBLANK('[1]Точность устьев скважин'!H442),#N/A,'[1]Точность устьев скважин'!H442)</f>
        <v>#N/A</v>
      </c>
      <c r="H440" t="e">
        <f>IF(ISBLANK('[1]Точность устьев скважин'!I442),#N/A,'[1]Точность устьев скважин'!I442)</f>
        <v>#N/A</v>
      </c>
      <c r="I440" t="e">
        <f>IF(ISBLANK('[1]Точность устьев скважин'!J442),#N/A,'[1]Точность устьев скважин'!J442)</f>
        <v>#N/A</v>
      </c>
      <c r="J440" t="e">
        <f>IF(ISBLANK('[1]Точность устьев скважин'!K442),#N/A,'[1]Точность устьев скважин'!K442)</f>
        <v>#N/A</v>
      </c>
      <c r="L440" s="63" t="e">
        <f t="shared" si="49"/>
        <v>#N/A</v>
      </c>
      <c r="O440" t="e">
        <f t="shared" si="50"/>
        <v>#N/A</v>
      </c>
      <c r="P440" t="e">
        <f t="shared" si="50"/>
        <v>#N/A</v>
      </c>
      <c r="Q440" t="e">
        <f t="shared" si="51"/>
        <v>#N/A</v>
      </c>
      <c r="R440" t="e">
        <f t="shared" si="51"/>
        <v>#N/A</v>
      </c>
      <c r="S440" t="e">
        <f t="shared" si="52"/>
        <v>#N/A</v>
      </c>
      <c r="T440" t="e">
        <f t="shared" si="52"/>
        <v>#N/A</v>
      </c>
      <c r="U440" t="e">
        <f t="shared" si="53"/>
        <v>#N/A</v>
      </c>
      <c r="V440" t="e">
        <f t="shared" si="53"/>
        <v>#N/A</v>
      </c>
      <c r="W440" t="e">
        <f t="shared" si="54"/>
        <v>#N/A</v>
      </c>
      <c r="X440" t="e">
        <f t="shared" si="54"/>
        <v>#N/A</v>
      </c>
      <c r="Y440" t="e">
        <f t="shared" si="55"/>
        <v>#N/A</v>
      </c>
      <c r="Z440" t="e">
        <f t="shared" si="55"/>
        <v>#N/A</v>
      </c>
    </row>
    <row r="441" spans="1:26">
      <c r="A441" t="e">
        <f>IF(ISBLANK('[1]Точность устьев скважин'!A443),#N/A,'[1]Точность устьев скважин'!A443)</f>
        <v>#N/A</v>
      </c>
      <c r="B441" t="e">
        <f>IF(ISBLANK('[1]Точность устьев скважин'!B443),#N/A,'[1]Точность устьев скважин'!B443)</f>
        <v>#N/A</v>
      </c>
      <c r="C441" t="e">
        <f>IF(ISBLANK('[1]Точность устьев скважин'!C443),#N/A,'[1]Точность устьев скважин'!C443)</f>
        <v>#N/A</v>
      </c>
      <c r="D441" t="e">
        <f>IF(ISBLANK('[1]Точность устьев скважин'!D443),#N/A,'[1]Точность устьев скважин'!D443)</f>
        <v>#N/A</v>
      </c>
      <c r="G441" t="e">
        <f>IF(ISBLANK('[1]Точность устьев скважин'!H443),#N/A,'[1]Точность устьев скважин'!H443)</f>
        <v>#N/A</v>
      </c>
      <c r="H441" t="e">
        <f>IF(ISBLANK('[1]Точность устьев скважин'!I443),#N/A,'[1]Точность устьев скважин'!I443)</f>
        <v>#N/A</v>
      </c>
      <c r="I441" t="e">
        <f>IF(ISBLANK('[1]Точность устьев скважин'!J443),#N/A,'[1]Точность устьев скважин'!J443)</f>
        <v>#N/A</v>
      </c>
      <c r="J441" t="e">
        <f>IF(ISBLANK('[1]Точность устьев скважин'!K443),#N/A,'[1]Точность устьев скважин'!K443)</f>
        <v>#N/A</v>
      </c>
      <c r="L441" s="63" t="e">
        <f t="shared" si="49"/>
        <v>#N/A</v>
      </c>
      <c r="O441" t="e">
        <f t="shared" si="50"/>
        <v>#N/A</v>
      </c>
      <c r="P441" t="e">
        <f t="shared" si="50"/>
        <v>#N/A</v>
      </c>
      <c r="Q441" t="e">
        <f t="shared" si="51"/>
        <v>#N/A</v>
      </c>
      <c r="R441" t="e">
        <f t="shared" si="51"/>
        <v>#N/A</v>
      </c>
      <c r="S441" t="e">
        <f t="shared" si="52"/>
        <v>#N/A</v>
      </c>
      <c r="T441" t="e">
        <f t="shared" si="52"/>
        <v>#N/A</v>
      </c>
      <c r="U441" t="e">
        <f t="shared" si="53"/>
        <v>#N/A</v>
      </c>
      <c r="V441" t="e">
        <f t="shared" si="53"/>
        <v>#N/A</v>
      </c>
      <c r="W441" t="e">
        <f t="shared" si="54"/>
        <v>#N/A</v>
      </c>
      <c r="X441" t="e">
        <f t="shared" si="54"/>
        <v>#N/A</v>
      </c>
      <c r="Y441" t="e">
        <f t="shared" si="55"/>
        <v>#N/A</v>
      </c>
      <c r="Z441" t="e">
        <f t="shared" si="55"/>
        <v>#N/A</v>
      </c>
    </row>
    <row r="442" spans="1:26">
      <c r="A442" t="e">
        <f>IF(ISBLANK('[1]Точность устьев скважин'!A444),#N/A,'[1]Точность устьев скважин'!A444)</f>
        <v>#N/A</v>
      </c>
      <c r="B442" t="e">
        <f>IF(ISBLANK('[1]Точность устьев скважин'!B444),#N/A,'[1]Точность устьев скважин'!B444)</f>
        <v>#N/A</v>
      </c>
      <c r="C442" t="e">
        <f>IF(ISBLANK('[1]Точность устьев скважин'!C444),#N/A,'[1]Точность устьев скважин'!C444)</f>
        <v>#N/A</v>
      </c>
      <c r="D442" t="e">
        <f>IF(ISBLANK('[1]Точность устьев скважин'!D444),#N/A,'[1]Точность устьев скважин'!D444)</f>
        <v>#N/A</v>
      </c>
      <c r="G442" t="e">
        <f>IF(ISBLANK('[1]Точность устьев скважин'!H444),#N/A,'[1]Точность устьев скважин'!H444)</f>
        <v>#N/A</v>
      </c>
      <c r="H442" t="e">
        <f>IF(ISBLANK('[1]Точность устьев скважин'!I444),#N/A,'[1]Точность устьев скважин'!I444)</f>
        <v>#N/A</v>
      </c>
      <c r="I442" t="e">
        <f>IF(ISBLANK('[1]Точность устьев скважин'!J444),#N/A,'[1]Точность устьев скважин'!J444)</f>
        <v>#N/A</v>
      </c>
      <c r="J442" t="e">
        <f>IF(ISBLANK('[1]Точность устьев скважин'!K444),#N/A,'[1]Точность устьев скважин'!K444)</f>
        <v>#N/A</v>
      </c>
      <c r="L442" s="63" t="e">
        <f t="shared" si="49"/>
        <v>#N/A</v>
      </c>
      <c r="O442" t="e">
        <f t="shared" si="50"/>
        <v>#N/A</v>
      </c>
      <c r="P442" t="e">
        <f t="shared" si="50"/>
        <v>#N/A</v>
      </c>
      <c r="Q442" t="e">
        <f t="shared" si="51"/>
        <v>#N/A</v>
      </c>
      <c r="R442" t="e">
        <f t="shared" si="51"/>
        <v>#N/A</v>
      </c>
      <c r="S442" t="e">
        <f t="shared" si="52"/>
        <v>#N/A</v>
      </c>
      <c r="T442" t="e">
        <f t="shared" si="52"/>
        <v>#N/A</v>
      </c>
      <c r="U442" t="e">
        <f t="shared" si="53"/>
        <v>#N/A</v>
      </c>
      <c r="V442" t="e">
        <f t="shared" si="53"/>
        <v>#N/A</v>
      </c>
      <c r="W442" t="e">
        <f t="shared" si="54"/>
        <v>#N/A</v>
      </c>
      <c r="X442" t="e">
        <f t="shared" si="54"/>
        <v>#N/A</v>
      </c>
      <c r="Y442" t="e">
        <f t="shared" si="55"/>
        <v>#N/A</v>
      </c>
      <c r="Z442" t="e">
        <f t="shared" si="55"/>
        <v>#N/A</v>
      </c>
    </row>
    <row r="443" spans="1:26">
      <c r="A443" t="e">
        <f>IF(ISBLANK('[1]Точность устьев скважин'!A445),#N/A,'[1]Точность устьев скважин'!A445)</f>
        <v>#N/A</v>
      </c>
      <c r="B443" t="e">
        <f>IF(ISBLANK('[1]Точность устьев скважин'!B445),#N/A,'[1]Точность устьев скважин'!B445)</f>
        <v>#N/A</v>
      </c>
      <c r="C443" t="e">
        <f>IF(ISBLANK('[1]Точность устьев скважин'!C445),#N/A,'[1]Точность устьев скважин'!C445)</f>
        <v>#N/A</v>
      </c>
      <c r="D443" t="e">
        <f>IF(ISBLANK('[1]Точность устьев скважин'!D445),#N/A,'[1]Точность устьев скважин'!D445)</f>
        <v>#N/A</v>
      </c>
      <c r="G443" t="e">
        <f>IF(ISBLANK('[1]Точность устьев скважин'!H445),#N/A,'[1]Точность устьев скважин'!H445)</f>
        <v>#N/A</v>
      </c>
      <c r="H443" t="e">
        <f>IF(ISBLANK('[1]Точность устьев скважин'!I445),#N/A,'[1]Точность устьев скважин'!I445)</f>
        <v>#N/A</v>
      </c>
      <c r="I443" t="e">
        <f>IF(ISBLANK('[1]Точность устьев скважин'!J445),#N/A,'[1]Точность устьев скважин'!J445)</f>
        <v>#N/A</v>
      </c>
      <c r="J443" t="e">
        <f>IF(ISBLANK('[1]Точность устьев скважин'!K445),#N/A,'[1]Точность устьев скважин'!K445)</f>
        <v>#N/A</v>
      </c>
      <c r="L443" s="63" t="e">
        <f t="shared" si="49"/>
        <v>#N/A</v>
      </c>
      <c r="O443" t="e">
        <f t="shared" si="50"/>
        <v>#N/A</v>
      </c>
      <c r="P443" t="e">
        <f t="shared" si="50"/>
        <v>#N/A</v>
      </c>
      <c r="Q443" t="e">
        <f t="shared" si="51"/>
        <v>#N/A</v>
      </c>
      <c r="R443" t="e">
        <f t="shared" si="51"/>
        <v>#N/A</v>
      </c>
      <c r="S443" t="e">
        <f t="shared" si="52"/>
        <v>#N/A</v>
      </c>
      <c r="T443" t="e">
        <f t="shared" si="52"/>
        <v>#N/A</v>
      </c>
      <c r="U443" t="e">
        <f t="shared" si="53"/>
        <v>#N/A</v>
      </c>
      <c r="V443" t="e">
        <f t="shared" si="53"/>
        <v>#N/A</v>
      </c>
      <c r="W443" t="e">
        <f t="shared" si="54"/>
        <v>#N/A</v>
      </c>
      <c r="X443" t="e">
        <f t="shared" si="54"/>
        <v>#N/A</v>
      </c>
      <c r="Y443" t="e">
        <f t="shared" si="55"/>
        <v>#N/A</v>
      </c>
      <c r="Z443" t="e">
        <f t="shared" si="55"/>
        <v>#N/A</v>
      </c>
    </row>
    <row r="444" spans="1:26">
      <c r="A444" t="e">
        <f>IF(ISBLANK('[1]Точность устьев скважин'!A446),#N/A,'[1]Точность устьев скважин'!A446)</f>
        <v>#N/A</v>
      </c>
      <c r="B444" t="e">
        <f>IF(ISBLANK('[1]Точность устьев скважин'!B446),#N/A,'[1]Точность устьев скважин'!B446)</f>
        <v>#N/A</v>
      </c>
      <c r="C444" t="e">
        <f>IF(ISBLANK('[1]Точность устьев скважин'!C446),#N/A,'[1]Точность устьев скважин'!C446)</f>
        <v>#N/A</v>
      </c>
      <c r="D444" t="e">
        <f>IF(ISBLANK('[1]Точность устьев скважин'!D446),#N/A,'[1]Точность устьев скважин'!D446)</f>
        <v>#N/A</v>
      </c>
      <c r="G444" t="e">
        <f>IF(ISBLANK('[1]Точность устьев скважин'!H446),#N/A,'[1]Точность устьев скважин'!H446)</f>
        <v>#N/A</v>
      </c>
      <c r="H444" t="e">
        <f>IF(ISBLANK('[1]Точность устьев скважин'!I446),#N/A,'[1]Точность устьев скважин'!I446)</f>
        <v>#N/A</v>
      </c>
      <c r="I444" t="e">
        <f>IF(ISBLANK('[1]Точность устьев скважин'!J446),#N/A,'[1]Точность устьев скважин'!J446)</f>
        <v>#N/A</v>
      </c>
      <c r="J444" t="e">
        <f>IF(ISBLANK('[1]Точность устьев скважин'!K446),#N/A,'[1]Точность устьев скважин'!K446)</f>
        <v>#N/A</v>
      </c>
      <c r="L444" s="63" t="e">
        <f t="shared" si="49"/>
        <v>#N/A</v>
      </c>
      <c r="O444" t="e">
        <f t="shared" si="50"/>
        <v>#N/A</v>
      </c>
      <c r="P444" t="e">
        <f t="shared" si="50"/>
        <v>#N/A</v>
      </c>
      <c r="Q444" t="e">
        <f t="shared" si="51"/>
        <v>#N/A</v>
      </c>
      <c r="R444" t="e">
        <f t="shared" si="51"/>
        <v>#N/A</v>
      </c>
      <c r="S444" t="e">
        <f t="shared" si="52"/>
        <v>#N/A</v>
      </c>
      <c r="T444" t="e">
        <f t="shared" si="52"/>
        <v>#N/A</v>
      </c>
      <c r="U444" t="e">
        <f t="shared" si="53"/>
        <v>#N/A</v>
      </c>
      <c r="V444" t="e">
        <f t="shared" si="53"/>
        <v>#N/A</v>
      </c>
      <c r="W444" t="e">
        <f t="shared" si="54"/>
        <v>#N/A</v>
      </c>
      <c r="X444" t="e">
        <f t="shared" si="54"/>
        <v>#N/A</v>
      </c>
      <c r="Y444" t="e">
        <f t="shared" si="55"/>
        <v>#N/A</v>
      </c>
      <c r="Z444" t="e">
        <f t="shared" si="55"/>
        <v>#N/A</v>
      </c>
    </row>
    <row r="445" spans="1:26">
      <c r="A445" t="e">
        <f>IF(ISBLANK('[1]Точность устьев скважин'!A447),#N/A,'[1]Точность устьев скважин'!A447)</f>
        <v>#N/A</v>
      </c>
      <c r="B445" t="e">
        <f>IF(ISBLANK('[1]Точность устьев скважин'!B447),#N/A,'[1]Точность устьев скважин'!B447)</f>
        <v>#N/A</v>
      </c>
      <c r="C445" t="e">
        <f>IF(ISBLANK('[1]Точность устьев скважин'!C447),#N/A,'[1]Точность устьев скважин'!C447)</f>
        <v>#N/A</v>
      </c>
      <c r="D445" t="e">
        <f>IF(ISBLANK('[1]Точность устьев скважин'!D447),#N/A,'[1]Точность устьев скважин'!D447)</f>
        <v>#N/A</v>
      </c>
      <c r="G445" t="e">
        <f>IF(ISBLANK('[1]Точность устьев скважин'!H447),#N/A,'[1]Точность устьев скважин'!H447)</f>
        <v>#N/A</v>
      </c>
      <c r="H445" t="e">
        <f>IF(ISBLANK('[1]Точность устьев скважин'!I447),#N/A,'[1]Точность устьев скважин'!I447)</f>
        <v>#N/A</v>
      </c>
      <c r="I445" t="e">
        <f>IF(ISBLANK('[1]Точность устьев скважин'!J447),#N/A,'[1]Точность устьев скважин'!J447)</f>
        <v>#N/A</v>
      </c>
      <c r="J445" t="e">
        <f>IF(ISBLANK('[1]Точность устьев скважин'!K447),#N/A,'[1]Точность устьев скважин'!K447)</f>
        <v>#N/A</v>
      </c>
      <c r="L445" s="63" t="e">
        <f t="shared" si="49"/>
        <v>#N/A</v>
      </c>
      <c r="O445" t="e">
        <f t="shared" si="50"/>
        <v>#N/A</v>
      </c>
      <c r="P445" t="e">
        <f t="shared" si="50"/>
        <v>#N/A</v>
      </c>
      <c r="Q445" t="e">
        <f t="shared" si="51"/>
        <v>#N/A</v>
      </c>
      <c r="R445" t="e">
        <f t="shared" si="51"/>
        <v>#N/A</v>
      </c>
      <c r="S445" t="e">
        <f t="shared" si="52"/>
        <v>#N/A</v>
      </c>
      <c r="T445" t="e">
        <f t="shared" si="52"/>
        <v>#N/A</v>
      </c>
      <c r="U445" t="e">
        <f t="shared" si="53"/>
        <v>#N/A</v>
      </c>
      <c r="V445" t="e">
        <f t="shared" si="53"/>
        <v>#N/A</v>
      </c>
      <c r="W445" t="e">
        <f t="shared" si="54"/>
        <v>#N/A</v>
      </c>
      <c r="X445" t="e">
        <f t="shared" si="54"/>
        <v>#N/A</v>
      </c>
      <c r="Y445" t="e">
        <f t="shared" si="55"/>
        <v>#N/A</v>
      </c>
      <c r="Z445" t="e">
        <f t="shared" si="55"/>
        <v>#N/A</v>
      </c>
    </row>
    <row r="446" spans="1:26">
      <c r="A446" t="e">
        <f>IF(ISBLANK('[1]Точность устьев скважин'!A448),#N/A,'[1]Точность устьев скважин'!A448)</f>
        <v>#N/A</v>
      </c>
      <c r="B446" t="e">
        <f>IF(ISBLANK('[1]Точность устьев скважин'!B448),#N/A,'[1]Точность устьев скважин'!B448)</f>
        <v>#N/A</v>
      </c>
      <c r="C446" t="e">
        <f>IF(ISBLANK('[1]Точность устьев скважин'!C448),#N/A,'[1]Точность устьев скважин'!C448)</f>
        <v>#N/A</v>
      </c>
      <c r="D446" t="e">
        <f>IF(ISBLANK('[1]Точность устьев скважин'!D448),#N/A,'[1]Точность устьев скважин'!D448)</f>
        <v>#N/A</v>
      </c>
      <c r="G446" t="e">
        <f>IF(ISBLANK('[1]Точность устьев скважин'!H448),#N/A,'[1]Точность устьев скважин'!H448)</f>
        <v>#N/A</v>
      </c>
      <c r="H446" t="e">
        <f>IF(ISBLANK('[1]Точность устьев скважин'!I448),#N/A,'[1]Точность устьев скважин'!I448)</f>
        <v>#N/A</v>
      </c>
      <c r="I446" t="e">
        <f>IF(ISBLANK('[1]Точность устьев скважин'!J448),#N/A,'[1]Точность устьев скважин'!J448)</f>
        <v>#N/A</v>
      </c>
      <c r="J446" t="e">
        <f>IF(ISBLANK('[1]Точность устьев скважин'!K448),#N/A,'[1]Точность устьев скважин'!K448)</f>
        <v>#N/A</v>
      </c>
      <c r="L446" s="63" t="e">
        <f t="shared" si="49"/>
        <v>#N/A</v>
      </c>
      <c r="O446" t="e">
        <f t="shared" si="50"/>
        <v>#N/A</v>
      </c>
      <c r="P446" t="e">
        <f t="shared" si="50"/>
        <v>#N/A</v>
      </c>
      <c r="Q446" t="e">
        <f t="shared" si="51"/>
        <v>#N/A</v>
      </c>
      <c r="R446" t="e">
        <f t="shared" si="51"/>
        <v>#N/A</v>
      </c>
      <c r="S446" t="e">
        <f t="shared" si="52"/>
        <v>#N/A</v>
      </c>
      <c r="T446" t="e">
        <f t="shared" si="52"/>
        <v>#N/A</v>
      </c>
      <c r="U446" t="e">
        <f t="shared" si="53"/>
        <v>#N/A</v>
      </c>
      <c r="V446" t="e">
        <f t="shared" si="53"/>
        <v>#N/A</v>
      </c>
      <c r="W446" t="e">
        <f t="shared" si="54"/>
        <v>#N/A</v>
      </c>
      <c r="X446" t="e">
        <f t="shared" si="54"/>
        <v>#N/A</v>
      </c>
      <c r="Y446" t="e">
        <f t="shared" si="55"/>
        <v>#N/A</v>
      </c>
      <c r="Z446" t="e">
        <f t="shared" si="55"/>
        <v>#N/A</v>
      </c>
    </row>
    <row r="447" spans="1:26">
      <c r="A447" t="e">
        <f>IF(ISBLANK('[1]Точность устьев скважин'!A449),#N/A,'[1]Точность устьев скважин'!A449)</f>
        <v>#N/A</v>
      </c>
      <c r="B447" t="e">
        <f>IF(ISBLANK('[1]Точность устьев скважин'!B449),#N/A,'[1]Точность устьев скважин'!B449)</f>
        <v>#N/A</v>
      </c>
      <c r="C447" t="e">
        <f>IF(ISBLANK('[1]Точность устьев скважин'!C449),#N/A,'[1]Точность устьев скважин'!C449)</f>
        <v>#N/A</v>
      </c>
      <c r="D447" t="e">
        <f>IF(ISBLANK('[1]Точность устьев скважин'!D449),#N/A,'[1]Точность устьев скважин'!D449)</f>
        <v>#N/A</v>
      </c>
      <c r="G447" t="e">
        <f>IF(ISBLANK('[1]Точность устьев скважин'!H449),#N/A,'[1]Точность устьев скважин'!H449)</f>
        <v>#N/A</v>
      </c>
      <c r="H447" t="e">
        <f>IF(ISBLANK('[1]Точность устьев скважин'!I449),#N/A,'[1]Точность устьев скважин'!I449)</f>
        <v>#N/A</v>
      </c>
      <c r="I447" t="e">
        <f>IF(ISBLANK('[1]Точность устьев скважин'!J449),#N/A,'[1]Точность устьев скважин'!J449)</f>
        <v>#N/A</v>
      </c>
      <c r="J447" t="e">
        <f>IF(ISBLANK('[1]Точность устьев скважин'!K449),#N/A,'[1]Точность устьев скважин'!K449)</f>
        <v>#N/A</v>
      </c>
      <c r="L447" s="63" t="e">
        <f t="shared" si="49"/>
        <v>#N/A</v>
      </c>
      <c r="O447" t="e">
        <f t="shared" si="50"/>
        <v>#N/A</v>
      </c>
      <c r="P447" t="e">
        <f t="shared" si="50"/>
        <v>#N/A</v>
      </c>
      <c r="Q447" t="e">
        <f t="shared" si="51"/>
        <v>#N/A</v>
      </c>
      <c r="R447" t="e">
        <f t="shared" si="51"/>
        <v>#N/A</v>
      </c>
      <c r="S447" t="e">
        <f t="shared" si="52"/>
        <v>#N/A</v>
      </c>
      <c r="T447" t="e">
        <f t="shared" si="52"/>
        <v>#N/A</v>
      </c>
      <c r="U447" t="e">
        <f t="shared" si="53"/>
        <v>#N/A</v>
      </c>
      <c r="V447" t="e">
        <f t="shared" si="53"/>
        <v>#N/A</v>
      </c>
      <c r="W447" t="e">
        <f t="shared" si="54"/>
        <v>#N/A</v>
      </c>
      <c r="X447" t="e">
        <f t="shared" si="54"/>
        <v>#N/A</v>
      </c>
      <c r="Y447" t="e">
        <f t="shared" si="55"/>
        <v>#N/A</v>
      </c>
      <c r="Z447" t="e">
        <f t="shared" si="55"/>
        <v>#N/A</v>
      </c>
    </row>
    <row r="448" spans="1:26">
      <c r="A448" t="e">
        <f>IF(ISBLANK('[1]Точность устьев скважин'!A450),#N/A,'[1]Точность устьев скважин'!A450)</f>
        <v>#N/A</v>
      </c>
      <c r="B448" t="e">
        <f>IF(ISBLANK('[1]Точность устьев скважин'!B450),#N/A,'[1]Точность устьев скважин'!B450)</f>
        <v>#N/A</v>
      </c>
      <c r="C448" t="e">
        <f>IF(ISBLANK('[1]Точность устьев скважин'!C450),#N/A,'[1]Точность устьев скважин'!C450)</f>
        <v>#N/A</v>
      </c>
      <c r="D448" t="e">
        <f>IF(ISBLANK('[1]Точность устьев скважин'!D450),#N/A,'[1]Точность устьев скважин'!D450)</f>
        <v>#N/A</v>
      </c>
      <c r="G448" t="e">
        <f>IF(ISBLANK('[1]Точность устьев скважин'!H450),#N/A,'[1]Точность устьев скважин'!H450)</f>
        <v>#N/A</v>
      </c>
      <c r="H448" t="e">
        <f>IF(ISBLANK('[1]Точность устьев скважин'!I450),#N/A,'[1]Точность устьев скважин'!I450)</f>
        <v>#N/A</v>
      </c>
      <c r="I448" t="e">
        <f>IF(ISBLANK('[1]Точность устьев скважин'!J450),#N/A,'[1]Точность устьев скважин'!J450)</f>
        <v>#N/A</v>
      </c>
      <c r="J448" t="e">
        <f>IF(ISBLANK('[1]Точность устьев скважин'!K450),#N/A,'[1]Точность устьев скважин'!K450)</f>
        <v>#N/A</v>
      </c>
      <c r="L448" s="63" t="e">
        <f t="shared" si="49"/>
        <v>#N/A</v>
      </c>
      <c r="O448" t="e">
        <f t="shared" si="50"/>
        <v>#N/A</v>
      </c>
      <c r="P448" t="e">
        <f t="shared" si="50"/>
        <v>#N/A</v>
      </c>
      <c r="Q448" t="e">
        <f t="shared" si="51"/>
        <v>#N/A</v>
      </c>
      <c r="R448" t="e">
        <f t="shared" si="51"/>
        <v>#N/A</v>
      </c>
      <c r="S448" t="e">
        <f t="shared" si="52"/>
        <v>#N/A</v>
      </c>
      <c r="T448" t="e">
        <f t="shared" si="52"/>
        <v>#N/A</v>
      </c>
      <c r="U448" t="e">
        <f t="shared" si="53"/>
        <v>#N/A</v>
      </c>
      <c r="V448" t="e">
        <f t="shared" si="53"/>
        <v>#N/A</v>
      </c>
      <c r="W448" t="e">
        <f t="shared" si="54"/>
        <v>#N/A</v>
      </c>
      <c r="X448" t="e">
        <f t="shared" si="54"/>
        <v>#N/A</v>
      </c>
      <c r="Y448" t="e">
        <f t="shared" si="55"/>
        <v>#N/A</v>
      </c>
      <c r="Z448" t="e">
        <f t="shared" si="55"/>
        <v>#N/A</v>
      </c>
    </row>
    <row r="449" spans="1:26">
      <c r="A449" t="e">
        <f>IF(ISBLANK('[1]Точность устьев скважин'!A451),#N/A,'[1]Точность устьев скважин'!A451)</f>
        <v>#N/A</v>
      </c>
      <c r="B449" t="e">
        <f>IF(ISBLANK('[1]Точность устьев скважин'!B451),#N/A,'[1]Точность устьев скважин'!B451)</f>
        <v>#N/A</v>
      </c>
      <c r="C449" t="e">
        <f>IF(ISBLANK('[1]Точность устьев скважин'!C451),#N/A,'[1]Точность устьев скважин'!C451)</f>
        <v>#N/A</v>
      </c>
      <c r="D449" t="e">
        <f>IF(ISBLANK('[1]Точность устьев скважин'!D451),#N/A,'[1]Точность устьев скважин'!D451)</f>
        <v>#N/A</v>
      </c>
      <c r="G449" t="e">
        <f>IF(ISBLANK('[1]Точность устьев скважин'!H451),#N/A,'[1]Точность устьев скважин'!H451)</f>
        <v>#N/A</v>
      </c>
      <c r="H449" t="e">
        <f>IF(ISBLANK('[1]Точность устьев скважин'!I451),#N/A,'[1]Точность устьев скважин'!I451)</f>
        <v>#N/A</v>
      </c>
      <c r="I449" t="e">
        <f>IF(ISBLANK('[1]Точность устьев скважин'!J451),#N/A,'[1]Точность устьев скважин'!J451)</f>
        <v>#N/A</v>
      </c>
      <c r="J449" t="e">
        <f>IF(ISBLANK('[1]Точность устьев скважин'!K451),#N/A,'[1]Точность устьев скважин'!K451)</f>
        <v>#N/A</v>
      </c>
      <c r="L449" s="63" t="e">
        <f t="shared" si="49"/>
        <v>#N/A</v>
      </c>
      <c r="O449" t="e">
        <f t="shared" si="50"/>
        <v>#N/A</v>
      </c>
      <c r="P449" t="e">
        <f t="shared" si="50"/>
        <v>#N/A</v>
      </c>
      <c r="Q449" t="e">
        <f t="shared" si="51"/>
        <v>#N/A</v>
      </c>
      <c r="R449" t="e">
        <f t="shared" si="51"/>
        <v>#N/A</v>
      </c>
      <c r="S449" t="e">
        <f t="shared" si="52"/>
        <v>#N/A</v>
      </c>
      <c r="T449" t="e">
        <f t="shared" si="52"/>
        <v>#N/A</v>
      </c>
      <c r="U449" t="e">
        <f t="shared" si="53"/>
        <v>#N/A</v>
      </c>
      <c r="V449" t="e">
        <f t="shared" si="53"/>
        <v>#N/A</v>
      </c>
      <c r="W449" t="e">
        <f t="shared" si="54"/>
        <v>#N/A</v>
      </c>
      <c r="X449" t="e">
        <f t="shared" si="54"/>
        <v>#N/A</v>
      </c>
      <c r="Y449" t="e">
        <f t="shared" si="55"/>
        <v>#N/A</v>
      </c>
      <c r="Z449" t="e">
        <f t="shared" si="55"/>
        <v>#N/A</v>
      </c>
    </row>
    <row r="450" spans="1:26">
      <c r="A450" t="e">
        <f>IF(ISBLANK('[1]Точность устьев скважин'!A452),#N/A,'[1]Точность устьев скважин'!A452)</f>
        <v>#N/A</v>
      </c>
      <c r="B450" t="e">
        <f>IF(ISBLANK('[1]Точность устьев скважин'!B452),#N/A,'[1]Точность устьев скважин'!B452)</f>
        <v>#N/A</v>
      </c>
      <c r="C450" t="e">
        <f>IF(ISBLANK('[1]Точность устьев скважин'!C452),#N/A,'[1]Точность устьев скважин'!C452)</f>
        <v>#N/A</v>
      </c>
      <c r="D450" t="e">
        <f>IF(ISBLANK('[1]Точность устьев скважин'!D452),#N/A,'[1]Точность устьев скважин'!D452)</f>
        <v>#N/A</v>
      </c>
      <c r="G450" t="e">
        <f>IF(ISBLANK('[1]Точность устьев скважин'!H452),#N/A,'[1]Точность устьев скважин'!H452)</f>
        <v>#N/A</v>
      </c>
      <c r="H450" t="e">
        <f>IF(ISBLANK('[1]Точность устьев скважин'!I452),#N/A,'[1]Точность устьев скважин'!I452)</f>
        <v>#N/A</v>
      </c>
      <c r="I450" t="e">
        <f>IF(ISBLANK('[1]Точность устьев скважин'!J452),#N/A,'[1]Точность устьев скважин'!J452)</f>
        <v>#N/A</v>
      </c>
      <c r="J450" t="e">
        <f>IF(ISBLANK('[1]Точность устьев скважин'!K452),#N/A,'[1]Точность устьев скважин'!K452)</f>
        <v>#N/A</v>
      </c>
      <c r="L450" s="63" t="e">
        <f t="shared" si="49"/>
        <v>#N/A</v>
      </c>
      <c r="O450" t="e">
        <f t="shared" si="50"/>
        <v>#N/A</v>
      </c>
      <c r="P450" t="e">
        <f t="shared" si="50"/>
        <v>#N/A</v>
      </c>
      <c r="Q450" t="e">
        <f t="shared" si="51"/>
        <v>#N/A</v>
      </c>
      <c r="R450" t="e">
        <f t="shared" si="51"/>
        <v>#N/A</v>
      </c>
      <c r="S450" t="e">
        <f t="shared" si="52"/>
        <v>#N/A</v>
      </c>
      <c r="T450" t="e">
        <f t="shared" si="52"/>
        <v>#N/A</v>
      </c>
      <c r="U450" t="e">
        <f t="shared" si="53"/>
        <v>#N/A</v>
      </c>
      <c r="V450" t="e">
        <f t="shared" si="53"/>
        <v>#N/A</v>
      </c>
      <c r="W450" t="e">
        <f t="shared" si="54"/>
        <v>#N/A</v>
      </c>
      <c r="X450" t="e">
        <f t="shared" si="54"/>
        <v>#N/A</v>
      </c>
      <c r="Y450" t="e">
        <f t="shared" si="55"/>
        <v>#N/A</v>
      </c>
      <c r="Z450" t="e">
        <f t="shared" si="55"/>
        <v>#N/A</v>
      </c>
    </row>
    <row r="451" spans="1:26">
      <c r="A451" t="e">
        <f>IF(ISBLANK('[1]Точность устьев скважин'!A453),#N/A,'[1]Точность устьев скважин'!A453)</f>
        <v>#N/A</v>
      </c>
      <c r="B451" t="e">
        <f>IF(ISBLANK('[1]Точность устьев скважин'!B453),#N/A,'[1]Точность устьев скважин'!B453)</f>
        <v>#N/A</v>
      </c>
      <c r="C451" t="e">
        <f>IF(ISBLANK('[1]Точность устьев скважин'!C453),#N/A,'[1]Точность устьев скважин'!C453)</f>
        <v>#N/A</v>
      </c>
      <c r="D451" t="e">
        <f>IF(ISBLANK('[1]Точность устьев скважин'!D453),#N/A,'[1]Точность устьев скважин'!D453)</f>
        <v>#N/A</v>
      </c>
      <c r="G451" t="e">
        <f>IF(ISBLANK('[1]Точность устьев скважин'!H453),#N/A,'[1]Точность устьев скважин'!H453)</f>
        <v>#N/A</v>
      </c>
      <c r="H451" t="e">
        <f>IF(ISBLANK('[1]Точность устьев скважин'!I453),#N/A,'[1]Точность устьев скважин'!I453)</f>
        <v>#N/A</v>
      </c>
      <c r="I451" t="e">
        <f>IF(ISBLANK('[1]Точность устьев скважин'!J453),#N/A,'[1]Точность устьев скважин'!J453)</f>
        <v>#N/A</v>
      </c>
      <c r="J451" t="e">
        <f>IF(ISBLANK('[1]Точность устьев скважин'!K453),#N/A,'[1]Точность устьев скважин'!K453)</f>
        <v>#N/A</v>
      </c>
      <c r="L451" s="63" t="e">
        <f t="shared" si="49"/>
        <v>#N/A</v>
      </c>
      <c r="O451" t="e">
        <f t="shared" si="50"/>
        <v>#N/A</v>
      </c>
      <c r="P451" t="e">
        <f t="shared" si="50"/>
        <v>#N/A</v>
      </c>
      <c r="Q451" t="e">
        <f t="shared" si="51"/>
        <v>#N/A</v>
      </c>
      <c r="R451" t="e">
        <f t="shared" si="51"/>
        <v>#N/A</v>
      </c>
      <c r="S451" t="e">
        <f t="shared" si="52"/>
        <v>#N/A</v>
      </c>
      <c r="T451" t="e">
        <f t="shared" si="52"/>
        <v>#N/A</v>
      </c>
      <c r="U451" t="e">
        <f t="shared" si="53"/>
        <v>#N/A</v>
      </c>
      <c r="V451" t="e">
        <f t="shared" si="53"/>
        <v>#N/A</v>
      </c>
      <c r="W451" t="e">
        <f t="shared" si="54"/>
        <v>#N/A</v>
      </c>
      <c r="X451" t="e">
        <f t="shared" si="54"/>
        <v>#N/A</v>
      </c>
      <c r="Y451" t="e">
        <f t="shared" si="55"/>
        <v>#N/A</v>
      </c>
      <c r="Z451" t="e">
        <f t="shared" si="55"/>
        <v>#N/A</v>
      </c>
    </row>
    <row r="452" spans="1:26">
      <c r="A452" t="e">
        <f>IF(ISBLANK('[1]Точность устьев скважин'!A454),#N/A,'[1]Точность устьев скважин'!A454)</f>
        <v>#N/A</v>
      </c>
      <c r="B452" t="e">
        <f>IF(ISBLANK('[1]Точность устьев скважин'!B454),#N/A,'[1]Точность устьев скважин'!B454)</f>
        <v>#N/A</v>
      </c>
      <c r="C452" t="e">
        <f>IF(ISBLANK('[1]Точность устьев скважин'!C454),#N/A,'[1]Точность устьев скважин'!C454)</f>
        <v>#N/A</v>
      </c>
      <c r="D452" t="e">
        <f>IF(ISBLANK('[1]Точность устьев скважин'!D454),#N/A,'[1]Точность устьев скважин'!D454)</f>
        <v>#N/A</v>
      </c>
      <c r="G452" t="e">
        <f>IF(ISBLANK('[1]Точность устьев скважин'!H454),#N/A,'[1]Точность устьев скважин'!H454)</f>
        <v>#N/A</v>
      </c>
      <c r="H452" t="e">
        <f>IF(ISBLANK('[1]Точность устьев скважин'!I454),#N/A,'[1]Точность устьев скважин'!I454)</f>
        <v>#N/A</v>
      </c>
      <c r="I452" t="e">
        <f>IF(ISBLANK('[1]Точность устьев скважин'!J454),#N/A,'[1]Точность устьев скважин'!J454)</f>
        <v>#N/A</v>
      </c>
      <c r="J452" t="e">
        <f>IF(ISBLANK('[1]Точность устьев скважин'!K454),#N/A,'[1]Точность устьев скважин'!K454)</f>
        <v>#N/A</v>
      </c>
      <c r="L452" s="63" t="e">
        <f t="shared" ref="L452:L515" si="56">IF(B452="","",(SQRT((H452-B452)^2+(I452-C452)^2)))</f>
        <v>#N/A</v>
      </c>
      <c r="O452" t="e">
        <f t="shared" si="50"/>
        <v>#N/A</v>
      </c>
      <c r="P452" t="e">
        <f t="shared" si="50"/>
        <v>#N/A</v>
      </c>
      <c r="Q452" t="e">
        <f t="shared" si="51"/>
        <v>#N/A</v>
      </c>
      <c r="R452" t="e">
        <f t="shared" si="51"/>
        <v>#N/A</v>
      </c>
      <c r="S452" t="e">
        <f t="shared" si="52"/>
        <v>#N/A</v>
      </c>
      <c r="T452" t="e">
        <f t="shared" si="52"/>
        <v>#N/A</v>
      </c>
      <c r="U452" t="e">
        <f t="shared" si="53"/>
        <v>#N/A</v>
      </c>
      <c r="V452" t="e">
        <f t="shared" si="53"/>
        <v>#N/A</v>
      </c>
      <c r="W452" t="e">
        <f t="shared" si="54"/>
        <v>#N/A</v>
      </c>
      <c r="X452" t="e">
        <f t="shared" si="54"/>
        <v>#N/A</v>
      </c>
      <c r="Y452" t="e">
        <f t="shared" si="55"/>
        <v>#N/A</v>
      </c>
      <c r="Z452" t="e">
        <f t="shared" si="55"/>
        <v>#N/A</v>
      </c>
    </row>
    <row r="453" spans="1:26">
      <c r="A453" t="e">
        <f>IF(ISBLANK('[1]Точность устьев скважин'!A455),#N/A,'[1]Точность устьев скважин'!A455)</f>
        <v>#N/A</v>
      </c>
      <c r="B453" t="e">
        <f>IF(ISBLANK('[1]Точность устьев скважин'!B455),#N/A,'[1]Точность устьев скважин'!B455)</f>
        <v>#N/A</v>
      </c>
      <c r="C453" t="e">
        <f>IF(ISBLANK('[1]Точность устьев скважин'!C455),#N/A,'[1]Точность устьев скважин'!C455)</f>
        <v>#N/A</v>
      </c>
      <c r="D453" t="e">
        <f>IF(ISBLANK('[1]Точность устьев скважин'!D455),#N/A,'[1]Точность устьев скважин'!D455)</f>
        <v>#N/A</v>
      </c>
      <c r="G453" t="e">
        <f>IF(ISBLANK('[1]Точность устьев скважин'!H455),#N/A,'[1]Точность устьев скважин'!H455)</f>
        <v>#N/A</v>
      </c>
      <c r="H453" t="e">
        <f>IF(ISBLANK('[1]Точность устьев скважин'!I455),#N/A,'[1]Точность устьев скважин'!I455)</f>
        <v>#N/A</v>
      </c>
      <c r="I453" t="e">
        <f>IF(ISBLANK('[1]Точность устьев скважин'!J455),#N/A,'[1]Точность устьев скважин'!J455)</f>
        <v>#N/A</v>
      </c>
      <c r="J453" t="e">
        <f>IF(ISBLANK('[1]Точность устьев скважин'!K455),#N/A,'[1]Точность устьев скважин'!K455)</f>
        <v>#N/A</v>
      </c>
      <c r="L453" s="63" t="e">
        <f t="shared" si="56"/>
        <v>#N/A</v>
      </c>
      <c r="O453" t="e">
        <f t="shared" si="50"/>
        <v>#N/A</v>
      </c>
      <c r="P453" t="e">
        <f t="shared" si="50"/>
        <v>#N/A</v>
      </c>
      <c r="Q453" t="e">
        <f t="shared" si="51"/>
        <v>#N/A</v>
      </c>
      <c r="R453" t="e">
        <f t="shared" si="51"/>
        <v>#N/A</v>
      </c>
      <c r="S453" t="e">
        <f t="shared" si="52"/>
        <v>#N/A</v>
      </c>
      <c r="T453" t="e">
        <f t="shared" si="52"/>
        <v>#N/A</v>
      </c>
      <c r="U453" t="e">
        <f t="shared" si="53"/>
        <v>#N/A</v>
      </c>
      <c r="V453" t="e">
        <f t="shared" si="53"/>
        <v>#N/A</v>
      </c>
      <c r="W453" t="e">
        <f t="shared" si="54"/>
        <v>#N/A</v>
      </c>
      <c r="X453" t="e">
        <f t="shared" si="54"/>
        <v>#N/A</v>
      </c>
      <c r="Y453" t="e">
        <f t="shared" si="55"/>
        <v>#N/A</v>
      </c>
      <c r="Z453" t="e">
        <f t="shared" si="55"/>
        <v>#N/A</v>
      </c>
    </row>
    <row r="454" spans="1:26">
      <c r="A454" t="e">
        <f>IF(ISBLANK('[1]Точность устьев скважин'!A456),#N/A,'[1]Точность устьев скважин'!A456)</f>
        <v>#N/A</v>
      </c>
      <c r="B454" t="e">
        <f>IF(ISBLANK('[1]Точность устьев скважин'!B456),#N/A,'[1]Точность устьев скважин'!B456)</f>
        <v>#N/A</v>
      </c>
      <c r="C454" t="e">
        <f>IF(ISBLANK('[1]Точность устьев скважин'!C456),#N/A,'[1]Точность устьев скважин'!C456)</f>
        <v>#N/A</v>
      </c>
      <c r="D454" t="e">
        <f>IF(ISBLANK('[1]Точность устьев скважин'!D456),#N/A,'[1]Точность устьев скважин'!D456)</f>
        <v>#N/A</v>
      </c>
      <c r="G454" t="e">
        <f>IF(ISBLANK('[1]Точность устьев скважин'!H456),#N/A,'[1]Точность устьев скважин'!H456)</f>
        <v>#N/A</v>
      </c>
      <c r="H454" t="e">
        <f>IF(ISBLANK('[1]Точность устьев скважин'!I456),#N/A,'[1]Точность устьев скважин'!I456)</f>
        <v>#N/A</v>
      </c>
      <c r="I454" t="e">
        <f>IF(ISBLANK('[1]Точность устьев скважин'!J456),#N/A,'[1]Точность устьев скважин'!J456)</f>
        <v>#N/A</v>
      </c>
      <c r="J454" t="e">
        <f>IF(ISBLANK('[1]Точность устьев скважин'!K456),#N/A,'[1]Точность устьев скважин'!K456)</f>
        <v>#N/A</v>
      </c>
      <c r="L454" s="63" t="e">
        <f t="shared" si="56"/>
        <v>#N/A</v>
      </c>
      <c r="O454" t="e">
        <f t="shared" si="50"/>
        <v>#N/A</v>
      </c>
      <c r="P454" t="e">
        <f t="shared" si="50"/>
        <v>#N/A</v>
      </c>
      <c r="Q454" t="e">
        <f t="shared" si="51"/>
        <v>#N/A</v>
      </c>
      <c r="R454" t="e">
        <f t="shared" si="51"/>
        <v>#N/A</v>
      </c>
      <c r="S454" t="e">
        <f t="shared" si="52"/>
        <v>#N/A</v>
      </c>
      <c r="T454" t="e">
        <f t="shared" si="52"/>
        <v>#N/A</v>
      </c>
      <c r="U454" t="e">
        <f t="shared" si="53"/>
        <v>#N/A</v>
      </c>
      <c r="V454" t="e">
        <f t="shared" si="53"/>
        <v>#N/A</v>
      </c>
      <c r="W454" t="e">
        <f t="shared" si="54"/>
        <v>#N/A</v>
      </c>
      <c r="X454" t="e">
        <f t="shared" si="54"/>
        <v>#N/A</v>
      </c>
      <c r="Y454" t="e">
        <f t="shared" si="55"/>
        <v>#N/A</v>
      </c>
      <c r="Z454" t="e">
        <f t="shared" si="55"/>
        <v>#N/A</v>
      </c>
    </row>
    <row r="455" spans="1:26">
      <c r="A455" t="e">
        <f>IF(ISBLANK('[1]Точность устьев скважин'!A457),#N/A,'[1]Точность устьев скважин'!A457)</f>
        <v>#N/A</v>
      </c>
      <c r="B455" t="e">
        <f>IF(ISBLANK('[1]Точность устьев скважин'!B457),#N/A,'[1]Точность устьев скважин'!B457)</f>
        <v>#N/A</v>
      </c>
      <c r="C455" t="e">
        <f>IF(ISBLANK('[1]Точность устьев скважин'!C457),#N/A,'[1]Точность устьев скважин'!C457)</f>
        <v>#N/A</v>
      </c>
      <c r="D455" t="e">
        <f>IF(ISBLANK('[1]Точность устьев скважин'!D457),#N/A,'[1]Точность устьев скважин'!D457)</f>
        <v>#N/A</v>
      </c>
      <c r="G455" t="e">
        <f>IF(ISBLANK('[1]Точность устьев скважин'!H457),#N/A,'[1]Точность устьев скважин'!H457)</f>
        <v>#N/A</v>
      </c>
      <c r="H455" t="e">
        <f>IF(ISBLANK('[1]Точность устьев скважин'!I457),#N/A,'[1]Точность устьев скважин'!I457)</f>
        <v>#N/A</v>
      </c>
      <c r="I455" t="e">
        <f>IF(ISBLANK('[1]Точность устьев скважин'!J457),#N/A,'[1]Точность устьев скважин'!J457)</f>
        <v>#N/A</v>
      </c>
      <c r="J455" t="e">
        <f>IF(ISBLANK('[1]Точность устьев скважин'!K457),#N/A,'[1]Точность устьев скважин'!K457)</f>
        <v>#N/A</v>
      </c>
      <c r="L455" s="63" t="e">
        <f t="shared" si="56"/>
        <v>#N/A</v>
      </c>
      <c r="O455" t="e">
        <f t="shared" si="50"/>
        <v>#N/A</v>
      </c>
      <c r="P455" t="e">
        <f t="shared" si="50"/>
        <v>#N/A</v>
      </c>
      <c r="Q455" t="e">
        <f t="shared" si="51"/>
        <v>#N/A</v>
      </c>
      <c r="R455" t="e">
        <f t="shared" si="51"/>
        <v>#N/A</v>
      </c>
      <c r="S455" t="e">
        <f t="shared" si="52"/>
        <v>#N/A</v>
      </c>
      <c r="T455" t="e">
        <f t="shared" si="52"/>
        <v>#N/A</v>
      </c>
      <c r="U455" t="e">
        <f t="shared" si="53"/>
        <v>#N/A</v>
      </c>
      <c r="V455" t="e">
        <f t="shared" si="53"/>
        <v>#N/A</v>
      </c>
      <c r="W455" t="e">
        <f t="shared" si="54"/>
        <v>#N/A</v>
      </c>
      <c r="X455" t="e">
        <f t="shared" si="54"/>
        <v>#N/A</v>
      </c>
      <c r="Y455" t="e">
        <f t="shared" si="55"/>
        <v>#N/A</v>
      </c>
      <c r="Z455" t="e">
        <f t="shared" si="55"/>
        <v>#N/A</v>
      </c>
    </row>
    <row r="456" spans="1:26">
      <c r="A456" t="e">
        <f>IF(ISBLANK('[1]Точность устьев скважин'!A458),#N/A,'[1]Точность устьев скважин'!A458)</f>
        <v>#N/A</v>
      </c>
      <c r="B456" t="e">
        <f>IF(ISBLANK('[1]Точность устьев скважин'!B458),#N/A,'[1]Точность устьев скважин'!B458)</f>
        <v>#N/A</v>
      </c>
      <c r="C456" t="e">
        <f>IF(ISBLANK('[1]Точность устьев скважин'!C458),#N/A,'[1]Точность устьев скважин'!C458)</f>
        <v>#N/A</v>
      </c>
      <c r="D456" t="e">
        <f>IF(ISBLANK('[1]Точность устьев скважин'!D458),#N/A,'[1]Точность устьев скважин'!D458)</f>
        <v>#N/A</v>
      </c>
      <c r="G456" t="e">
        <f>IF(ISBLANK('[1]Точность устьев скважин'!H458),#N/A,'[1]Точность устьев скважин'!H458)</f>
        <v>#N/A</v>
      </c>
      <c r="H456" t="e">
        <f>IF(ISBLANK('[1]Точность устьев скважин'!I458),#N/A,'[1]Точность устьев скважин'!I458)</f>
        <v>#N/A</v>
      </c>
      <c r="I456" t="e">
        <f>IF(ISBLANK('[1]Точность устьев скважин'!J458),#N/A,'[1]Точность устьев скважин'!J458)</f>
        <v>#N/A</v>
      </c>
      <c r="J456" t="e">
        <f>IF(ISBLANK('[1]Точность устьев скважин'!K458),#N/A,'[1]Точность устьев скважин'!K458)</f>
        <v>#N/A</v>
      </c>
      <c r="L456" s="63" t="e">
        <f t="shared" si="56"/>
        <v>#N/A</v>
      </c>
      <c r="O456" t="e">
        <f t="shared" si="50"/>
        <v>#N/A</v>
      </c>
      <c r="P456" t="e">
        <f t="shared" si="50"/>
        <v>#N/A</v>
      </c>
      <c r="Q456" t="e">
        <f t="shared" si="51"/>
        <v>#N/A</v>
      </c>
      <c r="R456" t="e">
        <f t="shared" si="51"/>
        <v>#N/A</v>
      </c>
      <c r="S456" t="e">
        <f t="shared" si="52"/>
        <v>#N/A</v>
      </c>
      <c r="T456" t="e">
        <f t="shared" si="52"/>
        <v>#N/A</v>
      </c>
      <c r="U456" t="e">
        <f t="shared" si="53"/>
        <v>#N/A</v>
      </c>
      <c r="V456" t="e">
        <f t="shared" si="53"/>
        <v>#N/A</v>
      </c>
      <c r="W456" t="e">
        <f t="shared" si="54"/>
        <v>#N/A</v>
      </c>
      <c r="X456" t="e">
        <f t="shared" si="54"/>
        <v>#N/A</v>
      </c>
      <c r="Y456" t="e">
        <f t="shared" si="55"/>
        <v>#N/A</v>
      </c>
      <c r="Z456" t="e">
        <f t="shared" si="55"/>
        <v>#N/A</v>
      </c>
    </row>
    <row r="457" spans="1:26">
      <c r="A457" t="e">
        <f>IF(ISBLANK('[1]Точность устьев скважин'!A459),#N/A,'[1]Точность устьев скважин'!A459)</f>
        <v>#N/A</v>
      </c>
      <c r="B457" t="e">
        <f>IF(ISBLANK('[1]Точность устьев скважин'!B459),#N/A,'[1]Точность устьев скважин'!B459)</f>
        <v>#N/A</v>
      </c>
      <c r="C457" t="e">
        <f>IF(ISBLANK('[1]Точность устьев скважин'!C459),#N/A,'[1]Точность устьев скважин'!C459)</f>
        <v>#N/A</v>
      </c>
      <c r="D457" t="e">
        <f>IF(ISBLANK('[1]Точность устьев скважин'!D459),#N/A,'[1]Точность устьев скважин'!D459)</f>
        <v>#N/A</v>
      </c>
      <c r="G457" t="e">
        <f>IF(ISBLANK('[1]Точность устьев скважин'!H459),#N/A,'[1]Точность устьев скважин'!H459)</f>
        <v>#N/A</v>
      </c>
      <c r="H457" t="e">
        <f>IF(ISBLANK('[1]Точность устьев скважин'!I459),#N/A,'[1]Точность устьев скважин'!I459)</f>
        <v>#N/A</v>
      </c>
      <c r="I457" t="e">
        <f>IF(ISBLANK('[1]Точность устьев скважин'!J459),#N/A,'[1]Точность устьев скважин'!J459)</f>
        <v>#N/A</v>
      </c>
      <c r="J457" t="e">
        <f>IF(ISBLANK('[1]Точность устьев скважин'!K459),#N/A,'[1]Точность устьев скважин'!K459)</f>
        <v>#N/A</v>
      </c>
      <c r="L457" s="63" t="e">
        <f t="shared" si="56"/>
        <v>#N/A</v>
      </c>
      <c r="O457" t="e">
        <f t="shared" si="50"/>
        <v>#N/A</v>
      </c>
      <c r="P457" t="e">
        <f t="shared" si="50"/>
        <v>#N/A</v>
      </c>
      <c r="Q457" t="e">
        <f t="shared" si="51"/>
        <v>#N/A</v>
      </c>
      <c r="R457" t="e">
        <f t="shared" si="51"/>
        <v>#N/A</v>
      </c>
      <c r="S457" t="e">
        <f t="shared" si="52"/>
        <v>#N/A</v>
      </c>
      <c r="T457" t="e">
        <f t="shared" si="52"/>
        <v>#N/A</v>
      </c>
      <c r="U457" t="e">
        <f t="shared" si="53"/>
        <v>#N/A</v>
      </c>
      <c r="V457" t="e">
        <f t="shared" si="53"/>
        <v>#N/A</v>
      </c>
      <c r="W457" t="e">
        <f t="shared" si="54"/>
        <v>#N/A</v>
      </c>
      <c r="X457" t="e">
        <f t="shared" si="54"/>
        <v>#N/A</v>
      </c>
      <c r="Y457" t="e">
        <f t="shared" si="55"/>
        <v>#N/A</v>
      </c>
      <c r="Z457" t="e">
        <f t="shared" si="55"/>
        <v>#N/A</v>
      </c>
    </row>
    <row r="458" spans="1:26">
      <c r="A458" t="e">
        <f>IF(ISBLANK('[1]Точность устьев скважин'!A460),#N/A,'[1]Точность устьев скважин'!A460)</f>
        <v>#N/A</v>
      </c>
      <c r="B458" t="e">
        <f>IF(ISBLANK('[1]Точность устьев скважин'!B460),#N/A,'[1]Точность устьев скважин'!B460)</f>
        <v>#N/A</v>
      </c>
      <c r="C458" t="e">
        <f>IF(ISBLANK('[1]Точность устьев скважин'!C460),#N/A,'[1]Точность устьев скважин'!C460)</f>
        <v>#N/A</v>
      </c>
      <c r="D458" t="e">
        <f>IF(ISBLANK('[1]Точность устьев скважин'!D460),#N/A,'[1]Точность устьев скважин'!D460)</f>
        <v>#N/A</v>
      </c>
      <c r="G458" t="e">
        <f>IF(ISBLANK('[1]Точность устьев скважин'!H460),#N/A,'[1]Точность устьев скважин'!H460)</f>
        <v>#N/A</v>
      </c>
      <c r="H458" t="e">
        <f>IF(ISBLANK('[1]Точность устьев скважин'!I460),#N/A,'[1]Точность устьев скважин'!I460)</f>
        <v>#N/A</v>
      </c>
      <c r="I458" t="e">
        <f>IF(ISBLANK('[1]Точность устьев скважин'!J460),#N/A,'[1]Точность устьев скважин'!J460)</f>
        <v>#N/A</v>
      </c>
      <c r="J458" t="e">
        <f>IF(ISBLANK('[1]Точность устьев скважин'!K460),#N/A,'[1]Точность устьев скважин'!K460)</f>
        <v>#N/A</v>
      </c>
      <c r="L458" s="63" t="e">
        <f t="shared" si="56"/>
        <v>#N/A</v>
      </c>
      <c r="O458" t="e">
        <f t="shared" si="50"/>
        <v>#N/A</v>
      </c>
      <c r="P458" t="e">
        <f t="shared" si="50"/>
        <v>#N/A</v>
      </c>
      <c r="Q458" t="e">
        <f t="shared" si="51"/>
        <v>#N/A</v>
      </c>
      <c r="R458" t="e">
        <f t="shared" si="51"/>
        <v>#N/A</v>
      </c>
      <c r="S458" t="e">
        <f t="shared" si="52"/>
        <v>#N/A</v>
      </c>
      <c r="T458" t="e">
        <f t="shared" si="52"/>
        <v>#N/A</v>
      </c>
      <c r="U458" t="e">
        <f t="shared" si="53"/>
        <v>#N/A</v>
      </c>
      <c r="V458" t="e">
        <f t="shared" si="53"/>
        <v>#N/A</v>
      </c>
      <c r="W458" t="e">
        <f t="shared" si="54"/>
        <v>#N/A</v>
      </c>
      <c r="X458" t="e">
        <f t="shared" si="54"/>
        <v>#N/A</v>
      </c>
      <c r="Y458" t="e">
        <f t="shared" si="55"/>
        <v>#N/A</v>
      </c>
      <c r="Z458" t="e">
        <f t="shared" si="55"/>
        <v>#N/A</v>
      </c>
    </row>
    <row r="459" spans="1:26">
      <c r="A459" t="e">
        <f>IF(ISBLANK('[1]Точность устьев скважин'!A461),#N/A,'[1]Точность устьев скважин'!A461)</f>
        <v>#N/A</v>
      </c>
      <c r="B459" t="e">
        <f>IF(ISBLANK('[1]Точность устьев скважин'!B461),#N/A,'[1]Точность устьев скважин'!B461)</f>
        <v>#N/A</v>
      </c>
      <c r="C459" t="e">
        <f>IF(ISBLANK('[1]Точность устьев скважин'!C461),#N/A,'[1]Точность устьев скважин'!C461)</f>
        <v>#N/A</v>
      </c>
      <c r="D459" t="e">
        <f>IF(ISBLANK('[1]Точность устьев скважин'!D461),#N/A,'[1]Точность устьев скважин'!D461)</f>
        <v>#N/A</v>
      </c>
      <c r="G459" t="e">
        <f>IF(ISBLANK('[1]Точность устьев скважин'!H461),#N/A,'[1]Точность устьев скважин'!H461)</f>
        <v>#N/A</v>
      </c>
      <c r="H459" t="e">
        <f>IF(ISBLANK('[1]Точность устьев скважин'!I461),#N/A,'[1]Точность устьев скважин'!I461)</f>
        <v>#N/A</v>
      </c>
      <c r="I459" t="e">
        <f>IF(ISBLANK('[1]Точность устьев скважин'!J461),#N/A,'[1]Точность устьев скважин'!J461)</f>
        <v>#N/A</v>
      </c>
      <c r="J459" t="e">
        <f>IF(ISBLANK('[1]Точность устьев скважин'!K461),#N/A,'[1]Точность устьев скважин'!K461)</f>
        <v>#N/A</v>
      </c>
      <c r="L459" s="63" t="e">
        <f t="shared" si="56"/>
        <v>#N/A</v>
      </c>
      <c r="O459" t="e">
        <f t="shared" si="50"/>
        <v>#N/A</v>
      </c>
      <c r="P459" t="e">
        <f t="shared" si="50"/>
        <v>#N/A</v>
      </c>
      <c r="Q459" t="e">
        <f t="shared" si="51"/>
        <v>#N/A</v>
      </c>
      <c r="R459" t="e">
        <f t="shared" si="51"/>
        <v>#N/A</v>
      </c>
      <c r="S459" t="e">
        <f t="shared" si="52"/>
        <v>#N/A</v>
      </c>
      <c r="T459" t="e">
        <f t="shared" si="52"/>
        <v>#N/A</v>
      </c>
      <c r="U459" t="e">
        <f t="shared" si="53"/>
        <v>#N/A</v>
      </c>
      <c r="V459" t="e">
        <f t="shared" si="53"/>
        <v>#N/A</v>
      </c>
      <c r="W459" t="e">
        <f t="shared" si="54"/>
        <v>#N/A</v>
      </c>
      <c r="X459" t="e">
        <f t="shared" si="54"/>
        <v>#N/A</v>
      </c>
      <c r="Y459" t="e">
        <f t="shared" si="55"/>
        <v>#N/A</v>
      </c>
      <c r="Z459" t="e">
        <f t="shared" si="55"/>
        <v>#N/A</v>
      </c>
    </row>
    <row r="460" spans="1:26">
      <c r="A460" t="e">
        <f>IF(ISBLANK('[1]Точность устьев скважин'!A462),#N/A,'[1]Точность устьев скважин'!A462)</f>
        <v>#N/A</v>
      </c>
      <c r="B460" t="e">
        <f>IF(ISBLANK('[1]Точность устьев скважин'!B462),#N/A,'[1]Точность устьев скважин'!B462)</f>
        <v>#N/A</v>
      </c>
      <c r="C460" t="e">
        <f>IF(ISBLANK('[1]Точность устьев скважин'!C462),#N/A,'[1]Точность устьев скважин'!C462)</f>
        <v>#N/A</v>
      </c>
      <c r="D460" t="e">
        <f>IF(ISBLANK('[1]Точность устьев скважин'!D462),#N/A,'[1]Точность устьев скважин'!D462)</f>
        <v>#N/A</v>
      </c>
      <c r="G460" t="e">
        <f>IF(ISBLANK('[1]Точность устьев скважин'!H462),#N/A,'[1]Точность устьев скважин'!H462)</f>
        <v>#N/A</v>
      </c>
      <c r="H460" t="e">
        <f>IF(ISBLANK('[1]Точность устьев скважин'!I462),#N/A,'[1]Точность устьев скважин'!I462)</f>
        <v>#N/A</v>
      </c>
      <c r="I460" t="e">
        <f>IF(ISBLANK('[1]Точность устьев скважин'!J462),#N/A,'[1]Точность устьев скважин'!J462)</f>
        <v>#N/A</v>
      </c>
      <c r="J460" t="e">
        <f>IF(ISBLANK('[1]Точность устьев скважин'!K462),#N/A,'[1]Точность устьев скважин'!K462)</f>
        <v>#N/A</v>
      </c>
      <c r="L460" s="63" t="e">
        <f t="shared" si="56"/>
        <v>#N/A</v>
      </c>
      <c r="O460" t="e">
        <f t="shared" si="50"/>
        <v>#N/A</v>
      </c>
      <c r="P460" t="e">
        <f t="shared" si="50"/>
        <v>#N/A</v>
      </c>
      <c r="Q460" t="e">
        <f t="shared" si="51"/>
        <v>#N/A</v>
      </c>
      <c r="R460" t="e">
        <f t="shared" si="51"/>
        <v>#N/A</v>
      </c>
      <c r="S460" t="e">
        <f t="shared" si="52"/>
        <v>#N/A</v>
      </c>
      <c r="T460" t="e">
        <f t="shared" si="52"/>
        <v>#N/A</v>
      </c>
      <c r="U460" t="e">
        <f t="shared" si="53"/>
        <v>#N/A</v>
      </c>
      <c r="V460" t="e">
        <f t="shared" si="53"/>
        <v>#N/A</v>
      </c>
      <c r="W460" t="e">
        <f t="shared" si="54"/>
        <v>#N/A</v>
      </c>
      <c r="X460" t="e">
        <f t="shared" si="54"/>
        <v>#N/A</v>
      </c>
      <c r="Y460" t="e">
        <f t="shared" si="55"/>
        <v>#N/A</v>
      </c>
      <c r="Z460" t="e">
        <f t="shared" si="55"/>
        <v>#N/A</v>
      </c>
    </row>
    <row r="461" spans="1:26">
      <c r="A461" t="e">
        <f>IF(ISBLANK('[1]Точность устьев скважин'!A463),#N/A,'[1]Точность устьев скважин'!A463)</f>
        <v>#N/A</v>
      </c>
      <c r="B461" t="e">
        <f>IF(ISBLANK('[1]Точность устьев скважин'!B463),#N/A,'[1]Точность устьев скважин'!B463)</f>
        <v>#N/A</v>
      </c>
      <c r="C461" t="e">
        <f>IF(ISBLANK('[1]Точность устьев скважин'!C463),#N/A,'[1]Точность устьев скважин'!C463)</f>
        <v>#N/A</v>
      </c>
      <c r="D461" t="e">
        <f>IF(ISBLANK('[1]Точность устьев скважин'!D463),#N/A,'[1]Точность устьев скважин'!D463)</f>
        <v>#N/A</v>
      </c>
      <c r="G461" t="e">
        <f>IF(ISBLANK('[1]Точность устьев скважин'!H463),#N/A,'[1]Точность устьев скважин'!H463)</f>
        <v>#N/A</v>
      </c>
      <c r="H461" t="e">
        <f>IF(ISBLANK('[1]Точность устьев скважин'!I463),#N/A,'[1]Точность устьев скважин'!I463)</f>
        <v>#N/A</v>
      </c>
      <c r="I461" t="e">
        <f>IF(ISBLANK('[1]Точность устьев скважин'!J463),#N/A,'[1]Точность устьев скважин'!J463)</f>
        <v>#N/A</v>
      </c>
      <c r="J461" t="e">
        <f>IF(ISBLANK('[1]Точность устьев скважин'!K463),#N/A,'[1]Точность устьев скважин'!K463)</f>
        <v>#N/A</v>
      </c>
      <c r="L461" s="63" t="e">
        <f t="shared" si="56"/>
        <v>#N/A</v>
      </c>
      <c r="O461" t="e">
        <f t="shared" si="50"/>
        <v>#N/A</v>
      </c>
      <c r="P461" t="e">
        <f t="shared" si="50"/>
        <v>#N/A</v>
      </c>
      <c r="Q461" t="e">
        <f t="shared" si="51"/>
        <v>#N/A</v>
      </c>
      <c r="R461" t="e">
        <f t="shared" si="51"/>
        <v>#N/A</v>
      </c>
      <c r="S461" t="e">
        <f t="shared" si="52"/>
        <v>#N/A</v>
      </c>
      <c r="T461" t="e">
        <f t="shared" si="52"/>
        <v>#N/A</v>
      </c>
      <c r="U461" t="e">
        <f t="shared" si="53"/>
        <v>#N/A</v>
      </c>
      <c r="V461" t="e">
        <f t="shared" si="53"/>
        <v>#N/A</v>
      </c>
      <c r="W461" t="e">
        <f t="shared" si="54"/>
        <v>#N/A</v>
      </c>
      <c r="X461" t="e">
        <f t="shared" si="54"/>
        <v>#N/A</v>
      </c>
      <c r="Y461" t="e">
        <f t="shared" si="55"/>
        <v>#N/A</v>
      </c>
      <c r="Z461" t="e">
        <f t="shared" si="55"/>
        <v>#N/A</v>
      </c>
    </row>
    <row r="462" spans="1:26">
      <c r="A462" t="e">
        <f>IF(ISBLANK('[1]Точность устьев скважин'!A464),#N/A,'[1]Точность устьев скважин'!A464)</f>
        <v>#N/A</v>
      </c>
      <c r="B462" t="e">
        <f>IF(ISBLANK('[1]Точность устьев скважин'!B464),#N/A,'[1]Точность устьев скважин'!B464)</f>
        <v>#N/A</v>
      </c>
      <c r="C462" t="e">
        <f>IF(ISBLANK('[1]Точность устьев скважин'!C464),#N/A,'[1]Точность устьев скважин'!C464)</f>
        <v>#N/A</v>
      </c>
      <c r="D462" t="e">
        <f>IF(ISBLANK('[1]Точность устьев скважин'!D464),#N/A,'[1]Точность устьев скважин'!D464)</f>
        <v>#N/A</v>
      </c>
      <c r="G462" t="e">
        <f>IF(ISBLANK('[1]Точность устьев скважин'!H464),#N/A,'[1]Точность устьев скважин'!H464)</f>
        <v>#N/A</v>
      </c>
      <c r="H462" t="e">
        <f>IF(ISBLANK('[1]Точность устьев скважин'!I464),#N/A,'[1]Точность устьев скважин'!I464)</f>
        <v>#N/A</v>
      </c>
      <c r="I462" t="e">
        <f>IF(ISBLANK('[1]Точность устьев скважин'!J464),#N/A,'[1]Точность устьев скважин'!J464)</f>
        <v>#N/A</v>
      </c>
      <c r="J462" t="e">
        <f>IF(ISBLANK('[1]Точность устьев скважин'!K464),#N/A,'[1]Точность устьев скважин'!K464)</f>
        <v>#N/A</v>
      </c>
      <c r="L462" s="63" t="e">
        <f t="shared" si="56"/>
        <v>#N/A</v>
      </c>
      <c r="O462" t="e">
        <f t="shared" si="50"/>
        <v>#N/A</v>
      </c>
      <c r="P462" t="e">
        <f t="shared" si="50"/>
        <v>#N/A</v>
      </c>
      <c r="Q462" t="e">
        <f t="shared" si="51"/>
        <v>#N/A</v>
      </c>
      <c r="R462" t="e">
        <f t="shared" si="51"/>
        <v>#N/A</v>
      </c>
      <c r="S462" t="e">
        <f t="shared" si="52"/>
        <v>#N/A</v>
      </c>
      <c r="T462" t="e">
        <f t="shared" si="52"/>
        <v>#N/A</v>
      </c>
      <c r="U462" t="e">
        <f t="shared" si="53"/>
        <v>#N/A</v>
      </c>
      <c r="V462" t="e">
        <f t="shared" si="53"/>
        <v>#N/A</v>
      </c>
      <c r="W462" t="e">
        <f t="shared" si="54"/>
        <v>#N/A</v>
      </c>
      <c r="X462" t="e">
        <f t="shared" si="54"/>
        <v>#N/A</v>
      </c>
      <c r="Y462" t="e">
        <f t="shared" si="55"/>
        <v>#N/A</v>
      </c>
      <c r="Z462" t="e">
        <f t="shared" si="55"/>
        <v>#N/A</v>
      </c>
    </row>
    <row r="463" spans="1:26">
      <c r="A463" t="e">
        <f>IF(ISBLANK('[1]Точность устьев скважин'!A465),#N/A,'[1]Точность устьев скважин'!A465)</f>
        <v>#N/A</v>
      </c>
      <c r="B463" t="e">
        <f>IF(ISBLANK('[1]Точность устьев скважин'!B465),#N/A,'[1]Точность устьев скважин'!B465)</f>
        <v>#N/A</v>
      </c>
      <c r="C463" t="e">
        <f>IF(ISBLANK('[1]Точность устьев скважин'!C465),#N/A,'[1]Точность устьев скважин'!C465)</f>
        <v>#N/A</v>
      </c>
      <c r="D463" t="e">
        <f>IF(ISBLANK('[1]Точность устьев скважин'!D465),#N/A,'[1]Точность устьев скважин'!D465)</f>
        <v>#N/A</v>
      </c>
      <c r="G463" t="e">
        <f>IF(ISBLANK('[1]Точность устьев скважин'!H465),#N/A,'[1]Точность устьев скважин'!H465)</f>
        <v>#N/A</v>
      </c>
      <c r="H463" t="e">
        <f>IF(ISBLANK('[1]Точность устьев скважин'!I465),#N/A,'[1]Точность устьев скважин'!I465)</f>
        <v>#N/A</v>
      </c>
      <c r="I463" t="e">
        <f>IF(ISBLANK('[1]Точность устьев скважин'!J465),#N/A,'[1]Точность устьев скважин'!J465)</f>
        <v>#N/A</v>
      </c>
      <c r="J463" t="e">
        <f>IF(ISBLANK('[1]Точность устьев скважин'!K465),#N/A,'[1]Точность устьев скважин'!K465)</f>
        <v>#N/A</v>
      </c>
      <c r="L463" s="63" t="e">
        <f t="shared" si="56"/>
        <v>#N/A</v>
      </c>
      <c r="O463" t="e">
        <f t="shared" si="50"/>
        <v>#N/A</v>
      </c>
      <c r="P463" t="e">
        <f t="shared" si="50"/>
        <v>#N/A</v>
      </c>
      <c r="Q463" t="e">
        <f t="shared" si="51"/>
        <v>#N/A</v>
      </c>
      <c r="R463" t="e">
        <f t="shared" si="51"/>
        <v>#N/A</v>
      </c>
      <c r="S463" t="e">
        <f t="shared" si="52"/>
        <v>#N/A</v>
      </c>
      <c r="T463" t="e">
        <f t="shared" si="52"/>
        <v>#N/A</v>
      </c>
      <c r="U463" t="e">
        <f t="shared" si="53"/>
        <v>#N/A</v>
      </c>
      <c r="V463" t="e">
        <f t="shared" si="53"/>
        <v>#N/A</v>
      </c>
      <c r="W463" t="e">
        <f t="shared" si="54"/>
        <v>#N/A</v>
      </c>
      <c r="X463" t="e">
        <f t="shared" si="54"/>
        <v>#N/A</v>
      </c>
      <c r="Y463" t="e">
        <f t="shared" si="55"/>
        <v>#N/A</v>
      </c>
      <c r="Z463" t="e">
        <f t="shared" si="55"/>
        <v>#N/A</v>
      </c>
    </row>
    <row r="464" spans="1:26">
      <c r="A464" t="e">
        <f>IF(ISBLANK('[1]Точность устьев скважин'!A466),#N/A,'[1]Точность устьев скважин'!A466)</f>
        <v>#N/A</v>
      </c>
      <c r="B464" t="e">
        <f>IF(ISBLANK('[1]Точность устьев скважин'!B466),#N/A,'[1]Точность устьев скважин'!B466)</f>
        <v>#N/A</v>
      </c>
      <c r="C464" t="e">
        <f>IF(ISBLANK('[1]Точность устьев скважин'!C466),#N/A,'[1]Точность устьев скважин'!C466)</f>
        <v>#N/A</v>
      </c>
      <c r="D464" t="e">
        <f>IF(ISBLANK('[1]Точность устьев скважин'!D466),#N/A,'[1]Точность устьев скважин'!D466)</f>
        <v>#N/A</v>
      </c>
      <c r="G464" t="e">
        <f>IF(ISBLANK('[1]Точность устьев скважин'!H466),#N/A,'[1]Точность устьев скважин'!H466)</f>
        <v>#N/A</v>
      </c>
      <c r="H464" t="e">
        <f>IF(ISBLANK('[1]Точность устьев скважин'!I466),#N/A,'[1]Точность устьев скважин'!I466)</f>
        <v>#N/A</v>
      </c>
      <c r="I464" t="e">
        <f>IF(ISBLANK('[1]Точность устьев скважин'!J466),#N/A,'[1]Точность устьев скважин'!J466)</f>
        <v>#N/A</v>
      </c>
      <c r="J464" t="e">
        <f>IF(ISBLANK('[1]Точность устьев скважин'!K466),#N/A,'[1]Точность устьев скважин'!K466)</f>
        <v>#N/A</v>
      </c>
      <c r="L464" s="63" t="e">
        <f t="shared" si="56"/>
        <v>#N/A</v>
      </c>
      <c r="O464" t="e">
        <f t="shared" si="50"/>
        <v>#N/A</v>
      </c>
      <c r="P464" t="e">
        <f t="shared" si="50"/>
        <v>#N/A</v>
      </c>
      <c r="Q464" t="e">
        <f t="shared" si="51"/>
        <v>#N/A</v>
      </c>
      <c r="R464" t="e">
        <f t="shared" si="51"/>
        <v>#N/A</v>
      </c>
      <c r="S464" t="e">
        <f t="shared" si="52"/>
        <v>#N/A</v>
      </c>
      <c r="T464" t="e">
        <f t="shared" si="52"/>
        <v>#N/A</v>
      </c>
      <c r="U464" t="e">
        <f t="shared" si="53"/>
        <v>#N/A</v>
      </c>
      <c r="V464" t="e">
        <f t="shared" si="53"/>
        <v>#N/A</v>
      </c>
      <c r="W464" t="e">
        <f t="shared" si="54"/>
        <v>#N/A</v>
      </c>
      <c r="X464" t="e">
        <f t="shared" si="54"/>
        <v>#N/A</v>
      </c>
      <c r="Y464" t="e">
        <f t="shared" si="55"/>
        <v>#N/A</v>
      </c>
      <c r="Z464" t="e">
        <f t="shared" si="55"/>
        <v>#N/A</v>
      </c>
    </row>
    <row r="465" spans="1:26">
      <c r="A465" t="e">
        <f>IF(ISBLANK('[1]Точность устьев скважин'!A467),#N/A,'[1]Точность устьев скважин'!A467)</f>
        <v>#N/A</v>
      </c>
      <c r="B465" t="e">
        <f>IF(ISBLANK('[1]Точность устьев скважин'!B467),#N/A,'[1]Точность устьев скважин'!B467)</f>
        <v>#N/A</v>
      </c>
      <c r="C465" t="e">
        <f>IF(ISBLANK('[1]Точность устьев скважин'!C467),#N/A,'[1]Точность устьев скважин'!C467)</f>
        <v>#N/A</v>
      </c>
      <c r="D465" t="e">
        <f>IF(ISBLANK('[1]Точность устьев скважин'!D467),#N/A,'[1]Точность устьев скважин'!D467)</f>
        <v>#N/A</v>
      </c>
      <c r="G465" t="e">
        <f>IF(ISBLANK('[1]Точность устьев скважин'!H467),#N/A,'[1]Точность устьев скважин'!H467)</f>
        <v>#N/A</v>
      </c>
      <c r="H465" t="e">
        <f>IF(ISBLANK('[1]Точность устьев скважин'!I467),#N/A,'[1]Точность устьев скважин'!I467)</f>
        <v>#N/A</v>
      </c>
      <c r="I465" t="e">
        <f>IF(ISBLANK('[1]Точность устьев скважин'!J467),#N/A,'[1]Точность устьев скважин'!J467)</f>
        <v>#N/A</v>
      </c>
      <c r="J465" t="e">
        <f>IF(ISBLANK('[1]Точность устьев скважин'!K467),#N/A,'[1]Точность устьев скважин'!K467)</f>
        <v>#N/A</v>
      </c>
      <c r="L465" s="63" t="e">
        <f t="shared" si="56"/>
        <v>#N/A</v>
      </c>
      <c r="O465" t="e">
        <f t="shared" si="50"/>
        <v>#N/A</v>
      </c>
      <c r="P465" t="e">
        <f t="shared" si="50"/>
        <v>#N/A</v>
      </c>
      <c r="Q465" t="e">
        <f t="shared" si="51"/>
        <v>#N/A</v>
      </c>
      <c r="R465" t="e">
        <f t="shared" si="51"/>
        <v>#N/A</v>
      </c>
      <c r="S465" t="e">
        <f t="shared" si="52"/>
        <v>#N/A</v>
      </c>
      <c r="T465" t="e">
        <f t="shared" si="52"/>
        <v>#N/A</v>
      </c>
      <c r="U465" t="e">
        <f t="shared" si="53"/>
        <v>#N/A</v>
      </c>
      <c r="V465" t="e">
        <f t="shared" si="53"/>
        <v>#N/A</v>
      </c>
      <c r="W465" t="e">
        <f t="shared" si="54"/>
        <v>#N/A</v>
      </c>
      <c r="X465" t="e">
        <f t="shared" si="54"/>
        <v>#N/A</v>
      </c>
      <c r="Y465" t="e">
        <f t="shared" si="55"/>
        <v>#N/A</v>
      </c>
      <c r="Z465" t="e">
        <f t="shared" si="55"/>
        <v>#N/A</v>
      </c>
    </row>
    <row r="466" spans="1:26">
      <c r="A466" t="e">
        <f>IF(ISBLANK('[1]Точность устьев скважин'!A468),#N/A,'[1]Точность устьев скважин'!A468)</f>
        <v>#N/A</v>
      </c>
      <c r="B466" t="e">
        <f>IF(ISBLANK('[1]Точность устьев скважин'!B468),#N/A,'[1]Точность устьев скважин'!B468)</f>
        <v>#N/A</v>
      </c>
      <c r="C466" t="e">
        <f>IF(ISBLANK('[1]Точность устьев скважин'!C468),#N/A,'[1]Точность устьев скважин'!C468)</f>
        <v>#N/A</v>
      </c>
      <c r="D466" t="e">
        <f>IF(ISBLANK('[1]Точность устьев скважин'!D468),#N/A,'[1]Точность устьев скважин'!D468)</f>
        <v>#N/A</v>
      </c>
      <c r="G466" t="e">
        <f>IF(ISBLANK('[1]Точность устьев скважин'!H468),#N/A,'[1]Точность устьев скважин'!H468)</f>
        <v>#N/A</v>
      </c>
      <c r="H466" t="e">
        <f>IF(ISBLANK('[1]Точность устьев скважин'!I468),#N/A,'[1]Точность устьев скважин'!I468)</f>
        <v>#N/A</v>
      </c>
      <c r="I466" t="e">
        <f>IF(ISBLANK('[1]Точность устьев скважин'!J468),#N/A,'[1]Точность устьев скважин'!J468)</f>
        <v>#N/A</v>
      </c>
      <c r="J466" t="e">
        <f>IF(ISBLANK('[1]Точность устьев скважин'!K468),#N/A,'[1]Точность устьев скважин'!K468)</f>
        <v>#N/A</v>
      </c>
      <c r="L466" s="63" t="e">
        <f t="shared" si="56"/>
        <v>#N/A</v>
      </c>
      <c r="O466" t="e">
        <f t="shared" si="50"/>
        <v>#N/A</v>
      </c>
      <c r="P466" t="e">
        <f t="shared" si="50"/>
        <v>#N/A</v>
      </c>
      <c r="Q466" t="e">
        <f t="shared" si="51"/>
        <v>#N/A</v>
      </c>
      <c r="R466" t="e">
        <f t="shared" si="51"/>
        <v>#N/A</v>
      </c>
      <c r="S466" t="e">
        <f t="shared" si="52"/>
        <v>#N/A</v>
      </c>
      <c r="T466" t="e">
        <f t="shared" si="52"/>
        <v>#N/A</v>
      </c>
      <c r="U466" t="e">
        <f t="shared" si="53"/>
        <v>#N/A</v>
      </c>
      <c r="V466" t="e">
        <f t="shared" si="53"/>
        <v>#N/A</v>
      </c>
      <c r="W466" t="e">
        <f t="shared" si="54"/>
        <v>#N/A</v>
      </c>
      <c r="X466" t="e">
        <f t="shared" si="54"/>
        <v>#N/A</v>
      </c>
      <c r="Y466" t="e">
        <f t="shared" si="55"/>
        <v>#N/A</v>
      </c>
      <c r="Z466" t="e">
        <f t="shared" si="55"/>
        <v>#N/A</v>
      </c>
    </row>
    <row r="467" spans="1:26">
      <c r="A467" t="e">
        <f>IF(ISBLANK('[1]Точность устьев скважин'!A469),#N/A,'[1]Точность устьев скважин'!A469)</f>
        <v>#N/A</v>
      </c>
      <c r="B467" t="e">
        <f>IF(ISBLANK('[1]Точность устьев скважин'!B469),#N/A,'[1]Точность устьев скважин'!B469)</f>
        <v>#N/A</v>
      </c>
      <c r="C467" t="e">
        <f>IF(ISBLANK('[1]Точность устьев скважин'!C469),#N/A,'[1]Точность устьев скважин'!C469)</f>
        <v>#N/A</v>
      </c>
      <c r="D467" t="e">
        <f>IF(ISBLANK('[1]Точность устьев скважин'!D469),#N/A,'[1]Точность устьев скважин'!D469)</f>
        <v>#N/A</v>
      </c>
      <c r="G467" t="e">
        <f>IF(ISBLANK('[1]Точность устьев скважин'!H469),#N/A,'[1]Точность устьев скважин'!H469)</f>
        <v>#N/A</v>
      </c>
      <c r="H467" t="e">
        <f>IF(ISBLANK('[1]Точность устьев скважин'!I469),#N/A,'[1]Точность устьев скважин'!I469)</f>
        <v>#N/A</v>
      </c>
      <c r="I467" t="e">
        <f>IF(ISBLANK('[1]Точность устьев скважин'!J469),#N/A,'[1]Точность устьев скважин'!J469)</f>
        <v>#N/A</v>
      </c>
      <c r="J467" t="e">
        <f>IF(ISBLANK('[1]Точность устьев скважин'!K469),#N/A,'[1]Точность устьев скважин'!K469)</f>
        <v>#N/A</v>
      </c>
      <c r="L467" s="63" t="e">
        <f t="shared" si="56"/>
        <v>#N/A</v>
      </c>
      <c r="O467" t="e">
        <f t="shared" si="50"/>
        <v>#N/A</v>
      </c>
      <c r="P467" t="e">
        <f t="shared" si="50"/>
        <v>#N/A</v>
      </c>
      <c r="Q467" t="e">
        <f t="shared" si="51"/>
        <v>#N/A</v>
      </c>
      <c r="R467" t="e">
        <f t="shared" si="51"/>
        <v>#N/A</v>
      </c>
      <c r="S467" t="e">
        <f t="shared" si="52"/>
        <v>#N/A</v>
      </c>
      <c r="T467" t="e">
        <f t="shared" si="52"/>
        <v>#N/A</v>
      </c>
      <c r="U467" t="e">
        <f t="shared" si="53"/>
        <v>#N/A</v>
      </c>
      <c r="V467" t="e">
        <f t="shared" si="53"/>
        <v>#N/A</v>
      </c>
      <c r="W467" t="e">
        <f t="shared" si="54"/>
        <v>#N/A</v>
      </c>
      <c r="X467" t="e">
        <f t="shared" si="54"/>
        <v>#N/A</v>
      </c>
      <c r="Y467" t="e">
        <f t="shared" si="55"/>
        <v>#N/A</v>
      </c>
      <c r="Z467" t="e">
        <f t="shared" si="55"/>
        <v>#N/A</v>
      </c>
    </row>
    <row r="468" spans="1:26">
      <c r="A468" t="e">
        <f>IF(ISBLANK('[1]Точность устьев скважин'!A470),#N/A,'[1]Точность устьев скважин'!A470)</f>
        <v>#N/A</v>
      </c>
      <c r="B468" t="e">
        <f>IF(ISBLANK('[1]Точность устьев скважин'!B470),#N/A,'[1]Точность устьев скважин'!B470)</f>
        <v>#N/A</v>
      </c>
      <c r="C468" t="e">
        <f>IF(ISBLANK('[1]Точность устьев скважин'!C470),#N/A,'[1]Точность устьев скважин'!C470)</f>
        <v>#N/A</v>
      </c>
      <c r="D468" t="e">
        <f>IF(ISBLANK('[1]Точность устьев скважин'!D470),#N/A,'[1]Точность устьев скважин'!D470)</f>
        <v>#N/A</v>
      </c>
      <c r="G468" t="e">
        <f>IF(ISBLANK('[1]Точность устьев скважин'!H470),#N/A,'[1]Точность устьев скважин'!H470)</f>
        <v>#N/A</v>
      </c>
      <c r="H468" t="e">
        <f>IF(ISBLANK('[1]Точность устьев скважин'!I470),#N/A,'[1]Точность устьев скважин'!I470)</f>
        <v>#N/A</v>
      </c>
      <c r="I468" t="e">
        <f>IF(ISBLANK('[1]Точность устьев скважин'!J470),#N/A,'[1]Точность устьев скважин'!J470)</f>
        <v>#N/A</v>
      </c>
      <c r="J468" t="e">
        <f>IF(ISBLANK('[1]Точность устьев скважин'!K470),#N/A,'[1]Точность устьев скважин'!K470)</f>
        <v>#N/A</v>
      </c>
      <c r="L468" s="63" t="e">
        <f t="shared" si="56"/>
        <v>#N/A</v>
      </c>
      <c r="O468" t="e">
        <f t="shared" si="50"/>
        <v>#N/A</v>
      </c>
      <c r="P468" t="e">
        <f t="shared" si="50"/>
        <v>#N/A</v>
      </c>
      <c r="Q468" t="e">
        <f t="shared" si="51"/>
        <v>#N/A</v>
      </c>
      <c r="R468" t="e">
        <f t="shared" si="51"/>
        <v>#N/A</v>
      </c>
      <c r="S468" t="e">
        <f t="shared" si="52"/>
        <v>#N/A</v>
      </c>
      <c r="T468" t="e">
        <f t="shared" si="52"/>
        <v>#N/A</v>
      </c>
      <c r="U468" t="e">
        <f t="shared" si="53"/>
        <v>#N/A</v>
      </c>
      <c r="V468" t="e">
        <f t="shared" si="53"/>
        <v>#N/A</v>
      </c>
      <c r="W468" t="e">
        <f t="shared" si="54"/>
        <v>#N/A</v>
      </c>
      <c r="X468" t="e">
        <f t="shared" si="54"/>
        <v>#N/A</v>
      </c>
      <c r="Y468" t="e">
        <f t="shared" si="55"/>
        <v>#N/A</v>
      </c>
      <c r="Z468" t="e">
        <f t="shared" si="55"/>
        <v>#N/A</v>
      </c>
    </row>
    <row r="469" spans="1:26">
      <c r="A469" t="e">
        <f>IF(ISBLANK('[1]Точность устьев скважин'!A471),#N/A,'[1]Точность устьев скважин'!A471)</f>
        <v>#N/A</v>
      </c>
      <c r="B469" t="e">
        <f>IF(ISBLANK('[1]Точность устьев скважин'!B471),#N/A,'[1]Точность устьев скважин'!B471)</f>
        <v>#N/A</v>
      </c>
      <c r="C469" t="e">
        <f>IF(ISBLANK('[1]Точность устьев скважин'!C471),#N/A,'[1]Точность устьев скважин'!C471)</f>
        <v>#N/A</v>
      </c>
      <c r="D469" t="e">
        <f>IF(ISBLANK('[1]Точность устьев скважин'!D471),#N/A,'[1]Точность устьев скважин'!D471)</f>
        <v>#N/A</v>
      </c>
      <c r="G469" t="e">
        <f>IF(ISBLANK('[1]Точность устьев скважин'!H471),#N/A,'[1]Точность устьев скважин'!H471)</f>
        <v>#N/A</v>
      </c>
      <c r="H469" t="e">
        <f>IF(ISBLANK('[1]Точность устьев скважин'!I471),#N/A,'[1]Точность устьев скважин'!I471)</f>
        <v>#N/A</v>
      </c>
      <c r="I469" t="e">
        <f>IF(ISBLANK('[1]Точность устьев скважин'!J471),#N/A,'[1]Точность устьев скважин'!J471)</f>
        <v>#N/A</v>
      </c>
      <c r="J469" t="e">
        <f>IF(ISBLANK('[1]Точность устьев скважин'!K471),#N/A,'[1]Точность устьев скважин'!K471)</f>
        <v>#N/A</v>
      </c>
      <c r="L469" s="63" t="e">
        <f t="shared" si="56"/>
        <v>#N/A</v>
      </c>
      <c r="O469" t="e">
        <f t="shared" si="50"/>
        <v>#N/A</v>
      </c>
      <c r="P469" t="e">
        <f t="shared" si="50"/>
        <v>#N/A</v>
      </c>
      <c r="Q469" t="e">
        <f t="shared" si="51"/>
        <v>#N/A</v>
      </c>
      <c r="R469" t="e">
        <f t="shared" si="51"/>
        <v>#N/A</v>
      </c>
      <c r="S469" t="e">
        <f t="shared" si="52"/>
        <v>#N/A</v>
      </c>
      <c r="T469" t="e">
        <f t="shared" si="52"/>
        <v>#N/A</v>
      </c>
      <c r="U469" t="e">
        <f t="shared" si="53"/>
        <v>#N/A</v>
      </c>
      <c r="V469" t="e">
        <f t="shared" si="53"/>
        <v>#N/A</v>
      </c>
      <c r="W469" t="e">
        <f t="shared" si="54"/>
        <v>#N/A</v>
      </c>
      <c r="X469" t="e">
        <f t="shared" si="54"/>
        <v>#N/A</v>
      </c>
      <c r="Y469" t="e">
        <f t="shared" si="55"/>
        <v>#N/A</v>
      </c>
      <c r="Z469" t="e">
        <f t="shared" si="55"/>
        <v>#N/A</v>
      </c>
    </row>
    <row r="470" spans="1:26">
      <c r="A470" t="e">
        <f>IF(ISBLANK('[1]Точность устьев скважин'!A472),#N/A,'[1]Точность устьев скважин'!A472)</f>
        <v>#N/A</v>
      </c>
      <c r="B470" t="e">
        <f>IF(ISBLANK('[1]Точность устьев скважин'!B472),#N/A,'[1]Точность устьев скважин'!B472)</f>
        <v>#N/A</v>
      </c>
      <c r="C470" t="e">
        <f>IF(ISBLANK('[1]Точность устьев скважин'!C472),#N/A,'[1]Точность устьев скважин'!C472)</f>
        <v>#N/A</v>
      </c>
      <c r="D470" t="e">
        <f>IF(ISBLANK('[1]Точность устьев скважин'!D472),#N/A,'[1]Точность устьев скважин'!D472)</f>
        <v>#N/A</v>
      </c>
      <c r="G470" t="e">
        <f>IF(ISBLANK('[1]Точность устьев скважин'!H472),#N/A,'[1]Точность устьев скважин'!H472)</f>
        <v>#N/A</v>
      </c>
      <c r="H470" t="e">
        <f>IF(ISBLANK('[1]Точность устьев скважин'!I472),#N/A,'[1]Точность устьев скважин'!I472)</f>
        <v>#N/A</v>
      </c>
      <c r="I470" t="e">
        <f>IF(ISBLANK('[1]Точность устьев скважин'!J472),#N/A,'[1]Точность устьев скважин'!J472)</f>
        <v>#N/A</v>
      </c>
      <c r="J470" t="e">
        <f>IF(ISBLANK('[1]Точность устьев скважин'!K472),#N/A,'[1]Точность устьев скважин'!K472)</f>
        <v>#N/A</v>
      </c>
      <c r="L470" s="63" t="e">
        <f t="shared" si="56"/>
        <v>#N/A</v>
      </c>
      <c r="O470" t="e">
        <f t="shared" si="50"/>
        <v>#N/A</v>
      </c>
      <c r="P470" t="e">
        <f t="shared" si="50"/>
        <v>#N/A</v>
      </c>
      <c r="Q470" t="e">
        <f t="shared" si="51"/>
        <v>#N/A</v>
      </c>
      <c r="R470" t="e">
        <f t="shared" si="51"/>
        <v>#N/A</v>
      </c>
      <c r="S470" t="e">
        <f t="shared" si="52"/>
        <v>#N/A</v>
      </c>
      <c r="T470" t="e">
        <f t="shared" si="52"/>
        <v>#N/A</v>
      </c>
      <c r="U470" t="e">
        <f t="shared" si="53"/>
        <v>#N/A</v>
      </c>
      <c r="V470" t="e">
        <f t="shared" si="53"/>
        <v>#N/A</v>
      </c>
      <c r="W470" t="e">
        <f t="shared" si="54"/>
        <v>#N/A</v>
      </c>
      <c r="X470" t="e">
        <f t="shared" si="54"/>
        <v>#N/A</v>
      </c>
      <c r="Y470" t="e">
        <f t="shared" si="55"/>
        <v>#N/A</v>
      </c>
      <c r="Z470" t="e">
        <f t="shared" si="55"/>
        <v>#N/A</v>
      </c>
    </row>
    <row r="471" spans="1:26">
      <c r="A471" t="e">
        <f>IF(ISBLANK('[1]Точность устьев скважин'!A473),#N/A,'[1]Точность устьев скважин'!A473)</f>
        <v>#N/A</v>
      </c>
      <c r="B471" t="e">
        <f>IF(ISBLANK('[1]Точность устьев скважин'!B473),#N/A,'[1]Точность устьев скважин'!B473)</f>
        <v>#N/A</v>
      </c>
      <c r="C471" t="e">
        <f>IF(ISBLANK('[1]Точность устьев скважин'!C473),#N/A,'[1]Точность устьев скважин'!C473)</f>
        <v>#N/A</v>
      </c>
      <c r="D471" t="e">
        <f>IF(ISBLANK('[1]Точность устьев скважин'!D473),#N/A,'[1]Точность устьев скважин'!D473)</f>
        <v>#N/A</v>
      </c>
      <c r="G471" t="e">
        <f>IF(ISBLANK('[1]Точность устьев скважин'!H473),#N/A,'[1]Точность устьев скважин'!H473)</f>
        <v>#N/A</v>
      </c>
      <c r="H471" t="e">
        <f>IF(ISBLANK('[1]Точность устьев скважин'!I473),#N/A,'[1]Точность устьев скважин'!I473)</f>
        <v>#N/A</v>
      </c>
      <c r="I471" t="e">
        <f>IF(ISBLANK('[1]Точность устьев скважин'!J473),#N/A,'[1]Точность устьев скважин'!J473)</f>
        <v>#N/A</v>
      </c>
      <c r="J471" t="e">
        <f>IF(ISBLANK('[1]Точность устьев скважин'!K473),#N/A,'[1]Точность устьев скважин'!K473)</f>
        <v>#N/A</v>
      </c>
      <c r="L471" s="63" t="e">
        <f t="shared" si="56"/>
        <v>#N/A</v>
      </c>
      <c r="O471" t="e">
        <f t="shared" si="50"/>
        <v>#N/A</v>
      </c>
      <c r="P471" t="e">
        <f t="shared" si="50"/>
        <v>#N/A</v>
      </c>
      <c r="Q471" t="e">
        <f t="shared" si="51"/>
        <v>#N/A</v>
      </c>
      <c r="R471" t="e">
        <f t="shared" si="51"/>
        <v>#N/A</v>
      </c>
      <c r="S471" t="e">
        <f t="shared" si="52"/>
        <v>#N/A</v>
      </c>
      <c r="T471" t="e">
        <f t="shared" si="52"/>
        <v>#N/A</v>
      </c>
      <c r="U471" t="e">
        <f t="shared" si="53"/>
        <v>#N/A</v>
      </c>
      <c r="V471" t="e">
        <f t="shared" si="53"/>
        <v>#N/A</v>
      </c>
      <c r="W471" t="e">
        <f t="shared" si="54"/>
        <v>#N/A</v>
      </c>
      <c r="X471" t="e">
        <f t="shared" si="54"/>
        <v>#N/A</v>
      </c>
      <c r="Y471" t="e">
        <f t="shared" si="55"/>
        <v>#N/A</v>
      </c>
      <c r="Z471" t="e">
        <f t="shared" si="55"/>
        <v>#N/A</v>
      </c>
    </row>
    <row r="472" spans="1:26">
      <c r="A472" t="e">
        <f>IF(ISBLANK('[1]Точность устьев скважин'!A474),#N/A,'[1]Точность устьев скважин'!A474)</f>
        <v>#N/A</v>
      </c>
      <c r="B472" t="e">
        <f>IF(ISBLANK('[1]Точность устьев скважин'!B474),#N/A,'[1]Точность устьев скважин'!B474)</f>
        <v>#N/A</v>
      </c>
      <c r="C472" t="e">
        <f>IF(ISBLANK('[1]Точность устьев скважин'!C474),#N/A,'[1]Точность устьев скважин'!C474)</f>
        <v>#N/A</v>
      </c>
      <c r="D472" t="e">
        <f>IF(ISBLANK('[1]Точность устьев скважин'!D474),#N/A,'[1]Точность устьев скважин'!D474)</f>
        <v>#N/A</v>
      </c>
      <c r="G472" t="e">
        <f>IF(ISBLANK('[1]Точность устьев скважин'!H474),#N/A,'[1]Точность устьев скважин'!H474)</f>
        <v>#N/A</v>
      </c>
      <c r="H472" t="e">
        <f>IF(ISBLANK('[1]Точность устьев скважин'!I474),#N/A,'[1]Точность устьев скважин'!I474)</f>
        <v>#N/A</v>
      </c>
      <c r="I472" t="e">
        <f>IF(ISBLANK('[1]Точность устьев скважин'!J474),#N/A,'[1]Точность устьев скважин'!J474)</f>
        <v>#N/A</v>
      </c>
      <c r="J472" t="e">
        <f>IF(ISBLANK('[1]Точность устьев скважин'!K474),#N/A,'[1]Точность устьев скважин'!K474)</f>
        <v>#N/A</v>
      </c>
      <c r="L472" s="63" t="e">
        <f t="shared" si="56"/>
        <v>#N/A</v>
      </c>
      <c r="O472" t="e">
        <f t="shared" si="50"/>
        <v>#N/A</v>
      </c>
      <c r="P472" t="e">
        <f t="shared" si="50"/>
        <v>#N/A</v>
      </c>
      <c r="Q472" t="e">
        <f t="shared" si="51"/>
        <v>#N/A</v>
      </c>
      <c r="R472" t="e">
        <f t="shared" si="51"/>
        <v>#N/A</v>
      </c>
      <c r="S472" t="e">
        <f t="shared" si="52"/>
        <v>#N/A</v>
      </c>
      <c r="T472" t="e">
        <f t="shared" si="52"/>
        <v>#N/A</v>
      </c>
      <c r="U472" t="e">
        <f t="shared" si="53"/>
        <v>#N/A</v>
      </c>
      <c r="V472" t="e">
        <f t="shared" si="53"/>
        <v>#N/A</v>
      </c>
      <c r="W472" t="e">
        <f t="shared" si="54"/>
        <v>#N/A</v>
      </c>
      <c r="X472" t="e">
        <f t="shared" si="54"/>
        <v>#N/A</v>
      </c>
      <c r="Y472" t="e">
        <f t="shared" si="55"/>
        <v>#N/A</v>
      </c>
      <c r="Z472" t="e">
        <f t="shared" si="55"/>
        <v>#N/A</v>
      </c>
    </row>
    <row r="473" spans="1:26">
      <c r="A473" t="e">
        <f>IF(ISBLANK('[1]Точность устьев скважин'!A475),#N/A,'[1]Точность устьев скважин'!A475)</f>
        <v>#N/A</v>
      </c>
      <c r="B473" t="e">
        <f>IF(ISBLANK('[1]Точность устьев скважин'!B475),#N/A,'[1]Точность устьев скважин'!B475)</f>
        <v>#N/A</v>
      </c>
      <c r="C473" t="e">
        <f>IF(ISBLANK('[1]Точность устьев скважин'!C475),#N/A,'[1]Точность устьев скважин'!C475)</f>
        <v>#N/A</v>
      </c>
      <c r="D473" t="e">
        <f>IF(ISBLANK('[1]Точность устьев скважин'!D475),#N/A,'[1]Точность устьев скважин'!D475)</f>
        <v>#N/A</v>
      </c>
      <c r="G473" t="e">
        <f>IF(ISBLANK('[1]Точность устьев скважин'!H475),#N/A,'[1]Точность устьев скважин'!H475)</f>
        <v>#N/A</v>
      </c>
      <c r="H473" t="e">
        <f>IF(ISBLANK('[1]Точность устьев скважин'!I475),#N/A,'[1]Точность устьев скважин'!I475)</f>
        <v>#N/A</v>
      </c>
      <c r="I473" t="e">
        <f>IF(ISBLANK('[1]Точность устьев скважин'!J475),#N/A,'[1]Точность устьев скважин'!J475)</f>
        <v>#N/A</v>
      </c>
      <c r="J473" t="e">
        <f>IF(ISBLANK('[1]Точность устьев скважин'!K475),#N/A,'[1]Точность устьев скважин'!K475)</f>
        <v>#N/A</v>
      </c>
      <c r="L473" s="63" t="e">
        <f t="shared" si="56"/>
        <v>#N/A</v>
      </c>
      <c r="O473" t="e">
        <f t="shared" si="50"/>
        <v>#N/A</v>
      </c>
      <c r="P473" t="e">
        <f t="shared" si="50"/>
        <v>#N/A</v>
      </c>
      <c r="Q473" t="e">
        <f t="shared" si="51"/>
        <v>#N/A</v>
      </c>
      <c r="R473" t="e">
        <f t="shared" si="51"/>
        <v>#N/A</v>
      </c>
      <c r="S473" t="e">
        <f t="shared" si="52"/>
        <v>#N/A</v>
      </c>
      <c r="T473" t="e">
        <f t="shared" si="52"/>
        <v>#N/A</v>
      </c>
      <c r="U473" t="e">
        <f t="shared" si="53"/>
        <v>#N/A</v>
      </c>
      <c r="V473" t="e">
        <f t="shared" si="53"/>
        <v>#N/A</v>
      </c>
      <c r="W473" t="e">
        <f t="shared" si="54"/>
        <v>#N/A</v>
      </c>
      <c r="X473" t="e">
        <f t="shared" si="54"/>
        <v>#N/A</v>
      </c>
      <c r="Y473" t="e">
        <f t="shared" si="55"/>
        <v>#N/A</v>
      </c>
      <c r="Z473" t="e">
        <f t="shared" si="55"/>
        <v>#N/A</v>
      </c>
    </row>
    <row r="474" spans="1:26">
      <c r="A474" t="e">
        <f>IF(ISBLANK('[1]Точность устьев скважин'!A476),#N/A,'[1]Точность устьев скважин'!A476)</f>
        <v>#N/A</v>
      </c>
      <c r="B474" t="e">
        <f>IF(ISBLANK('[1]Точность устьев скважин'!B476),#N/A,'[1]Точность устьев скважин'!B476)</f>
        <v>#N/A</v>
      </c>
      <c r="C474" t="e">
        <f>IF(ISBLANK('[1]Точность устьев скважин'!C476),#N/A,'[1]Точность устьев скважин'!C476)</f>
        <v>#N/A</v>
      </c>
      <c r="D474" t="e">
        <f>IF(ISBLANK('[1]Точность устьев скважин'!D476),#N/A,'[1]Точность устьев скважин'!D476)</f>
        <v>#N/A</v>
      </c>
      <c r="G474" t="e">
        <f>IF(ISBLANK('[1]Точность устьев скважин'!H476),#N/A,'[1]Точность устьев скважин'!H476)</f>
        <v>#N/A</v>
      </c>
      <c r="H474" t="e">
        <f>IF(ISBLANK('[1]Точность устьев скважин'!I476),#N/A,'[1]Точность устьев скважин'!I476)</f>
        <v>#N/A</v>
      </c>
      <c r="I474" t="e">
        <f>IF(ISBLANK('[1]Точность устьев скважин'!J476),#N/A,'[1]Точность устьев скважин'!J476)</f>
        <v>#N/A</v>
      </c>
      <c r="J474" t="e">
        <f>IF(ISBLANK('[1]Точность устьев скважин'!K476),#N/A,'[1]Точность устьев скважин'!K476)</f>
        <v>#N/A</v>
      </c>
      <c r="L474" s="63" t="e">
        <f t="shared" si="56"/>
        <v>#N/A</v>
      </c>
      <c r="O474" t="e">
        <f t="shared" si="50"/>
        <v>#N/A</v>
      </c>
      <c r="P474" t="e">
        <f t="shared" si="50"/>
        <v>#N/A</v>
      </c>
      <c r="Q474" t="e">
        <f t="shared" si="51"/>
        <v>#N/A</v>
      </c>
      <c r="R474" t="e">
        <f t="shared" si="51"/>
        <v>#N/A</v>
      </c>
      <c r="S474" t="e">
        <f t="shared" si="52"/>
        <v>#N/A</v>
      </c>
      <c r="T474" t="e">
        <f t="shared" si="52"/>
        <v>#N/A</v>
      </c>
      <c r="U474" t="e">
        <f t="shared" si="53"/>
        <v>#N/A</v>
      </c>
      <c r="V474" t="e">
        <f t="shared" si="53"/>
        <v>#N/A</v>
      </c>
      <c r="W474" t="e">
        <f t="shared" si="54"/>
        <v>#N/A</v>
      </c>
      <c r="X474" t="e">
        <f t="shared" si="54"/>
        <v>#N/A</v>
      </c>
      <c r="Y474" t="e">
        <f t="shared" si="55"/>
        <v>#N/A</v>
      </c>
      <c r="Z474" t="e">
        <f t="shared" si="55"/>
        <v>#N/A</v>
      </c>
    </row>
    <row r="475" spans="1:26">
      <c r="A475" t="e">
        <f>IF(ISBLANK('[1]Точность устьев скважин'!A477),#N/A,'[1]Точность устьев скважин'!A477)</f>
        <v>#N/A</v>
      </c>
      <c r="B475" t="e">
        <f>IF(ISBLANK('[1]Точность устьев скважин'!B477),#N/A,'[1]Точность устьев скважин'!B477)</f>
        <v>#N/A</v>
      </c>
      <c r="C475" t="e">
        <f>IF(ISBLANK('[1]Точность устьев скважин'!C477),#N/A,'[1]Точность устьев скважин'!C477)</f>
        <v>#N/A</v>
      </c>
      <c r="D475" t="e">
        <f>IF(ISBLANK('[1]Точность устьев скважин'!D477),#N/A,'[1]Точность устьев скважин'!D477)</f>
        <v>#N/A</v>
      </c>
      <c r="G475" t="e">
        <f>IF(ISBLANK('[1]Точность устьев скважин'!H477),#N/A,'[1]Точность устьев скважин'!H477)</f>
        <v>#N/A</v>
      </c>
      <c r="H475" t="e">
        <f>IF(ISBLANK('[1]Точность устьев скважин'!I477),#N/A,'[1]Точность устьев скважин'!I477)</f>
        <v>#N/A</v>
      </c>
      <c r="I475" t="e">
        <f>IF(ISBLANK('[1]Точность устьев скважин'!J477),#N/A,'[1]Точность устьев скважин'!J477)</f>
        <v>#N/A</v>
      </c>
      <c r="J475" t="e">
        <f>IF(ISBLANK('[1]Точность устьев скважин'!K477),#N/A,'[1]Точность устьев скважин'!K477)</f>
        <v>#N/A</v>
      </c>
      <c r="L475" s="63" t="e">
        <f t="shared" si="56"/>
        <v>#N/A</v>
      </c>
      <c r="O475" t="e">
        <f t="shared" si="50"/>
        <v>#N/A</v>
      </c>
      <c r="P475" t="e">
        <f t="shared" si="50"/>
        <v>#N/A</v>
      </c>
      <c r="Q475" t="e">
        <f t="shared" si="51"/>
        <v>#N/A</v>
      </c>
      <c r="R475" t="e">
        <f t="shared" si="51"/>
        <v>#N/A</v>
      </c>
      <c r="S475" t="e">
        <f t="shared" si="52"/>
        <v>#N/A</v>
      </c>
      <c r="T475" t="e">
        <f t="shared" si="52"/>
        <v>#N/A</v>
      </c>
      <c r="U475" t="e">
        <f t="shared" si="53"/>
        <v>#N/A</v>
      </c>
      <c r="V475" t="e">
        <f t="shared" si="53"/>
        <v>#N/A</v>
      </c>
      <c r="W475" t="e">
        <f t="shared" si="54"/>
        <v>#N/A</v>
      </c>
      <c r="X475" t="e">
        <f t="shared" si="54"/>
        <v>#N/A</v>
      </c>
      <c r="Y475" t="e">
        <f t="shared" si="55"/>
        <v>#N/A</v>
      </c>
      <c r="Z475" t="e">
        <f t="shared" si="55"/>
        <v>#N/A</v>
      </c>
    </row>
    <row r="476" spans="1:26">
      <c r="A476" t="e">
        <f>IF(ISBLANK('[1]Точность устьев скважин'!A478),#N/A,'[1]Точность устьев скважин'!A478)</f>
        <v>#N/A</v>
      </c>
      <c r="B476" t="e">
        <f>IF(ISBLANK('[1]Точность устьев скважин'!B478),#N/A,'[1]Точность устьев скважин'!B478)</f>
        <v>#N/A</v>
      </c>
      <c r="C476" t="e">
        <f>IF(ISBLANK('[1]Точность устьев скважин'!C478),#N/A,'[1]Точность устьев скважин'!C478)</f>
        <v>#N/A</v>
      </c>
      <c r="D476" t="e">
        <f>IF(ISBLANK('[1]Точность устьев скважин'!D478),#N/A,'[1]Точность устьев скважин'!D478)</f>
        <v>#N/A</v>
      </c>
      <c r="G476" t="e">
        <f>IF(ISBLANK('[1]Точность устьев скважин'!H478),#N/A,'[1]Точность устьев скважин'!H478)</f>
        <v>#N/A</v>
      </c>
      <c r="H476" t="e">
        <f>IF(ISBLANK('[1]Точность устьев скважин'!I478),#N/A,'[1]Точность устьев скважин'!I478)</f>
        <v>#N/A</v>
      </c>
      <c r="I476" t="e">
        <f>IF(ISBLANK('[1]Точность устьев скважин'!J478),#N/A,'[1]Точность устьев скважин'!J478)</f>
        <v>#N/A</v>
      </c>
      <c r="J476" t="e">
        <f>IF(ISBLANK('[1]Точность устьев скважин'!K478),#N/A,'[1]Точность устьев скважин'!K478)</f>
        <v>#N/A</v>
      </c>
      <c r="L476" s="63" t="e">
        <f t="shared" si="56"/>
        <v>#N/A</v>
      </c>
      <c r="O476" t="e">
        <f t="shared" si="50"/>
        <v>#N/A</v>
      </c>
      <c r="P476" t="e">
        <f t="shared" si="50"/>
        <v>#N/A</v>
      </c>
      <c r="Q476" t="e">
        <f t="shared" si="51"/>
        <v>#N/A</v>
      </c>
      <c r="R476" t="e">
        <f t="shared" si="51"/>
        <v>#N/A</v>
      </c>
      <c r="S476" t="e">
        <f t="shared" si="52"/>
        <v>#N/A</v>
      </c>
      <c r="T476" t="e">
        <f t="shared" si="52"/>
        <v>#N/A</v>
      </c>
      <c r="U476" t="e">
        <f t="shared" si="53"/>
        <v>#N/A</v>
      </c>
      <c r="V476" t="e">
        <f t="shared" si="53"/>
        <v>#N/A</v>
      </c>
      <c r="W476" t="e">
        <f t="shared" si="54"/>
        <v>#N/A</v>
      </c>
      <c r="X476" t="e">
        <f t="shared" si="54"/>
        <v>#N/A</v>
      </c>
      <c r="Y476" t="e">
        <f t="shared" si="55"/>
        <v>#N/A</v>
      </c>
      <c r="Z476" t="e">
        <f t="shared" si="55"/>
        <v>#N/A</v>
      </c>
    </row>
    <row r="477" spans="1:26">
      <c r="A477" t="e">
        <f>IF(ISBLANK('[1]Точность устьев скважин'!A479),#N/A,'[1]Точность устьев скважин'!A479)</f>
        <v>#N/A</v>
      </c>
      <c r="B477" t="e">
        <f>IF(ISBLANK('[1]Точность устьев скважин'!B479),#N/A,'[1]Точность устьев скважин'!B479)</f>
        <v>#N/A</v>
      </c>
      <c r="C477" t="e">
        <f>IF(ISBLANK('[1]Точность устьев скважин'!C479),#N/A,'[1]Точность устьев скважин'!C479)</f>
        <v>#N/A</v>
      </c>
      <c r="D477" t="e">
        <f>IF(ISBLANK('[1]Точность устьев скважин'!D479),#N/A,'[1]Точность устьев скважин'!D479)</f>
        <v>#N/A</v>
      </c>
      <c r="G477" t="e">
        <f>IF(ISBLANK('[1]Точность устьев скважин'!H479),#N/A,'[1]Точность устьев скважин'!H479)</f>
        <v>#N/A</v>
      </c>
      <c r="H477" t="e">
        <f>IF(ISBLANK('[1]Точность устьев скважин'!I479),#N/A,'[1]Точность устьев скважин'!I479)</f>
        <v>#N/A</v>
      </c>
      <c r="I477" t="e">
        <f>IF(ISBLANK('[1]Точность устьев скважин'!J479),#N/A,'[1]Точность устьев скважин'!J479)</f>
        <v>#N/A</v>
      </c>
      <c r="J477" t="e">
        <f>IF(ISBLANK('[1]Точность устьев скважин'!K479),#N/A,'[1]Точность устьев скважин'!K479)</f>
        <v>#N/A</v>
      </c>
      <c r="L477" s="63" t="e">
        <f t="shared" si="56"/>
        <v>#N/A</v>
      </c>
      <c r="O477" t="e">
        <f t="shared" si="50"/>
        <v>#N/A</v>
      </c>
      <c r="P477" t="e">
        <f t="shared" si="50"/>
        <v>#N/A</v>
      </c>
      <c r="Q477" t="e">
        <f t="shared" si="51"/>
        <v>#N/A</v>
      </c>
      <c r="R477" t="e">
        <f t="shared" si="51"/>
        <v>#N/A</v>
      </c>
      <c r="S477" t="e">
        <f t="shared" si="52"/>
        <v>#N/A</v>
      </c>
      <c r="T477" t="e">
        <f t="shared" si="52"/>
        <v>#N/A</v>
      </c>
      <c r="U477" t="e">
        <f t="shared" si="53"/>
        <v>#N/A</v>
      </c>
      <c r="V477" t="e">
        <f t="shared" si="53"/>
        <v>#N/A</v>
      </c>
      <c r="W477" t="e">
        <f t="shared" si="54"/>
        <v>#N/A</v>
      </c>
      <c r="X477" t="e">
        <f t="shared" si="54"/>
        <v>#N/A</v>
      </c>
      <c r="Y477" t="e">
        <f t="shared" si="55"/>
        <v>#N/A</v>
      </c>
      <c r="Z477" t="e">
        <f t="shared" si="55"/>
        <v>#N/A</v>
      </c>
    </row>
    <row r="478" spans="1:26">
      <c r="A478" t="e">
        <f>IF(ISBLANK('[1]Точность устьев скважин'!A480),#N/A,'[1]Точность устьев скважин'!A480)</f>
        <v>#N/A</v>
      </c>
      <c r="B478" t="e">
        <f>IF(ISBLANK('[1]Точность устьев скважин'!B480),#N/A,'[1]Точность устьев скважин'!B480)</f>
        <v>#N/A</v>
      </c>
      <c r="C478" t="e">
        <f>IF(ISBLANK('[1]Точность устьев скважин'!C480),#N/A,'[1]Точность устьев скважин'!C480)</f>
        <v>#N/A</v>
      </c>
      <c r="D478" t="e">
        <f>IF(ISBLANK('[1]Точность устьев скважин'!D480),#N/A,'[1]Точность устьев скважин'!D480)</f>
        <v>#N/A</v>
      </c>
      <c r="G478" t="e">
        <f>IF(ISBLANK('[1]Точность устьев скважин'!H480),#N/A,'[1]Точность устьев скважин'!H480)</f>
        <v>#N/A</v>
      </c>
      <c r="H478" t="e">
        <f>IF(ISBLANK('[1]Точность устьев скважин'!I480),#N/A,'[1]Точность устьев скважин'!I480)</f>
        <v>#N/A</v>
      </c>
      <c r="I478" t="e">
        <f>IF(ISBLANK('[1]Точность устьев скважин'!J480),#N/A,'[1]Точность устьев скважин'!J480)</f>
        <v>#N/A</v>
      </c>
      <c r="J478" t="e">
        <f>IF(ISBLANK('[1]Точность устьев скважин'!K480),#N/A,'[1]Точность устьев скважин'!K480)</f>
        <v>#N/A</v>
      </c>
      <c r="L478" s="63" t="e">
        <f t="shared" si="56"/>
        <v>#N/A</v>
      </c>
      <c r="O478" t="e">
        <f t="shared" si="50"/>
        <v>#N/A</v>
      </c>
      <c r="P478" t="e">
        <f t="shared" si="50"/>
        <v>#N/A</v>
      </c>
      <c r="Q478" t="e">
        <f t="shared" si="51"/>
        <v>#N/A</v>
      </c>
      <c r="R478" t="e">
        <f t="shared" si="51"/>
        <v>#N/A</v>
      </c>
      <c r="S478" t="e">
        <f t="shared" si="52"/>
        <v>#N/A</v>
      </c>
      <c r="T478" t="e">
        <f t="shared" si="52"/>
        <v>#N/A</v>
      </c>
      <c r="U478" t="e">
        <f t="shared" si="53"/>
        <v>#N/A</v>
      </c>
      <c r="V478" t="e">
        <f t="shared" si="53"/>
        <v>#N/A</v>
      </c>
      <c r="W478" t="e">
        <f t="shared" si="54"/>
        <v>#N/A</v>
      </c>
      <c r="X478" t="e">
        <f t="shared" si="54"/>
        <v>#N/A</v>
      </c>
      <c r="Y478" t="e">
        <f t="shared" si="55"/>
        <v>#N/A</v>
      </c>
      <c r="Z478" t="e">
        <f t="shared" si="55"/>
        <v>#N/A</v>
      </c>
    </row>
    <row r="479" spans="1:26">
      <c r="A479" t="e">
        <f>IF(ISBLANK('[1]Точность устьев скважин'!A481),#N/A,'[1]Точность устьев скважин'!A481)</f>
        <v>#N/A</v>
      </c>
      <c r="B479" t="e">
        <f>IF(ISBLANK('[1]Точность устьев скважин'!B481),#N/A,'[1]Точность устьев скважин'!B481)</f>
        <v>#N/A</v>
      </c>
      <c r="C479" t="e">
        <f>IF(ISBLANK('[1]Точность устьев скважин'!C481),#N/A,'[1]Точность устьев скважин'!C481)</f>
        <v>#N/A</v>
      </c>
      <c r="D479" t="e">
        <f>IF(ISBLANK('[1]Точность устьев скважин'!D481),#N/A,'[1]Точность устьев скважин'!D481)</f>
        <v>#N/A</v>
      </c>
      <c r="G479" t="e">
        <f>IF(ISBLANK('[1]Точность устьев скважин'!H481),#N/A,'[1]Точность устьев скважин'!H481)</f>
        <v>#N/A</v>
      </c>
      <c r="H479" t="e">
        <f>IF(ISBLANK('[1]Точность устьев скважин'!I481),#N/A,'[1]Точность устьев скважин'!I481)</f>
        <v>#N/A</v>
      </c>
      <c r="I479" t="e">
        <f>IF(ISBLANK('[1]Точность устьев скважин'!J481),#N/A,'[1]Точность устьев скважин'!J481)</f>
        <v>#N/A</v>
      </c>
      <c r="J479" t="e">
        <f>IF(ISBLANK('[1]Точность устьев скважин'!K481),#N/A,'[1]Точность устьев скважин'!K481)</f>
        <v>#N/A</v>
      </c>
      <c r="L479" s="63" t="e">
        <f t="shared" si="56"/>
        <v>#N/A</v>
      </c>
      <c r="O479" t="e">
        <f t="shared" si="50"/>
        <v>#N/A</v>
      </c>
      <c r="P479" t="e">
        <f t="shared" si="50"/>
        <v>#N/A</v>
      </c>
      <c r="Q479" t="e">
        <f t="shared" si="51"/>
        <v>#N/A</v>
      </c>
      <c r="R479" t="e">
        <f t="shared" si="51"/>
        <v>#N/A</v>
      </c>
      <c r="S479" t="e">
        <f t="shared" si="52"/>
        <v>#N/A</v>
      </c>
      <c r="T479" t="e">
        <f t="shared" si="52"/>
        <v>#N/A</v>
      </c>
      <c r="U479" t="e">
        <f t="shared" si="53"/>
        <v>#N/A</v>
      </c>
      <c r="V479" t="e">
        <f t="shared" si="53"/>
        <v>#N/A</v>
      </c>
      <c r="W479" t="e">
        <f t="shared" si="54"/>
        <v>#N/A</v>
      </c>
      <c r="X479" t="e">
        <f t="shared" si="54"/>
        <v>#N/A</v>
      </c>
      <c r="Y479" t="e">
        <f t="shared" si="55"/>
        <v>#N/A</v>
      </c>
      <c r="Z479" t="e">
        <f t="shared" si="55"/>
        <v>#N/A</v>
      </c>
    </row>
    <row r="480" spans="1:26">
      <c r="A480" t="e">
        <f>IF(ISBLANK('[1]Точность устьев скважин'!A482),#N/A,'[1]Точность устьев скважин'!A482)</f>
        <v>#N/A</v>
      </c>
      <c r="B480" t="e">
        <f>IF(ISBLANK('[1]Точность устьев скважин'!B482),#N/A,'[1]Точность устьев скважин'!B482)</f>
        <v>#N/A</v>
      </c>
      <c r="C480" t="e">
        <f>IF(ISBLANK('[1]Точность устьев скважин'!C482),#N/A,'[1]Точность устьев скважин'!C482)</f>
        <v>#N/A</v>
      </c>
      <c r="D480" t="e">
        <f>IF(ISBLANK('[1]Точность устьев скважин'!D482),#N/A,'[1]Точность устьев скважин'!D482)</f>
        <v>#N/A</v>
      </c>
      <c r="G480" t="e">
        <f>IF(ISBLANK('[1]Точность устьев скважин'!H482),#N/A,'[1]Точность устьев скважин'!H482)</f>
        <v>#N/A</v>
      </c>
      <c r="H480" t="e">
        <f>IF(ISBLANK('[1]Точность устьев скважин'!I482),#N/A,'[1]Точность устьев скважин'!I482)</f>
        <v>#N/A</v>
      </c>
      <c r="I480" t="e">
        <f>IF(ISBLANK('[1]Точность устьев скважин'!J482),#N/A,'[1]Точность устьев скважин'!J482)</f>
        <v>#N/A</v>
      </c>
      <c r="J480" t="e">
        <f>IF(ISBLANK('[1]Точность устьев скважин'!K482),#N/A,'[1]Точность устьев скважин'!K482)</f>
        <v>#N/A</v>
      </c>
      <c r="L480" s="63" t="e">
        <f t="shared" si="56"/>
        <v>#N/A</v>
      </c>
      <c r="O480" t="e">
        <f t="shared" si="50"/>
        <v>#N/A</v>
      </c>
      <c r="P480" t="e">
        <f t="shared" si="50"/>
        <v>#N/A</v>
      </c>
      <c r="Q480" t="e">
        <f t="shared" si="51"/>
        <v>#N/A</v>
      </c>
      <c r="R480" t="e">
        <f t="shared" si="51"/>
        <v>#N/A</v>
      </c>
      <c r="S480" t="e">
        <f t="shared" si="52"/>
        <v>#N/A</v>
      </c>
      <c r="T480" t="e">
        <f t="shared" si="52"/>
        <v>#N/A</v>
      </c>
      <c r="U480" t="e">
        <f t="shared" si="53"/>
        <v>#N/A</v>
      </c>
      <c r="V480" t="e">
        <f t="shared" si="53"/>
        <v>#N/A</v>
      </c>
      <c r="W480" t="e">
        <f t="shared" si="54"/>
        <v>#N/A</v>
      </c>
      <c r="X480" t="e">
        <f t="shared" si="54"/>
        <v>#N/A</v>
      </c>
      <c r="Y480" t="e">
        <f t="shared" si="55"/>
        <v>#N/A</v>
      </c>
      <c r="Z480" t="e">
        <f t="shared" si="55"/>
        <v>#N/A</v>
      </c>
    </row>
    <row r="481" spans="1:26">
      <c r="A481" t="e">
        <f>IF(ISBLANK('[1]Точность устьев скважин'!A483),#N/A,'[1]Точность устьев скважин'!A483)</f>
        <v>#N/A</v>
      </c>
      <c r="B481" t="e">
        <f>IF(ISBLANK('[1]Точность устьев скважин'!B483),#N/A,'[1]Точность устьев скважин'!B483)</f>
        <v>#N/A</v>
      </c>
      <c r="C481" t="e">
        <f>IF(ISBLANK('[1]Точность устьев скважин'!C483),#N/A,'[1]Точность устьев скважин'!C483)</f>
        <v>#N/A</v>
      </c>
      <c r="D481" t="e">
        <f>IF(ISBLANK('[1]Точность устьев скважин'!D483),#N/A,'[1]Точность устьев скважин'!D483)</f>
        <v>#N/A</v>
      </c>
      <c r="G481" t="e">
        <f>IF(ISBLANK('[1]Точность устьев скважин'!H483),#N/A,'[1]Точность устьев скважин'!H483)</f>
        <v>#N/A</v>
      </c>
      <c r="H481" t="e">
        <f>IF(ISBLANK('[1]Точность устьев скважин'!I483),#N/A,'[1]Точность устьев скважин'!I483)</f>
        <v>#N/A</v>
      </c>
      <c r="I481" t="e">
        <f>IF(ISBLANK('[1]Точность устьев скважин'!J483),#N/A,'[1]Точность устьев скважин'!J483)</f>
        <v>#N/A</v>
      </c>
      <c r="J481" t="e">
        <f>IF(ISBLANK('[1]Точность устьев скважин'!K483),#N/A,'[1]Точность устьев скважин'!K483)</f>
        <v>#N/A</v>
      </c>
      <c r="L481" s="63" t="e">
        <f t="shared" si="56"/>
        <v>#N/A</v>
      </c>
      <c r="O481" t="e">
        <f t="shared" si="50"/>
        <v>#N/A</v>
      </c>
      <c r="P481" t="e">
        <f t="shared" si="50"/>
        <v>#N/A</v>
      </c>
      <c r="Q481" t="e">
        <f t="shared" si="51"/>
        <v>#N/A</v>
      </c>
      <c r="R481" t="e">
        <f t="shared" si="51"/>
        <v>#N/A</v>
      </c>
      <c r="S481" t="e">
        <f t="shared" si="52"/>
        <v>#N/A</v>
      </c>
      <c r="T481" t="e">
        <f t="shared" si="52"/>
        <v>#N/A</v>
      </c>
      <c r="U481" t="e">
        <f t="shared" si="53"/>
        <v>#N/A</v>
      </c>
      <c r="V481" t="e">
        <f t="shared" si="53"/>
        <v>#N/A</v>
      </c>
      <c r="W481" t="e">
        <f t="shared" si="54"/>
        <v>#N/A</v>
      </c>
      <c r="X481" t="e">
        <f t="shared" si="54"/>
        <v>#N/A</v>
      </c>
      <c r="Y481" t="e">
        <f t="shared" si="55"/>
        <v>#N/A</v>
      </c>
      <c r="Z481" t="e">
        <f t="shared" si="55"/>
        <v>#N/A</v>
      </c>
    </row>
    <row r="482" spans="1:26">
      <c r="A482" t="e">
        <f>IF(ISBLANK('[1]Точность устьев скважин'!A484),#N/A,'[1]Точность устьев скважин'!A484)</f>
        <v>#N/A</v>
      </c>
      <c r="B482" t="e">
        <f>IF(ISBLANK('[1]Точность устьев скважин'!B484),#N/A,'[1]Точность устьев скважин'!B484)</f>
        <v>#N/A</v>
      </c>
      <c r="C482" t="e">
        <f>IF(ISBLANK('[1]Точность устьев скважин'!C484),#N/A,'[1]Точность устьев скважин'!C484)</f>
        <v>#N/A</v>
      </c>
      <c r="D482" t="e">
        <f>IF(ISBLANK('[1]Точность устьев скважин'!D484),#N/A,'[1]Точность устьев скважин'!D484)</f>
        <v>#N/A</v>
      </c>
      <c r="G482" t="e">
        <f>IF(ISBLANK('[1]Точность устьев скважин'!H484),#N/A,'[1]Точность устьев скважин'!H484)</f>
        <v>#N/A</v>
      </c>
      <c r="H482" t="e">
        <f>IF(ISBLANK('[1]Точность устьев скважин'!I484),#N/A,'[1]Точность устьев скважин'!I484)</f>
        <v>#N/A</v>
      </c>
      <c r="I482" t="e">
        <f>IF(ISBLANK('[1]Точность устьев скважин'!J484),#N/A,'[1]Точность устьев скважин'!J484)</f>
        <v>#N/A</v>
      </c>
      <c r="J482" t="e">
        <f>IF(ISBLANK('[1]Точность устьев скважин'!K484),#N/A,'[1]Точность устьев скважин'!K484)</f>
        <v>#N/A</v>
      </c>
      <c r="L482" s="63" t="e">
        <f t="shared" si="56"/>
        <v>#N/A</v>
      </c>
      <c r="O482" t="e">
        <f t="shared" si="50"/>
        <v>#N/A</v>
      </c>
      <c r="P482" t="e">
        <f t="shared" si="50"/>
        <v>#N/A</v>
      </c>
      <c r="Q482" t="e">
        <f t="shared" si="51"/>
        <v>#N/A</v>
      </c>
      <c r="R482" t="e">
        <f t="shared" si="51"/>
        <v>#N/A</v>
      </c>
      <c r="S482" t="e">
        <f t="shared" si="52"/>
        <v>#N/A</v>
      </c>
      <c r="T482" t="e">
        <f t="shared" si="52"/>
        <v>#N/A</v>
      </c>
      <c r="U482" t="e">
        <f t="shared" si="53"/>
        <v>#N/A</v>
      </c>
      <c r="V482" t="e">
        <f t="shared" si="53"/>
        <v>#N/A</v>
      </c>
      <c r="W482" t="e">
        <f t="shared" si="54"/>
        <v>#N/A</v>
      </c>
      <c r="X482" t="e">
        <f t="shared" si="54"/>
        <v>#N/A</v>
      </c>
      <c r="Y482" t="e">
        <f t="shared" si="55"/>
        <v>#N/A</v>
      </c>
      <c r="Z482" t="e">
        <f t="shared" si="55"/>
        <v>#N/A</v>
      </c>
    </row>
    <row r="483" spans="1:26">
      <c r="A483" t="e">
        <f>IF(ISBLANK('[1]Точность устьев скважин'!A485),#N/A,'[1]Точность устьев скважин'!A485)</f>
        <v>#N/A</v>
      </c>
      <c r="B483" t="e">
        <f>IF(ISBLANK('[1]Точность устьев скважин'!B485),#N/A,'[1]Точность устьев скважин'!B485)</f>
        <v>#N/A</v>
      </c>
      <c r="C483" t="e">
        <f>IF(ISBLANK('[1]Точность устьев скважин'!C485),#N/A,'[1]Точность устьев скважин'!C485)</f>
        <v>#N/A</v>
      </c>
      <c r="D483" t="e">
        <f>IF(ISBLANK('[1]Точность устьев скважин'!D485),#N/A,'[1]Точность устьев скважин'!D485)</f>
        <v>#N/A</v>
      </c>
      <c r="G483" t="e">
        <f>IF(ISBLANK('[1]Точность устьев скважин'!H485),#N/A,'[1]Точность устьев скважин'!H485)</f>
        <v>#N/A</v>
      </c>
      <c r="H483" t="e">
        <f>IF(ISBLANK('[1]Точность устьев скважин'!I485),#N/A,'[1]Точность устьев скважин'!I485)</f>
        <v>#N/A</v>
      </c>
      <c r="I483" t="e">
        <f>IF(ISBLANK('[1]Точность устьев скважин'!J485),#N/A,'[1]Точность устьев скважин'!J485)</f>
        <v>#N/A</v>
      </c>
      <c r="J483" t="e">
        <f>IF(ISBLANK('[1]Точность устьев скважин'!K485),#N/A,'[1]Точность устьев скважин'!K485)</f>
        <v>#N/A</v>
      </c>
      <c r="L483" s="63" t="e">
        <f t="shared" si="56"/>
        <v>#N/A</v>
      </c>
      <c r="O483" t="e">
        <f t="shared" si="50"/>
        <v>#N/A</v>
      </c>
      <c r="P483" t="e">
        <f t="shared" si="50"/>
        <v>#N/A</v>
      </c>
      <c r="Q483" t="e">
        <f t="shared" si="51"/>
        <v>#N/A</v>
      </c>
      <c r="R483" t="e">
        <f t="shared" si="51"/>
        <v>#N/A</v>
      </c>
      <c r="S483" t="e">
        <f t="shared" si="52"/>
        <v>#N/A</v>
      </c>
      <c r="T483" t="e">
        <f t="shared" si="52"/>
        <v>#N/A</v>
      </c>
      <c r="U483" t="e">
        <f t="shared" si="53"/>
        <v>#N/A</v>
      </c>
      <c r="V483" t="e">
        <f t="shared" si="53"/>
        <v>#N/A</v>
      </c>
      <c r="W483" t="e">
        <f t="shared" si="54"/>
        <v>#N/A</v>
      </c>
      <c r="X483" t="e">
        <f t="shared" si="54"/>
        <v>#N/A</v>
      </c>
      <c r="Y483" t="e">
        <f t="shared" si="55"/>
        <v>#N/A</v>
      </c>
      <c r="Z483" t="e">
        <f t="shared" si="55"/>
        <v>#N/A</v>
      </c>
    </row>
    <row r="484" spans="1:26">
      <c r="A484" t="e">
        <f>IF(ISBLANK('[1]Точность устьев скважин'!A486),#N/A,'[1]Точность устьев скважин'!A486)</f>
        <v>#N/A</v>
      </c>
      <c r="B484" t="e">
        <f>IF(ISBLANK('[1]Точность устьев скважин'!B486),#N/A,'[1]Точность устьев скважин'!B486)</f>
        <v>#N/A</v>
      </c>
      <c r="C484" t="e">
        <f>IF(ISBLANK('[1]Точность устьев скважин'!C486),#N/A,'[1]Точность устьев скважин'!C486)</f>
        <v>#N/A</v>
      </c>
      <c r="D484" t="e">
        <f>IF(ISBLANK('[1]Точность устьев скважин'!D486),#N/A,'[1]Точность устьев скважин'!D486)</f>
        <v>#N/A</v>
      </c>
      <c r="G484" t="e">
        <f>IF(ISBLANK('[1]Точность устьев скважин'!H486),#N/A,'[1]Точность устьев скважин'!H486)</f>
        <v>#N/A</v>
      </c>
      <c r="H484" t="e">
        <f>IF(ISBLANK('[1]Точность устьев скважин'!I486),#N/A,'[1]Точность устьев скважин'!I486)</f>
        <v>#N/A</v>
      </c>
      <c r="I484" t="e">
        <f>IF(ISBLANK('[1]Точность устьев скважин'!J486),#N/A,'[1]Точность устьев скважин'!J486)</f>
        <v>#N/A</v>
      </c>
      <c r="J484" t="e">
        <f>IF(ISBLANK('[1]Точность устьев скважин'!K486),#N/A,'[1]Точность устьев скважин'!K486)</f>
        <v>#N/A</v>
      </c>
      <c r="L484" s="63" t="e">
        <f t="shared" si="56"/>
        <v>#N/A</v>
      </c>
      <c r="O484" t="e">
        <f t="shared" si="50"/>
        <v>#N/A</v>
      </c>
      <c r="P484" t="e">
        <f t="shared" si="50"/>
        <v>#N/A</v>
      </c>
      <c r="Q484" t="e">
        <f t="shared" si="51"/>
        <v>#N/A</v>
      </c>
      <c r="R484" t="e">
        <f t="shared" si="51"/>
        <v>#N/A</v>
      </c>
      <c r="S484" t="e">
        <f t="shared" si="52"/>
        <v>#N/A</v>
      </c>
      <c r="T484" t="e">
        <f t="shared" si="52"/>
        <v>#N/A</v>
      </c>
      <c r="U484" t="e">
        <f t="shared" si="53"/>
        <v>#N/A</v>
      </c>
      <c r="V484" t="e">
        <f t="shared" si="53"/>
        <v>#N/A</v>
      </c>
      <c r="W484" t="e">
        <f t="shared" si="54"/>
        <v>#N/A</v>
      </c>
      <c r="X484" t="e">
        <f t="shared" si="54"/>
        <v>#N/A</v>
      </c>
      <c r="Y484" t="e">
        <f t="shared" si="55"/>
        <v>#N/A</v>
      </c>
      <c r="Z484" t="e">
        <f t="shared" si="55"/>
        <v>#N/A</v>
      </c>
    </row>
    <row r="485" spans="1:26">
      <c r="A485" t="e">
        <f>IF(ISBLANK('[1]Точность устьев скважин'!A487),#N/A,'[1]Точность устьев скважин'!A487)</f>
        <v>#N/A</v>
      </c>
      <c r="B485" t="e">
        <f>IF(ISBLANK('[1]Точность устьев скважин'!B487),#N/A,'[1]Точность устьев скважин'!B487)</f>
        <v>#N/A</v>
      </c>
      <c r="C485" t="e">
        <f>IF(ISBLANK('[1]Точность устьев скважин'!C487),#N/A,'[1]Точность устьев скважин'!C487)</f>
        <v>#N/A</v>
      </c>
      <c r="D485" t="e">
        <f>IF(ISBLANK('[1]Точность устьев скважин'!D487),#N/A,'[1]Точность устьев скважин'!D487)</f>
        <v>#N/A</v>
      </c>
      <c r="G485" t="e">
        <f>IF(ISBLANK('[1]Точность устьев скважин'!H487),#N/A,'[1]Точность устьев скважин'!H487)</f>
        <v>#N/A</v>
      </c>
      <c r="H485" t="e">
        <f>IF(ISBLANK('[1]Точность устьев скважин'!I487),#N/A,'[1]Точность устьев скважин'!I487)</f>
        <v>#N/A</v>
      </c>
      <c r="I485" t="e">
        <f>IF(ISBLANK('[1]Точность устьев скважин'!J487),#N/A,'[1]Точность устьев скважин'!J487)</f>
        <v>#N/A</v>
      </c>
      <c r="J485" t="e">
        <f>IF(ISBLANK('[1]Точность устьев скважин'!K487),#N/A,'[1]Точность устьев скважин'!K487)</f>
        <v>#N/A</v>
      </c>
      <c r="L485" s="63" t="e">
        <f t="shared" si="56"/>
        <v>#N/A</v>
      </c>
      <c r="O485" t="e">
        <f t="shared" si="50"/>
        <v>#N/A</v>
      </c>
      <c r="P485" t="e">
        <f t="shared" si="50"/>
        <v>#N/A</v>
      </c>
      <c r="Q485" t="e">
        <f t="shared" si="51"/>
        <v>#N/A</v>
      </c>
      <c r="R485" t="e">
        <f t="shared" si="51"/>
        <v>#N/A</v>
      </c>
      <c r="S485" t="e">
        <f t="shared" si="52"/>
        <v>#N/A</v>
      </c>
      <c r="T485" t="e">
        <f t="shared" si="52"/>
        <v>#N/A</v>
      </c>
      <c r="U485" t="e">
        <f t="shared" si="53"/>
        <v>#N/A</v>
      </c>
      <c r="V485" t="e">
        <f t="shared" si="53"/>
        <v>#N/A</v>
      </c>
      <c r="W485" t="e">
        <f t="shared" si="54"/>
        <v>#N/A</v>
      </c>
      <c r="X485" t="e">
        <f t="shared" si="54"/>
        <v>#N/A</v>
      </c>
      <c r="Y485" t="e">
        <f t="shared" si="55"/>
        <v>#N/A</v>
      </c>
      <c r="Z485" t="e">
        <f t="shared" si="55"/>
        <v>#N/A</v>
      </c>
    </row>
    <row r="486" spans="1:26">
      <c r="A486" t="e">
        <f>IF(ISBLANK('[1]Точность устьев скважин'!A488),#N/A,'[1]Точность устьев скважин'!A488)</f>
        <v>#N/A</v>
      </c>
      <c r="B486" t="e">
        <f>IF(ISBLANK('[1]Точность устьев скважин'!B488),#N/A,'[1]Точность устьев скважин'!B488)</f>
        <v>#N/A</v>
      </c>
      <c r="C486" t="e">
        <f>IF(ISBLANK('[1]Точность устьев скважин'!C488),#N/A,'[1]Точность устьев скважин'!C488)</f>
        <v>#N/A</v>
      </c>
      <c r="D486" t="e">
        <f>IF(ISBLANK('[1]Точность устьев скважин'!D488),#N/A,'[1]Точность устьев скважин'!D488)</f>
        <v>#N/A</v>
      </c>
      <c r="G486" t="e">
        <f>IF(ISBLANK('[1]Точность устьев скважин'!H488),#N/A,'[1]Точность устьев скважин'!H488)</f>
        <v>#N/A</v>
      </c>
      <c r="H486" t="e">
        <f>IF(ISBLANK('[1]Точность устьев скважин'!I488),#N/A,'[1]Точность устьев скважин'!I488)</f>
        <v>#N/A</v>
      </c>
      <c r="I486" t="e">
        <f>IF(ISBLANK('[1]Точность устьев скважин'!J488),#N/A,'[1]Точность устьев скважин'!J488)</f>
        <v>#N/A</v>
      </c>
      <c r="J486" t="e">
        <f>IF(ISBLANK('[1]Точность устьев скважин'!K488),#N/A,'[1]Точность устьев скважин'!K488)</f>
        <v>#N/A</v>
      </c>
      <c r="L486" s="63" t="e">
        <f t="shared" si="56"/>
        <v>#N/A</v>
      </c>
      <c r="O486" t="e">
        <f t="shared" si="50"/>
        <v>#N/A</v>
      </c>
      <c r="P486" t="e">
        <f t="shared" si="50"/>
        <v>#N/A</v>
      </c>
      <c r="Q486" t="e">
        <f t="shared" si="51"/>
        <v>#N/A</v>
      </c>
      <c r="R486" t="e">
        <f t="shared" si="51"/>
        <v>#N/A</v>
      </c>
      <c r="S486" t="e">
        <f t="shared" si="52"/>
        <v>#N/A</v>
      </c>
      <c r="T486" t="e">
        <f t="shared" si="52"/>
        <v>#N/A</v>
      </c>
      <c r="U486" t="e">
        <f t="shared" si="53"/>
        <v>#N/A</v>
      </c>
      <c r="V486" t="e">
        <f t="shared" si="53"/>
        <v>#N/A</v>
      </c>
      <c r="W486" t="e">
        <f t="shared" si="54"/>
        <v>#N/A</v>
      </c>
      <c r="X486" t="e">
        <f t="shared" si="54"/>
        <v>#N/A</v>
      </c>
      <c r="Y486" t="e">
        <f t="shared" si="55"/>
        <v>#N/A</v>
      </c>
      <c r="Z486" t="e">
        <f t="shared" si="55"/>
        <v>#N/A</v>
      </c>
    </row>
    <row r="487" spans="1:26">
      <c r="A487" t="e">
        <f>IF(ISBLANK('[1]Точность устьев скважин'!A489),#N/A,'[1]Точность устьев скважин'!A489)</f>
        <v>#N/A</v>
      </c>
      <c r="B487" t="e">
        <f>IF(ISBLANK('[1]Точность устьев скважин'!B489),#N/A,'[1]Точность устьев скважин'!B489)</f>
        <v>#N/A</v>
      </c>
      <c r="C487" t="e">
        <f>IF(ISBLANK('[1]Точность устьев скважин'!C489),#N/A,'[1]Точность устьев скважин'!C489)</f>
        <v>#N/A</v>
      </c>
      <c r="D487" t="e">
        <f>IF(ISBLANK('[1]Точность устьев скважин'!D489),#N/A,'[1]Точность устьев скважин'!D489)</f>
        <v>#N/A</v>
      </c>
      <c r="G487" t="e">
        <f>IF(ISBLANK('[1]Точность устьев скважин'!H489),#N/A,'[1]Точность устьев скважин'!H489)</f>
        <v>#N/A</v>
      </c>
      <c r="H487" t="e">
        <f>IF(ISBLANK('[1]Точность устьев скважин'!I489),#N/A,'[1]Точность устьев скважин'!I489)</f>
        <v>#N/A</v>
      </c>
      <c r="I487" t="e">
        <f>IF(ISBLANK('[1]Точность устьев скважин'!J489),#N/A,'[1]Точность устьев скважин'!J489)</f>
        <v>#N/A</v>
      </c>
      <c r="J487" t="e">
        <f>IF(ISBLANK('[1]Точность устьев скважин'!K489),#N/A,'[1]Точность устьев скважин'!K489)</f>
        <v>#N/A</v>
      </c>
      <c r="L487" s="63" t="e">
        <f t="shared" si="56"/>
        <v>#N/A</v>
      </c>
      <c r="O487" t="e">
        <f t="shared" si="50"/>
        <v>#N/A</v>
      </c>
      <c r="P487" t="e">
        <f t="shared" si="50"/>
        <v>#N/A</v>
      </c>
      <c r="Q487" t="e">
        <f t="shared" si="51"/>
        <v>#N/A</v>
      </c>
      <c r="R487" t="e">
        <f t="shared" si="51"/>
        <v>#N/A</v>
      </c>
      <c r="S487" t="e">
        <f t="shared" si="52"/>
        <v>#N/A</v>
      </c>
      <c r="T487" t="e">
        <f t="shared" si="52"/>
        <v>#N/A</v>
      </c>
      <c r="U487" t="e">
        <f t="shared" si="53"/>
        <v>#N/A</v>
      </c>
      <c r="V487" t="e">
        <f t="shared" si="53"/>
        <v>#N/A</v>
      </c>
      <c r="W487" t="e">
        <f t="shared" si="54"/>
        <v>#N/A</v>
      </c>
      <c r="X487" t="e">
        <f t="shared" si="54"/>
        <v>#N/A</v>
      </c>
      <c r="Y487" t="e">
        <f t="shared" si="55"/>
        <v>#N/A</v>
      </c>
      <c r="Z487" t="e">
        <f t="shared" si="55"/>
        <v>#N/A</v>
      </c>
    </row>
    <row r="488" spans="1:26">
      <c r="A488" t="e">
        <f>IF(ISBLANK('[1]Точность устьев скважин'!A490),#N/A,'[1]Точность устьев скважин'!A490)</f>
        <v>#N/A</v>
      </c>
      <c r="B488" t="e">
        <f>IF(ISBLANK('[1]Точность устьев скважин'!B490),#N/A,'[1]Точность устьев скважин'!B490)</f>
        <v>#N/A</v>
      </c>
      <c r="C488" t="e">
        <f>IF(ISBLANK('[1]Точность устьев скважин'!C490),#N/A,'[1]Точность устьев скважин'!C490)</f>
        <v>#N/A</v>
      </c>
      <c r="D488" t="e">
        <f>IF(ISBLANK('[1]Точность устьев скважин'!D490),#N/A,'[1]Точность устьев скважин'!D490)</f>
        <v>#N/A</v>
      </c>
      <c r="G488" t="e">
        <f>IF(ISBLANK('[1]Точность устьев скважин'!H490),#N/A,'[1]Точность устьев скважин'!H490)</f>
        <v>#N/A</v>
      </c>
      <c r="H488" t="e">
        <f>IF(ISBLANK('[1]Точность устьев скважин'!I490),#N/A,'[1]Точность устьев скважин'!I490)</f>
        <v>#N/A</v>
      </c>
      <c r="I488" t="e">
        <f>IF(ISBLANK('[1]Точность устьев скважин'!J490),#N/A,'[1]Точность устьев скважин'!J490)</f>
        <v>#N/A</v>
      </c>
      <c r="J488" t="e">
        <f>IF(ISBLANK('[1]Точность устьев скважин'!K490),#N/A,'[1]Точность устьев скважин'!K490)</f>
        <v>#N/A</v>
      </c>
      <c r="L488" s="63" t="e">
        <f t="shared" si="56"/>
        <v>#N/A</v>
      </c>
      <c r="O488" t="e">
        <f t="shared" si="50"/>
        <v>#N/A</v>
      </c>
      <c r="P488" t="e">
        <f t="shared" si="50"/>
        <v>#N/A</v>
      </c>
      <c r="Q488" t="e">
        <f t="shared" si="51"/>
        <v>#N/A</v>
      </c>
      <c r="R488" t="e">
        <f t="shared" si="51"/>
        <v>#N/A</v>
      </c>
      <c r="S488" t="e">
        <f t="shared" si="52"/>
        <v>#N/A</v>
      </c>
      <c r="T488" t="e">
        <f t="shared" si="52"/>
        <v>#N/A</v>
      </c>
      <c r="U488" t="e">
        <f t="shared" si="53"/>
        <v>#N/A</v>
      </c>
      <c r="V488" t="e">
        <f t="shared" si="53"/>
        <v>#N/A</v>
      </c>
      <c r="W488" t="e">
        <f t="shared" si="54"/>
        <v>#N/A</v>
      </c>
      <c r="X488" t="e">
        <f t="shared" si="54"/>
        <v>#N/A</v>
      </c>
      <c r="Y488" t="e">
        <f t="shared" si="55"/>
        <v>#N/A</v>
      </c>
      <c r="Z488" t="e">
        <f t="shared" si="55"/>
        <v>#N/A</v>
      </c>
    </row>
    <row r="489" spans="1:26">
      <c r="A489" t="e">
        <f>IF(ISBLANK('[1]Точность устьев скважин'!A491),#N/A,'[1]Точность устьев скважин'!A491)</f>
        <v>#N/A</v>
      </c>
      <c r="B489" t="e">
        <f>IF(ISBLANK('[1]Точность устьев скважин'!B491),#N/A,'[1]Точность устьев скважин'!B491)</f>
        <v>#N/A</v>
      </c>
      <c r="C489" t="e">
        <f>IF(ISBLANK('[1]Точность устьев скважин'!C491),#N/A,'[1]Точность устьев скважин'!C491)</f>
        <v>#N/A</v>
      </c>
      <c r="D489" t="e">
        <f>IF(ISBLANK('[1]Точность устьев скважин'!D491),#N/A,'[1]Точность устьев скважин'!D491)</f>
        <v>#N/A</v>
      </c>
      <c r="G489" t="e">
        <f>IF(ISBLANK('[1]Точность устьев скважин'!H491),#N/A,'[1]Точность устьев скважин'!H491)</f>
        <v>#N/A</v>
      </c>
      <c r="H489" t="e">
        <f>IF(ISBLANK('[1]Точность устьев скважин'!I491),#N/A,'[1]Точность устьев скважин'!I491)</f>
        <v>#N/A</v>
      </c>
      <c r="I489" t="e">
        <f>IF(ISBLANK('[1]Точность устьев скважин'!J491),#N/A,'[1]Точность устьев скважин'!J491)</f>
        <v>#N/A</v>
      </c>
      <c r="J489" t="e">
        <f>IF(ISBLANK('[1]Точность устьев скважин'!K491),#N/A,'[1]Точность устьев скважин'!K491)</f>
        <v>#N/A</v>
      </c>
      <c r="L489" s="63" t="e">
        <f t="shared" si="56"/>
        <v>#N/A</v>
      </c>
      <c r="O489" t="e">
        <f t="shared" ref="O489:P552" si="57">IF($L$1=0.5,IF(AND($L489&gt;0,$L489&lt;0.1),H489,#N/A),"")</f>
        <v>#N/A</v>
      </c>
      <c r="P489" t="e">
        <f t="shared" si="57"/>
        <v>#N/A</v>
      </c>
      <c r="Q489" t="e">
        <f t="shared" ref="Q489:R552" si="58">IF($L$1=0.5,IF(AND($L489&gt;=0.1,$L489&lt;0.2),H489,#N/A),"")</f>
        <v>#N/A</v>
      </c>
      <c r="R489" t="e">
        <f t="shared" si="58"/>
        <v>#N/A</v>
      </c>
      <c r="S489" t="e">
        <f t="shared" ref="S489:T552" si="59">IF($L$1=0.5,IF(AND($L489&gt;=0.2,$L489&lt;0.3),H489,#N/A),"")</f>
        <v>#N/A</v>
      </c>
      <c r="T489" t="e">
        <f t="shared" si="59"/>
        <v>#N/A</v>
      </c>
      <c r="U489" t="e">
        <f t="shared" ref="U489:V552" si="60">IF($L$1=0.5,IF(AND($L489&gt;=0.3,$L489&lt;0.4),H489,#N/A),"")</f>
        <v>#N/A</v>
      </c>
      <c r="V489" t="e">
        <f t="shared" si="60"/>
        <v>#N/A</v>
      </c>
      <c r="W489" t="e">
        <f t="shared" ref="W489:X552" si="61">IF($L$1=0.5,IF(AND($L489&gt;=0.4,$L489&lt;0.5),H489,#N/A),"")</f>
        <v>#N/A</v>
      </c>
      <c r="X489" t="e">
        <f t="shared" si="61"/>
        <v>#N/A</v>
      </c>
      <c r="Y489" t="e">
        <f t="shared" si="55"/>
        <v>#N/A</v>
      </c>
      <c r="Z489" t="e">
        <f t="shared" si="55"/>
        <v>#N/A</v>
      </c>
    </row>
    <row r="490" spans="1:26">
      <c r="A490" t="e">
        <f>IF(ISBLANK('[1]Точность устьев скважин'!A492),#N/A,'[1]Точность устьев скважин'!A492)</f>
        <v>#N/A</v>
      </c>
      <c r="B490" t="e">
        <f>IF(ISBLANK('[1]Точность устьев скважин'!B492),#N/A,'[1]Точность устьев скважин'!B492)</f>
        <v>#N/A</v>
      </c>
      <c r="C490" t="e">
        <f>IF(ISBLANK('[1]Точность устьев скважин'!C492),#N/A,'[1]Точность устьев скважин'!C492)</f>
        <v>#N/A</v>
      </c>
      <c r="D490" t="e">
        <f>IF(ISBLANK('[1]Точность устьев скважин'!D492),#N/A,'[1]Точность устьев скважин'!D492)</f>
        <v>#N/A</v>
      </c>
      <c r="G490" t="e">
        <f>IF(ISBLANK('[1]Точность устьев скважин'!H492),#N/A,'[1]Точность устьев скважин'!H492)</f>
        <v>#N/A</v>
      </c>
      <c r="H490" t="e">
        <f>IF(ISBLANK('[1]Точность устьев скважин'!I492),#N/A,'[1]Точность устьев скважин'!I492)</f>
        <v>#N/A</v>
      </c>
      <c r="I490" t="e">
        <f>IF(ISBLANK('[1]Точность устьев скважин'!J492),#N/A,'[1]Точность устьев скважин'!J492)</f>
        <v>#N/A</v>
      </c>
      <c r="J490" t="e">
        <f>IF(ISBLANK('[1]Точность устьев скважин'!K492),#N/A,'[1]Точность устьев скважин'!K492)</f>
        <v>#N/A</v>
      </c>
      <c r="L490" s="63" t="e">
        <f t="shared" si="56"/>
        <v>#N/A</v>
      </c>
      <c r="O490" t="e">
        <f t="shared" si="57"/>
        <v>#N/A</v>
      </c>
      <c r="P490" t="e">
        <f t="shared" si="57"/>
        <v>#N/A</v>
      </c>
      <c r="Q490" t="e">
        <f t="shared" si="58"/>
        <v>#N/A</v>
      </c>
      <c r="R490" t="e">
        <f t="shared" si="58"/>
        <v>#N/A</v>
      </c>
      <c r="S490" t="e">
        <f t="shared" si="59"/>
        <v>#N/A</v>
      </c>
      <c r="T490" t="e">
        <f t="shared" si="59"/>
        <v>#N/A</v>
      </c>
      <c r="U490" t="e">
        <f t="shared" si="60"/>
        <v>#N/A</v>
      </c>
      <c r="V490" t="e">
        <f t="shared" si="60"/>
        <v>#N/A</v>
      </c>
      <c r="W490" t="e">
        <f t="shared" si="61"/>
        <v>#N/A</v>
      </c>
      <c r="X490" t="e">
        <f t="shared" si="61"/>
        <v>#N/A</v>
      </c>
      <c r="Y490" t="e">
        <f t="shared" si="55"/>
        <v>#N/A</v>
      </c>
      <c r="Z490" t="e">
        <f t="shared" si="55"/>
        <v>#N/A</v>
      </c>
    </row>
    <row r="491" spans="1:26">
      <c r="A491" t="e">
        <f>IF(ISBLANK('[1]Точность устьев скважин'!A493),#N/A,'[1]Точность устьев скважин'!A493)</f>
        <v>#N/A</v>
      </c>
      <c r="B491" t="e">
        <f>IF(ISBLANK('[1]Точность устьев скважин'!B493),#N/A,'[1]Точность устьев скважин'!B493)</f>
        <v>#N/A</v>
      </c>
      <c r="C491" t="e">
        <f>IF(ISBLANK('[1]Точность устьев скважин'!C493),#N/A,'[1]Точность устьев скважин'!C493)</f>
        <v>#N/A</v>
      </c>
      <c r="D491" t="e">
        <f>IF(ISBLANK('[1]Точность устьев скважин'!D493),#N/A,'[1]Точность устьев скважин'!D493)</f>
        <v>#N/A</v>
      </c>
      <c r="G491" t="e">
        <f>IF(ISBLANK('[1]Точность устьев скважин'!H493),#N/A,'[1]Точность устьев скважин'!H493)</f>
        <v>#N/A</v>
      </c>
      <c r="H491" t="e">
        <f>IF(ISBLANK('[1]Точность устьев скважин'!I493),#N/A,'[1]Точность устьев скважин'!I493)</f>
        <v>#N/A</v>
      </c>
      <c r="I491" t="e">
        <f>IF(ISBLANK('[1]Точность устьев скважин'!J493),#N/A,'[1]Точность устьев скважин'!J493)</f>
        <v>#N/A</v>
      </c>
      <c r="J491" t="e">
        <f>IF(ISBLANK('[1]Точность устьев скважин'!K493),#N/A,'[1]Точность устьев скважин'!K493)</f>
        <v>#N/A</v>
      </c>
      <c r="L491" s="63" t="e">
        <f t="shared" si="56"/>
        <v>#N/A</v>
      </c>
      <c r="O491" t="e">
        <f t="shared" si="57"/>
        <v>#N/A</v>
      </c>
      <c r="P491" t="e">
        <f t="shared" si="57"/>
        <v>#N/A</v>
      </c>
      <c r="Q491" t="e">
        <f t="shared" si="58"/>
        <v>#N/A</v>
      </c>
      <c r="R491" t="e">
        <f t="shared" si="58"/>
        <v>#N/A</v>
      </c>
      <c r="S491" t="e">
        <f t="shared" si="59"/>
        <v>#N/A</v>
      </c>
      <c r="T491" t="e">
        <f t="shared" si="59"/>
        <v>#N/A</v>
      </c>
      <c r="U491" t="e">
        <f t="shared" si="60"/>
        <v>#N/A</v>
      </c>
      <c r="V491" t="e">
        <f t="shared" si="60"/>
        <v>#N/A</v>
      </c>
      <c r="W491" t="e">
        <f t="shared" si="61"/>
        <v>#N/A</v>
      </c>
      <c r="X491" t="e">
        <f t="shared" si="61"/>
        <v>#N/A</v>
      </c>
      <c r="Y491" t="e">
        <f t="shared" si="55"/>
        <v>#N/A</v>
      </c>
      <c r="Z491" t="e">
        <f t="shared" si="55"/>
        <v>#N/A</v>
      </c>
    </row>
    <row r="492" spans="1:26">
      <c r="A492" t="e">
        <f>IF(ISBLANK('[1]Точность устьев скважин'!A494),#N/A,'[1]Точность устьев скважин'!A494)</f>
        <v>#N/A</v>
      </c>
      <c r="B492" t="e">
        <f>IF(ISBLANK('[1]Точность устьев скважин'!B494),#N/A,'[1]Точность устьев скважин'!B494)</f>
        <v>#N/A</v>
      </c>
      <c r="C492" t="e">
        <f>IF(ISBLANK('[1]Точность устьев скважин'!C494),#N/A,'[1]Точность устьев скважин'!C494)</f>
        <v>#N/A</v>
      </c>
      <c r="D492" t="e">
        <f>IF(ISBLANK('[1]Точность устьев скважин'!D494),#N/A,'[1]Точность устьев скважин'!D494)</f>
        <v>#N/A</v>
      </c>
      <c r="G492" t="e">
        <f>IF(ISBLANK('[1]Точность устьев скважин'!H494),#N/A,'[1]Точность устьев скважин'!H494)</f>
        <v>#N/A</v>
      </c>
      <c r="H492" t="e">
        <f>IF(ISBLANK('[1]Точность устьев скважин'!I494),#N/A,'[1]Точность устьев скважин'!I494)</f>
        <v>#N/A</v>
      </c>
      <c r="I492" t="e">
        <f>IF(ISBLANK('[1]Точность устьев скважин'!J494),#N/A,'[1]Точность устьев скважин'!J494)</f>
        <v>#N/A</v>
      </c>
      <c r="J492" t="e">
        <f>IF(ISBLANK('[1]Точность устьев скважин'!K494),#N/A,'[1]Точность устьев скважин'!K494)</f>
        <v>#N/A</v>
      </c>
      <c r="L492" s="63" t="e">
        <f t="shared" si="56"/>
        <v>#N/A</v>
      </c>
      <c r="O492" t="e">
        <f t="shared" si="57"/>
        <v>#N/A</v>
      </c>
      <c r="P492" t="e">
        <f t="shared" si="57"/>
        <v>#N/A</v>
      </c>
      <c r="Q492" t="e">
        <f t="shared" si="58"/>
        <v>#N/A</v>
      </c>
      <c r="R492" t="e">
        <f t="shared" si="58"/>
        <v>#N/A</v>
      </c>
      <c r="S492" t="e">
        <f t="shared" si="59"/>
        <v>#N/A</v>
      </c>
      <c r="T492" t="e">
        <f t="shared" si="59"/>
        <v>#N/A</v>
      </c>
      <c r="U492" t="e">
        <f t="shared" si="60"/>
        <v>#N/A</v>
      </c>
      <c r="V492" t="e">
        <f t="shared" si="60"/>
        <v>#N/A</v>
      </c>
      <c r="W492" t="e">
        <f t="shared" si="61"/>
        <v>#N/A</v>
      </c>
      <c r="X492" t="e">
        <f t="shared" si="61"/>
        <v>#N/A</v>
      </c>
      <c r="Y492" t="e">
        <f t="shared" si="55"/>
        <v>#N/A</v>
      </c>
      <c r="Z492" t="e">
        <f t="shared" si="55"/>
        <v>#N/A</v>
      </c>
    </row>
    <row r="493" spans="1:26">
      <c r="A493" t="e">
        <f>IF(ISBLANK('[1]Точность устьев скважин'!A495),#N/A,'[1]Точность устьев скважин'!A495)</f>
        <v>#N/A</v>
      </c>
      <c r="B493" t="e">
        <f>IF(ISBLANK('[1]Точность устьев скважин'!B495),#N/A,'[1]Точность устьев скважин'!B495)</f>
        <v>#N/A</v>
      </c>
      <c r="C493" t="e">
        <f>IF(ISBLANK('[1]Точность устьев скважин'!C495),#N/A,'[1]Точность устьев скважин'!C495)</f>
        <v>#N/A</v>
      </c>
      <c r="D493" t="e">
        <f>IF(ISBLANK('[1]Точность устьев скважин'!D495),#N/A,'[1]Точность устьев скважин'!D495)</f>
        <v>#N/A</v>
      </c>
      <c r="G493" t="e">
        <f>IF(ISBLANK('[1]Точность устьев скважин'!H495),#N/A,'[1]Точность устьев скважин'!H495)</f>
        <v>#N/A</v>
      </c>
      <c r="H493" t="e">
        <f>IF(ISBLANK('[1]Точность устьев скважин'!I495),#N/A,'[1]Точность устьев скважин'!I495)</f>
        <v>#N/A</v>
      </c>
      <c r="I493" t="e">
        <f>IF(ISBLANK('[1]Точность устьев скважин'!J495),#N/A,'[1]Точность устьев скважин'!J495)</f>
        <v>#N/A</v>
      </c>
      <c r="J493" t="e">
        <f>IF(ISBLANK('[1]Точность устьев скважин'!K495),#N/A,'[1]Точность устьев скважин'!K495)</f>
        <v>#N/A</v>
      </c>
      <c r="L493" s="63" t="e">
        <f t="shared" si="56"/>
        <v>#N/A</v>
      </c>
      <c r="O493" t="e">
        <f t="shared" si="57"/>
        <v>#N/A</v>
      </c>
      <c r="P493" t="e">
        <f t="shared" si="57"/>
        <v>#N/A</v>
      </c>
      <c r="Q493" t="e">
        <f t="shared" si="58"/>
        <v>#N/A</v>
      </c>
      <c r="R493" t="e">
        <f t="shared" si="58"/>
        <v>#N/A</v>
      </c>
      <c r="S493" t="e">
        <f t="shared" si="59"/>
        <v>#N/A</v>
      </c>
      <c r="T493" t="e">
        <f t="shared" si="59"/>
        <v>#N/A</v>
      </c>
      <c r="U493" t="e">
        <f t="shared" si="60"/>
        <v>#N/A</v>
      </c>
      <c r="V493" t="e">
        <f t="shared" si="60"/>
        <v>#N/A</v>
      </c>
      <c r="W493" t="e">
        <f t="shared" si="61"/>
        <v>#N/A</v>
      </c>
      <c r="X493" t="e">
        <f t="shared" si="61"/>
        <v>#N/A</v>
      </c>
      <c r="Y493" t="e">
        <f t="shared" si="55"/>
        <v>#N/A</v>
      </c>
      <c r="Z493" t="e">
        <f t="shared" si="55"/>
        <v>#N/A</v>
      </c>
    </row>
    <row r="494" spans="1:26">
      <c r="A494" t="e">
        <f>IF(ISBLANK('[1]Точность устьев скважин'!A496),#N/A,'[1]Точность устьев скважин'!A496)</f>
        <v>#N/A</v>
      </c>
      <c r="B494" t="e">
        <f>IF(ISBLANK('[1]Точность устьев скважин'!B496),#N/A,'[1]Точность устьев скважин'!B496)</f>
        <v>#N/A</v>
      </c>
      <c r="C494" t="e">
        <f>IF(ISBLANK('[1]Точность устьев скважин'!C496),#N/A,'[1]Точность устьев скважин'!C496)</f>
        <v>#N/A</v>
      </c>
      <c r="D494" t="e">
        <f>IF(ISBLANK('[1]Точность устьев скважин'!D496),#N/A,'[1]Точность устьев скважин'!D496)</f>
        <v>#N/A</v>
      </c>
      <c r="G494" t="e">
        <f>IF(ISBLANK('[1]Точность устьев скважин'!H496),#N/A,'[1]Точность устьев скважин'!H496)</f>
        <v>#N/A</v>
      </c>
      <c r="H494" t="e">
        <f>IF(ISBLANK('[1]Точность устьев скважин'!I496),#N/A,'[1]Точность устьев скважин'!I496)</f>
        <v>#N/A</v>
      </c>
      <c r="I494" t="e">
        <f>IF(ISBLANK('[1]Точность устьев скважин'!J496),#N/A,'[1]Точность устьев скважин'!J496)</f>
        <v>#N/A</v>
      </c>
      <c r="J494" t="e">
        <f>IF(ISBLANK('[1]Точность устьев скважин'!K496),#N/A,'[1]Точность устьев скважин'!K496)</f>
        <v>#N/A</v>
      </c>
      <c r="L494" s="63" t="e">
        <f t="shared" si="56"/>
        <v>#N/A</v>
      </c>
      <c r="O494" t="e">
        <f t="shared" si="57"/>
        <v>#N/A</v>
      </c>
      <c r="P494" t="e">
        <f t="shared" si="57"/>
        <v>#N/A</v>
      </c>
      <c r="Q494" t="e">
        <f t="shared" si="58"/>
        <v>#N/A</v>
      </c>
      <c r="R494" t="e">
        <f t="shared" si="58"/>
        <v>#N/A</v>
      </c>
      <c r="S494" t="e">
        <f t="shared" si="59"/>
        <v>#N/A</v>
      </c>
      <c r="T494" t="e">
        <f t="shared" si="59"/>
        <v>#N/A</v>
      </c>
      <c r="U494" t="e">
        <f t="shared" si="60"/>
        <v>#N/A</v>
      </c>
      <c r="V494" t="e">
        <f t="shared" si="60"/>
        <v>#N/A</v>
      </c>
      <c r="W494" t="e">
        <f t="shared" si="61"/>
        <v>#N/A</v>
      </c>
      <c r="X494" t="e">
        <f t="shared" si="61"/>
        <v>#N/A</v>
      </c>
      <c r="Y494" t="e">
        <f t="shared" si="55"/>
        <v>#N/A</v>
      </c>
      <c r="Z494" t="e">
        <f t="shared" si="55"/>
        <v>#N/A</v>
      </c>
    </row>
    <row r="495" spans="1:26">
      <c r="A495" t="e">
        <f>IF(ISBLANK('[1]Точность устьев скважин'!A497),#N/A,'[1]Точность устьев скважин'!A497)</f>
        <v>#N/A</v>
      </c>
      <c r="B495" t="e">
        <f>IF(ISBLANK('[1]Точность устьев скважин'!B497),#N/A,'[1]Точность устьев скважин'!B497)</f>
        <v>#N/A</v>
      </c>
      <c r="C495" t="e">
        <f>IF(ISBLANK('[1]Точность устьев скважин'!C497),#N/A,'[1]Точность устьев скважин'!C497)</f>
        <v>#N/A</v>
      </c>
      <c r="D495" t="e">
        <f>IF(ISBLANK('[1]Точность устьев скважин'!D497),#N/A,'[1]Точность устьев скважин'!D497)</f>
        <v>#N/A</v>
      </c>
      <c r="G495" t="e">
        <f>IF(ISBLANK('[1]Точность устьев скважин'!H497),#N/A,'[1]Точность устьев скважин'!H497)</f>
        <v>#N/A</v>
      </c>
      <c r="H495" t="e">
        <f>IF(ISBLANK('[1]Точность устьев скважин'!I497),#N/A,'[1]Точность устьев скважин'!I497)</f>
        <v>#N/A</v>
      </c>
      <c r="I495" t="e">
        <f>IF(ISBLANK('[1]Точность устьев скважин'!J497),#N/A,'[1]Точность устьев скважин'!J497)</f>
        <v>#N/A</v>
      </c>
      <c r="J495" t="e">
        <f>IF(ISBLANK('[1]Точность устьев скважин'!K497),#N/A,'[1]Точность устьев скважин'!K497)</f>
        <v>#N/A</v>
      </c>
      <c r="L495" s="63" t="e">
        <f t="shared" si="56"/>
        <v>#N/A</v>
      </c>
      <c r="O495" t="e">
        <f t="shared" si="57"/>
        <v>#N/A</v>
      </c>
      <c r="P495" t="e">
        <f t="shared" si="57"/>
        <v>#N/A</v>
      </c>
      <c r="Q495" t="e">
        <f t="shared" si="58"/>
        <v>#N/A</v>
      </c>
      <c r="R495" t="e">
        <f t="shared" si="58"/>
        <v>#N/A</v>
      </c>
      <c r="S495" t="e">
        <f t="shared" si="59"/>
        <v>#N/A</v>
      </c>
      <c r="T495" t="e">
        <f t="shared" si="59"/>
        <v>#N/A</v>
      </c>
      <c r="U495" t="e">
        <f t="shared" si="60"/>
        <v>#N/A</v>
      </c>
      <c r="V495" t="e">
        <f t="shared" si="60"/>
        <v>#N/A</v>
      </c>
      <c r="W495" t="e">
        <f t="shared" si="61"/>
        <v>#N/A</v>
      </c>
      <c r="X495" t="e">
        <f t="shared" si="61"/>
        <v>#N/A</v>
      </c>
      <c r="Y495" t="e">
        <f t="shared" si="55"/>
        <v>#N/A</v>
      </c>
      <c r="Z495" t="e">
        <f t="shared" si="55"/>
        <v>#N/A</v>
      </c>
    </row>
    <row r="496" spans="1:26">
      <c r="A496" t="e">
        <f>IF(ISBLANK('[1]Точность устьев скважин'!A498),#N/A,'[1]Точность устьев скважин'!A498)</f>
        <v>#N/A</v>
      </c>
      <c r="B496" t="e">
        <f>IF(ISBLANK('[1]Точность устьев скважин'!B498),#N/A,'[1]Точность устьев скважин'!B498)</f>
        <v>#N/A</v>
      </c>
      <c r="C496" t="e">
        <f>IF(ISBLANK('[1]Точность устьев скважин'!C498),#N/A,'[1]Точность устьев скважин'!C498)</f>
        <v>#N/A</v>
      </c>
      <c r="D496" t="e">
        <f>IF(ISBLANK('[1]Точность устьев скважин'!D498),#N/A,'[1]Точность устьев скважин'!D498)</f>
        <v>#N/A</v>
      </c>
      <c r="G496" t="e">
        <f>IF(ISBLANK('[1]Точность устьев скважин'!H498),#N/A,'[1]Точность устьев скважин'!H498)</f>
        <v>#N/A</v>
      </c>
      <c r="H496" t="e">
        <f>IF(ISBLANK('[1]Точность устьев скважин'!I498),#N/A,'[1]Точность устьев скважин'!I498)</f>
        <v>#N/A</v>
      </c>
      <c r="I496" t="e">
        <f>IF(ISBLANK('[1]Точность устьев скважин'!J498),#N/A,'[1]Точность устьев скважин'!J498)</f>
        <v>#N/A</v>
      </c>
      <c r="J496" t="e">
        <f>IF(ISBLANK('[1]Точность устьев скважин'!K498),#N/A,'[1]Точность устьев скважин'!K498)</f>
        <v>#N/A</v>
      </c>
      <c r="L496" s="63" t="e">
        <f t="shared" si="56"/>
        <v>#N/A</v>
      </c>
      <c r="O496" t="e">
        <f t="shared" si="57"/>
        <v>#N/A</v>
      </c>
      <c r="P496" t="e">
        <f t="shared" si="57"/>
        <v>#N/A</v>
      </c>
      <c r="Q496" t="e">
        <f t="shared" si="58"/>
        <v>#N/A</v>
      </c>
      <c r="R496" t="e">
        <f t="shared" si="58"/>
        <v>#N/A</v>
      </c>
      <c r="S496" t="e">
        <f t="shared" si="59"/>
        <v>#N/A</v>
      </c>
      <c r="T496" t="e">
        <f t="shared" si="59"/>
        <v>#N/A</v>
      </c>
      <c r="U496" t="e">
        <f t="shared" si="60"/>
        <v>#N/A</v>
      </c>
      <c r="V496" t="e">
        <f t="shared" si="60"/>
        <v>#N/A</v>
      </c>
      <c r="W496" t="e">
        <f t="shared" si="61"/>
        <v>#N/A</v>
      </c>
      <c r="X496" t="e">
        <f t="shared" si="61"/>
        <v>#N/A</v>
      </c>
      <c r="Y496" t="e">
        <f t="shared" si="55"/>
        <v>#N/A</v>
      </c>
      <c r="Z496" t="e">
        <f t="shared" si="55"/>
        <v>#N/A</v>
      </c>
    </row>
    <row r="497" spans="1:26">
      <c r="A497" t="e">
        <f>IF(ISBLANK('[1]Точность устьев скважин'!A499),#N/A,'[1]Точность устьев скважин'!A499)</f>
        <v>#N/A</v>
      </c>
      <c r="B497" t="e">
        <f>IF(ISBLANK('[1]Точность устьев скважин'!B499),#N/A,'[1]Точность устьев скважин'!B499)</f>
        <v>#N/A</v>
      </c>
      <c r="C497" t="e">
        <f>IF(ISBLANK('[1]Точность устьев скважин'!C499),#N/A,'[1]Точность устьев скважин'!C499)</f>
        <v>#N/A</v>
      </c>
      <c r="D497" t="e">
        <f>IF(ISBLANK('[1]Точность устьев скважин'!D499),#N/A,'[1]Точность устьев скважин'!D499)</f>
        <v>#N/A</v>
      </c>
      <c r="G497" t="e">
        <f>IF(ISBLANK('[1]Точность устьев скважин'!H499),#N/A,'[1]Точность устьев скважин'!H499)</f>
        <v>#N/A</v>
      </c>
      <c r="H497" t="e">
        <f>IF(ISBLANK('[1]Точность устьев скважин'!I499),#N/A,'[1]Точность устьев скважин'!I499)</f>
        <v>#N/A</v>
      </c>
      <c r="I497" t="e">
        <f>IF(ISBLANK('[1]Точность устьев скважин'!J499),#N/A,'[1]Точность устьев скважин'!J499)</f>
        <v>#N/A</v>
      </c>
      <c r="J497" t="e">
        <f>IF(ISBLANK('[1]Точность устьев скважин'!K499),#N/A,'[1]Точность устьев скважин'!K499)</f>
        <v>#N/A</v>
      </c>
      <c r="L497" s="63" t="e">
        <f t="shared" si="56"/>
        <v>#N/A</v>
      </c>
      <c r="O497" t="e">
        <f t="shared" si="57"/>
        <v>#N/A</v>
      </c>
      <c r="P497" t="e">
        <f t="shared" si="57"/>
        <v>#N/A</v>
      </c>
      <c r="Q497" t="e">
        <f t="shared" si="58"/>
        <v>#N/A</v>
      </c>
      <c r="R497" t="e">
        <f t="shared" si="58"/>
        <v>#N/A</v>
      </c>
      <c r="S497" t="e">
        <f t="shared" si="59"/>
        <v>#N/A</v>
      </c>
      <c r="T497" t="e">
        <f t="shared" si="59"/>
        <v>#N/A</v>
      </c>
      <c r="U497" t="e">
        <f t="shared" si="60"/>
        <v>#N/A</v>
      </c>
      <c r="V497" t="e">
        <f t="shared" si="60"/>
        <v>#N/A</v>
      </c>
      <c r="W497" t="e">
        <f t="shared" si="61"/>
        <v>#N/A</v>
      </c>
      <c r="X497" t="e">
        <f t="shared" si="61"/>
        <v>#N/A</v>
      </c>
      <c r="Y497" t="e">
        <f t="shared" si="55"/>
        <v>#N/A</v>
      </c>
      <c r="Z497" t="e">
        <f t="shared" si="55"/>
        <v>#N/A</v>
      </c>
    </row>
    <row r="498" spans="1:26">
      <c r="A498" t="e">
        <f>IF(ISBLANK('[1]Точность устьев скважин'!A500),#N/A,'[1]Точность устьев скважин'!A500)</f>
        <v>#N/A</v>
      </c>
      <c r="B498" t="e">
        <f>IF(ISBLANK('[1]Точность устьев скважин'!B500),#N/A,'[1]Точность устьев скважин'!B500)</f>
        <v>#N/A</v>
      </c>
      <c r="C498" t="e">
        <f>IF(ISBLANK('[1]Точность устьев скважин'!C500),#N/A,'[1]Точность устьев скважин'!C500)</f>
        <v>#N/A</v>
      </c>
      <c r="D498" t="e">
        <f>IF(ISBLANK('[1]Точность устьев скважин'!D500),#N/A,'[1]Точность устьев скважин'!D500)</f>
        <v>#N/A</v>
      </c>
      <c r="G498" t="e">
        <f>IF(ISBLANK('[1]Точность устьев скважин'!H500),#N/A,'[1]Точность устьев скважин'!H500)</f>
        <v>#N/A</v>
      </c>
      <c r="H498" t="e">
        <f>IF(ISBLANK('[1]Точность устьев скважин'!I500),#N/A,'[1]Точность устьев скважин'!I500)</f>
        <v>#N/A</v>
      </c>
      <c r="I498" t="e">
        <f>IF(ISBLANK('[1]Точность устьев скважин'!J500),#N/A,'[1]Точность устьев скважин'!J500)</f>
        <v>#N/A</v>
      </c>
      <c r="J498" t="e">
        <f>IF(ISBLANK('[1]Точность устьев скважин'!K500),#N/A,'[1]Точность устьев скважин'!K500)</f>
        <v>#N/A</v>
      </c>
      <c r="L498" s="63" t="e">
        <f t="shared" si="56"/>
        <v>#N/A</v>
      </c>
      <c r="O498" t="e">
        <f t="shared" si="57"/>
        <v>#N/A</v>
      </c>
      <c r="P498" t="e">
        <f t="shared" si="57"/>
        <v>#N/A</v>
      </c>
      <c r="Q498" t="e">
        <f t="shared" si="58"/>
        <v>#N/A</v>
      </c>
      <c r="R498" t="e">
        <f t="shared" si="58"/>
        <v>#N/A</v>
      </c>
      <c r="S498" t="e">
        <f t="shared" si="59"/>
        <v>#N/A</v>
      </c>
      <c r="T498" t="e">
        <f t="shared" si="59"/>
        <v>#N/A</v>
      </c>
      <c r="U498" t="e">
        <f t="shared" si="60"/>
        <v>#N/A</v>
      </c>
      <c r="V498" t="e">
        <f t="shared" si="60"/>
        <v>#N/A</v>
      </c>
      <c r="W498" t="e">
        <f t="shared" si="61"/>
        <v>#N/A</v>
      </c>
      <c r="X498" t="e">
        <f t="shared" si="61"/>
        <v>#N/A</v>
      </c>
      <c r="Y498" t="e">
        <f t="shared" si="55"/>
        <v>#N/A</v>
      </c>
      <c r="Z498" t="e">
        <f t="shared" si="55"/>
        <v>#N/A</v>
      </c>
    </row>
    <row r="499" spans="1:26">
      <c r="A499" t="e">
        <f>IF(ISBLANK('[1]Точность устьев скважин'!A501),#N/A,'[1]Точность устьев скважин'!A501)</f>
        <v>#N/A</v>
      </c>
      <c r="B499" t="e">
        <f>IF(ISBLANK('[1]Точность устьев скважин'!B501),#N/A,'[1]Точность устьев скважин'!B501)</f>
        <v>#N/A</v>
      </c>
      <c r="C499" t="e">
        <f>IF(ISBLANK('[1]Точность устьев скважин'!C501),#N/A,'[1]Точность устьев скважин'!C501)</f>
        <v>#N/A</v>
      </c>
      <c r="D499" t="e">
        <f>IF(ISBLANK('[1]Точность устьев скважин'!D501),#N/A,'[1]Точность устьев скважин'!D501)</f>
        <v>#N/A</v>
      </c>
      <c r="G499" t="e">
        <f>IF(ISBLANK('[1]Точность устьев скважин'!H501),#N/A,'[1]Точность устьев скважин'!H501)</f>
        <v>#N/A</v>
      </c>
      <c r="H499" t="e">
        <f>IF(ISBLANK('[1]Точность устьев скважин'!I501),#N/A,'[1]Точность устьев скважин'!I501)</f>
        <v>#N/A</v>
      </c>
      <c r="I499" t="e">
        <f>IF(ISBLANK('[1]Точность устьев скважин'!J501),#N/A,'[1]Точность устьев скважин'!J501)</f>
        <v>#N/A</v>
      </c>
      <c r="J499" t="e">
        <f>IF(ISBLANK('[1]Точность устьев скважин'!K501),#N/A,'[1]Точность устьев скважин'!K501)</f>
        <v>#N/A</v>
      </c>
      <c r="L499" s="63" t="e">
        <f t="shared" si="56"/>
        <v>#N/A</v>
      </c>
      <c r="O499" t="e">
        <f t="shared" si="57"/>
        <v>#N/A</v>
      </c>
      <c r="P499" t="e">
        <f t="shared" si="57"/>
        <v>#N/A</v>
      </c>
      <c r="Q499" t="e">
        <f t="shared" si="58"/>
        <v>#N/A</v>
      </c>
      <c r="R499" t="e">
        <f t="shared" si="58"/>
        <v>#N/A</v>
      </c>
      <c r="S499" t="e">
        <f t="shared" si="59"/>
        <v>#N/A</v>
      </c>
      <c r="T499" t="e">
        <f t="shared" si="59"/>
        <v>#N/A</v>
      </c>
      <c r="U499" t="e">
        <f t="shared" si="60"/>
        <v>#N/A</v>
      </c>
      <c r="V499" t="e">
        <f t="shared" si="60"/>
        <v>#N/A</v>
      </c>
      <c r="W499" t="e">
        <f t="shared" si="61"/>
        <v>#N/A</v>
      </c>
      <c r="X499" t="e">
        <f t="shared" si="61"/>
        <v>#N/A</v>
      </c>
      <c r="Y499" t="e">
        <f t="shared" si="55"/>
        <v>#N/A</v>
      </c>
      <c r="Z499" t="e">
        <f t="shared" si="55"/>
        <v>#N/A</v>
      </c>
    </row>
    <row r="500" spans="1:26">
      <c r="A500" t="e">
        <f>IF(ISBLANK('[1]Точность устьев скважин'!A502),#N/A,'[1]Точность устьев скважин'!A502)</f>
        <v>#N/A</v>
      </c>
      <c r="B500" t="e">
        <f>IF(ISBLANK('[1]Точность устьев скважин'!B502),#N/A,'[1]Точность устьев скважин'!B502)</f>
        <v>#N/A</v>
      </c>
      <c r="C500" t="e">
        <f>IF(ISBLANK('[1]Точность устьев скважин'!C502),#N/A,'[1]Точность устьев скважин'!C502)</f>
        <v>#N/A</v>
      </c>
      <c r="D500" t="e">
        <f>IF(ISBLANK('[1]Точность устьев скважин'!D502),#N/A,'[1]Точность устьев скважин'!D502)</f>
        <v>#N/A</v>
      </c>
      <c r="G500" t="e">
        <f>IF(ISBLANK('[1]Точность устьев скважин'!H502),#N/A,'[1]Точность устьев скважин'!H502)</f>
        <v>#N/A</v>
      </c>
      <c r="H500" t="e">
        <f>IF(ISBLANK('[1]Точность устьев скважин'!I502),#N/A,'[1]Точность устьев скважин'!I502)</f>
        <v>#N/A</v>
      </c>
      <c r="I500" t="e">
        <f>IF(ISBLANK('[1]Точность устьев скважин'!J502),#N/A,'[1]Точность устьев скважин'!J502)</f>
        <v>#N/A</v>
      </c>
      <c r="J500" t="e">
        <f>IF(ISBLANK('[1]Точность устьев скважин'!K502),#N/A,'[1]Точность устьев скважин'!K502)</f>
        <v>#N/A</v>
      </c>
      <c r="L500" s="63" t="e">
        <f t="shared" si="56"/>
        <v>#N/A</v>
      </c>
      <c r="O500" t="e">
        <f t="shared" si="57"/>
        <v>#N/A</v>
      </c>
      <c r="P500" t="e">
        <f t="shared" si="57"/>
        <v>#N/A</v>
      </c>
      <c r="Q500" t="e">
        <f t="shared" si="58"/>
        <v>#N/A</v>
      </c>
      <c r="R500" t="e">
        <f t="shared" si="58"/>
        <v>#N/A</v>
      </c>
      <c r="S500" t="e">
        <f t="shared" si="59"/>
        <v>#N/A</v>
      </c>
      <c r="T500" t="e">
        <f t="shared" si="59"/>
        <v>#N/A</v>
      </c>
      <c r="U500" t="e">
        <f t="shared" si="60"/>
        <v>#N/A</v>
      </c>
      <c r="V500" t="e">
        <f t="shared" si="60"/>
        <v>#N/A</v>
      </c>
      <c r="W500" t="e">
        <f t="shared" si="61"/>
        <v>#N/A</v>
      </c>
      <c r="X500" t="e">
        <f t="shared" si="61"/>
        <v>#N/A</v>
      </c>
      <c r="Y500" t="e">
        <f t="shared" si="55"/>
        <v>#N/A</v>
      </c>
      <c r="Z500" t="e">
        <f t="shared" si="55"/>
        <v>#N/A</v>
      </c>
    </row>
    <row r="501" spans="1:26">
      <c r="A501" t="e">
        <f>IF(ISBLANK('[1]Точность устьев скважин'!A503),#N/A,'[1]Точность устьев скважин'!A503)</f>
        <v>#N/A</v>
      </c>
      <c r="B501" t="e">
        <f>IF(ISBLANK('[1]Точность устьев скважин'!B503),#N/A,'[1]Точность устьев скважин'!B503)</f>
        <v>#N/A</v>
      </c>
      <c r="C501" t="e">
        <f>IF(ISBLANK('[1]Точность устьев скважин'!C503),#N/A,'[1]Точность устьев скважин'!C503)</f>
        <v>#N/A</v>
      </c>
      <c r="D501" t="e">
        <f>IF(ISBLANK('[1]Точность устьев скважин'!D503),#N/A,'[1]Точность устьев скважин'!D503)</f>
        <v>#N/A</v>
      </c>
      <c r="G501" t="e">
        <f>IF(ISBLANK('[1]Точность устьев скважин'!H503),#N/A,'[1]Точность устьев скважин'!H503)</f>
        <v>#N/A</v>
      </c>
      <c r="H501" t="e">
        <f>IF(ISBLANK('[1]Точность устьев скважин'!I503),#N/A,'[1]Точность устьев скважин'!I503)</f>
        <v>#N/A</v>
      </c>
      <c r="I501" t="e">
        <f>IF(ISBLANK('[1]Точность устьев скважин'!J503),#N/A,'[1]Точность устьев скважин'!J503)</f>
        <v>#N/A</v>
      </c>
      <c r="J501" t="e">
        <f>IF(ISBLANK('[1]Точность устьев скважин'!K503),#N/A,'[1]Точность устьев скважин'!K503)</f>
        <v>#N/A</v>
      </c>
      <c r="L501" s="63" t="e">
        <f t="shared" si="56"/>
        <v>#N/A</v>
      </c>
      <c r="O501" t="e">
        <f t="shared" si="57"/>
        <v>#N/A</v>
      </c>
      <c r="P501" t="e">
        <f t="shared" si="57"/>
        <v>#N/A</v>
      </c>
      <c r="Q501" t="e">
        <f t="shared" si="58"/>
        <v>#N/A</v>
      </c>
      <c r="R501" t="e">
        <f t="shared" si="58"/>
        <v>#N/A</v>
      </c>
      <c r="S501" t="e">
        <f t="shared" si="59"/>
        <v>#N/A</v>
      </c>
      <c r="T501" t="e">
        <f t="shared" si="59"/>
        <v>#N/A</v>
      </c>
      <c r="U501" t="e">
        <f t="shared" si="60"/>
        <v>#N/A</v>
      </c>
      <c r="V501" t="e">
        <f t="shared" si="60"/>
        <v>#N/A</v>
      </c>
      <c r="W501" t="e">
        <f t="shared" si="61"/>
        <v>#N/A</v>
      </c>
      <c r="X501" t="e">
        <f t="shared" si="61"/>
        <v>#N/A</v>
      </c>
      <c r="Y501" t="e">
        <f t="shared" si="55"/>
        <v>#N/A</v>
      </c>
      <c r="Z501" t="e">
        <f t="shared" si="55"/>
        <v>#N/A</v>
      </c>
    </row>
    <row r="502" spans="1:26">
      <c r="A502" t="e">
        <f>IF(ISBLANK('[1]Точность устьев скважин'!A504),#N/A,'[1]Точность устьев скважин'!A504)</f>
        <v>#N/A</v>
      </c>
      <c r="B502" t="e">
        <f>IF(ISBLANK('[1]Точность устьев скважин'!B504),#N/A,'[1]Точность устьев скважин'!B504)</f>
        <v>#N/A</v>
      </c>
      <c r="C502" t="e">
        <f>IF(ISBLANK('[1]Точность устьев скважин'!C504),#N/A,'[1]Точность устьев скважин'!C504)</f>
        <v>#N/A</v>
      </c>
      <c r="D502" t="e">
        <f>IF(ISBLANK('[1]Точность устьев скважин'!D504),#N/A,'[1]Точность устьев скважин'!D504)</f>
        <v>#N/A</v>
      </c>
      <c r="G502" t="e">
        <f>IF(ISBLANK('[1]Точность устьев скважин'!H504),#N/A,'[1]Точность устьев скважин'!H504)</f>
        <v>#N/A</v>
      </c>
      <c r="H502" t="e">
        <f>IF(ISBLANK('[1]Точность устьев скважин'!I504),#N/A,'[1]Точность устьев скважин'!I504)</f>
        <v>#N/A</v>
      </c>
      <c r="I502" t="e">
        <f>IF(ISBLANK('[1]Точность устьев скважин'!J504),#N/A,'[1]Точность устьев скважин'!J504)</f>
        <v>#N/A</v>
      </c>
      <c r="J502" t="e">
        <f>IF(ISBLANK('[1]Точность устьев скважин'!K504),#N/A,'[1]Точность устьев скважин'!K504)</f>
        <v>#N/A</v>
      </c>
      <c r="L502" s="63" t="e">
        <f t="shared" si="56"/>
        <v>#N/A</v>
      </c>
      <c r="O502" t="e">
        <f t="shared" si="57"/>
        <v>#N/A</v>
      </c>
      <c r="P502" t="e">
        <f t="shared" si="57"/>
        <v>#N/A</v>
      </c>
      <c r="Q502" t="e">
        <f t="shared" si="58"/>
        <v>#N/A</v>
      </c>
      <c r="R502" t="e">
        <f t="shared" si="58"/>
        <v>#N/A</v>
      </c>
      <c r="S502" t="e">
        <f t="shared" si="59"/>
        <v>#N/A</v>
      </c>
      <c r="T502" t="e">
        <f t="shared" si="59"/>
        <v>#N/A</v>
      </c>
      <c r="U502" t="e">
        <f t="shared" si="60"/>
        <v>#N/A</v>
      </c>
      <c r="V502" t="e">
        <f t="shared" si="60"/>
        <v>#N/A</v>
      </c>
      <c r="W502" t="e">
        <f t="shared" si="61"/>
        <v>#N/A</v>
      </c>
      <c r="X502" t="e">
        <f t="shared" si="61"/>
        <v>#N/A</v>
      </c>
      <c r="Y502" t="e">
        <f t="shared" ref="Y502:Z565" si="62">IF($L$1=0.5,IF($L502&gt;=0.5,H502,#N/A),"")</f>
        <v>#N/A</v>
      </c>
      <c r="Z502" t="e">
        <f t="shared" si="62"/>
        <v>#N/A</v>
      </c>
    </row>
    <row r="503" spans="1:26">
      <c r="A503" t="e">
        <f>IF(ISBLANK('[1]Точность устьев скважин'!A505),#N/A,'[1]Точность устьев скважин'!A505)</f>
        <v>#N/A</v>
      </c>
      <c r="B503" t="e">
        <f>IF(ISBLANK('[1]Точность устьев скважин'!B505),#N/A,'[1]Точность устьев скважин'!B505)</f>
        <v>#N/A</v>
      </c>
      <c r="C503" t="e">
        <f>IF(ISBLANK('[1]Точность устьев скважин'!C505),#N/A,'[1]Точность устьев скважин'!C505)</f>
        <v>#N/A</v>
      </c>
      <c r="D503" t="e">
        <f>IF(ISBLANK('[1]Точность устьев скважин'!D505),#N/A,'[1]Точность устьев скважин'!D505)</f>
        <v>#N/A</v>
      </c>
      <c r="G503" t="e">
        <f>IF(ISBLANK('[1]Точность устьев скважин'!H505),#N/A,'[1]Точность устьев скважин'!H505)</f>
        <v>#N/A</v>
      </c>
      <c r="H503" t="e">
        <f>IF(ISBLANK('[1]Точность устьев скважин'!I505),#N/A,'[1]Точность устьев скважин'!I505)</f>
        <v>#N/A</v>
      </c>
      <c r="I503" t="e">
        <f>IF(ISBLANK('[1]Точность устьев скважин'!J505),#N/A,'[1]Точность устьев скважин'!J505)</f>
        <v>#N/A</v>
      </c>
      <c r="J503" t="e">
        <f>IF(ISBLANK('[1]Точность устьев скважин'!K505),#N/A,'[1]Точность устьев скважин'!K505)</f>
        <v>#N/A</v>
      </c>
      <c r="L503" s="63" t="e">
        <f t="shared" si="56"/>
        <v>#N/A</v>
      </c>
      <c r="O503" t="e">
        <f t="shared" si="57"/>
        <v>#N/A</v>
      </c>
      <c r="P503" t="e">
        <f t="shared" si="57"/>
        <v>#N/A</v>
      </c>
      <c r="Q503" t="e">
        <f t="shared" si="58"/>
        <v>#N/A</v>
      </c>
      <c r="R503" t="e">
        <f t="shared" si="58"/>
        <v>#N/A</v>
      </c>
      <c r="S503" t="e">
        <f t="shared" si="59"/>
        <v>#N/A</v>
      </c>
      <c r="T503" t="e">
        <f t="shared" si="59"/>
        <v>#N/A</v>
      </c>
      <c r="U503" t="e">
        <f t="shared" si="60"/>
        <v>#N/A</v>
      </c>
      <c r="V503" t="e">
        <f t="shared" si="60"/>
        <v>#N/A</v>
      </c>
      <c r="W503" t="e">
        <f t="shared" si="61"/>
        <v>#N/A</v>
      </c>
      <c r="X503" t="e">
        <f t="shared" si="61"/>
        <v>#N/A</v>
      </c>
      <c r="Y503" t="e">
        <f t="shared" si="62"/>
        <v>#N/A</v>
      </c>
      <c r="Z503" t="e">
        <f t="shared" si="62"/>
        <v>#N/A</v>
      </c>
    </row>
    <row r="504" spans="1:26">
      <c r="A504" t="e">
        <f>IF(ISBLANK('[1]Точность устьев скважин'!A506),#N/A,'[1]Точность устьев скважин'!A506)</f>
        <v>#N/A</v>
      </c>
      <c r="B504" t="e">
        <f>IF(ISBLANK('[1]Точность устьев скважин'!B506),#N/A,'[1]Точность устьев скважин'!B506)</f>
        <v>#N/A</v>
      </c>
      <c r="C504" t="e">
        <f>IF(ISBLANK('[1]Точность устьев скважин'!C506),#N/A,'[1]Точность устьев скважин'!C506)</f>
        <v>#N/A</v>
      </c>
      <c r="D504" t="e">
        <f>IF(ISBLANK('[1]Точность устьев скважин'!D506),#N/A,'[1]Точность устьев скважин'!D506)</f>
        <v>#N/A</v>
      </c>
      <c r="G504" t="e">
        <f>IF(ISBLANK('[1]Точность устьев скважин'!H506),#N/A,'[1]Точность устьев скважин'!H506)</f>
        <v>#N/A</v>
      </c>
      <c r="H504" t="e">
        <f>IF(ISBLANK('[1]Точность устьев скважин'!I506),#N/A,'[1]Точность устьев скважин'!I506)</f>
        <v>#N/A</v>
      </c>
      <c r="I504" t="e">
        <f>IF(ISBLANK('[1]Точность устьев скважин'!J506),#N/A,'[1]Точность устьев скважин'!J506)</f>
        <v>#N/A</v>
      </c>
      <c r="J504" t="e">
        <f>IF(ISBLANK('[1]Точность устьев скважин'!K506),#N/A,'[1]Точность устьев скважин'!K506)</f>
        <v>#N/A</v>
      </c>
      <c r="L504" s="63" t="e">
        <f t="shared" si="56"/>
        <v>#N/A</v>
      </c>
      <c r="O504" t="e">
        <f t="shared" si="57"/>
        <v>#N/A</v>
      </c>
      <c r="P504" t="e">
        <f t="shared" si="57"/>
        <v>#N/A</v>
      </c>
      <c r="Q504" t="e">
        <f t="shared" si="58"/>
        <v>#N/A</v>
      </c>
      <c r="R504" t="e">
        <f t="shared" si="58"/>
        <v>#N/A</v>
      </c>
      <c r="S504" t="e">
        <f t="shared" si="59"/>
        <v>#N/A</v>
      </c>
      <c r="T504" t="e">
        <f t="shared" si="59"/>
        <v>#N/A</v>
      </c>
      <c r="U504" t="e">
        <f t="shared" si="60"/>
        <v>#N/A</v>
      </c>
      <c r="V504" t="e">
        <f t="shared" si="60"/>
        <v>#N/A</v>
      </c>
      <c r="W504" t="e">
        <f t="shared" si="61"/>
        <v>#N/A</v>
      </c>
      <c r="X504" t="e">
        <f t="shared" si="61"/>
        <v>#N/A</v>
      </c>
      <c r="Y504" t="e">
        <f t="shared" si="62"/>
        <v>#N/A</v>
      </c>
      <c r="Z504" t="e">
        <f t="shared" si="62"/>
        <v>#N/A</v>
      </c>
    </row>
    <row r="505" spans="1:26">
      <c r="A505" t="e">
        <f>IF(ISBLANK('[1]Точность устьев скважин'!A507),#N/A,'[1]Точность устьев скважин'!A507)</f>
        <v>#N/A</v>
      </c>
      <c r="B505" t="e">
        <f>IF(ISBLANK('[1]Точность устьев скважин'!B507),#N/A,'[1]Точность устьев скважин'!B507)</f>
        <v>#N/A</v>
      </c>
      <c r="C505" t="e">
        <f>IF(ISBLANK('[1]Точность устьев скважин'!C507),#N/A,'[1]Точность устьев скважин'!C507)</f>
        <v>#N/A</v>
      </c>
      <c r="D505" t="e">
        <f>IF(ISBLANK('[1]Точность устьев скважин'!D507),#N/A,'[1]Точность устьев скважин'!D507)</f>
        <v>#N/A</v>
      </c>
      <c r="G505" t="e">
        <f>IF(ISBLANK('[1]Точность устьев скважин'!H507),#N/A,'[1]Точность устьев скважин'!H507)</f>
        <v>#N/A</v>
      </c>
      <c r="H505" t="e">
        <f>IF(ISBLANK('[1]Точность устьев скважин'!I507),#N/A,'[1]Точность устьев скважин'!I507)</f>
        <v>#N/A</v>
      </c>
      <c r="I505" t="e">
        <f>IF(ISBLANK('[1]Точность устьев скважин'!J507),#N/A,'[1]Точность устьев скважин'!J507)</f>
        <v>#N/A</v>
      </c>
      <c r="J505" t="e">
        <f>IF(ISBLANK('[1]Точность устьев скважин'!K507),#N/A,'[1]Точность устьев скважин'!K507)</f>
        <v>#N/A</v>
      </c>
      <c r="L505" s="63" t="e">
        <f t="shared" si="56"/>
        <v>#N/A</v>
      </c>
      <c r="O505" t="e">
        <f t="shared" si="57"/>
        <v>#N/A</v>
      </c>
      <c r="P505" t="e">
        <f t="shared" si="57"/>
        <v>#N/A</v>
      </c>
      <c r="Q505" t="e">
        <f t="shared" si="58"/>
        <v>#N/A</v>
      </c>
      <c r="R505" t="e">
        <f t="shared" si="58"/>
        <v>#N/A</v>
      </c>
      <c r="S505" t="e">
        <f t="shared" si="59"/>
        <v>#N/A</v>
      </c>
      <c r="T505" t="e">
        <f t="shared" si="59"/>
        <v>#N/A</v>
      </c>
      <c r="U505" t="e">
        <f t="shared" si="60"/>
        <v>#N/A</v>
      </c>
      <c r="V505" t="e">
        <f t="shared" si="60"/>
        <v>#N/A</v>
      </c>
      <c r="W505" t="e">
        <f t="shared" si="61"/>
        <v>#N/A</v>
      </c>
      <c r="X505" t="e">
        <f t="shared" si="61"/>
        <v>#N/A</v>
      </c>
      <c r="Y505" t="e">
        <f t="shared" si="62"/>
        <v>#N/A</v>
      </c>
      <c r="Z505" t="e">
        <f t="shared" si="62"/>
        <v>#N/A</v>
      </c>
    </row>
    <row r="506" spans="1:26">
      <c r="A506" t="e">
        <f>IF(ISBLANK('[1]Точность устьев скважин'!A508),#N/A,'[1]Точность устьев скважин'!A508)</f>
        <v>#N/A</v>
      </c>
      <c r="B506" t="e">
        <f>IF(ISBLANK('[1]Точность устьев скважин'!B508),#N/A,'[1]Точность устьев скважин'!B508)</f>
        <v>#N/A</v>
      </c>
      <c r="C506" t="e">
        <f>IF(ISBLANK('[1]Точность устьев скважин'!C508),#N/A,'[1]Точность устьев скважин'!C508)</f>
        <v>#N/A</v>
      </c>
      <c r="D506" t="e">
        <f>IF(ISBLANK('[1]Точность устьев скважин'!D508),#N/A,'[1]Точность устьев скважин'!D508)</f>
        <v>#N/A</v>
      </c>
      <c r="G506" t="e">
        <f>IF(ISBLANK('[1]Точность устьев скважин'!H508),#N/A,'[1]Точность устьев скважин'!H508)</f>
        <v>#N/A</v>
      </c>
      <c r="H506" t="e">
        <f>IF(ISBLANK('[1]Точность устьев скважин'!I508),#N/A,'[1]Точность устьев скважин'!I508)</f>
        <v>#N/A</v>
      </c>
      <c r="I506" t="e">
        <f>IF(ISBLANK('[1]Точность устьев скважин'!J508),#N/A,'[1]Точность устьев скважин'!J508)</f>
        <v>#N/A</v>
      </c>
      <c r="J506" t="e">
        <f>IF(ISBLANK('[1]Точность устьев скважин'!K508),#N/A,'[1]Точность устьев скважин'!K508)</f>
        <v>#N/A</v>
      </c>
      <c r="L506" s="63" t="e">
        <f t="shared" si="56"/>
        <v>#N/A</v>
      </c>
      <c r="O506" t="e">
        <f t="shared" si="57"/>
        <v>#N/A</v>
      </c>
      <c r="P506" t="e">
        <f t="shared" si="57"/>
        <v>#N/A</v>
      </c>
      <c r="Q506" t="e">
        <f t="shared" si="58"/>
        <v>#N/A</v>
      </c>
      <c r="R506" t="e">
        <f t="shared" si="58"/>
        <v>#N/A</v>
      </c>
      <c r="S506" t="e">
        <f t="shared" si="59"/>
        <v>#N/A</v>
      </c>
      <c r="T506" t="e">
        <f t="shared" si="59"/>
        <v>#N/A</v>
      </c>
      <c r="U506" t="e">
        <f t="shared" si="60"/>
        <v>#N/A</v>
      </c>
      <c r="V506" t="e">
        <f t="shared" si="60"/>
        <v>#N/A</v>
      </c>
      <c r="W506" t="e">
        <f t="shared" si="61"/>
        <v>#N/A</v>
      </c>
      <c r="X506" t="e">
        <f t="shared" si="61"/>
        <v>#N/A</v>
      </c>
      <c r="Y506" t="e">
        <f t="shared" si="62"/>
        <v>#N/A</v>
      </c>
      <c r="Z506" t="e">
        <f t="shared" si="62"/>
        <v>#N/A</v>
      </c>
    </row>
    <row r="507" spans="1:26">
      <c r="A507" t="e">
        <f>IF(ISBLANK('[1]Точность устьев скважин'!A509),#N/A,'[1]Точность устьев скважин'!A509)</f>
        <v>#N/A</v>
      </c>
      <c r="B507" t="e">
        <f>IF(ISBLANK('[1]Точность устьев скважин'!B509),#N/A,'[1]Точность устьев скважин'!B509)</f>
        <v>#N/A</v>
      </c>
      <c r="C507" t="e">
        <f>IF(ISBLANK('[1]Точность устьев скважин'!C509),#N/A,'[1]Точность устьев скважин'!C509)</f>
        <v>#N/A</v>
      </c>
      <c r="D507" t="e">
        <f>IF(ISBLANK('[1]Точность устьев скважин'!D509),#N/A,'[1]Точность устьев скважин'!D509)</f>
        <v>#N/A</v>
      </c>
      <c r="G507" t="e">
        <f>IF(ISBLANK('[1]Точность устьев скважин'!H509),#N/A,'[1]Точность устьев скважин'!H509)</f>
        <v>#N/A</v>
      </c>
      <c r="H507" t="e">
        <f>IF(ISBLANK('[1]Точность устьев скважин'!I509),#N/A,'[1]Точность устьев скважин'!I509)</f>
        <v>#N/A</v>
      </c>
      <c r="I507" t="e">
        <f>IF(ISBLANK('[1]Точность устьев скважин'!J509),#N/A,'[1]Точность устьев скважин'!J509)</f>
        <v>#N/A</v>
      </c>
      <c r="J507" t="e">
        <f>IF(ISBLANK('[1]Точность устьев скважин'!K509),#N/A,'[1]Точность устьев скважин'!K509)</f>
        <v>#N/A</v>
      </c>
      <c r="L507" s="63" t="e">
        <f t="shared" si="56"/>
        <v>#N/A</v>
      </c>
      <c r="O507" t="e">
        <f t="shared" si="57"/>
        <v>#N/A</v>
      </c>
      <c r="P507" t="e">
        <f t="shared" si="57"/>
        <v>#N/A</v>
      </c>
      <c r="Q507" t="e">
        <f t="shared" si="58"/>
        <v>#N/A</v>
      </c>
      <c r="R507" t="e">
        <f t="shared" si="58"/>
        <v>#N/A</v>
      </c>
      <c r="S507" t="e">
        <f t="shared" si="59"/>
        <v>#N/A</v>
      </c>
      <c r="T507" t="e">
        <f t="shared" si="59"/>
        <v>#N/A</v>
      </c>
      <c r="U507" t="e">
        <f t="shared" si="60"/>
        <v>#N/A</v>
      </c>
      <c r="V507" t="e">
        <f t="shared" si="60"/>
        <v>#N/A</v>
      </c>
      <c r="W507" t="e">
        <f t="shared" si="61"/>
        <v>#N/A</v>
      </c>
      <c r="X507" t="e">
        <f t="shared" si="61"/>
        <v>#N/A</v>
      </c>
      <c r="Y507" t="e">
        <f t="shared" si="62"/>
        <v>#N/A</v>
      </c>
      <c r="Z507" t="e">
        <f t="shared" si="62"/>
        <v>#N/A</v>
      </c>
    </row>
    <row r="508" spans="1:26">
      <c r="A508" t="e">
        <f>IF(ISBLANK('[1]Точность устьев скважин'!A510),#N/A,'[1]Точность устьев скважин'!A510)</f>
        <v>#N/A</v>
      </c>
      <c r="B508" t="e">
        <f>IF(ISBLANK('[1]Точность устьев скважин'!B510),#N/A,'[1]Точность устьев скважин'!B510)</f>
        <v>#N/A</v>
      </c>
      <c r="C508" t="e">
        <f>IF(ISBLANK('[1]Точность устьев скважин'!C510),#N/A,'[1]Точность устьев скважин'!C510)</f>
        <v>#N/A</v>
      </c>
      <c r="D508" t="e">
        <f>IF(ISBLANK('[1]Точность устьев скважин'!D510),#N/A,'[1]Точность устьев скважин'!D510)</f>
        <v>#N/A</v>
      </c>
      <c r="G508" t="e">
        <f>IF(ISBLANK('[1]Точность устьев скважин'!H510),#N/A,'[1]Точность устьев скважин'!H510)</f>
        <v>#N/A</v>
      </c>
      <c r="H508" t="e">
        <f>IF(ISBLANK('[1]Точность устьев скважин'!I510),#N/A,'[1]Точность устьев скважин'!I510)</f>
        <v>#N/A</v>
      </c>
      <c r="I508" t="e">
        <f>IF(ISBLANK('[1]Точность устьев скважин'!J510),#N/A,'[1]Точность устьев скважин'!J510)</f>
        <v>#N/A</v>
      </c>
      <c r="J508" t="e">
        <f>IF(ISBLANK('[1]Точность устьев скважин'!K510),#N/A,'[1]Точность устьев скважин'!K510)</f>
        <v>#N/A</v>
      </c>
      <c r="L508" s="63" t="e">
        <f t="shared" si="56"/>
        <v>#N/A</v>
      </c>
      <c r="O508" t="e">
        <f t="shared" si="57"/>
        <v>#N/A</v>
      </c>
      <c r="P508" t="e">
        <f t="shared" si="57"/>
        <v>#N/A</v>
      </c>
      <c r="Q508" t="e">
        <f t="shared" si="58"/>
        <v>#N/A</v>
      </c>
      <c r="R508" t="e">
        <f t="shared" si="58"/>
        <v>#N/A</v>
      </c>
      <c r="S508" t="e">
        <f t="shared" si="59"/>
        <v>#N/A</v>
      </c>
      <c r="T508" t="e">
        <f t="shared" si="59"/>
        <v>#N/A</v>
      </c>
      <c r="U508" t="e">
        <f t="shared" si="60"/>
        <v>#N/A</v>
      </c>
      <c r="V508" t="e">
        <f t="shared" si="60"/>
        <v>#N/A</v>
      </c>
      <c r="W508" t="e">
        <f t="shared" si="61"/>
        <v>#N/A</v>
      </c>
      <c r="X508" t="e">
        <f t="shared" si="61"/>
        <v>#N/A</v>
      </c>
      <c r="Y508" t="e">
        <f t="shared" si="62"/>
        <v>#N/A</v>
      </c>
      <c r="Z508" t="e">
        <f t="shared" si="62"/>
        <v>#N/A</v>
      </c>
    </row>
    <row r="509" spans="1:26">
      <c r="A509" t="e">
        <f>IF(ISBLANK('[1]Точность устьев скважин'!A511),#N/A,'[1]Точность устьев скважин'!A511)</f>
        <v>#N/A</v>
      </c>
      <c r="B509" t="e">
        <f>IF(ISBLANK('[1]Точность устьев скважин'!B511),#N/A,'[1]Точность устьев скважин'!B511)</f>
        <v>#N/A</v>
      </c>
      <c r="C509" t="e">
        <f>IF(ISBLANK('[1]Точность устьев скважин'!C511),#N/A,'[1]Точность устьев скважин'!C511)</f>
        <v>#N/A</v>
      </c>
      <c r="D509" t="e">
        <f>IF(ISBLANK('[1]Точность устьев скважин'!D511),#N/A,'[1]Точность устьев скважин'!D511)</f>
        <v>#N/A</v>
      </c>
      <c r="G509" t="e">
        <f>IF(ISBLANK('[1]Точность устьев скважин'!H511),#N/A,'[1]Точность устьев скважин'!H511)</f>
        <v>#N/A</v>
      </c>
      <c r="H509" t="e">
        <f>IF(ISBLANK('[1]Точность устьев скважин'!I511),#N/A,'[1]Точность устьев скважин'!I511)</f>
        <v>#N/A</v>
      </c>
      <c r="I509" t="e">
        <f>IF(ISBLANK('[1]Точность устьев скважин'!J511),#N/A,'[1]Точность устьев скважин'!J511)</f>
        <v>#N/A</v>
      </c>
      <c r="J509" t="e">
        <f>IF(ISBLANK('[1]Точность устьев скважин'!K511),#N/A,'[1]Точность устьев скважин'!K511)</f>
        <v>#N/A</v>
      </c>
      <c r="L509" s="63" t="e">
        <f t="shared" si="56"/>
        <v>#N/A</v>
      </c>
      <c r="O509" t="e">
        <f t="shared" si="57"/>
        <v>#N/A</v>
      </c>
      <c r="P509" t="e">
        <f t="shared" si="57"/>
        <v>#N/A</v>
      </c>
      <c r="Q509" t="e">
        <f t="shared" si="58"/>
        <v>#N/A</v>
      </c>
      <c r="R509" t="e">
        <f t="shared" si="58"/>
        <v>#N/A</v>
      </c>
      <c r="S509" t="e">
        <f t="shared" si="59"/>
        <v>#N/A</v>
      </c>
      <c r="T509" t="e">
        <f t="shared" si="59"/>
        <v>#N/A</v>
      </c>
      <c r="U509" t="e">
        <f t="shared" si="60"/>
        <v>#N/A</v>
      </c>
      <c r="V509" t="e">
        <f t="shared" si="60"/>
        <v>#N/A</v>
      </c>
      <c r="W509" t="e">
        <f t="shared" si="61"/>
        <v>#N/A</v>
      </c>
      <c r="X509" t="e">
        <f t="shared" si="61"/>
        <v>#N/A</v>
      </c>
      <c r="Y509" t="e">
        <f t="shared" si="62"/>
        <v>#N/A</v>
      </c>
      <c r="Z509" t="e">
        <f t="shared" si="62"/>
        <v>#N/A</v>
      </c>
    </row>
    <row r="510" spans="1:26">
      <c r="A510" t="e">
        <f>IF(ISBLANK('[1]Точность устьев скважин'!A512),#N/A,'[1]Точность устьев скважин'!A512)</f>
        <v>#N/A</v>
      </c>
      <c r="B510" t="e">
        <f>IF(ISBLANK('[1]Точность устьев скважин'!B512),#N/A,'[1]Точность устьев скважин'!B512)</f>
        <v>#N/A</v>
      </c>
      <c r="C510" t="e">
        <f>IF(ISBLANK('[1]Точность устьев скважин'!C512),#N/A,'[1]Точность устьев скважин'!C512)</f>
        <v>#N/A</v>
      </c>
      <c r="D510" t="e">
        <f>IF(ISBLANK('[1]Точность устьев скважин'!D512),#N/A,'[1]Точность устьев скважин'!D512)</f>
        <v>#N/A</v>
      </c>
      <c r="G510" t="e">
        <f>IF(ISBLANK('[1]Точность устьев скважин'!H512),#N/A,'[1]Точность устьев скважин'!H512)</f>
        <v>#N/A</v>
      </c>
      <c r="H510" t="e">
        <f>IF(ISBLANK('[1]Точность устьев скважин'!I512),#N/A,'[1]Точность устьев скважин'!I512)</f>
        <v>#N/A</v>
      </c>
      <c r="I510" t="e">
        <f>IF(ISBLANK('[1]Точность устьев скважин'!J512),#N/A,'[1]Точность устьев скважин'!J512)</f>
        <v>#N/A</v>
      </c>
      <c r="J510" t="e">
        <f>IF(ISBLANK('[1]Точность устьев скважин'!K512),#N/A,'[1]Точность устьев скважин'!K512)</f>
        <v>#N/A</v>
      </c>
      <c r="L510" s="63" t="e">
        <f t="shared" si="56"/>
        <v>#N/A</v>
      </c>
      <c r="O510" t="e">
        <f t="shared" si="57"/>
        <v>#N/A</v>
      </c>
      <c r="P510" t="e">
        <f t="shared" si="57"/>
        <v>#N/A</v>
      </c>
      <c r="Q510" t="e">
        <f t="shared" si="58"/>
        <v>#N/A</v>
      </c>
      <c r="R510" t="e">
        <f t="shared" si="58"/>
        <v>#N/A</v>
      </c>
      <c r="S510" t="e">
        <f t="shared" si="59"/>
        <v>#N/A</v>
      </c>
      <c r="T510" t="e">
        <f t="shared" si="59"/>
        <v>#N/A</v>
      </c>
      <c r="U510" t="e">
        <f t="shared" si="60"/>
        <v>#N/A</v>
      </c>
      <c r="V510" t="e">
        <f t="shared" si="60"/>
        <v>#N/A</v>
      </c>
      <c r="W510" t="e">
        <f t="shared" si="61"/>
        <v>#N/A</v>
      </c>
      <c r="X510" t="e">
        <f t="shared" si="61"/>
        <v>#N/A</v>
      </c>
      <c r="Y510" t="e">
        <f t="shared" si="62"/>
        <v>#N/A</v>
      </c>
      <c r="Z510" t="e">
        <f t="shared" si="62"/>
        <v>#N/A</v>
      </c>
    </row>
    <row r="511" spans="1:26">
      <c r="A511" t="e">
        <f>IF(ISBLANK('[1]Точность устьев скважин'!A513),#N/A,'[1]Точность устьев скважин'!A513)</f>
        <v>#N/A</v>
      </c>
      <c r="B511" t="e">
        <f>IF(ISBLANK('[1]Точность устьев скважин'!B513),#N/A,'[1]Точность устьев скважин'!B513)</f>
        <v>#N/A</v>
      </c>
      <c r="C511" t="e">
        <f>IF(ISBLANK('[1]Точность устьев скважин'!C513),#N/A,'[1]Точность устьев скважин'!C513)</f>
        <v>#N/A</v>
      </c>
      <c r="D511" t="e">
        <f>IF(ISBLANK('[1]Точность устьев скважин'!D513),#N/A,'[1]Точность устьев скважин'!D513)</f>
        <v>#N/A</v>
      </c>
      <c r="G511" t="e">
        <f>IF(ISBLANK('[1]Точность устьев скважин'!H513),#N/A,'[1]Точность устьев скважин'!H513)</f>
        <v>#N/A</v>
      </c>
      <c r="H511" t="e">
        <f>IF(ISBLANK('[1]Точность устьев скважин'!I513),#N/A,'[1]Точность устьев скважин'!I513)</f>
        <v>#N/A</v>
      </c>
      <c r="I511" t="e">
        <f>IF(ISBLANK('[1]Точность устьев скважин'!J513),#N/A,'[1]Точность устьев скважин'!J513)</f>
        <v>#N/A</v>
      </c>
      <c r="J511" t="e">
        <f>IF(ISBLANK('[1]Точность устьев скважин'!K513),#N/A,'[1]Точность устьев скважин'!K513)</f>
        <v>#N/A</v>
      </c>
      <c r="L511" s="63" t="e">
        <f t="shared" si="56"/>
        <v>#N/A</v>
      </c>
      <c r="O511" t="e">
        <f t="shared" si="57"/>
        <v>#N/A</v>
      </c>
      <c r="P511" t="e">
        <f t="shared" si="57"/>
        <v>#N/A</v>
      </c>
      <c r="Q511" t="e">
        <f t="shared" si="58"/>
        <v>#N/A</v>
      </c>
      <c r="R511" t="e">
        <f t="shared" si="58"/>
        <v>#N/A</v>
      </c>
      <c r="S511" t="e">
        <f t="shared" si="59"/>
        <v>#N/A</v>
      </c>
      <c r="T511" t="e">
        <f t="shared" si="59"/>
        <v>#N/A</v>
      </c>
      <c r="U511" t="e">
        <f t="shared" si="60"/>
        <v>#N/A</v>
      </c>
      <c r="V511" t="e">
        <f t="shared" si="60"/>
        <v>#N/A</v>
      </c>
      <c r="W511" t="e">
        <f t="shared" si="61"/>
        <v>#N/A</v>
      </c>
      <c r="X511" t="e">
        <f t="shared" si="61"/>
        <v>#N/A</v>
      </c>
      <c r="Y511" t="e">
        <f t="shared" si="62"/>
        <v>#N/A</v>
      </c>
      <c r="Z511" t="e">
        <f t="shared" si="62"/>
        <v>#N/A</v>
      </c>
    </row>
    <row r="512" spans="1:26">
      <c r="A512" t="e">
        <f>IF(ISBLANK('[1]Точность устьев скважин'!A514),#N/A,'[1]Точность устьев скважин'!A514)</f>
        <v>#N/A</v>
      </c>
      <c r="B512" t="e">
        <f>IF(ISBLANK('[1]Точность устьев скважин'!B514),#N/A,'[1]Точность устьев скважин'!B514)</f>
        <v>#N/A</v>
      </c>
      <c r="C512" t="e">
        <f>IF(ISBLANK('[1]Точность устьев скважин'!C514),#N/A,'[1]Точность устьев скважин'!C514)</f>
        <v>#N/A</v>
      </c>
      <c r="D512" t="e">
        <f>IF(ISBLANK('[1]Точность устьев скважин'!D514),#N/A,'[1]Точность устьев скважин'!D514)</f>
        <v>#N/A</v>
      </c>
      <c r="G512" t="e">
        <f>IF(ISBLANK('[1]Точность устьев скважин'!H514),#N/A,'[1]Точность устьев скважин'!H514)</f>
        <v>#N/A</v>
      </c>
      <c r="H512" t="e">
        <f>IF(ISBLANK('[1]Точность устьев скважин'!I514),#N/A,'[1]Точность устьев скважин'!I514)</f>
        <v>#N/A</v>
      </c>
      <c r="I512" t="e">
        <f>IF(ISBLANK('[1]Точность устьев скважин'!J514),#N/A,'[1]Точность устьев скважин'!J514)</f>
        <v>#N/A</v>
      </c>
      <c r="J512" t="e">
        <f>IF(ISBLANK('[1]Точность устьев скважин'!K514),#N/A,'[1]Точность устьев скважин'!K514)</f>
        <v>#N/A</v>
      </c>
      <c r="L512" s="63" t="e">
        <f t="shared" si="56"/>
        <v>#N/A</v>
      </c>
      <c r="O512" t="e">
        <f t="shared" si="57"/>
        <v>#N/A</v>
      </c>
      <c r="P512" t="e">
        <f t="shared" si="57"/>
        <v>#N/A</v>
      </c>
      <c r="Q512" t="e">
        <f t="shared" si="58"/>
        <v>#N/A</v>
      </c>
      <c r="R512" t="e">
        <f t="shared" si="58"/>
        <v>#N/A</v>
      </c>
      <c r="S512" t="e">
        <f t="shared" si="59"/>
        <v>#N/A</v>
      </c>
      <c r="T512" t="e">
        <f t="shared" si="59"/>
        <v>#N/A</v>
      </c>
      <c r="U512" t="e">
        <f t="shared" si="60"/>
        <v>#N/A</v>
      </c>
      <c r="V512" t="e">
        <f t="shared" si="60"/>
        <v>#N/A</v>
      </c>
      <c r="W512" t="e">
        <f t="shared" si="61"/>
        <v>#N/A</v>
      </c>
      <c r="X512" t="e">
        <f t="shared" si="61"/>
        <v>#N/A</v>
      </c>
      <c r="Y512" t="e">
        <f t="shared" si="62"/>
        <v>#N/A</v>
      </c>
      <c r="Z512" t="e">
        <f t="shared" si="62"/>
        <v>#N/A</v>
      </c>
    </row>
    <row r="513" spans="1:26">
      <c r="A513" t="e">
        <f>IF(ISBLANK('[1]Точность устьев скважин'!A515),#N/A,'[1]Точность устьев скважин'!A515)</f>
        <v>#N/A</v>
      </c>
      <c r="B513" t="e">
        <f>IF(ISBLANK('[1]Точность устьев скважин'!B515),#N/A,'[1]Точность устьев скважин'!B515)</f>
        <v>#N/A</v>
      </c>
      <c r="C513" t="e">
        <f>IF(ISBLANK('[1]Точность устьев скважин'!C515),#N/A,'[1]Точность устьев скважин'!C515)</f>
        <v>#N/A</v>
      </c>
      <c r="D513" t="e">
        <f>IF(ISBLANK('[1]Точность устьев скважин'!D515),#N/A,'[1]Точность устьев скважин'!D515)</f>
        <v>#N/A</v>
      </c>
      <c r="G513" t="e">
        <f>IF(ISBLANK('[1]Точность устьев скважин'!H515),#N/A,'[1]Точность устьев скважин'!H515)</f>
        <v>#N/A</v>
      </c>
      <c r="H513" t="e">
        <f>IF(ISBLANK('[1]Точность устьев скважин'!I515),#N/A,'[1]Точность устьев скважин'!I515)</f>
        <v>#N/A</v>
      </c>
      <c r="I513" t="e">
        <f>IF(ISBLANK('[1]Точность устьев скважин'!J515),#N/A,'[1]Точность устьев скважин'!J515)</f>
        <v>#N/A</v>
      </c>
      <c r="J513" t="e">
        <f>IF(ISBLANK('[1]Точность устьев скважин'!K515),#N/A,'[1]Точность устьев скважин'!K515)</f>
        <v>#N/A</v>
      </c>
      <c r="L513" s="63" t="e">
        <f t="shared" si="56"/>
        <v>#N/A</v>
      </c>
      <c r="O513" t="e">
        <f t="shared" si="57"/>
        <v>#N/A</v>
      </c>
      <c r="P513" t="e">
        <f t="shared" si="57"/>
        <v>#N/A</v>
      </c>
      <c r="Q513" t="e">
        <f t="shared" si="58"/>
        <v>#N/A</v>
      </c>
      <c r="R513" t="e">
        <f t="shared" si="58"/>
        <v>#N/A</v>
      </c>
      <c r="S513" t="e">
        <f t="shared" si="59"/>
        <v>#N/A</v>
      </c>
      <c r="T513" t="e">
        <f t="shared" si="59"/>
        <v>#N/A</v>
      </c>
      <c r="U513" t="e">
        <f t="shared" si="60"/>
        <v>#N/A</v>
      </c>
      <c r="V513" t="e">
        <f t="shared" si="60"/>
        <v>#N/A</v>
      </c>
      <c r="W513" t="e">
        <f t="shared" si="61"/>
        <v>#N/A</v>
      </c>
      <c r="X513" t="e">
        <f t="shared" si="61"/>
        <v>#N/A</v>
      </c>
      <c r="Y513" t="e">
        <f t="shared" si="62"/>
        <v>#N/A</v>
      </c>
      <c r="Z513" t="e">
        <f t="shared" si="62"/>
        <v>#N/A</v>
      </c>
    </row>
    <row r="514" spans="1:26">
      <c r="A514" t="e">
        <f>IF(ISBLANK('[1]Точность устьев скважин'!A516),#N/A,'[1]Точность устьев скважин'!A516)</f>
        <v>#N/A</v>
      </c>
      <c r="B514" t="e">
        <f>IF(ISBLANK('[1]Точность устьев скважин'!B516),#N/A,'[1]Точность устьев скважин'!B516)</f>
        <v>#N/A</v>
      </c>
      <c r="C514" t="e">
        <f>IF(ISBLANK('[1]Точность устьев скважин'!C516),#N/A,'[1]Точность устьев скважин'!C516)</f>
        <v>#N/A</v>
      </c>
      <c r="D514" t="e">
        <f>IF(ISBLANK('[1]Точность устьев скважин'!D516),#N/A,'[1]Точность устьев скважин'!D516)</f>
        <v>#N/A</v>
      </c>
      <c r="G514" t="e">
        <f>IF(ISBLANK('[1]Точность устьев скважин'!H516),#N/A,'[1]Точность устьев скважин'!H516)</f>
        <v>#N/A</v>
      </c>
      <c r="H514" t="e">
        <f>IF(ISBLANK('[1]Точность устьев скважин'!I516),#N/A,'[1]Точность устьев скважин'!I516)</f>
        <v>#N/A</v>
      </c>
      <c r="I514" t="e">
        <f>IF(ISBLANK('[1]Точность устьев скважин'!J516),#N/A,'[1]Точность устьев скважин'!J516)</f>
        <v>#N/A</v>
      </c>
      <c r="J514" t="e">
        <f>IF(ISBLANK('[1]Точность устьев скважин'!K516),#N/A,'[1]Точность устьев скважин'!K516)</f>
        <v>#N/A</v>
      </c>
      <c r="L514" s="63" t="e">
        <f t="shared" si="56"/>
        <v>#N/A</v>
      </c>
      <c r="O514" t="e">
        <f t="shared" si="57"/>
        <v>#N/A</v>
      </c>
      <c r="P514" t="e">
        <f t="shared" si="57"/>
        <v>#N/A</v>
      </c>
      <c r="Q514" t="e">
        <f t="shared" si="58"/>
        <v>#N/A</v>
      </c>
      <c r="R514" t="e">
        <f t="shared" si="58"/>
        <v>#N/A</v>
      </c>
      <c r="S514" t="e">
        <f t="shared" si="59"/>
        <v>#N/A</v>
      </c>
      <c r="T514" t="e">
        <f t="shared" si="59"/>
        <v>#N/A</v>
      </c>
      <c r="U514" t="e">
        <f t="shared" si="60"/>
        <v>#N/A</v>
      </c>
      <c r="V514" t="e">
        <f t="shared" si="60"/>
        <v>#N/A</v>
      </c>
      <c r="W514" t="e">
        <f t="shared" si="61"/>
        <v>#N/A</v>
      </c>
      <c r="X514" t="e">
        <f t="shared" si="61"/>
        <v>#N/A</v>
      </c>
      <c r="Y514" t="e">
        <f t="shared" si="62"/>
        <v>#N/A</v>
      </c>
      <c r="Z514" t="e">
        <f t="shared" si="62"/>
        <v>#N/A</v>
      </c>
    </row>
    <row r="515" spans="1:26">
      <c r="A515" t="e">
        <f>IF(ISBLANK('[1]Точность устьев скважин'!A517),#N/A,'[1]Точность устьев скважин'!A517)</f>
        <v>#N/A</v>
      </c>
      <c r="B515" t="e">
        <f>IF(ISBLANK('[1]Точность устьев скважин'!B517),#N/A,'[1]Точность устьев скважин'!B517)</f>
        <v>#N/A</v>
      </c>
      <c r="C515" t="e">
        <f>IF(ISBLANK('[1]Точность устьев скважин'!C517),#N/A,'[1]Точность устьев скважин'!C517)</f>
        <v>#N/A</v>
      </c>
      <c r="D515" t="e">
        <f>IF(ISBLANK('[1]Точность устьев скважин'!D517),#N/A,'[1]Точность устьев скважин'!D517)</f>
        <v>#N/A</v>
      </c>
      <c r="G515" t="e">
        <f>IF(ISBLANK('[1]Точность устьев скважин'!H517),#N/A,'[1]Точность устьев скважин'!H517)</f>
        <v>#N/A</v>
      </c>
      <c r="H515" t="e">
        <f>IF(ISBLANK('[1]Точность устьев скважин'!I517),#N/A,'[1]Точность устьев скважин'!I517)</f>
        <v>#N/A</v>
      </c>
      <c r="I515" t="e">
        <f>IF(ISBLANK('[1]Точность устьев скважин'!J517),#N/A,'[1]Точность устьев скважин'!J517)</f>
        <v>#N/A</v>
      </c>
      <c r="J515" t="e">
        <f>IF(ISBLANK('[1]Точность устьев скважин'!K517),#N/A,'[1]Точность устьев скважин'!K517)</f>
        <v>#N/A</v>
      </c>
      <c r="L515" s="63" t="e">
        <f t="shared" si="56"/>
        <v>#N/A</v>
      </c>
      <c r="O515" t="e">
        <f t="shared" si="57"/>
        <v>#N/A</v>
      </c>
      <c r="P515" t="e">
        <f t="shared" si="57"/>
        <v>#N/A</v>
      </c>
      <c r="Q515" t="e">
        <f t="shared" si="58"/>
        <v>#N/A</v>
      </c>
      <c r="R515" t="e">
        <f t="shared" si="58"/>
        <v>#N/A</v>
      </c>
      <c r="S515" t="e">
        <f t="shared" si="59"/>
        <v>#N/A</v>
      </c>
      <c r="T515" t="e">
        <f t="shared" si="59"/>
        <v>#N/A</v>
      </c>
      <c r="U515" t="e">
        <f t="shared" si="60"/>
        <v>#N/A</v>
      </c>
      <c r="V515" t="e">
        <f t="shared" si="60"/>
        <v>#N/A</v>
      </c>
      <c r="W515" t="e">
        <f t="shared" si="61"/>
        <v>#N/A</v>
      </c>
      <c r="X515" t="e">
        <f t="shared" si="61"/>
        <v>#N/A</v>
      </c>
      <c r="Y515" t="e">
        <f t="shared" si="62"/>
        <v>#N/A</v>
      </c>
      <c r="Z515" t="e">
        <f t="shared" si="62"/>
        <v>#N/A</v>
      </c>
    </row>
    <row r="516" spans="1:26">
      <c r="A516" t="e">
        <f>IF(ISBLANK('[1]Точность устьев скважин'!A518),#N/A,'[1]Точность устьев скважин'!A518)</f>
        <v>#N/A</v>
      </c>
      <c r="B516" t="e">
        <f>IF(ISBLANK('[1]Точность устьев скважин'!B518),#N/A,'[1]Точность устьев скважин'!B518)</f>
        <v>#N/A</v>
      </c>
      <c r="C516" t="e">
        <f>IF(ISBLANK('[1]Точность устьев скважин'!C518),#N/A,'[1]Точность устьев скважин'!C518)</f>
        <v>#N/A</v>
      </c>
      <c r="D516" t="e">
        <f>IF(ISBLANK('[1]Точность устьев скважин'!D518),#N/A,'[1]Точность устьев скважин'!D518)</f>
        <v>#N/A</v>
      </c>
      <c r="G516" t="e">
        <f>IF(ISBLANK('[1]Точность устьев скважин'!H518),#N/A,'[1]Точность устьев скважин'!H518)</f>
        <v>#N/A</v>
      </c>
      <c r="H516" t="e">
        <f>IF(ISBLANK('[1]Точность устьев скважин'!I518),#N/A,'[1]Точность устьев скважин'!I518)</f>
        <v>#N/A</v>
      </c>
      <c r="I516" t="e">
        <f>IF(ISBLANK('[1]Точность устьев скважин'!J518),#N/A,'[1]Точность устьев скважин'!J518)</f>
        <v>#N/A</v>
      </c>
      <c r="J516" t="e">
        <f>IF(ISBLANK('[1]Точность устьев скважин'!K518),#N/A,'[1]Точность устьев скважин'!K518)</f>
        <v>#N/A</v>
      </c>
      <c r="L516" s="63" t="e">
        <f t="shared" ref="L516:L579" si="63">IF(B516="","",(SQRT((H516-B516)^2+(I516-C516)^2)))</f>
        <v>#N/A</v>
      </c>
      <c r="O516" t="e">
        <f t="shared" si="57"/>
        <v>#N/A</v>
      </c>
      <c r="P516" t="e">
        <f t="shared" si="57"/>
        <v>#N/A</v>
      </c>
      <c r="Q516" t="e">
        <f t="shared" si="58"/>
        <v>#N/A</v>
      </c>
      <c r="R516" t="e">
        <f t="shared" si="58"/>
        <v>#N/A</v>
      </c>
      <c r="S516" t="e">
        <f t="shared" si="59"/>
        <v>#N/A</v>
      </c>
      <c r="T516" t="e">
        <f t="shared" si="59"/>
        <v>#N/A</v>
      </c>
      <c r="U516" t="e">
        <f t="shared" si="60"/>
        <v>#N/A</v>
      </c>
      <c r="V516" t="e">
        <f t="shared" si="60"/>
        <v>#N/A</v>
      </c>
      <c r="W516" t="e">
        <f t="shared" si="61"/>
        <v>#N/A</v>
      </c>
      <c r="X516" t="e">
        <f t="shared" si="61"/>
        <v>#N/A</v>
      </c>
      <c r="Y516" t="e">
        <f t="shared" si="62"/>
        <v>#N/A</v>
      </c>
      <c r="Z516" t="e">
        <f t="shared" si="62"/>
        <v>#N/A</v>
      </c>
    </row>
    <row r="517" spans="1:26">
      <c r="A517" t="e">
        <f>IF(ISBLANK('[1]Точность устьев скважин'!A519),#N/A,'[1]Точность устьев скважин'!A519)</f>
        <v>#N/A</v>
      </c>
      <c r="B517" t="e">
        <f>IF(ISBLANK('[1]Точность устьев скважин'!B519),#N/A,'[1]Точность устьев скважин'!B519)</f>
        <v>#N/A</v>
      </c>
      <c r="C517" t="e">
        <f>IF(ISBLANK('[1]Точность устьев скважин'!C519),#N/A,'[1]Точность устьев скважин'!C519)</f>
        <v>#N/A</v>
      </c>
      <c r="D517" t="e">
        <f>IF(ISBLANK('[1]Точность устьев скважин'!D519),#N/A,'[1]Точность устьев скважин'!D519)</f>
        <v>#N/A</v>
      </c>
      <c r="G517" t="e">
        <f>IF(ISBLANK('[1]Точность устьев скважин'!H519),#N/A,'[1]Точность устьев скважин'!H519)</f>
        <v>#N/A</v>
      </c>
      <c r="H517" t="e">
        <f>IF(ISBLANK('[1]Точность устьев скважин'!I519),#N/A,'[1]Точность устьев скважин'!I519)</f>
        <v>#N/A</v>
      </c>
      <c r="I517" t="e">
        <f>IF(ISBLANK('[1]Точность устьев скважин'!J519),#N/A,'[1]Точность устьев скважин'!J519)</f>
        <v>#N/A</v>
      </c>
      <c r="J517" t="e">
        <f>IF(ISBLANK('[1]Точность устьев скважин'!K519),#N/A,'[1]Точность устьев скважин'!K519)</f>
        <v>#N/A</v>
      </c>
      <c r="L517" s="63" t="e">
        <f t="shared" si="63"/>
        <v>#N/A</v>
      </c>
      <c r="O517" t="e">
        <f t="shared" si="57"/>
        <v>#N/A</v>
      </c>
      <c r="P517" t="e">
        <f t="shared" si="57"/>
        <v>#N/A</v>
      </c>
      <c r="Q517" t="e">
        <f t="shared" si="58"/>
        <v>#N/A</v>
      </c>
      <c r="R517" t="e">
        <f t="shared" si="58"/>
        <v>#N/A</v>
      </c>
      <c r="S517" t="e">
        <f t="shared" si="59"/>
        <v>#N/A</v>
      </c>
      <c r="T517" t="e">
        <f t="shared" si="59"/>
        <v>#N/A</v>
      </c>
      <c r="U517" t="e">
        <f t="shared" si="60"/>
        <v>#N/A</v>
      </c>
      <c r="V517" t="e">
        <f t="shared" si="60"/>
        <v>#N/A</v>
      </c>
      <c r="W517" t="e">
        <f t="shared" si="61"/>
        <v>#N/A</v>
      </c>
      <c r="X517" t="e">
        <f t="shared" si="61"/>
        <v>#N/A</v>
      </c>
      <c r="Y517" t="e">
        <f t="shared" si="62"/>
        <v>#N/A</v>
      </c>
      <c r="Z517" t="e">
        <f t="shared" si="62"/>
        <v>#N/A</v>
      </c>
    </row>
    <row r="518" spans="1:26">
      <c r="A518" t="e">
        <f>IF(ISBLANK('[1]Точность устьев скважин'!A520),#N/A,'[1]Точность устьев скважин'!A520)</f>
        <v>#N/A</v>
      </c>
      <c r="B518" t="e">
        <f>IF(ISBLANK('[1]Точность устьев скважин'!B520),#N/A,'[1]Точность устьев скважин'!B520)</f>
        <v>#N/A</v>
      </c>
      <c r="C518" t="e">
        <f>IF(ISBLANK('[1]Точность устьев скважин'!C520),#N/A,'[1]Точность устьев скважин'!C520)</f>
        <v>#N/A</v>
      </c>
      <c r="D518" t="e">
        <f>IF(ISBLANK('[1]Точность устьев скважин'!D520),#N/A,'[1]Точность устьев скважин'!D520)</f>
        <v>#N/A</v>
      </c>
      <c r="G518" t="e">
        <f>IF(ISBLANK('[1]Точность устьев скважин'!H520),#N/A,'[1]Точность устьев скважин'!H520)</f>
        <v>#N/A</v>
      </c>
      <c r="H518" t="e">
        <f>IF(ISBLANK('[1]Точность устьев скважин'!I520),#N/A,'[1]Точность устьев скважин'!I520)</f>
        <v>#N/A</v>
      </c>
      <c r="I518" t="e">
        <f>IF(ISBLANK('[1]Точность устьев скважин'!J520),#N/A,'[1]Точность устьев скважин'!J520)</f>
        <v>#N/A</v>
      </c>
      <c r="J518" t="e">
        <f>IF(ISBLANK('[1]Точность устьев скважин'!K520),#N/A,'[1]Точность устьев скважин'!K520)</f>
        <v>#N/A</v>
      </c>
      <c r="L518" s="63" t="e">
        <f t="shared" si="63"/>
        <v>#N/A</v>
      </c>
      <c r="O518" t="e">
        <f t="shared" si="57"/>
        <v>#N/A</v>
      </c>
      <c r="P518" t="e">
        <f t="shared" si="57"/>
        <v>#N/A</v>
      </c>
      <c r="Q518" t="e">
        <f t="shared" si="58"/>
        <v>#N/A</v>
      </c>
      <c r="R518" t="e">
        <f t="shared" si="58"/>
        <v>#N/A</v>
      </c>
      <c r="S518" t="e">
        <f t="shared" si="59"/>
        <v>#N/A</v>
      </c>
      <c r="T518" t="e">
        <f t="shared" si="59"/>
        <v>#N/A</v>
      </c>
      <c r="U518" t="e">
        <f t="shared" si="60"/>
        <v>#N/A</v>
      </c>
      <c r="V518" t="e">
        <f t="shared" si="60"/>
        <v>#N/A</v>
      </c>
      <c r="W518" t="e">
        <f t="shared" si="61"/>
        <v>#N/A</v>
      </c>
      <c r="X518" t="e">
        <f t="shared" si="61"/>
        <v>#N/A</v>
      </c>
      <c r="Y518" t="e">
        <f t="shared" si="62"/>
        <v>#N/A</v>
      </c>
      <c r="Z518" t="e">
        <f t="shared" si="62"/>
        <v>#N/A</v>
      </c>
    </row>
    <row r="519" spans="1:26">
      <c r="A519" t="e">
        <f>IF(ISBLANK('[1]Точность устьев скважин'!A521),#N/A,'[1]Точность устьев скважин'!A521)</f>
        <v>#N/A</v>
      </c>
      <c r="B519" t="e">
        <f>IF(ISBLANK('[1]Точность устьев скважин'!B521),#N/A,'[1]Точность устьев скважин'!B521)</f>
        <v>#N/A</v>
      </c>
      <c r="C519" t="e">
        <f>IF(ISBLANK('[1]Точность устьев скважин'!C521),#N/A,'[1]Точность устьев скважин'!C521)</f>
        <v>#N/A</v>
      </c>
      <c r="D519" t="e">
        <f>IF(ISBLANK('[1]Точность устьев скважин'!D521),#N/A,'[1]Точность устьев скважин'!D521)</f>
        <v>#N/A</v>
      </c>
      <c r="G519" t="e">
        <f>IF(ISBLANK('[1]Точность устьев скважин'!H521),#N/A,'[1]Точность устьев скважин'!H521)</f>
        <v>#N/A</v>
      </c>
      <c r="H519" t="e">
        <f>IF(ISBLANK('[1]Точность устьев скважин'!I521),#N/A,'[1]Точность устьев скважин'!I521)</f>
        <v>#N/A</v>
      </c>
      <c r="I519" t="e">
        <f>IF(ISBLANK('[1]Точность устьев скважин'!J521),#N/A,'[1]Точность устьев скважин'!J521)</f>
        <v>#N/A</v>
      </c>
      <c r="J519" t="e">
        <f>IF(ISBLANK('[1]Точность устьев скважин'!K521),#N/A,'[1]Точность устьев скважин'!K521)</f>
        <v>#N/A</v>
      </c>
      <c r="L519" s="63" t="e">
        <f t="shared" si="63"/>
        <v>#N/A</v>
      </c>
      <c r="O519" t="e">
        <f t="shared" si="57"/>
        <v>#N/A</v>
      </c>
      <c r="P519" t="e">
        <f t="shared" si="57"/>
        <v>#N/A</v>
      </c>
      <c r="Q519" t="e">
        <f t="shared" si="58"/>
        <v>#N/A</v>
      </c>
      <c r="R519" t="e">
        <f t="shared" si="58"/>
        <v>#N/A</v>
      </c>
      <c r="S519" t="e">
        <f t="shared" si="59"/>
        <v>#N/A</v>
      </c>
      <c r="T519" t="e">
        <f t="shared" si="59"/>
        <v>#N/A</v>
      </c>
      <c r="U519" t="e">
        <f t="shared" si="60"/>
        <v>#N/A</v>
      </c>
      <c r="V519" t="e">
        <f t="shared" si="60"/>
        <v>#N/A</v>
      </c>
      <c r="W519" t="e">
        <f t="shared" si="61"/>
        <v>#N/A</v>
      </c>
      <c r="X519" t="e">
        <f t="shared" si="61"/>
        <v>#N/A</v>
      </c>
      <c r="Y519" t="e">
        <f t="shared" si="62"/>
        <v>#N/A</v>
      </c>
      <c r="Z519" t="e">
        <f t="shared" si="62"/>
        <v>#N/A</v>
      </c>
    </row>
    <row r="520" spans="1:26">
      <c r="A520" t="e">
        <f>IF(ISBLANK('[1]Точность устьев скважин'!A522),#N/A,'[1]Точность устьев скважин'!A522)</f>
        <v>#N/A</v>
      </c>
      <c r="B520" t="e">
        <f>IF(ISBLANK('[1]Точность устьев скважин'!B522),#N/A,'[1]Точность устьев скважин'!B522)</f>
        <v>#N/A</v>
      </c>
      <c r="C520" t="e">
        <f>IF(ISBLANK('[1]Точность устьев скважин'!C522),#N/A,'[1]Точность устьев скважин'!C522)</f>
        <v>#N/A</v>
      </c>
      <c r="D520" t="e">
        <f>IF(ISBLANK('[1]Точность устьев скважин'!D522),#N/A,'[1]Точность устьев скважин'!D522)</f>
        <v>#N/A</v>
      </c>
      <c r="G520" t="e">
        <f>IF(ISBLANK('[1]Точность устьев скважин'!H522),#N/A,'[1]Точность устьев скважин'!H522)</f>
        <v>#N/A</v>
      </c>
      <c r="H520" t="e">
        <f>IF(ISBLANK('[1]Точность устьев скважин'!I522),#N/A,'[1]Точность устьев скважин'!I522)</f>
        <v>#N/A</v>
      </c>
      <c r="I520" t="e">
        <f>IF(ISBLANK('[1]Точность устьев скважин'!J522),#N/A,'[1]Точность устьев скважин'!J522)</f>
        <v>#N/A</v>
      </c>
      <c r="J520" t="e">
        <f>IF(ISBLANK('[1]Точность устьев скважин'!K522),#N/A,'[1]Точность устьев скважин'!K522)</f>
        <v>#N/A</v>
      </c>
      <c r="L520" s="63" t="e">
        <f t="shared" si="63"/>
        <v>#N/A</v>
      </c>
      <c r="O520" t="e">
        <f t="shared" si="57"/>
        <v>#N/A</v>
      </c>
      <c r="P520" t="e">
        <f t="shared" si="57"/>
        <v>#N/A</v>
      </c>
      <c r="Q520" t="e">
        <f t="shared" si="58"/>
        <v>#N/A</v>
      </c>
      <c r="R520" t="e">
        <f t="shared" si="58"/>
        <v>#N/A</v>
      </c>
      <c r="S520" t="e">
        <f t="shared" si="59"/>
        <v>#N/A</v>
      </c>
      <c r="T520" t="e">
        <f t="shared" si="59"/>
        <v>#N/A</v>
      </c>
      <c r="U520" t="e">
        <f t="shared" si="60"/>
        <v>#N/A</v>
      </c>
      <c r="V520" t="e">
        <f t="shared" si="60"/>
        <v>#N/A</v>
      </c>
      <c r="W520" t="e">
        <f t="shared" si="61"/>
        <v>#N/A</v>
      </c>
      <c r="X520" t="e">
        <f t="shared" si="61"/>
        <v>#N/A</v>
      </c>
      <c r="Y520" t="e">
        <f t="shared" si="62"/>
        <v>#N/A</v>
      </c>
      <c r="Z520" t="e">
        <f t="shared" si="62"/>
        <v>#N/A</v>
      </c>
    </row>
    <row r="521" spans="1:26">
      <c r="A521" t="e">
        <f>IF(ISBLANK('[1]Точность устьев скважин'!A523),#N/A,'[1]Точность устьев скважин'!A523)</f>
        <v>#N/A</v>
      </c>
      <c r="B521" t="e">
        <f>IF(ISBLANK('[1]Точность устьев скважин'!B523),#N/A,'[1]Точность устьев скважин'!B523)</f>
        <v>#N/A</v>
      </c>
      <c r="C521" t="e">
        <f>IF(ISBLANK('[1]Точность устьев скважин'!C523),#N/A,'[1]Точность устьев скважин'!C523)</f>
        <v>#N/A</v>
      </c>
      <c r="D521" t="e">
        <f>IF(ISBLANK('[1]Точность устьев скважин'!D523),#N/A,'[1]Точность устьев скважин'!D523)</f>
        <v>#N/A</v>
      </c>
      <c r="G521" t="e">
        <f>IF(ISBLANK('[1]Точность устьев скважин'!H523),#N/A,'[1]Точность устьев скважин'!H523)</f>
        <v>#N/A</v>
      </c>
      <c r="H521" t="e">
        <f>IF(ISBLANK('[1]Точность устьев скважин'!I523),#N/A,'[1]Точность устьев скважин'!I523)</f>
        <v>#N/A</v>
      </c>
      <c r="I521" t="e">
        <f>IF(ISBLANK('[1]Точность устьев скважин'!J523),#N/A,'[1]Точность устьев скважин'!J523)</f>
        <v>#N/A</v>
      </c>
      <c r="J521" t="e">
        <f>IF(ISBLANK('[1]Точность устьев скважин'!K523),#N/A,'[1]Точность устьев скважин'!K523)</f>
        <v>#N/A</v>
      </c>
      <c r="L521" s="63" t="e">
        <f t="shared" si="63"/>
        <v>#N/A</v>
      </c>
      <c r="O521" t="e">
        <f t="shared" si="57"/>
        <v>#N/A</v>
      </c>
      <c r="P521" t="e">
        <f t="shared" si="57"/>
        <v>#N/A</v>
      </c>
      <c r="Q521" t="e">
        <f t="shared" si="58"/>
        <v>#N/A</v>
      </c>
      <c r="R521" t="e">
        <f t="shared" si="58"/>
        <v>#N/A</v>
      </c>
      <c r="S521" t="e">
        <f t="shared" si="59"/>
        <v>#N/A</v>
      </c>
      <c r="T521" t="e">
        <f t="shared" si="59"/>
        <v>#N/A</v>
      </c>
      <c r="U521" t="e">
        <f t="shared" si="60"/>
        <v>#N/A</v>
      </c>
      <c r="V521" t="e">
        <f t="shared" si="60"/>
        <v>#N/A</v>
      </c>
      <c r="W521" t="e">
        <f t="shared" si="61"/>
        <v>#N/A</v>
      </c>
      <c r="X521" t="e">
        <f t="shared" si="61"/>
        <v>#N/A</v>
      </c>
      <c r="Y521" t="e">
        <f t="shared" si="62"/>
        <v>#N/A</v>
      </c>
      <c r="Z521" t="e">
        <f t="shared" si="62"/>
        <v>#N/A</v>
      </c>
    </row>
    <row r="522" spans="1:26">
      <c r="A522" t="e">
        <f>IF(ISBLANK('[1]Точность устьев скважин'!A524),#N/A,'[1]Точность устьев скважин'!A524)</f>
        <v>#N/A</v>
      </c>
      <c r="B522" t="e">
        <f>IF(ISBLANK('[1]Точность устьев скважин'!B524),#N/A,'[1]Точность устьев скважин'!B524)</f>
        <v>#N/A</v>
      </c>
      <c r="C522" t="e">
        <f>IF(ISBLANK('[1]Точность устьев скважин'!C524),#N/A,'[1]Точность устьев скважин'!C524)</f>
        <v>#N/A</v>
      </c>
      <c r="D522" t="e">
        <f>IF(ISBLANK('[1]Точность устьев скважин'!D524),#N/A,'[1]Точность устьев скважин'!D524)</f>
        <v>#N/A</v>
      </c>
      <c r="G522" t="e">
        <f>IF(ISBLANK('[1]Точность устьев скважин'!H524),#N/A,'[1]Точность устьев скважин'!H524)</f>
        <v>#N/A</v>
      </c>
      <c r="H522" t="e">
        <f>IF(ISBLANK('[1]Точность устьев скважин'!I524),#N/A,'[1]Точность устьев скважин'!I524)</f>
        <v>#N/A</v>
      </c>
      <c r="I522" t="e">
        <f>IF(ISBLANK('[1]Точность устьев скважин'!J524),#N/A,'[1]Точность устьев скважин'!J524)</f>
        <v>#N/A</v>
      </c>
      <c r="J522" t="e">
        <f>IF(ISBLANK('[1]Точность устьев скважин'!K524),#N/A,'[1]Точность устьев скважин'!K524)</f>
        <v>#N/A</v>
      </c>
      <c r="L522" s="63" t="e">
        <f t="shared" si="63"/>
        <v>#N/A</v>
      </c>
      <c r="O522" t="e">
        <f t="shared" si="57"/>
        <v>#N/A</v>
      </c>
      <c r="P522" t="e">
        <f t="shared" si="57"/>
        <v>#N/A</v>
      </c>
      <c r="Q522" t="e">
        <f t="shared" si="58"/>
        <v>#N/A</v>
      </c>
      <c r="R522" t="e">
        <f t="shared" si="58"/>
        <v>#N/A</v>
      </c>
      <c r="S522" t="e">
        <f t="shared" si="59"/>
        <v>#N/A</v>
      </c>
      <c r="T522" t="e">
        <f t="shared" si="59"/>
        <v>#N/A</v>
      </c>
      <c r="U522" t="e">
        <f t="shared" si="60"/>
        <v>#N/A</v>
      </c>
      <c r="V522" t="e">
        <f t="shared" si="60"/>
        <v>#N/A</v>
      </c>
      <c r="W522" t="e">
        <f t="shared" si="61"/>
        <v>#N/A</v>
      </c>
      <c r="X522" t="e">
        <f t="shared" si="61"/>
        <v>#N/A</v>
      </c>
      <c r="Y522" t="e">
        <f t="shared" si="62"/>
        <v>#N/A</v>
      </c>
      <c r="Z522" t="e">
        <f t="shared" si="62"/>
        <v>#N/A</v>
      </c>
    </row>
    <row r="523" spans="1:26">
      <c r="A523" t="e">
        <f>IF(ISBLANK('[1]Точность устьев скважин'!A525),#N/A,'[1]Точность устьев скважин'!A525)</f>
        <v>#N/A</v>
      </c>
      <c r="B523" t="e">
        <f>IF(ISBLANK('[1]Точность устьев скважин'!B525),#N/A,'[1]Точность устьев скважин'!B525)</f>
        <v>#N/A</v>
      </c>
      <c r="C523" t="e">
        <f>IF(ISBLANK('[1]Точность устьев скважин'!C525),#N/A,'[1]Точность устьев скважин'!C525)</f>
        <v>#N/A</v>
      </c>
      <c r="D523" t="e">
        <f>IF(ISBLANK('[1]Точность устьев скважин'!D525),#N/A,'[1]Точность устьев скважин'!D525)</f>
        <v>#N/A</v>
      </c>
      <c r="G523" t="e">
        <f>IF(ISBLANK('[1]Точность устьев скважин'!H525),#N/A,'[1]Точность устьев скважин'!H525)</f>
        <v>#N/A</v>
      </c>
      <c r="H523" t="e">
        <f>IF(ISBLANK('[1]Точность устьев скважин'!I525),#N/A,'[1]Точность устьев скважин'!I525)</f>
        <v>#N/A</v>
      </c>
      <c r="I523" t="e">
        <f>IF(ISBLANK('[1]Точность устьев скважин'!J525),#N/A,'[1]Точность устьев скважин'!J525)</f>
        <v>#N/A</v>
      </c>
      <c r="J523" t="e">
        <f>IF(ISBLANK('[1]Точность устьев скважин'!K525),#N/A,'[1]Точность устьев скважин'!K525)</f>
        <v>#N/A</v>
      </c>
      <c r="L523" s="63" t="e">
        <f t="shared" si="63"/>
        <v>#N/A</v>
      </c>
      <c r="O523" t="e">
        <f t="shared" si="57"/>
        <v>#N/A</v>
      </c>
      <c r="P523" t="e">
        <f t="shared" si="57"/>
        <v>#N/A</v>
      </c>
      <c r="Q523" t="e">
        <f t="shared" si="58"/>
        <v>#N/A</v>
      </c>
      <c r="R523" t="e">
        <f t="shared" si="58"/>
        <v>#N/A</v>
      </c>
      <c r="S523" t="e">
        <f t="shared" si="59"/>
        <v>#N/A</v>
      </c>
      <c r="T523" t="e">
        <f t="shared" si="59"/>
        <v>#N/A</v>
      </c>
      <c r="U523" t="e">
        <f t="shared" si="60"/>
        <v>#N/A</v>
      </c>
      <c r="V523" t="e">
        <f t="shared" si="60"/>
        <v>#N/A</v>
      </c>
      <c r="W523" t="e">
        <f t="shared" si="61"/>
        <v>#N/A</v>
      </c>
      <c r="X523" t="e">
        <f t="shared" si="61"/>
        <v>#N/A</v>
      </c>
      <c r="Y523" t="e">
        <f t="shared" si="62"/>
        <v>#N/A</v>
      </c>
      <c r="Z523" t="e">
        <f t="shared" si="62"/>
        <v>#N/A</v>
      </c>
    </row>
    <row r="524" spans="1:26">
      <c r="A524" t="e">
        <f>IF(ISBLANK('[1]Точность устьев скважин'!A526),#N/A,'[1]Точность устьев скважин'!A526)</f>
        <v>#N/A</v>
      </c>
      <c r="B524" t="e">
        <f>IF(ISBLANK('[1]Точность устьев скважин'!B526),#N/A,'[1]Точность устьев скважин'!B526)</f>
        <v>#N/A</v>
      </c>
      <c r="C524" t="e">
        <f>IF(ISBLANK('[1]Точность устьев скважин'!C526),#N/A,'[1]Точность устьев скважин'!C526)</f>
        <v>#N/A</v>
      </c>
      <c r="D524" t="e">
        <f>IF(ISBLANK('[1]Точность устьев скважин'!D526),#N/A,'[1]Точность устьев скважин'!D526)</f>
        <v>#N/A</v>
      </c>
      <c r="G524" t="e">
        <f>IF(ISBLANK('[1]Точность устьев скважин'!H526),#N/A,'[1]Точность устьев скважин'!H526)</f>
        <v>#N/A</v>
      </c>
      <c r="H524" t="e">
        <f>IF(ISBLANK('[1]Точность устьев скважин'!I526),#N/A,'[1]Точность устьев скважин'!I526)</f>
        <v>#N/A</v>
      </c>
      <c r="I524" t="e">
        <f>IF(ISBLANK('[1]Точность устьев скважин'!J526),#N/A,'[1]Точность устьев скважин'!J526)</f>
        <v>#N/A</v>
      </c>
      <c r="J524" t="e">
        <f>IF(ISBLANK('[1]Точность устьев скважин'!K526),#N/A,'[1]Точность устьев скважин'!K526)</f>
        <v>#N/A</v>
      </c>
      <c r="L524" s="63" t="e">
        <f t="shared" si="63"/>
        <v>#N/A</v>
      </c>
      <c r="O524" t="e">
        <f t="shared" si="57"/>
        <v>#N/A</v>
      </c>
      <c r="P524" t="e">
        <f t="shared" si="57"/>
        <v>#N/A</v>
      </c>
      <c r="Q524" t="e">
        <f t="shared" si="58"/>
        <v>#N/A</v>
      </c>
      <c r="R524" t="e">
        <f t="shared" si="58"/>
        <v>#N/A</v>
      </c>
      <c r="S524" t="e">
        <f t="shared" si="59"/>
        <v>#N/A</v>
      </c>
      <c r="T524" t="e">
        <f t="shared" si="59"/>
        <v>#N/A</v>
      </c>
      <c r="U524" t="e">
        <f t="shared" si="60"/>
        <v>#N/A</v>
      </c>
      <c r="V524" t="e">
        <f t="shared" si="60"/>
        <v>#N/A</v>
      </c>
      <c r="W524" t="e">
        <f t="shared" si="61"/>
        <v>#N/A</v>
      </c>
      <c r="X524" t="e">
        <f t="shared" si="61"/>
        <v>#N/A</v>
      </c>
      <c r="Y524" t="e">
        <f t="shared" si="62"/>
        <v>#N/A</v>
      </c>
      <c r="Z524" t="e">
        <f t="shared" si="62"/>
        <v>#N/A</v>
      </c>
    </row>
    <row r="525" spans="1:26">
      <c r="A525" t="e">
        <f>IF(ISBLANK('[1]Точность устьев скважин'!A527),#N/A,'[1]Точность устьев скважин'!A527)</f>
        <v>#N/A</v>
      </c>
      <c r="B525" t="e">
        <f>IF(ISBLANK('[1]Точность устьев скважин'!B527),#N/A,'[1]Точность устьев скважин'!B527)</f>
        <v>#N/A</v>
      </c>
      <c r="C525" t="e">
        <f>IF(ISBLANK('[1]Точность устьев скважин'!C527),#N/A,'[1]Точность устьев скважин'!C527)</f>
        <v>#N/A</v>
      </c>
      <c r="D525" t="e">
        <f>IF(ISBLANK('[1]Точность устьев скважин'!D527),#N/A,'[1]Точность устьев скважин'!D527)</f>
        <v>#N/A</v>
      </c>
      <c r="G525" t="e">
        <f>IF(ISBLANK('[1]Точность устьев скважин'!H527),#N/A,'[1]Точность устьев скважин'!H527)</f>
        <v>#N/A</v>
      </c>
      <c r="H525" t="e">
        <f>IF(ISBLANK('[1]Точность устьев скважин'!I527),#N/A,'[1]Точность устьев скважин'!I527)</f>
        <v>#N/A</v>
      </c>
      <c r="I525" t="e">
        <f>IF(ISBLANK('[1]Точность устьев скважин'!J527),#N/A,'[1]Точность устьев скважин'!J527)</f>
        <v>#N/A</v>
      </c>
      <c r="J525" t="e">
        <f>IF(ISBLANK('[1]Точность устьев скважин'!K527),#N/A,'[1]Точность устьев скважин'!K527)</f>
        <v>#N/A</v>
      </c>
      <c r="L525" s="63" t="e">
        <f t="shared" si="63"/>
        <v>#N/A</v>
      </c>
      <c r="O525" t="e">
        <f t="shared" si="57"/>
        <v>#N/A</v>
      </c>
      <c r="P525" t="e">
        <f t="shared" si="57"/>
        <v>#N/A</v>
      </c>
      <c r="Q525" t="e">
        <f t="shared" si="58"/>
        <v>#N/A</v>
      </c>
      <c r="R525" t="e">
        <f t="shared" si="58"/>
        <v>#N/A</v>
      </c>
      <c r="S525" t="e">
        <f t="shared" si="59"/>
        <v>#N/A</v>
      </c>
      <c r="T525" t="e">
        <f t="shared" si="59"/>
        <v>#N/A</v>
      </c>
      <c r="U525" t="e">
        <f t="shared" si="60"/>
        <v>#N/A</v>
      </c>
      <c r="V525" t="e">
        <f t="shared" si="60"/>
        <v>#N/A</v>
      </c>
      <c r="W525" t="e">
        <f t="shared" si="61"/>
        <v>#N/A</v>
      </c>
      <c r="X525" t="e">
        <f t="shared" si="61"/>
        <v>#N/A</v>
      </c>
      <c r="Y525" t="e">
        <f t="shared" si="62"/>
        <v>#N/A</v>
      </c>
      <c r="Z525" t="e">
        <f t="shared" si="62"/>
        <v>#N/A</v>
      </c>
    </row>
    <row r="526" spans="1:26">
      <c r="A526" t="e">
        <f>IF(ISBLANK('[1]Точность устьев скважин'!A528),#N/A,'[1]Точность устьев скважин'!A528)</f>
        <v>#N/A</v>
      </c>
      <c r="B526" t="e">
        <f>IF(ISBLANK('[1]Точность устьев скважин'!B528),#N/A,'[1]Точность устьев скважин'!B528)</f>
        <v>#N/A</v>
      </c>
      <c r="C526" t="e">
        <f>IF(ISBLANK('[1]Точность устьев скважин'!C528),#N/A,'[1]Точность устьев скважин'!C528)</f>
        <v>#N/A</v>
      </c>
      <c r="D526" t="e">
        <f>IF(ISBLANK('[1]Точность устьев скважин'!D528),#N/A,'[1]Точность устьев скважин'!D528)</f>
        <v>#N/A</v>
      </c>
      <c r="G526" t="e">
        <f>IF(ISBLANK('[1]Точность устьев скважин'!H528),#N/A,'[1]Точность устьев скважин'!H528)</f>
        <v>#N/A</v>
      </c>
      <c r="H526" t="e">
        <f>IF(ISBLANK('[1]Точность устьев скважин'!I528),#N/A,'[1]Точность устьев скважин'!I528)</f>
        <v>#N/A</v>
      </c>
      <c r="I526" t="e">
        <f>IF(ISBLANK('[1]Точность устьев скважин'!J528),#N/A,'[1]Точность устьев скважин'!J528)</f>
        <v>#N/A</v>
      </c>
      <c r="J526" t="e">
        <f>IF(ISBLANK('[1]Точность устьев скважин'!K528),#N/A,'[1]Точность устьев скважин'!K528)</f>
        <v>#N/A</v>
      </c>
      <c r="L526" s="63" t="e">
        <f t="shared" si="63"/>
        <v>#N/A</v>
      </c>
      <c r="O526" t="e">
        <f t="shared" si="57"/>
        <v>#N/A</v>
      </c>
      <c r="P526" t="e">
        <f t="shared" si="57"/>
        <v>#N/A</v>
      </c>
      <c r="Q526" t="e">
        <f t="shared" si="58"/>
        <v>#N/A</v>
      </c>
      <c r="R526" t="e">
        <f t="shared" si="58"/>
        <v>#N/A</v>
      </c>
      <c r="S526" t="e">
        <f t="shared" si="59"/>
        <v>#N/A</v>
      </c>
      <c r="T526" t="e">
        <f t="shared" si="59"/>
        <v>#N/A</v>
      </c>
      <c r="U526" t="e">
        <f t="shared" si="60"/>
        <v>#N/A</v>
      </c>
      <c r="V526" t="e">
        <f t="shared" si="60"/>
        <v>#N/A</v>
      </c>
      <c r="W526" t="e">
        <f t="shared" si="61"/>
        <v>#N/A</v>
      </c>
      <c r="X526" t="e">
        <f t="shared" si="61"/>
        <v>#N/A</v>
      </c>
      <c r="Y526" t="e">
        <f t="shared" si="62"/>
        <v>#N/A</v>
      </c>
      <c r="Z526" t="e">
        <f t="shared" si="62"/>
        <v>#N/A</v>
      </c>
    </row>
    <row r="527" spans="1:26">
      <c r="A527" t="e">
        <f>IF(ISBLANK('[1]Точность устьев скважин'!A529),#N/A,'[1]Точность устьев скважин'!A529)</f>
        <v>#N/A</v>
      </c>
      <c r="B527" t="e">
        <f>IF(ISBLANK('[1]Точность устьев скважин'!B529),#N/A,'[1]Точность устьев скважин'!B529)</f>
        <v>#N/A</v>
      </c>
      <c r="C527" t="e">
        <f>IF(ISBLANK('[1]Точность устьев скважин'!C529),#N/A,'[1]Точность устьев скважин'!C529)</f>
        <v>#N/A</v>
      </c>
      <c r="D527" t="e">
        <f>IF(ISBLANK('[1]Точность устьев скважин'!D529),#N/A,'[1]Точность устьев скважин'!D529)</f>
        <v>#N/A</v>
      </c>
      <c r="G527" t="e">
        <f>IF(ISBLANK('[1]Точность устьев скважин'!H529),#N/A,'[1]Точность устьев скважин'!H529)</f>
        <v>#N/A</v>
      </c>
      <c r="H527" t="e">
        <f>IF(ISBLANK('[1]Точность устьев скважин'!I529),#N/A,'[1]Точность устьев скважин'!I529)</f>
        <v>#N/A</v>
      </c>
      <c r="I527" t="e">
        <f>IF(ISBLANK('[1]Точность устьев скважин'!J529),#N/A,'[1]Точность устьев скважин'!J529)</f>
        <v>#N/A</v>
      </c>
      <c r="J527" t="e">
        <f>IF(ISBLANK('[1]Точность устьев скважин'!K529),#N/A,'[1]Точность устьев скважин'!K529)</f>
        <v>#N/A</v>
      </c>
      <c r="L527" s="63" t="e">
        <f t="shared" si="63"/>
        <v>#N/A</v>
      </c>
      <c r="O527" t="e">
        <f t="shared" si="57"/>
        <v>#N/A</v>
      </c>
      <c r="P527" t="e">
        <f t="shared" si="57"/>
        <v>#N/A</v>
      </c>
      <c r="Q527" t="e">
        <f t="shared" si="58"/>
        <v>#N/A</v>
      </c>
      <c r="R527" t="e">
        <f t="shared" si="58"/>
        <v>#N/A</v>
      </c>
      <c r="S527" t="e">
        <f t="shared" si="59"/>
        <v>#N/A</v>
      </c>
      <c r="T527" t="e">
        <f t="shared" si="59"/>
        <v>#N/A</v>
      </c>
      <c r="U527" t="e">
        <f t="shared" si="60"/>
        <v>#N/A</v>
      </c>
      <c r="V527" t="e">
        <f t="shared" si="60"/>
        <v>#N/A</v>
      </c>
      <c r="W527" t="e">
        <f t="shared" si="61"/>
        <v>#N/A</v>
      </c>
      <c r="X527" t="e">
        <f t="shared" si="61"/>
        <v>#N/A</v>
      </c>
      <c r="Y527" t="e">
        <f t="shared" si="62"/>
        <v>#N/A</v>
      </c>
      <c r="Z527" t="e">
        <f t="shared" si="62"/>
        <v>#N/A</v>
      </c>
    </row>
    <row r="528" spans="1:26">
      <c r="A528" t="e">
        <f>IF(ISBLANK('[1]Точность устьев скважин'!A530),#N/A,'[1]Точность устьев скважин'!A530)</f>
        <v>#N/A</v>
      </c>
      <c r="B528" t="e">
        <f>IF(ISBLANK('[1]Точность устьев скважин'!B530),#N/A,'[1]Точность устьев скважин'!B530)</f>
        <v>#N/A</v>
      </c>
      <c r="C528" t="e">
        <f>IF(ISBLANK('[1]Точность устьев скважин'!C530),#N/A,'[1]Точность устьев скважин'!C530)</f>
        <v>#N/A</v>
      </c>
      <c r="D528" t="e">
        <f>IF(ISBLANK('[1]Точность устьев скважин'!D530),#N/A,'[1]Точность устьев скважин'!D530)</f>
        <v>#N/A</v>
      </c>
      <c r="G528" t="e">
        <f>IF(ISBLANK('[1]Точность устьев скважин'!H530),#N/A,'[1]Точность устьев скважин'!H530)</f>
        <v>#N/A</v>
      </c>
      <c r="H528" t="e">
        <f>IF(ISBLANK('[1]Точность устьев скважин'!I530),#N/A,'[1]Точность устьев скважин'!I530)</f>
        <v>#N/A</v>
      </c>
      <c r="I528" t="e">
        <f>IF(ISBLANK('[1]Точность устьев скважин'!J530),#N/A,'[1]Точность устьев скважин'!J530)</f>
        <v>#N/A</v>
      </c>
      <c r="J528" t="e">
        <f>IF(ISBLANK('[1]Точность устьев скважин'!K530),#N/A,'[1]Точность устьев скважин'!K530)</f>
        <v>#N/A</v>
      </c>
      <c r="L528" s="63" t="e">
        <f t="shared" si="63"/>
        <v>#N/A</v>
      </c>
      <c r="O528" t="e">
        <f t="shared" si="57"/>
        <v>#N/A</v>
      </c>
      <c r="P528" t="e">
        <f t="shared" si="57"/>
        <v>#N/A</v>
      </c>
      <c r="Q528" t="e">
        <f t="shared" si="58"/>
        <v>#N/A</v>
      </c>
      <c r="R528" t="e">
        <f t="shared" si="58"/>
        <v>#N/A</v>
      </c>
      <c r="S528" t="e">
        <f t="shared" si="59"/>
        <v>#N/A</v>
      </c>
      <c r="T528" t="e">
        <f t="shared" si="59"/>
        <v>#N/A</v>
      </c>
      <c r="U528" t="e">
        <f t="shared" si="60"/>
        <v>#N/A</v>
      </c>
      <c r="V528" t="e">
        <f t="shared" si="60"/>
        <v>#N/A</v>
      </c>
      <c r="W528" t="e">
        <f t="shared" si="61"/>
        <v>#N/A</v>
      </c>
      <c r="X528" t="e">
        <f t="shared" si="61"/>
        <v>#N/A</v>
      </c>
      <c r="Y528" t="e">
        <f t="shared" si="62"/>
        <v>#N/A</v>
      </c>
      <c r="Z528" t="e">
        <f t="shared" si="62"/>
        <v>#N/A</v>
      </c>
    </row>
    <row r="529" spans="1:26">
      <c r="A529" t="e">
        <f>IF(ISBLANK('[1]Точность устьев скважин'!A531),#N/A,'[1]Точность устьев скважин'!A531)</f>
        <v>#N/A</v>
      </c>
      <c r="B529" t="e">
        <f>IF(ISBLANK('[1]Точность устьев скважин'!B531),#N/A,'[1]Точность устьев скважин'!B531)</f>
        <v>#N/A</v>
      </c>
      <c r="C529" t="e">
        <f>IF(ISBLANK('[1]Точность устьев скважин'!C531),#N/A,'[1]Точность устьев скважин'!C531)</f>
        <v>#N/A</v>
      </c>
      <c r="D529" t="e">
        <f>IF(ISBLANK('[1]Точность устьев скважин'!D531),#N/A,'[1]Точность устьев скважин'!D531)</f>
        <v>#N/A</v>
      </c>
      <c r="G529" t="e">
        <f>IF(ISBLANK('[1]Точность устьев скважин'!H531),#N/A,'[1]Точность устьев скважин'!H531)</f>
        <v>#N/A</v>
      </c>
      <c r="H529" t="e">
        <f>IF(ISBLANK('[1]Точность устьев скважин'!I531),#N/A,'[1]Точность устьев скважин'!I531)</f>
        <v>#N/A</v>
      </c>
      <c r="I529" t="e">
        <f>IF(ISBLANK('[1]Точность устьев скважин'!J531),#N/A,'[1]Точность устьев скважин'!J531)</f>
        <v>#N/A</v>
      </c>
      <c r="J529" t="e">
        <f>IF(ISBLANK('[1]Точность устьев скважин'!K531),#N/A,'[1]Точность устьев скважин'!K531)</f>
        <v>#N/A</v>
      </c>
      <c r="L529" s="63" t="e">
        <f t="shared" si="63"/>
        <v>#N/A</v>
      </c>
      <c r="O529" t="e">
        <f t="shared" si="57"/>
        <v>#N/A</v>
      </c>
      <c r="P529" t="e">
        <f t="shared" si="57"/>
        <v>#N/A</v>
      </c>
      <c r="Q529" t="e">
        <f t="shared" si="58"/>
        <v>#N/A</v>
      </c>
      <c r="R529" t="e">
        <f t="shared" si="58"/>
        <v>#N/A</v>
      </c>
      <c r="S529" t="e">
        <f t="shared" si="59"/>
        <v>#N/A</v>
      </c>
      <c r="T529" t="e">
        <f t="shared" si="59"/>
        <v>#N/A</v>
      </c>
      <c r="U529" t="e">
        <f t="shared" si="60"/>
        <v>#N/A</v>
      </c>
      <c r="V529" t="e">
        <f t="shared" si="60"/>
        <v>#N/A</v>
      </c>
      <c r="W529" t="e">
        <f t="shared" si="61"/>
        <v>#N/A</v>
      </c>
      <c r="X529" t="e">
        <f t="shared" si="61"/>
        <v>#N/A</v>
      </c>
      <c r="Y529" t="e">
        <f t="shared" si="62"/>
        <v>#N/A</v>
      </c>
      <c r="Z529" t="e">
        <f t="shared" si="62"/>
        <v>#N/A</v>
      </c>
    </row>
    <row r="530" spans="1:26">
      <c r="A530" t="e">
        <f>IF(ISBLANK('[1]Точность устьев скважин'!A532),#N/A,'[1]Точность устьев скважин'!A532)</f>
        <v>#N/A</v>
      </c>
      <c r="B530" t="e">
        <f>IF(ISBLANK('[1]Точность устьев скважин'!B532),#N/A,'[1]Точность устьев скважин'!B532)</f>
        <v>#N/A</v>
      </c>
      <c r="C530" t="e">
        <f>IF(ISBLANK('[1]Точность устьев скважин'!C532),#N/A,'[1]Точность устьев скважин'!C532)</f>
        <v>#N/A</v>
      </c>
      <c r="D530" t="e">
        <f>IF(ISBLANK('[1]Точность устьев скважин'!D532),#N/A,'[1]Точность устьев скважин'!D532)</f>
        <v>#N/A</v>
      </c>
      <c r="G530" t="e">
        <f>IF(ISBLANK('[1]Точность устьев скважин'!H532),#N/A,'[1]Точность устьев скважин'!H532)</f>
        <v>#N/A</v>
      </c>
      <c r="H530" t="e">
        <f>IF(ISBLANK('[1]Точность устьев скважин'!I532),#N/A,'[1]Точность устьев скважин'!I532)</f>
        <v>#N/A</v>
      </c>
      <c r="I530" t="e">
        <f>IF(ISBLANK('[1]Точность устьев скважин'!J532),#N/A,'[1]Точность устьев скважин'!J532)</f>
        <v>#N/A</v>
      </c>
      <c r="J530" t="e">
        <f>IF(ISBLANK('[1]Точность устьев скважин'!K532),#N/A,'[1]Точность устьев скважин'!K532)</f>
        <v>#N/A</v>
      </c>
      <c r="L530" s="63" t="e">
        <f t="shared" si="63"/>
        <v>#N/A</v>
      </c>
      <c r="O530" t="e">
        <f t="shared" si="57"/>
        <v>#N/A</v>
      </c>
      <c r="P530" t="e">
        <f t="shared" si="57"/>
        <v>#N/A</v>
      </c>
      <c r="Q530" t="e">
        <f t="shared" si="58"/>
        <v>#N/A</v>
      </c>
      <c r="R530" t="e">
        <f t="shared" si="58"/>
        <v>#N/A</v>
      </c>
      <c r="S530" t="e">
        <f t="shared" si="59"/>
        <v>#N/A</v>
      </c>
      <c r="T530" t="e">
        <f t="shared" si="59"/>
        <v>#N/A</v>
      </c>
      <c r="U530" t="e">
        <f t="shared" si="60"/>
        <v>#N/A</v>
      </c>
      <c r="V530" t="e">
        <f t="shared" si="60"/>
        <v>#N/A</v>
      </c>
      <c r="W530" t="e">
        <f t="shared" si="61"/>
        <v>#N/A</v>
      </c>
      <c r="X530" t="e">
        <f t="shared" si="61"/>
        <v>#N/A</v>
      </c>
      <c r="Y530" t="e">
        <f t="shared" si="62"/>
        <v>#N/A</v>
      </c>
      <c r="Z530" t="e">
        <f t="shared" si="62"/>
        <v>#N/A</v>
      </c>
    </row>
    <row r="531" spans="1:26">
      <c r="A531" t="e">
        <f>IF(ISBLANK('[1]Точность устьев скважин'!A533),#N/A,'[1]Точность устьев скважин'!A533)</f>
        <v>#N/A</v>
      </c>
      <c r="B531" t="e">
        <f>IF(ISBLANK('[1]Точность устьев скважин'!B533),#N/A,'[1]Точность устьев скважин'!B533)</f>
        <v>#N/A</v>
      </c>
      <c r="C531" t="e">
        <f>IF(ISBLANK('[1]Точность устьев скважин'!C533),#N/A,'[1]Точность устьев скважин'!C533)</f>
        <v>#N/A</v>
      </c>
      <c r="D531" t="e">
        <f>IF(ISBLANK('[1]Точность устьев скважин'!D533),#N/A,'[1]Точность устьев скважин'!D533)</f>
        <v>#N/A</v>
      </c>
      <c r="G531" t="e">
        <f>IF(ISBLANK('[1]Точность устьев скважин'!H533),#N/A,'[1]Точность устьев скважин'!H533)</f>
        <v>#N/A</v>
      </c>
      <c r="H531" t="e">
        <f>IF(ISBLANK('[1]Точность устьев скважин'!I533),#N/A,'[1]Точность устьев скважин'!I533)</f>
        <v>#N/A</v>
      </c>
      <c r="I531" t="e">
        <f>IF(ISBLANK('[1]Точность устьев скважин'!J533),#N/A,'[1]Точность устьев скважин'!J533)</f>
        <v>#N/A</v>
      </c>
      <c r="J531" t="e">
        <f>IF(ISBLANK('[1]Точность устьев скважин'!K533),#N/A,'[1]Точность устьев скважин'!K533)</f>
        <v>#N/A</v>
      </c>
      <c r="L531" s="63" t="e">
        <f t="shared" si="63"/>
        <v>#N/A</v>
      </c>
      <c r="O531" t="e">
        <f t="shared" si="57"/>
        <v>#N/A</v>
      </c>
      <c r="P531" t="e">
        <f t="shared" si="57"/>
        <v>#N/A</v>
      </c>
      <c r="Q531" t="e">
        <f t="shared" si="58"/>
        <v>#N/A</v>
      </c>
      <c r="R531" t="e">
        <f t="shared" si="58"/>
        <v>#N/A</v>
      </c>
      <c r="S531" t="e">
        <f t="shared" si="59"/>
        <v>#N/A</v>
      </c>
      <c r="T531" t="e">
        <f t="shared" si="59"/>
        <v>#N/A</v>
      </c>
      <c r="U531" t="e">
        <f t="shared" si="60"/>
        <v>#N/A</v>
      </c>
      <c r="V531" t="e">
        <f t="shared" si="60"/>
        <v>#N/A</v>
      </c>
      <c r="W531" t="e">
        <f t="shared" si="61"/>
        <v>#N/A</v>
      </c>
      <c r="X531" t="e">
        <f t="shared" si="61"/>
        <v>#N/A</v>
      </c>
      <c r="Y531" t="e">
        <f t="shared" si="62"/>
        <v>#N/A</v>
      </c>
      <c r="Z531" t="e">
        <f t="shared" si="62"/>
        <v>#N/A</v>
      </c>
    </row>
    <row r="532" spans="1:26">
      <c r="A532" t="e">
        <f>IF(ISBLANK('[1]Точность устьев скважин'!A534),#N/A,'[1]Точность устьев скважин'!A534)</f>
        <v>#N/A</v>
      </c>
      <c r="B532" t="e">
        <f>IF(ISBLANK('[1]Точность устьев скважин'!B534),#N/A,'[1]Точность устьев скважин'!B534)</f>
        <v>#N/A</v>
      </c>
      <c r="C532" t="e">
        <f>IF(ISBLANK('[1]Точность устьев скважин'!C534),#N/A,'[1]Точность устьев скважин'!C534)</f>
        <v>#N/A</v>
      </c>
      <c r="D532" t="e">
        <f>IF(ISBLANK('[1]Точность устьев скважин'!D534),#N/A,'[1]Точность устьев скважин'!D534)</f>
        <v>#N/A</v>
      </c>
      <c r="G532" t="e">
        <f>IF(ISBLANK('[1]Точность устьев скважин'!H534),#N/A,'[1]Точность устьев скважин'!H534)</f>
        <v>#N/A</v>
      </c>
      <c r="H532" t="e">
        <f>IF(ISBLANK('[1]Точность устьев скважин'!I534),#N/A,'[1]Точность устьев скважин'!I534)</f>
        <v>#N/A</v>
      </c>
      <c r="I532" t="e">
        <f>IF(ISBLANK('[1]Точность устьев скважин'!J534),#N/A,'[1]Точность устьев скважин'!J534)</f>
        <v>#N/A</v>
      </c>
      <c r="J532" t="e">
        <f>IF(ISBLANK('[1]Точность устьев скважин'!K534),#N/A,'[1]Точность устьев скважин'!K534)</f>
        <v>#N/A</v>
      </c>
      <c r="L532" s="63" t="e">
        <f t="shared" si="63"/>
        <v>#N/A</v>
      </c>
      <c r="O532" t="e">
        <f t="shared" si="57"/>
        <v>#N/A</v>
      </c>
      <c r="P532" t="e">
        <f t="shared" si="57"/>
        <v>#N/A</v>
      </c>
      <c r="Q532" t="e">
        <f t="shared" si="58"/>
        <v>#N/A</v>
      </c>
      <c r="R532" t="e">
        <f t="shared" si="58"/>
        <v>#N/A</v>
      </c>
      <c r="S532" t="e">
        <f t="shared" si="59"/>
        <v>#N/A</v>
      </c>
      <c r="T532" t="e">
        <f t="shared" si="59"/>
        <v>#N/A</v>
      </c>
      <c r="U532" t="e">
        <f t="shared" si="60"/>
        <v>#N/A</v>
      </c>
      <c r="V532" t="e">
        <f t="shared" si="60"/>
        <v>#N/A</v>
      </c>
      <c r="W532" t="e">
        <f t="shared" si="61"/>
        <v>#N/A</v>
      </c>
      <c r="X532" t="e">
        <f t="shared" si="61"/>
        <v>#N/A</v>
      </c>
      <c r="Y532" t="e">
        <f t="shared" si="62"/>
        <v>#N/A</v>
      </c>
      <c r="Z532" t="e">
        <f t="shared" si="62"/>
        <v>#N/A</v>
      </c>
    </row>
    <row r="533" spans="1:26">
      <c r="A533" t="e">
        <f>IF(ISBLANK('[1]Точность устьев скважин'!A535),#N/A,'[1]Точность устьев скважин'!A535)</f>
        <v>#N/A</v>
      </c>
      <c r="B533" t="e">
        <f>IF(ISBLANK('[1]Точность устьев скважин'!B535),#N/A,'[1]Точность устьев скважин'!B535)</f>
        <v>#N/A</v>
      </c>
      <c r="C533" t="e">
        <f>IF(ISBLANK('[1]Точность устьев скважин'!C535),#N/A,'[1]Точность устьев скважин'!C535)</f>
        <v>#N/A</v>
      </c>
      <c r="D533" t="e">
        <f>IF(ISBLANK('[1]Точность устьев скважин'!D535),#N/A,'[1]Точность устьев скважин'!D535)</f>
        <v>#N/A</v>
      </c>
      <c r="G533" t="e">
        <f>IF(ISBLANK('[1]Точность устьев скважин'!H535),#N/A,'[1]Точность устьев скважин'!H535)</f>
        <v>#N/A</v>
      </c>
      <c r="H533" t="e">
        <f>IF(ISBLANK('[1]Точность устьев скважин'!I535),#N/A,'[1]Точность устьев скважин'!I535)</f>
        <v>#N/A</v>
      </c>
      <c r="I533" t="e">
        <f>IF(ISBLANK('[1]Точность устьев скважин'!J535),#N/A,'[1]Точность устьев скважин'!J535)</f>
        <v>#N/A</v>
      </c>
      <c r="J533" t="e">
        <f>IF(ISBLANK('[1]Точность устьев скважин'!K535),#N/A,'[1]Точность устьев скважин'!K535)</f>
        <v>#N/A</v>
      </c>
      <c r="L533" s="63" t="e">
        <f t="shared" si="63"/>
        <v>#N/A</v>
      </c>
      <c r="O533" t="e">
        <f t="shared" si="57"/>
        <v>#N/A</v>
      </c>
      <c r="P533" t="e">
        <f t="shared" si="57"/>
        <v>#N/A</v>
      </c>
      <c r="Q533" t="e">
        <f t="shared" si="58"/>
        <v>#N/A</v>
      </c>
      <c r="R533" t="e">
        <f t="shared" si="58"/>
        <v>#N/A</v>
      </c>
      <c r="S533" t="e">
        <f t="shared" si="59"/>
        <v>#N/A</v>
      </c>
      <c r="T533" t="e">
        <f t="shared" si="59"/>
        <v>#N/A</v>
      </c>
      <c r="U533" t="e">
        <f t="shared" si="60"/>
        <v>#N/A</v>
      </c>
      <c r="V533" t="e">
        <f t="shared" si="60"/>
        <v>#N/A</v>
      </c>
      <c r="W533" t="e">
        <f t="shared" si="61"/>
        <v>#N/A</v>
      </c>
      <c r="X533" t="e">
        <f t="shared" si="61"/>
        <v>#N/A</v>
      </c>
      <c r="Y533" t="e">
        <f t="shared" si="62"/>
        <v>#N/A</v>
      </c>
      <c r="Z533" t="e">
        <f t="shared" si="62"/>
        <v>#N/A</v>
      </c>
    </row>
    <row r="534" spans="1:26">
      <c r="A534" t="e">
        <f>IF(ISBLANK('[1]Точность устьев скважин'!A536),#N/A,'[1]Точность устьев скважин'!A536)</f>
        <v>#N/A</v>
      </c>
      <c r="B534" t="e">
        <f>IF(ISBLANK('[1]Точность устьев скважин'!B536),#N/A,'[1]Точность устьев скважин'!B536)</f>
        <v>#N/A</v>
      </c>
      <c r="C534" t="e">
        <f>IF(ISBLANK('[1]Точность устьев скважин'!C536),#N/A,'[1]Точность устьев скважин'!C536)</f>
        <v>#N/A</v>
      </c>
      <c r="D534" t="e">
        <f>IF(ISBLANK('[1]Точность устьев скважин'!D536),#N/A,'[1]Точность устьев скважин'!D536)</f>
        <v>#N/A</v>
      </c>
      <c r="G534" t="e">
        <f>IF(ISBLANK('[1]Точность устьев скважин'!H536),#N/A,'[1]Точность устьев скважин'!H536)</f>
        <v>#N/A</v>
      </c>
      <c r="H534" t="e">
        <f>IF(ISBLANK('[1]Точность устьев скважин'!I536),#N/A,'[1]Точность устьев скважин'!I536)</f>
        <v>#N/A</v>
      </c>
      <c r="I534" t="e">
        <f>IF(ISBLANK('[1]Точность устьев скважин'!J536),#N/A,'[1]Точность устьев скважин'!J536)</f>
        <v>#N/A</v>
      </c>
      <c r="J534" t="e">
        <f>IF(ISBLANK('[1]Точность устьев скважин'!K536),#N/A,'[1]Точность устьев скважин'!K536)</f>
        <v>#N/A</v>
      </c>
      <c r="L534" s="63" t="e">
        <f t="shared" si="63"/>
        <v>#N/A</v>
      </c>
      <c r="O534" t="e">
        <f t="shared" si="57"/>
        <v>#N/A</v>
      </c>
      <c r="P534" t="e">
        <f t="shared" si="57"/>
        <v>#N/A</v>
      </c>
      <c r="Q534" t="e">
        <f t="shared" si="58"/>
        <v>#N/A</v>
      </c>
      <c r="R534" t="e">
        <f t="shared" si="58"/>
        <v>#N/A</v>
      </c>
      <c r="S534" t="e">
        <f t="shared" si="59"/>
        <v>#N/A</v>
      </c>
      <c r="T534" t="e">
        <f t="shared" si="59"/>
        <v>#N/A</v>
      </c>
      <c r="U534" t="e">
        <f t="shared" si="60"/>
        <v>#N/A</v>
      </c>
      <c r="V534" t="e">
        <f t="shared" si="60"/>
        <v>#N/A</v>
      </c>
      <c r="W534" t="e">
        <f t="shared" si="61"/>
        <v>#N/A</v>
      </c>
      <c r="X534" t="e">
        <f t="shared" si="61"/>
        <v>#N/A</v>
      </c>
      <c r="Y534" t="e">
        <f t="shared" si="62"/>
        <v>#N/A</v>
      </c>
      <c r="Z534" t="e">
        <f t="shared" si="62"/>
        <v>#N/A</v>
      </c>
    </row>
    <row r="535" spans="1:26">
      <c r="A535" t="e">
        <f>IF(ISBLANK('[1]Точность устьев скважин'!A537),#N/A,'[1]Точность устьев скважин'!A537)</f>
        <v>#N/A</v>
      </c>
      <c r="B535" t="e">
        <f>IF(ISBLANK('[1]Точность устьев скважин'!B537),#N/A,'[1]Точность устьев скважин'!B537)</f>
        <v>#N/A</v>
      </c>
      <c r="C535" t="e">
        <f>IF(ISBLANK('[1]Точность устьев скважин'!C537),#N/A,'[1]Точность устьев скважин'!C537)</f>
        <v>#N/A</v>
      </c>
      <c r="D535" t="e">
        <f>IF(ISBLANK('[1]Точность устьев скважин'!D537),#N/A,'[1]Точность устьев скважин'!D537)</f>
        <v>#N/A</v>
      </c>
      <c r="G535" t="e">
        <f>IF(ISBLANK('[1]Точность устьев скважин'!H537),#N/A,'[1]Точность устьев скважин'!H537)</f>
        <v>#N/A</v>
      </c>
      <c r="H535" t="e">
        <f>IF(ISBLANK('[1]Точность устьев скважин'!I537),#N/A,'[1]Точность устьев скважин'!I537)</f>
        <v>#N/A</v>
      </c>
      <c r="I535" t="e">
        <f>IF(ISBLANK('[1]Точность устьев скважин'!J537),#N/A,'[1]Точность устьев скважин'!J537)</f>
        <v>#N/A</v>
      </c>
      <c r="J535" t="e">
        <f>IF(ISBLANK('[1]Точность устьев скважин'!K537),#N/A,'[1]Точность устьев скважин'!K537)</f>
        <v>#N/A</v>
      </c>
      <c r="L535" s="63" t="e">
        <f t="shared" si="63"/>
        <v>#N/A</v>
      </c>
      <c r="O535" t="e">
        <f t="shared" si="57"/>
        <v>#N/A</v>
      </c>
      <c r="P535" t="e">
        <f t="shared" si="57"/>
        <v>#N/A</v>
      </c>
      <c r="Q535" t="e">
        <f t="shared" si="58"/>
        <v>#N/A</v>
      </c>
      <c r="R535" t="e">
        <f t="shared" si="58"/>
        <v>#N/A</v>
      </c>
      <c r="S535" t="e">
        <f t="shared" si="59"/>
        <v>#N/A</v>
      </c>
      <c r="T535" t="e">
        <f t="shared" si="59"/>
        <v>#N/A</v>
      </c>
      <c r="U535" t="e">
        <f t="shared" si="60"/>
        <v>#N/A</v>
      </c>
      <c r="V535" t="e">
        <f t="shared" si="60"/>
        <v>#N/A</v>
      </c>
      <c r="W535" t="e">
        <f t="shared" si="61"/>
        <v>#N/A</v>
      </c>
      <c r="X535" t="e">
        <f t="shared" si="61"/>
        <v>#N/A</v>
      </c>
      <c r="Y535" t="e">
        <f t="shared" si="62"/>
        <v>#N/A</v>
      </c>
      <c r="Z535" t="e">
        <f t="shared" si="62"/>
        <v>#N/A</v>
      </c>
    </row>
    <row r="536" spans="1:26">
      <c r="A536" t="e">
        <f>IF(ISBLANK('[1]Точность устьев скважин'!A538),#N/A,'[1]Точность устьев скважин'!A538)</f>
        <v>#N/A</v>
      </c>
      <c r="B536" t="e">
        <f>IF(ISBLANK('[1]Точность устьев скважин'!B538),#N/A,'[1]Точность устьев скважин'!B538)</f>
        <v>#N/A</v>
      </c>
      <c r="C536" t="e">
        <f>IF(ISBLANK('[1]Точность устьев скважин'!C538),#N/A,'[1]Точность устьев скважин'!C538)</f>
        <v>#N/A</v>
      </c>
      <c r="D536" t="e">
        <f>IF(ISBLANK('[1]Точность устьев скважин'!D538),#N/A,'[1]Точность устьев скважин'!D538)</f>
        <v>#N/A</v>
      </c>
      <c r="G536" t="e">
        <f>IF(ISBLANK('[1]Точность устьев скважин'!H538),#N/A,'[1]Точность устьев скважин'!H538)</f>
        <v>#N/A</v>
      </c>
      <c r="H536" t="e">
        <f>IF(ISBLANK('[1]Точность устьев скважин'!I538),#N/A,'[1]Точность устьев скважин'!I538)</f>
        <v>#N/A</v>
      </c>
      <c r="I536" t="e">
        <f>IF(ISBLANK('[1]Точность устьев скважин'!J538),#N/A,'[1]Точность устьев скважин'!J538)</f>
        <v>#N/A</v>
      </c>
      <c r="J536" t="e">
        <f>IF(ISBLANK('[1]Точность устьев скважин'!K538),#N/A,'[1]Точность устьев скважин'!K538)</f>
        <v>#N/A</v>
      </c>
      <c r="L536" s="63" t="e">
        <f t="shared" si="63"/>
        <v>#N/A</v>
      </c>
      <c r="O536" t="e">
        <f t="shared" si="57"/>
        <v>#N/A</v>
      </c>
      <c r="P536" t="e">
        <f t="shared" si="57"/>
        <v>#N/A</v>
      </c>
      <c r="Q536" t="e">
        <f t="shared" si="58"/>
        <v>#N/A</v>
      </c>
      <c r="R536" t="e">
        <f t="shared" si="58"/>
        <v>#N/A</v>
      </c>
      <c r="S536" t="e">
        <f t="shared" si="59"/>
        <v>#N/A</v>
      </c>
      <c r="T536" t="e">
        <f t="shared" si="59"/>
        <v>#N/A</v>
      </c>
      <c r="U536" t="e">
        <f t="shared" si="60"/>
        <v>#N/A</v>
      </c>
      <c r="V536" t="e">
        <f t="shared" si="60"/>
        <v>#N/A</v>
      </c>
      <c r="W536" t="e">
        <f t="shared" si="61"/>
        <v>#N/A</v>
      </c>
      <c r="X536" t="e">
        <f t="shared" si="61"/>
        <v>#N/A</v>
      </c>
      <c r="Y536" t="e">
        <f t="shared" si="62"/>
        <v>#N/A</v>
      </c>
      <c r="Z536" t="e">
        <f t="shared" si="62"/>
        <v>#N/A</v>
      </c>
    </row>
    <row r="537" spans="1:26">
      <c r="A537" t="e">
        <f>IF(ISBLANK('[1]Точность устьев скважин'!A539),#N/A,'[1]Точность устьев скважин'!A539)</f>
        <v>#N/A</v>
      </c>
      <c r="B537" t="e">
        <f>IF(ISBLANK('[1]Точность устьев скважин'!B539),#N/A,'[1]Точность устьев скважин'!B539)</f>
        <v>#N/A</v>
      </c>
      <c r="C537" t="e">
        <f>IF(ISBLANK('[1]Точность устьев скважин'!C539),#N/A,'[1]Точность устьев скважин'!C539)</f>
        <v>#N/A</v>
      </c>
      <c r="D537" t="e">
        <f>IF(ISBLANK('[1]Точность устьев скважин'!D539),#N/A,'[1]Точность устьев скважин'!D539)</f>
        <v>#N/A</v>
      </c>
      <c r="G537" t="e">
        <f>IF(ISBLANK('[1]Точность устьев скважин'!H539),#N/A,'[1]Точность устьев скважин'!H539)</f>
        <v>#N/A</v>
      </c>
      <c r="H537" t="e">
        <f>IF(ISBLANK('[1]Точность устьев скважин'!I539),#N/A,'[1]Точность устьев скважин'!I539)</f>
        <v>#N/A</v>
      </c>
      <c r="I537" t="e">
        <f>IF(ISBLANK('[1]Точность устьев скважин'!J539),#N/A,'[1]Точность устьев скважин'!J539)</f>
        <v>#N/A</v>
      </c>
      <c r="J537" t="e">
        <f>IF(ISBLANK('[1]Точность устьев скважин'!K539),#N/A,'[1]Точность устьев скважин'!K539)</f>
        <v>#N/A</v>
      </c>
      <c r="L537" s="63" t="e">
        <f t="shared" si="63"/>
        <v>#N/A</v>
      </c>
      <c r="O537" t="e">
        <f t="shared" si="57"/>
        <v>#N/A</v>
      </c>
      <c r="P537" t="e">
        <f t="shared" si="57"/>
        <v>#N/A</v>
      </c>
      <c r="Q537" t="e">
        <f t="shared" si="58"/>
        <v>#N/A</v>
      </c>
      <c r="R537" t="e">
        <f t="shared" si="58"/>
        <v>#N/A</v>
      </c>
      <c r="S537" t="e">
        <f t="shared" si="59"/>
        <v>#N/A</v>
      </c>
      <c r="T537" t="e">
        <f t="shared" si="59"/>
        <v>#N/A</v>
      </c>
      <c r="U537" t="e">
        <f t="shared" si="60"/>
        <v>#N/A</v>
      </c>
      <c r="V537" t="e">
        <f t="shared" si="60"/>
        <v>#N/A</v>
      </c>
      <c r="W537" t="e">
        <f t="shared" si="61"/>
        <v>#N/A</v>
      </c>
      <c r="X537" t="e">
        <f t="shared" si="61"/>
        <v>#N/A</v>
      </c>
      <c r="Y537" t="e">
        <f t="shared" si="62"/>
        <v>#N/A</v>
      </c>
      <c r="Z537" t="e">
        <f t="shared" si="62"/>
        <v>#N/A</v>
      </c>
    </row>
    <row r="538" spans="1:26">
      <c r="A538" t="e">
        <f>IF(ISBLANK('[1]Точность устьев скважин'!A540),#N/A,'[1]Точность устьев скважин'!A540)</f>
        <v>#N/A</v>
      </c>
      <c r="B538" t="e">
        <f>IF(ISBLANK('[1]Точность устьев скважин'!B540),#N/A,'[1]Точность устьев скважин'!B540)</f>
        <v>#N/A</v>
      </c>
      <c r="C538" t="e">
        <f>IF(ISBLANK('[1]Точность устьев скважин'!C540),#N/A,'[1]Точность устьев скважин'!C540)</f>
        <v>#N/A</v>
      </c>
      <c r="D538" t="e">
        <f>IF(ISBLANK('[1]Точность устьев скважин'!D540),#N/A,'[1]Точность устьев скважин'!D540)</f>
        <v>#N/A</v>
      </c>
      <c r="G538" t="e">
        <f>IF(ISBLANK('[1]Точность устьев скважин'!H540),#N/A,'[1]Точность устьев скважин'!H540)</f>
        <v>#N/A</v>
      </c>
      <c r="H538" t="e">
        <f>IF(ISBLANK('[1]Точность устьев скважин'!I540),#N/A,'[1]Точность устьев скважин'!I540)</f>
        <v>#N/A</v>
      </c>
      <c r="I538" t="e">
        <f>IF(ISBLANK('[1]Точность устьев скважин'!J540),#N/A,'[1]Точность устьев скважин'!J540)</f>
        <v>#N/A</v>
      </c>
      <c r="J538" t="e">
        <f>IF(ISBLANK('[1]Точность устьев скважин'!K540),#N/A,'[1]Точность устьев скважин'!K540)</f>
        <v>#N/A</v>
      </c>
      <c r="L538" s="63" t="e">
        <f t="shared" si="63"/>
        <v>#N/A</v>
      </c>
      <c r="O538" t="e">
        <f t="shared" si="57"/>
        <v>#N/A</v>
      </c>
      <c r="P538" t="e">
        <f t="shared" si="57"/>
        <v>#N/A</v>
      </c>
      <c r="Q538" t="e">
        <f t="shared" si="58"/>
        <v>#N/A</v>
      </c>
      <c r="R538" t="e">
        <f t="shared" si="58"/>
        <v>#N/A</v>
      </c>
      <c r="S538" t="e">
        <f t="shared" si="59"/>
        <v>#N/A</v>
      </c>
      <c r="T538" t="e">
        <f t="shared" si="59"/>
        <v>#N/A</v>
      </c>
      <c r="U538" t="e">
        <f t="shared" si="60"/>
        <v>#N/A</v>
      </c>
      <c r="V538" t="e">
        <f t="shared" si="60"/>
        <v>#N/A</v>
      </c>
      <c r="W538" t="e">
        <f t="shared" si="61"/>
        <v>#N/A</v>
      </c>
      <c r="X538" t="e">
        <f t="shared" si="61"/>
        <v>#N/A</v>
      </c>
      <c r="Y538" t="e">
        <f t="shared" si="62"/>
        <v>#N/A</v>
      </c>
      <c r="Z538" t="e">
        <f t="shared" si="62"/>
        <v>#N/A</v>
      </c>
    </row>
    <row r="539" spans="1:26">
      <c r="A539" t="e">
        <f>IF(ISBLANK('[1]Точность устьев скважин'!A541),#N/A,'[1]Точность устьев скважин'!A541)</f>
        <v>#N/A</v>
      </c>
      <c r="B539" t="e">
        <f>IF(ISBLANK('[1]Точность устьев скважин'!B541),#N/A,'[1]Точность устьев скважин'!B541)</f>
        <v>#N/A</v>
      </c>
      <c r="C539" t="e">
        <f>IF(ISBLANK('[1]Точность устьев скважин'!C541),#N/A,'[1]Точность устьев скважин'!C541)</f>
        <v>#N/A</v>
      </c>
      <c r="D539" t="e">
        <f>IF(ISBLANK('[1]Точность устьев скважин'!D541),#N/A,'[1]Точность устьев скважин'!D541)</f>
        <v>#N/A</v>
      </c>
      <c r="G539" t="e">
        <f>IF(ISBLANK('[1]Точность устьев скважин'!H541),#N/A,'[1]Точность устьев скважин'!H541)</f>
        <v>#N/A</v>
      </c>
      <c r="H539" t="e">
        <f>IF(ISBLANK('[1]Точность устьев скважин'!I541),#N/A,'[1]Точность устьев скважин'!I541)</f>
        <v>#N/A</v>
      </c>
      <c r="I539" t="e">
        <f>IF(ISBLANK('[1]Точность устьев скважин'!J541),#N/A,'[1]Точность устьев скважин'!J541)</f>
        <v>#N/A</v>
      </c>
      <c r="J539" t="e">
        <f>IF(ISBLANK('[1]Точность устьев скважин'!K541),#N/A,'[1]Точность устьев скважин'!K541)</f>
        <v>#N/A</v>
      </c>
      <c r="L539" s="63" t="e">
        <f t="shared" si="63"/>
        <v>#N/A</v>
      </c>
      <c r="O539" t="e">
        <f t="shared" si="57"/>
        <v>#N/A</v>
      </c>
      <c r="P539" t="e">
        <f t="shared" si="57"/>
        <v>#N/A</v>
      </c>
      <c r="Q539" t="e">
        <f t="shared" si="58"/>
        <v>#N/A</v>
      </c>
      <c r="R539" t="e">
        <f t="shared" si="58"/>
        <v>#N/A</v>
      </c>
      <c r="S539" t="e">
        <f t="shared" si="59"/>
        <v>#N/A</v>
      </c>
      <c r="T539" t="e">
        <f t="shared" si="59"/>
        <v>#N/A</v>
      </c>
      <c r="U539" t="e">
        <f t="shared" si="60"/>
        <v>#N/A</v>
      </c>
      <c r="V539" t="e">
        <f t="shared" si="60"/>
        <v>#N/A</v>
      </c>
      <c r="W539" t="e">
        <f t="shared" si="61"/>
        <v>#N/A</v>
      </c>
      <c r="X539" t="e">
        <f t="shared" si="61"/>
        <v>#N/A</v>
      </c>
      <c r="Y539" t="e">
        <f t="shared" si="62"/>
        <v>#N/A</v>
      </c>
      <c r="Z539" t="e">
        <f t="shared" si="62"/>
        <v>#N/A</v>
      </c>
    </row>
    <row r="540" spans="1:26">
      <c r="A540" t="e">
        <f>IF(ISBLANK('[1]Точность устьев скважин'!A542),#N/A,'[1]Точность устьев скважин'!A542)</f>
        <v>#N/A</v>
      </c>
      <c r="B540" t="e">
        <f>IF(ISBLANK('[1]Точность устьев скважин'!B542),#N/A,'[1]Точность устьев скважин'!B542)</f>
        <v>#N/A</v>
      </c>
      <c r="C540" t="e">
        <f>IF(ISBLANK('[1]Точность устьев скважин'!C542),#N/A,'[1]Точность устьев скважин'!C542)</f>
        <v>#N/A</v>
      </c>
      <c r="D540" t="e">
        <f>IF(ISBLANK('[1]Точность устьев скважин'!D542),#N/A,'[1]Точность устьев скважин'!D542)</f>
        <v>#N/A</v>
      </c>
      <c r="G540" t="e">
        <f>IF(ISBLANK('[1]Точность устьев скважин'!H542),#N/A,'[1]Точность устьев скважин'!H542)</f>
        <v>#N/A</v>
      </c>
      <c r="H540" t="e">
        <f>IF(ISBLANK('[1]Точность устьев скважин'!I542),#N/A,'[1]Точность устьев скважин'!I542)</f>
        <v>#N/A</v>
      </c>
      <c r="I540" t="e">
        <f>IF(ISBLANK('[1]Точность устьев скважин'!J542),#N/A,'[1]Точность устьев скважин'!J542)</f>
        <v>#N/A</v>
      </c>
      <c r="J540" t="e">
        <f>IF(ISBLANK('[1]Точность устьев скважин'!K542),#N/A,'[1]Точность устьев скважин'!K542)</f>
        <v>#N/A</v>
      </c>
      <c r="L540" s="63" t="e">
        <f t="shared" si="63"/>
        <v>#N/A</v>
      </c>
      <c r="O540" t="e">
        <f t="shared" si="57"/>
        <v>#N/A</v>
      </c>
      <c r="P540" t="e">
        <f t="shared" si="57"/>
        <v>#N/A</v>
      </c>
      <c r="Q540" t="e">
        <f t="shared" si="58"/>
        <v>#N/A</v>
      </c>
      <c r="R540" t="e">
        <f t="shared" si="58"/>
        <v>#N/A</v>
      </c>
      <c r="S540" t="e">
        <f t="shared" si="59"/>
        <v>#N/A</v>
      </c>
      <c r="T540" t="e">
        <f t="shared" si="59"/>
        <v>#N/A</v>
      </c>
      <c r="U540" t="e">
        <f t="shared" si="60"/>
        <v>#N/A</v>
      </c>
      <c r="V540" t="e">
        <f t="shared" si="60"/>
        <v>#N/A</v>
      </c>
      <c r="W540" t="e">
        <f t="shared" si="61"/>
        <v>#N/A</v>
      </c>
      <c r="X540" t="e">
        <f t="shared" si="61"/>
        <v>#N/A</v>
      </c>
      <c r="Y540" t="e">
        <f t="shared" si="62"/>
        <v>#N/A</v>
      </c>
      <c r="Z540" t="e">
        <f t="shared" si="62"/>
        <v>#N/A</v>
      </c>
    </row>
    <row r="541" spans="1:26">
      <c r="A541" t="e">
        <f>IF(ISBLANK('[1]Точность устьев скважин'!A543),#N/A,'[1]Точность устьев скважин'!A543)</f>
        <v>#N/A</v>
      </c>
      <c r="B541" t="e">
        <f>IF(ISBLANK('[1]Точность устьев скважин'!B543),#N/A,'[1]Точность устьев скважин'!B543)</f>
        <v>#N/A</v>
      </c>
      <c r="C541" t="e">
        <f>IF(ISBLANK('[1]Точность устьев скважин'!C543),#N/A,'[1]Точность устьев скважин'!C543)</f>
        <v>#N/A</v>
      </c>
      <c r="D541" t="e">
        <f>IF(ISBLANK('[1]Точность устьев скважин'!D543),#N/A,'[1]Точность устьев скважин'!D543)</f>
        <v>#N/A</v>
      </c>
      <c r="G541" t="e">
        <f>IF(ISBLANK('[1]Точность устьев скважин'!H543),#N/A,'[1]Точность устьев скважин'!H543)</f>
        <v>#N/A</v>
      </c>
      <c r="H541" t="e">
        <f>IF(ISBLANK('[1]Точность устьев скважин'!I543),#N/A,'[1]Точность устьев скважин'!I543)</f>
        <v>#N/A</v>
      </c>
      <c r="I541" t="e">
        <f>IF(ISBLANK('[1]Точность устьев скважин'!J543),#N/A,'[1]Точность устьев скважин'!J543)</f>
        <v>#N/A</v>
      </c>
      <c r="J541" t="e">
        <f>IF(ISBLANK('[1]Точность устьев скважин'!K543),#N/A,'[1]Точность устьев скважин'!K543)</f>
        <v>#N/A</v>
      </c>
      <c r="L541" s="63" t="e">
        <f t="shared" si="63"/>
        <v>#N/A</v>
      </c>
      <c r="O541" t="e">
        <f t="shared" si="57"/>
        <v>#N/A</v>
      </c>
      <c r="P541" t="e">
        <f t="shared" si="57"/>
        <v>#N/A</v>
      </c>
      <c r="Q541" t="e">
        <f t="shared" si="58"/>
        <v>#N/A</v>
      </c>
      <c r="R541" t="e">
        <f t="shared" si="58"/>
        <v>#N/A</v>
      </c>
      <c r="S541" t="e">
        <f t="shared" si="59"/>
        <v>#N/A</v>
      </c>
      <c r="T541" t="e">
        <f t="shared" si="59"/>
        <v>#N/A</v>
      </c>
      <c r="U541" t="e">
        <f t="shared" si="60"/>
        <v>#N/A</v>
      </c>
      <c r="V541" t="e">
        <f t="shared" si="60"/>
        <v>#N/A</v>
      </c>
      <c r="W541" t="e">
        <f t="shared" si="61"/>
        <v>#N/A</v>
      </c>
      <c r="X541" t="e">
        <f t="shared" si="61"/>
        <v>#N/A</v>
      </c>
      <c r="Y541" t="e">
        <f t="shared" si="62"/>
        <v>#N/A</v>
      </c>
      <c r="Z541" t="e">
        <f t="shared" si="62"/>
        <v>#N/A</v>
      </c>
    </row>
    <row r="542" spans="1:26">
      <c r="A542" t="e">
        <f>IF(ISBLANK('[1]Точность устьев скважин'!A544),#N/A,'[1]Точность устьев скважин'!A544)</f>
        <v>#N/A</v>
      </c>
      <c r="B542" t="e">
        <f>IF(ISBLANK('[1]Точность устьев скважин'!B544),#N/A,'[1]Точность устьев скважин'!B544)</f>
        <v>#N/A</v>
      </c>
      <c r="C542" t="e">
        <f>IF(ISBLANK('[1]Точность устьев скважин'!C544),#N/A,'[1]Точность устьев скважин'!C544)</f>
        <v>#N/A</v>
      </c>
      <c r="D542" t="e">
        <f>IF(ISBLANK('[1]Точность устьев скважин'!D544),#N/A,'[1]Точность устьев скважин'!D544)</f>
        <v>#N/A</v>
      </c>
      <c r="G542" t="e">
        <f>IF(ISBLANK('[1]Точность устьев скважин'!H544),#N/A,'[1]Точность устьев скважин'!H544)</f>
        <v>#N/A</v>
      </c>
      <c r="H542" t="e">
        <f>IF(ISBLANK('[1]Точность устьев скважин'!I544),#N/A,'[1]Точность устьев скважин'!I544)</f>
        <v>#N/A</v>
      </c>
      <c r="I542" t="e">
        <f>IF(ISBLANK('[1]Точность устьев скважин'!J544),#N/A,'[1]Точность устьев скважин'!J544)</f>
        <v>#N/A</v>
      </c>
      <c r="J542" t="e">
        <f>IF(ISBLANK('[1]Точность устьев скважин'!K544),#N/A,'[1]Точность устьев скважин'!K544)</f>
        <v>#N/A</v>
      </c>
      <c r="L542" s="63" t="e">
        <f t="shared" si="63"/>
        <v>#N/A</v>
      </c>
      <c r="O542" t="e">
        <f t="shared" si="57"/>
        <v>#N/A</v>
      </c>
      <c r="P542" t="e">
        <f t="shared" si="57"/>
        <v>#N/A</v>
      </c>
      <c r="Q542" t="e">
        <f t="shared" si="58"/>
        <v>#N/A</v>
      </c>
      <c r="R542" t="e">
        <f t="shared" si="58"/>
        <v>#N/A</v>
      </c>
      <c r="S542" t="e">
        <f t="shared" si="59"/>
        <v>#N/A</v>
      </c>
      <c r="T542" t="e">
        <f t="shared" si="59"/>
        <v>#N/A</v>
      </c>
      <c r="U542" t="e">
        <f t="shared" si="60"/>
        <v>#N/A</v>
      </c>
      <c r="V542" t="e">
        <f t="shared" si="60"/>
        <v>#N/A</v>
      </c>
      <c r="W542" t="e">
        <f t="shared" si="61"/>
        <v>#N/A</v>
      </c>
      <c r="X542" t="e">
        <f t="shared" si="61"/>
        <v>#N/A</v>
      </c>
      <c r="Y542" t="e">
        <f t="shared" si="62"/>
        <v>#N/A</v>
      </c>
      <c r="Z542" t="e">
        <f t="shared" si="62"/>
        <v>#N/A</v>
      </c>
    </row>
    <row r="543" spans="1:26">
      <c r="A543" t="e">
        <f>IF(ISBLANK('[1]Точность устьев скважин'!A545),#N/A,'[1]Точность устьев скважин'!A545)</f>
        <v>#N/A</v>
      </c>
      <c r="B543" t="e">
        <f>IF(ISBLANK('[1]Точность устьев скважин'!B545),#N/A,'[1]Точность устьев скважин'!B545)</f>
        <v>#N/A</v>
      </c>
      <c r="C543" t="e">
        <f>IF(ISBLANK('[1]Точность устьев скважин'!C545),#N/A,'[1]Точность устьев скважин'!C545)</f>
        <v>#N/A</v>
      </c>
      <c r="D543" t="e">
        <f>IF(ISBLANK('[1]Точность устьев скважин'!D545),#N/A,'[1]Точность устьев скважин'!D545)</f>
        <v>#N/A</v>
      </c>
      <c r="G543" t="e">
        <f>IF(ISBLANK('[1]Точность устьев скважин'!H545),#N/A,'[1]Точность устьев скважин'!H545)</f>
        <v>#N/A</v>
      </c>
      <c r="H543" t="e">
        <f>IF(ISBLANK('[1]Точность устьев скважин'!I545),#N/A,'[1]Точность устьев скважин'!I545)</f>
        <v>#N/A</v>
      </c>
      <c r="I543" t="e">
        <f>IF(ISBLANK('[1]Точность устьев скважин'!J545),#N/A,'[1]Точность устьев скважин'!J545)</f>
        <v>#N/A</v>
      </c>
      <c r="J543" t="e">
        <f>IF(ISBLANK('[1]Точность устьев скважин'!K545),#N/A,'[1]Точность устьев скважин'!K545)</f>
        <v>#N/A</v>
      </c>
      <c r="L543" s="63" t="e">
        <f t="shared" si="63"/>
        <v>#N/A</v>
      </c>
      <c r="O543" t="e">
        <f t="shared" si="57"/>
        <v>#N/A</v>
      </c>
      <c r="P543" t="e">
        <f t="shared" si="57"/>
        <v>#N/A</v>
      </c>
      <c r="Q543" t="e">
        <f t="shared" si="58"/>
        <v>#N/A</v>
      </c>
      <c r="R543" t="e">
        <f t="shared" si="58"/>
        <v>#N/A</v>
      </c>
      <c r="S543" t="e">
        <f t="shared" si="59"/>
        <v>#N/A</v>
      </c>
      <c r="T543" t="e">
        <f t="shared" si="59"/>
        <v>#N/A</v>
      </c>
      <c r="U543" t="e">
        <f t="shared" si="60"/>
        <v>#N/A</v>
      </c>
      <c r="V543" t="e">
        <f t="shared" si="60"/>
        <v>#N/A</v>
      </c>
      <c r="W543" t="e">
        <f t="shared" si="61"/>
        <v>#N/A</v>
      </c>
      <c r="X543" t="e">
        <f t="shared" si="61"/>
        <v>#N/A</v>
      </c>
      <c r="Y543" t="e">
        <f t="shared" si="62"/>
        <v>#N/A</v>
      </c>
      <c r="Z543" t="e">
        <f t="shared" si="62"/>
        <v>#N/A</v>
      </c>
    </row>
    <row r="544" spans="1:26">
      <c r="A544" t="e">
        <f>IF(ISBLANK('[1]Точность устьев скважин'!A546),#N/A,'[1]Точность устьев скважин'!A546)</f>
        <v>#N/A</v>
      </c>
      <c r="B544" t="e">
        <f>IF(ISBLANK('[1]Точность устьев скважин'!B546),#N/A,'[1]Точность устьев скважин'!B546)</f>
        <v>#N/A</v>
      </c>
      <c r="C544" t="e">
        <f>IF(ISBLANK('[1]Точность устьев скважин'!C546),#N/A,'[1]Точность устьев скважин'!C546)</f>
        <v>#N/A</v>
      </c>
      <c r="D544" t="e">
        <f>IF(ISBLANK('[1]Точность устьев скважин'!D546),#N/A,'[1]Точность устьев скважин'!D546)</f>
        <v>#N/A</v>
      </c>
      <c r="G544" t="e">
        <f>IF(ISBLANK('[1]Точность устьев скважин'!H546),#N/A,'[1]Точность устьев скважин'!H546)</f>
        <v>#N/A</v>
      </c>
      <c r="H544" t="e">
        <f>IF(ISBLANK('[1]Точность устьев скважин'!I546),#N/A,'[1]Точность устьев скважин'!I546)</f>
        <v>#N/A</v>
      </c>
      <c r="I544" t="e">
        <f>IF(ISBLANK('[1]Точность устьев скважин'!J546),#N/A,'[1]Точность устьев скважин'!J546)</f>
        <v>#N/A</v>
      </c>
      <c r="J544" t="e">
        <f>IF(ISBLANK('[1]Точность устьев скважин'!K546),#N/A,'[1]Точность устьев скважин'!K546)</f>
        <v>#N/A</v>
      </c>
      <c r="L544" s="63" t="e">
        <f t="shared" si="63"/>
        <v>#N/A</v>
      </c>
      <c r="O544" t="e">
        <f t="shared" si="57"/>
        <v>#N/A</v>
      </c>
      <c r="P544" t="e">
        <f t="shared" si="57"/>
        <v>#N/A</v>
      </c>
      <c r="Q544" t="e">
        <f t="shared" si="58"/>
        <v>#N/A</v>
      </c>
      <c r="R544" t="e">
        <f t="shared" si="58"/>
        <v>#N/A</v>
      </c>
      <c r="S544" t="e">
        <f t="shared" si="59"/>
        <v>#N/A</v>
      </c>
      <c r="T544" t="e">
        <f t="shared" si="59"/>
        <v>#N/A</v>
      </c>
      <c r="U544" t="e">
        <f t="shared" si="60"/>
        <v>#N/A</v>
      </c>
      <c r="V544" t="e">
        <f t="shared" si="60"/>
        <v>#N/A</v>
      </c>
      <c r="W544" t="e">
        <f t="shared" si="61"/>
        <v>#N/A</v>
      </c>
      <c r="X544" t="e">
        <f t="shared" si="61"/>
        <v>#N/A</v>
      </c>
      <c r="Y544" t="e">
        <f t="shared" si="62"/>
        <v>#N/A</v>
      </c>
      <c r="Z544" t="e">
        <f t="shared" si="62"/>
        <v>#N/A</v>
      </c>
    </row>
    <row r="545" spans="1:26">
      <c r="A545" t="e">
        <f>IF(ISBLANK('[1]Точность устьев скважин'!A547),#N/A,'[1]Точность устьев скважин'!A547)</f>
        <v>#N/A</v>
      </c>
      <c r="B545" t="e">
        <f>IF(ISBLANK('[1]Точность устьев скважин'!B547),#N/A,'[1]Точность устьев скважин'!B547)</f>
        <v>#N/A</v>
      </c>
      <c r="C545" t="e">
        <f>IF(ISBLANK('[1]Точность устьев скважин'!C547),#N/A,'[1]Точность устьев скважин'!C547)</f>
        <v>#N/A</v>
      </c>
      <c r="D545" t="e">
        <f>IF(ISBLANK('[1]Точность устьев скважин'!D547),#N/A,'[1]Точность устьев скважин'!D547)</f>
        <v>#N/A</v>
      </c>
      <c r="G545" t="e">
        <f>IF(ISBLANK('[1]Точность устьев скважин'!H547),#N/A,'[1]Точность устьев скважин'!H547)</f>
        <v>#N/A</v>
      </c>
      <c r="H545" t="e">
        <f>IF(ISBLANK('[1]Точность устьев скважин'!I547),#N/A,'[1]Точность устьев скважин'!I547)</f>
        <v>#N/A</v>
      </c>
      <c r="I545" t="e">
        <f>IF(ISBLANK('[1]Точность устьев скважин'!J547),#N/A,'[1]Точность устьев скважин'!J547)</f>
        <v>#N/A</v>
      </c>
      <c r="J545" t="e">
        <f>IF(ISBLANK('[1]Точность устьев скважин'!K547),#N/A,'[1]Точность устьев скважин'!K547)</f>
        <v>#N/A</v>
      </c>
      <c r="L545" s="63" t="e">
        <f t="shared" si="63"/>
        <v>#N/A</v>
      </c>
      <c r="O545" t="e">
        <f t="shared" si="57"/>
        <v>#N/A</v>
      </c>
      <c r="P545" t="e">
        <f t="shared" si="57"/>
        <v>#N/A</v>
      </c>
      <c r="Q545" t="e">
        <f t="shared" si="58"/>
        <v>#N/A</v>
      </c>
      <c r="R545" t="e">
        <f t="shared" si="58"/>
        <v>#N/A</v>
      </c>
      <c r="S545" t="e">
        <f t="shared" si="59"/>
        <v>#N/A</v>
      </c>
      <c r="T545" t="e">
        <f t="shared" si="59"/>
        <v>#N/A</v>
      </c>
      <c r="U545" t="e">
        <f t="shared" si="60"/>
        <v>#N/A</v>
      </c>
      <c r="V545" t="e">
        <f t="shared" si="60"/>
        <v>#N/A</v>
      </c>
      <c r="W545" t="e">
        <f t="shared" si="61"/>
        <v>#N/A</v>
      </c>
      <c r="X545" t="e">
        <f t="shared" si="61"/>
        <v>#N/A</v>
      </c>
      <c r="Y545" t="e">
        <f t="shared" si="62"/>
        <v>#N/A</v>
      </c>
      <c r="Z545" t="e">
        <f t="shared" si="62"/>
        <v>#N/A</v>
      </c>
    </row>
    <row r="546" spans="1:26">
      <c r="A546" t="e">
        <f>IF(ISBLANK('[1]Точность устьев скважин'!A548),#N/A,'[1]Точность устьев скважин'!A548)</f>
        <v>#N/A</v>
      </c>
      <c r="B546" t="e">
        <f>IF(ISBLANK('[1]Точность устьев скважин'!B548),#N/A,'[1]Точность устьев скважин'!B548)</f>
        <v>#N/A</v>
      </c>
      <c r="C546" t="e">
        <f>IF(ISBLANK('[1]Точность устьев скважин'!C548),#N/A,'[1]Точность устьев скважин'!C548)</f>
        <v>#N/A</v>
      </c>
      <c r="D546" t="e">
        <f>IF(ISBLANK('[1]Точность устьев скважин'!D548),#N/A,'[1]Точность устьев скважин'!D548)</f>
        <v>#N/A</v>
      </c>
      <c r="G546" t="e">
        <f>IF(ISBLANK('[1]Точность устьев скважин'!H548),#N/A,'[1]Точность устьев скважин'!H548)</f>
        <v>#N/A</v>
      </c>
      <c r="H546" t="e">
        <f>IF(ISBLANK('[1]Точность устьев скважин'!I548),#N/A,'[1]Точность устьев скважин'!I548)</f>
        <v>#N/A</v>
      </c>
      <c r="I546" t="e">
        <f>IF(ISBLANK('[1]Точность устьев скважин'!J548),#N/A,'[1]Точность устьев скважин'!J548)</f>
        <v>#N/A</v>
      </c>
      <c r="J546" t="e">
        <f>IF(ISBLANK('[1]Точность устьев скважин'!K548),#N/A,'[1]Точность устьев скважин'!K548)</f>
        <v>#N/A</v>
      </c>
      <c r="L546" s="63" t="e">
        <f t="shared" si="63"/>
        <v>#N/A</v>
      </c>
      <c r="O546" t="e">
        <f t="shared" si="57"/>
        <v>#N/A</v>
      </c>
      <c r="P546" t="e">
        <f t="shared" si="57"/>
        <v>#N/A</v>
      </c>
      <c r="Q546" t="e">
        <f t="shared" si="58"/>
        <v>#N/A</v>
      </c>
      <c r="R546" t="e">
        <f t="shared" si="58"/>
        <v>#N/A</v>
      </c>
      <c r="S546" t="e">
        <f t="shared" si="59"/>
        <v>#N/A</v>
      </c>
      <c r="T546" t="e">
        <f t="shared" si="59"/>
        <v>#N/A</v>
      </c>
      <c r="U546" t="e">
        <f t="shared" si="60"/>
        <v>#N/A</v>
      </c>
      <c r="V546" t="e">
        <f t="shared" si="60"/>
        <v>#N/A</v>
      </c>
      <c r="W546" t="e">
        <f t="shared" si="61"/>
        <v>#N/A</v>
      </c>
      <c r="X546" t="e">
        <f t="shared" si="61"/>
        <v>#N/A</v>
      </c>
      <c r="Y546" t="e">
        <f t="shared" si="62"/>
        <v>#N/A</v>
      </c>
      <c r="Z546" t="e">
        <f t="shared" si="62"/>
        <v>#N/A</v>
      </c>
    </row>
    <row r="547" spans="1:26">
      <c r="A547" t="e">
        <f>IF(ISBLANK('[1]Точность устьев скважин'!A549),#N/A,'[1]Точность устьев скважин'!A549)</f>
        <v>#N/A</v>
      </c>
      <c r="B547" t="e">
        <f>IF(ISBLANK('[1]Точность устьев скважин'!B549),#N/A,'[1]Точность устьев скважин'!B549)</f>
        <v>#N/A</v>
      </c>
      <c r="C547" t="e">
        <f>IF(ISBLANK('[1]Точность устьев скважин'!C549),#N/A,'[1]Точность устьев скважин'!C549)</f>
        <v>#N/A</v>
      </c>
      <c r="D547" t="e">
        <f>IF(ISBLANK('[1]Точность устьев скважин'!D549),#N/A,'[1]Точность устьев скважин'!D549)</f>
        <v>#N/A</v>
      </c>
      <c r="G547" t="e">
        <f>IF(ISBLANK('[1]Точность устьев скважин'!H549),#N/A,'[1]Точность устьев скважин'!H549)</f>
        <v>#N/A</v>
      </c>
      <c r="H547" t="e">
        <f>IF(ISBLANK('[1]Точность устьев скважин'!I549),#N/A,'[1]Точность устьев скважин'!I549)</f>
        <v>#N/A</v>
      </c>
      <c r="I547" t="e">
        <f>IF(ISBLANK('[1]Точность устьев скважин'!J549),#N/A,'[1]Точность устьев скважин'!J549)</f>
        <v>#N/A</v>
      </c>
      <c r="J547" t="e">
        <f>IF(ISBLANK('[1]Точность устьев скважин'!K549),#N/A,'[1]Точность устьев скважин'!K549)</f>
        <v>#N/A</v>
      </c>
      <c r="L547" s="63" t="e">
        <f t="shared" si="63"/>
        <v>#N/A</v>
      </c>
      <c r="O547" t="e">
        <f t="shared" si="57"/>
        <v>#N/A</v>
      </c>
      <c r="P547" t="e">
        <f t="shared" si="57"/>
        <v>#N/A</v>
      </c>
      <c r="Q547" t="e">
        <f t="shared" si="58"/>
        <v>#N/A</v>
      </c>
      <c r="R547" t="e">
        <f t="shared" si="58"/>
        <v>#N/A</v>
      </c>
      <c r="S547" t="e">
        <f t="shared" si="59"/>
        <v>#N/A</v>
      </c>
      <c r="T547" t="e">
        <f t="shared" si="59"/>
        <v>#N/A</v>
      </c>
      <c r="U547" t="e">
        <f t="shared" si="60"/>
        <v>#N/A</v>
      </c>
      <c r="V547" t="e">
        <f t="shared" si="60"/>
        <v>#N/A</v>
      </c>
      <c r="W547" t="e">
        <f t="shared" si="61"/>
        <v>#N/A</v>
      </c>
      <c r="X547" t="e">
        <f t="shared" si="61"/>
        <v>#N/A</v>
      </c>
      <c r="Y547" t="e">
        <f t="shared" si="62"/>
        <v>#N/A</v>
      </c>
      <c r="Z547" t="e">
        <f t="shared" si="62"/>
        <v>#N/A</v>
      </c>
    </row>
    <row r="548" spans="1:26">
      <c r="A548" t="e">
        <f>IF(ISBLANK('[1]Точность устьев скважин'!A550),#N/A,'[1]Точность устьев скважин'!A550)</f>
        <v>#N/A</v>
      </c>
      <c r="B548" t="e">
        <f>IF(ISBLANK('[1]Точность устьев скважин'!B550),#N/A,'[1]Точность устьев скважин'!B550)</f>
        <v>#N/A</v>
      </c>
      <c r="C548" t="e">
        <f>IF(ISBLANK('[1]Точность устьев скважин'!C550),#N/A,'[1]Точность устьев скважин'!C550)</f>
        <v>#N/A</v>
      </c>
      <c r="D548" t="e">
        <f>IF(ISBLANK('[1]Точность устьев скважин'!D550),#N/A,'[1]Точность устьев скважин'!D550)</f>
        <v>#N/A</v>
      </c>
      <c r="G548" t="e">
        <f>IF(ISBLANK('[1]Точность устьев скважин'!H550),#N/A,'[1]Точность устьев скважин'!H550)</f>
        <v>#N/A</v>
      </c>
      <c r="H548" t="e">
        <f>IF(ISBLANK('[1]Точность устьев скважин'!I550),#N/A,'[1]Точность устьев скважин'!I550)</f>
        <v>#N/A</v>
      </c>
      <c r="I548" t="e">
        <f>IF(ISBLANK('[1]Точность устьев скважин'!J550),#N/A,'[1]Точность устьев скважин'!J550)</f>
        <v>#N/A</v>
      </c>
      <c r="J548" t="e">
        <f>IF(ISBLANK('[1]Точность устьев скважин'!K550),#N/A,'[1]Точность устьев скважин'!K550)</f>
        <v>#N/A</v>
      </c>
      <c r="L548" s="63" t="e">
        <f t="shared" si="63"/>
        <v>#N/A</v>
      </c>
      <c r="O548" t="e">
        <f t="shared" si="57"/>
        <v>#N/A</v>
      </c>
      <c r="P548" t="e">
        <f t="shared" si="57"/>
        <v>#N/A</v>
      </c>
      <c r="Q548" t="e">
        <f t="shared" si="58"/>
        <v>#N/A</v>
      </c>
      <c r="R548" t="e">
        <f t="shared" si="58"/>
        <v>#N/A</v>
      </c>
      <c r="S548" t="e">
        <f t="shared" si="59"/>
        <v>#N/A</v>
      </c>
      <c r="T548" t="e">
        <f t="shared" si="59"/>
        <v>#N/A</v>
      </c>
      <c r="U548" t="e">
        <f t="shared" si="60"/>
        <v>#N/A</v>
      </c>
      <c r="V548" t="e">
        <f t="shared" si="60"/>
        <v>#N/A</v>
      </c>
      <c r="W548" t="e">
        <f t="shared" si="61"/>
        <v>#N/A</v>
      </c>
      <c r="X548" t="e">
        <f t="shared" si="61"/>
        <v>#N/A</v>
      </c>
      <c r="Y548" t="e">
        <f t="shared" si="62"/>
        <v>#N/A</v>
      </c>
      <c r="Z548" t="e">
        <f t="shared" si="62"/>
        <v>#N/A</v>
      </c>
    </row>
    <row r="549" spans="1:26">
      <c r="A549" t="e">
        <f>IF(ISBLANK('[1]Точность устьев скважин'!A551),#N/A,'[1]Точность устьев скважин'!A551)</f>
        <v>#N/A</v>
      </c>
      <c r="B549" t="e">
        <f>IF(ISBLANK('[1]Точность устьев скважин'!B551),#N/A,'[1]Точность устьев скважин'!B551)</f>
        <v>#N/A</v>
      </c>
      <c r="C549" t="e">
        <f>IF(ISBLANK('[1]Точность устьев скважин'!C551),#N/A,'[1]Точность устьев скважин'!C551)</f>
        <v>#N/A</v>
      </c>
      <c r="D549" t="e">
        <f>IF(ISBLANK('[1]Точность устьев скважин'!D551),#N/A,'[1]Точность устьев скважин'!D551)</f>
        <v>#N/A</v>
      </c>
      <c r="G549" t="e">
        <f>IF(ISBLANK('[1]Точность устьев скважин'!H551),#N/A,'[1]Точность устьев скважин'!H551)</f>
        <v>#N/A</v>
      </c>
      <c r="H549" t="e">
        <f>IF(ISBLANK('[1]Точность устьев скважин'!I551),#N/A,'[1]Точность устьев скважин'!I551)</f>
        <v>#N/A</v>
      </c>
      <c r="I549" t="e">
        <f>IF(ISBLANK('[1]Точность устьев скважин'!J551),#N/A,'[1]Точность устьев скважин'!J551)</f>
        <v>#N/A</v>
      </c>
      <c r="J549" t="e">
        <f>IF(ISBLANK('[1]Точность устьев скважин'!K551),#N/A,'[1]Точность устьев скважин'!K551)</f>
        <v>#N/A</v>
      </c>
      <c r="L549" s="63" t="e">
        <f t="shared" si="63"/>
        <v>#N/A</v>
      </c>
      <c r="O549" t="e">
        <f t="shared" si="57"/>
        <v>#N/A</v>
      </c>
      <c r="P549" t="e">
        <f t="shared" si="57"/>
        <v>#N/A</v>
      </c>
      <c r="Q549" t="e">
        <f t="shared" si="58"/>
        <v>#N/A</v>
      </c>
      <c r="R549" t="e">
        <f t="shared" si="58"/>
        <v>#N/A</v>
      </c>
      <c r="S549" t="e">
        <f t="shared" si="59"/>
        <v>#N/A</v>
      </c>
      <c r="T549" t="e">
        <f t="shared" si="59"/>
        <v>#N/A</v>
      </c>
      <c r="U549" t="e">
        <f t="shared" si="60"/>
        <v>#N/A</v>
      </c>
      <c r="V549" t="e">
        <f t="shared" si="60"/>
        <v>#N/A</v>
      </c>
      <c r="W549" t="e">
        <f t="shared" si="61"/>
        <v>#N/A</v>
      </c>
      <c r="X549" t="e">
        <f t="shared" si="61"/>
        <v>#N/A</v>
      </c>
      <c r="Y549" t="e">
        <f t="shared" si="62"/>
        <v>#N/A</v>
      </c>
      <c r="Z549" t="e">
        <f t="shared" si="62"/>
        <v>#N/A</v>
      </c>
    </row>
    <row r="550" spans="1:26">
      <c r="A550" t="e">
        <f>IF(ISBLANK('[1]Точность устьев скважин'!A552),#N/A,'[1]Точность устьев скважин'!A552)</f>
        <v>#N/A</v>
      </c>
      <c r="B550" t="e">
        <f>IF(ISBLANK('[1]Точность устьев скважин'!B552),#N/A,'[1]Точность устьев скважин'!B552)</f>
        <v>#N/A</v>
      </c>
      <c r="C550" t="e">
        <f>IF(ISBLANK('[1]Точность устьев скважин'!C552),#N/A,'[1]Точность устьев скважин'!C552)</f>
        <v>#N/A</v>
      </c>
      <c r="D550" t="e">
        <f>IF(ISBLANK('[1]Точность устьев скважин'!D552),#N/A,'[1]Точность устьев скважин'!D552)</f>
        <v>#N/A</v>
      </c>
      <c r="G550" t="e">
        <f>IF(ISBLANK('[1]Точность устьев скважин'!H552),#N/A,'[1]Точность устьев скважин'!H552)</f>
        <v>#N/A</v>
      </c>
      <c r="H550" t="e">
        <f>IF(ISBLANK('[1]Точность устьев скважин'!I552),#N/A,'[1]Точность устьев скважин'!I552)</f>
        <v>#N/A</v>
      </c>
      <c r="I550" t="e">
        <f>IF(ISBLANK('[1]Точность устьев скважин'!J552),#N/A,'[1]Точность устьев скважин'!J552)</f>
        <v>#N/A</v>
      </c>
      <c r="J550" t="e">
        <f>IF(ISBLANK('[1]Точность устьев скважин'!K552),#N/A,'[1]Точность устьев скважин'!K552)</f>
        <v>#N/A</v>
      </c>
      <c r="L550" s="63" t="e">
        <f t="shared" si="63"/>
        <v>#N/A</v>
      </c>
      <c r="O550" t="e">
        <f t="shared" si="57"/>
        <v>#N/A</v>
      </c>
      <c r="P550" t="e">
        <f t="shared" si="57"/>
        <v>#N/A</v>
      </c>
      <c r="Q550" t="e">
        <f t="shared" si="58"/>
        <v>#N/A</v>
      </c>
      <c r="R550" t="e">
        <f t="shared" si="58"/>
        <v>#N/A</v>
      </c>
      <c r="S550" t="e">
        <f t="shared" si="59"/>
        <v>#N/A</v>
      </c>
      <c r="T550" t="e">
        <f t="shared" si="59"/>
        <v>#N/A</v>
      </c>
      <c r="U550" t="e">
        <f t="shared" si="60"/>
        <v>#N/A</v>
      </c>
      <c r="V550" t="e">
        <f t="shared" si="60"/>
        <v>#N/A</v>
      </c>
      <c r="W550" t="e">
        <f t="shared" si="61"/>
        <v>#N/A</v>
      </c>
      <c r="X550" t="e">
        <f t="shared" si="61"/>
        <v>#N/A</v>
      </c>
      <c r="Y550" t="e">
        <f t="shared" si="62"/>
        <v>#N/A</v>
      </c>
      <c r="Z550" t="e">
        <f t="shared" si="62"/>
        <v>#N/A</v>
      </c>
    </row>
    <row r="551" spans="1:26">
      <c r="A551" t="e">
        <f>IF(ISBLANK('[1]Точность устьев скважин'!A553),#N/A,'[1]Точность устьев скважин'!A553)</f>
        <v>#N/A</v>
      </c>
      <c r="B551" t="e">
        <f>IF(ISBLANK('[1]Точность устьев скважин'!B553),#N/A,'[1]Точность устьев скважин'!B553)</f>
        <v>#N/A</v>
      </c>
      <c r="C551" t="e">
        <f>IF(ISBLANK('[1]Точность устьев скважин'!C553),#N/A,'[1]Точность устьев скважин'!C553)</f>
        <v>#N/A</v>
      </c>
      <c r="D551" t="e">
        <f>IF(ISBLANK('[1]Точность устьев скважин'!D553),#N/A,'[1]Точность устьев скважин'!D553)</f>
        <v>#N/A</v>
      </c>
      <c r="G551" t="e">
        <f>IF(ISBLANK('[1]Точность устьев скважин'!H553),#N/A,'[1]Точность устьев скважин'!H553)</f>
        <v>#N/A</v>
      </c>
      <c r="H551" t="e">
        <f>IF(ISBLANK('[1]Точность устьев скважин'!I553),#N/A,'[1]Точность устьев скважин'!I553)</f>
        <v>#N/A</v>
      </c>
      <c r="I551" t="e">
        <f>IF(ISBLANK('[1]Точность устьев скважин'!J553),#N/A,'[1]Точность устьев скважин'!J553)</f>
        <v>#N/A</v>
      </c>
      <c r="J551" t="e">
        <f>IF(ISBLANK('[1]Точность устьев скважин'!K553),#N/A,'[1]Точность устьев скважин'!K553)</f>
        <v>#N/A</v>
      </c>
      <c r="L551" s="63" t="e">
        <f t="shared" si="63"/>
        <v>#N/A</v>
      </c>
      <c r="O551" t="e">
        <f t="shared" si="57"/>
        <v>#N/A</v>
      </c>
      <c r="P551" t="e">
        <f t="shared" si="57"/>
        <v>#N/A</v>
      </c>
      <c r="Q551" t="e">
        <f t="shared" si="58"/>
        <v>#N/A</v>
      </c>
      <c r="R551" t="e">
        <f t="shared" si="58"/>
        <v>#N/A</v>
      </c>
      <c r="S551" t="e">
        <f t="shared" si="59"/>
        <v>#N/A</v>
      </c>
      <c r="T551" t="e">
        <f t="shared" si="59"/>
        <v>#N/A</v>
      </c>
      <c r="U551" t="e">
        <f t="shared" si="60"/>
        <v>#N/A</v>
      </c>
      <c r="V551" t="e">
        <f t="shared" si="60"/>
        <v>#N/A</v>
      </c>
      <c r="W551" t="e">
        <f t="shared" si="61"/>
        <v>#N/A</v>
      </c>
      <c r="X551" t="e">
        <f t="shared" si="61"/>
        <v>#N/A</v>
      </c>
      <c r="Y551" t="e">
        <f t="shared" si="62"/>
        <v>#N/A</v>
      </c>
      <c r="Z551" t="e">
        <f t="shared" si="62"/>
        <v>#N/A</v>
      </c>
    </row>
    <row r="552" spans="1:26">
      <c r="A552" t="e">
        <f>IF(ISBLANK('[1]Точность устьев скважин'!A554),#N/A,'[1]Точность устьев скважин'!A554)</f>
        <v>#N/A</v>
      </c>
      <c r="B552" t="e">
        <f>IF(ISBLANK('[1]Точность устьев скважин'!B554),#N/A,'[1]Точность устьев скважин'!B554)</f>
        <v>#N/A</v>
      </c>
      <c r="C552" t="e">
        <f>IF(ISBLANK('[1]Точность устьев скважин'!C554),#N/A,'[1]Точность устьев скважин'!C554)</f>
        <v>#N/A</v>
      </c>
      <c r="D552" t="e">
        <f>IF(ISBLANK('[1]Точность устьев скважин'!D554),#N/A,'[1]Точность устьев скважин'!D554)</f>
        <v>#N/A</v>
      </c>
      <c r="G552" t="e">
        <f>IF(ISBLANK('[1]Точность устьев скважин'!H554),#N/A,'[1]Точность устьев скважин'!H554)</f>
        <v>#N/A</v>
      </c>
      <c r="H552" t="e">
        <f>IF(ISBLANK('[1]Точность устьев скважин'!I554),#N/A,'[1]Точность устьев скважин'!I554)</f>
        <v>#N/A</v>
      </c>
      <c r="I552" t="e">
        <f>IF(ISBLANK('[1]Точность устьев скважин'!J554),#N/A,'[1]Точность устьев скважин'!J554)</f>
        <v>#N/A</v>
      </c>
      <c r="J552" t="e">
        <f>IF(ISBLANK('[1]Точность устьев скважин'!K554),#N/A,'[1]Точность устьев скважин'!K554)</f>
        <v>#N/A</v>
      </c>
      <c r="L552" s="63" t="e">
        <f t="shared" si="63"/>
        <v>#N/A</v>
      </c>
      <c r="O552" t="e">
        <f t="shared" si="57"/>
        <v>#N/A</v>
      </c>
      <c r="P552" t="e">
        <f t="shared" si="57"/>
        <v>#N/A</v>
      </c>
      <c r="Q552" t="e">
        <f t="shared" si="58"/>
        <v>#N/A</v>
      </c>
      <c r="R552" t="e">
        <f t="shared" si="58"/>
        <v>#N/A</v>
      </c>
      <c r="S552" t="e">
        <f t="shared" si="59"/>
        <v>#N/A</v>
      </c>
      <c r="T552" t="e">
        <f t="shared" si="59"/>
        <v>#N/A</v>
      </c>
      <c r="U552" t="e">
        <f t="shared" si="60"/>
        <v>#N/A</v>
      </c>
      <c r="V552" t="e">
        <f t="shared" si="60"/>
        <v>#N/A</v>
      </c>
      <c r="W552" t="e">
        <f t="shared" si="61"/>
        <v>#N/A</v>
      </c>
      <c r="X552" t="e">
        <f t="shared" si="61"/>
        <v>#N/A</v>
      </c>
      <c r="Y552" t="e">
        <f t="shared" si="62"/>
        <v>#N/A</v>
      </c>
      <c r="Z552" t="e">
        <f t="shared" si="62"/>
        <v>#N/A</v>
      </c>
    </row>
    <row r="553" spans="1:26">
      <c r="A553" t="e">
        <f>IF(ISBLANK('[1]Точность устьев скважин'!A555),#N/A,'[1]Точность устьев скважин'!A555)</f>
        <v>#N/A</v>
      </c>
      <c r="B553" t="e">
        <f>IF(ISBLANK('[1]Точность устьев скважин'!B555),#N/A,'[1]Точность устьев скважин'!B555)</f>
        <v>#N/A</v>
      </c>
      <c r="C553" t="e">
        <f>IF(ISBLANK('[1]Точность устьев скважин'!C555),#N/A,'[1]Точность устьев скважин'!C555)</f>
        <v>#N/A</v>
      </c>
      <c r="D553" t="e">
        <f>IF(ISBLANK('[1]Точность устьев скважин'!D555),#N/A,'[1]Точность устьев скважин'!D555)</f>
        <v>#N/A</v>
      </c>
      <c r="G553" t="e">
        <f>IF(ISBLANK('[1]Точность устьев скважин'!H555),#N/A,'[1]Точность устьев скважин'!H555)</f>
        <v>#N/A</v>
      </c>
      <c r="H553" t="e">
        <f>IF(ISBLANK('[1]Точность устьев скважин'!I555),#N/A,'[1]Точность устьев скважин'!I555)</f>
        <v>#N/A</v>
      </c>
      <c r="I553" t="e">
        <f>IF(ISBLANK('[1]Точность устьев скважин'!J555),#N/A,'[1]Точность устьев скважин'!J555)</f>
        <v>#N/A</v>
      </c>
      <c r="J553" t="e">
        <f>IF(ISBLANK('[1]Точность устьев скважин'!K555),#N/A,'[1]Точность устьев скважин'!K555)</f>
        <v>#N/A</v>
      </c>
      <c r="L553" s="63" t="e">
        <f t="shared" si="63"/>
        <v>#N/A</v>
      </c>
      <c r="O553" t="e">
        <f t="shared" ref="O553:P616" si="64">IF($L$1=0.5,IF(AND($L553&gt;0,$L553&lt;0.1),H553,#N/A),"")</f>
        <v>#N/A</v>
      </c>
      <c r="P553" t="e">
        <f t="shared" si="64"/>
        <v>#N/A</v>
      </c>
      <c r="Q553" t="e">
        <f t="shared" ref="Q553:R616" si="65">IF($L$1=0.5,IF(AND($L553&gt;=0.1,$L553&lt;0.2),H553,#N/A),"")</f>
        <v>#N/A</v>
      </c>
      <c r="R553" t="e">
        <f t="shared" si="65"/>
        <v>#N/A</v>
      </c>
      <c r="S553" t="e">
        <f t="shared" ref="S553:T616" si="66">IF($L$1=0.5,IF(AND($L553&gt;=0.2,$L553&lt;0.3),H553,#N/A),"")</f>
        <v>#N/A</v>
      </c>
      <c r="T553" t="e">
        <f t="shared" si="66"/>
        <v>#N/A</v>
      </c>
      <c r="U553" t="e">
        <f t="shared" ref="U553:V616" si="67">IF($L$1=0.5,IF(AND($L553&gt;=0.3,$L553&lt;0.4),H553,#N/A),"")</f>
        <v>#N/A</v>
      </c>
      <c r="V553" t="e">
        <f t="shared" si="67"/>
        <v>#N/A</v>
      </c>
      <c r="W553" t="e">
        <f t="shared" ref="W553:X616" si="68">IF($L$1=0.5,IF(AND($L553&gt;=0.4,$L553&lt;0.5),H553,#N/A),"")</f>
        <v>#N/A</v>
      </c>
      <c r="X553" t="e">
        <f t="shared" si="68"/>
        <v>#N/A</v>
      </c>
      <c r="Y553" t="e">
        <f t="shared" si="62"/>
        <v>#N/A</v>
      </c>
      <c r="Z553" t="e">
        <f t="shared" si="62"/>
        <v>#N/A</v>
      </c>
    </row>
    <row r="554" spans="1:26">
      <c r="A554" t="e">
        <f>IF(ISBLANK('[1]Точность устьев скважин'!A556),#N/A,'[1]Точность устьев скважин'!A556)</f>
        <v>#N/A</v>
      </c>
      <c r="B554" t="e">
        <f>IF(ISBLANK('[1]Точность устьев скважин'!B556),#N/A,'[1]Точность устьев скважин'!B556)</f>
        <v>#N/A</v>
      </c>
      <c r="C554" t="e">
        <f>IF(ISBLANK('[1]Точность устьев скважин'!C556),#N/A,'[1]Точность устьев скважин'!C556)</f>
        <v>#N/A</v>
      </c>
      <c r="D554" t="e">
        <f>IF(ISBLANK('[1]Точность устьев скважин'!D556),#N/A,'[1]Точность устьев скважин'!D556)</f>
        <v>#N/A</v>
      </c>
      <c r="G554" t="e">
        <f>IF(ISBLANK('[1]Точность устьев скважин'!H556),#N/A,'[1]Точность устьев скважин'!H556)</f>
        <v>#N/A</v>
      </c>
      <c r="H554" t="e">
        <f>IF(ISBLANK('[1]Точность устьев скважин'!I556),#N/A,'[1]Точность устьев скважин'!I556)</f>
        <v>#N/A</v>
      </c>
      <c r="I554" t="e">
        <f>IF(ISBLANK('[1]Точность устьев скважин'!J556),#N/A,'[1]Точность устьев скважин'!J556)</f>
        <v>#N/A</v>
      </c>
      <c r="J554" t="e">
        <f>IF(ISBLANK('[1]Точность устьев скважин'!K556),#N/A,'[1]Точность устьев скважин'!K556)</f>
        <v>#N/A</v>
      </c>
      <c r="L554" s="63" t="e">
        <f t="shared" si="63"/>
        <v>#N/A</v>
      </c>
      <c r="O554" t="e">
        <f t="shared" si="64"/>
        <v>#N/A</v>
      </c>
      <c r="P554" t="e">
        <f t="shared" si="64"/>
        <v>#N/A</v>
      </c>
      <c r="Q554" t="e">
        <f t="shared" si="65"/>
        <v>#N/A</v>
      </c>
      <c r="R554" t="e">
        <f t="shared" si="65"/>
        <v>#N/A</v>
      </c>
      <c r="S554" t="e">
        <f t="shared" si="66"/>
        <v>#N/A</v>
      </c>
      <c r="T554" t="e">
        <f t="shared" si="66"/>
        <v>#N/A</v>
      </c>
      <c r="U554" t="e">
        <f t="shared" si="67"/>
        <v>#N/A</v>
      </c>
      <c r="V554" t="e">
        <f t="shared" si="67"/>
        <v>#N/A</v>
      </c>
      <c r="W554" t="e">
        <f t="shared" si="68"/>
        <v>#N/A</v>
      </c>
      <c r="X554" t="e">
        <f t="shared" si="68"/>
        <v>#N/A</v>
      </c>
      <c r="Y554" t="e">
        <f t="shared" si="62"/>
        <v>#N/A</v>
      </c>
      <c r="Z554" t="e">
        <f t="shared" si="62"/>
        <v>#N/A</v>
      </c>
    </row>
    <row r="555" spans="1:26">
      <c r="A555" t="e">
        <f>IF(ISBLANK('[1]Точность устьев скважин'!A557),#N/A,'[1]Точность устьев скважин'!A557)</f>
        <v>#N/A</v>
      </c>
      <c r="B555" t="e">
        <f>IF(ISBLANK('[1]Точность устьев скважин'!B557),#N/A,'[1]Точность устьев скважин'!B557)</f>
        <v>#N/A</v>
      </c>
      <c r="C555" t="e">
        <f>IF(ISBLANK('[1]Точность устьев скважин'!C557),#N/A,'[1]Точность устьев скважин'!C557)</f>
        <v>#N/A</v>
      </c>
      <c r="D555" t="e">
        <f>IF(ISBLANK('[1]Точность устьев скважин'!D557),#N/A,'[1]Точность устьев скважин'!D557)</f>
        <v>#N/A</v>
      </c>
      <c r="G555" t="e">
        <f>IF(ISBLANK('[1]Точность устьев скважин'!H557),#N/A,'[1]Точность устьев скважин'!H557)</f>
        <v>#N/A</v>
      </c>
      <c r="H555" t="e">
        <f>IF(ISBLANK('[1]Точность устьев скважин'!I557),#N/A,'[1]Точность устьев скважин'!I557)</f>
        <v>#N/A</v>
      </c>
      <c r="I555" t="e">
        <f>IF(ISBLANK('[1]Точность устьев скважин'!J557),#N/A,'[1]Точность устьев скважин'!J557)</f>
        <v>#N/A</v>
      </c>
      <c r="J555" t="e">
        <f>IF(ISBLANK('[1]Точность устьев скважин'!K557),#N/A,'[1]Точность устьев скважин'!K557)</f>
        <v>#N/A</v>
      </c>
      <c r="L555" s="63" t="e">
        <f t="shared" si="63"/>
        <v>#N/A</v>
      </c>
      <c r="O555" t="e">
        <f t="shared" si="64"/>
        <v>#N/A</v>
      </c>
      <c r="P555" t="e">
        <f t="shared" si="64"/>
        <v>#N/A</v>
      </c>
      <c r="Q555" t="e">
        <f t="shared" si="65"/>
        <v>#N/A</v>
      </c>
      <c r="R555" t="e">
        <f t="shared" si="65"/>
        <v>#N/A</v>
      </c>
      <c r="S555" t="e">
        <f t="shared" si="66"/>
        <v>#N/A</v>
      </c>
      <c r="T555" t="e">
        <f t="shared" si="66"/>
        <v>#N/A</v>
      </c>
      <c r="U555" t="e">
        <f t="shared" si="67"/>
        <v>#N/A</v>
      </c>
      <c r="V555" t="e">
        <f t="shared" si="67"/>
        <v>#N/A</v>
      </c>
      <c r="W555" t="e">
        <f t="shared" si="68"/>
        <v>#N/A</v>
      </c>
      <c r="X555" t="e">
        <f t="shared" si="68"/>
        <v>#N/A</v>
      </c>
      <c r="Y555" t="e">
        <f t="shared" si="62"/>
        <v>#N/A</v>
      </c>
      <c r="Z555" t="e">
        <f t="shared" si="62"/>
        <v>#N/A</v>
      </c>
    </row>
    <row r="556" spans="1:26">
      <c r="A556" t="e">
        <f>IF(ISBLANK('[1]Точность устьев скважин'!A558),#N/A,'[1]Точность устьев скважин'!A558)</f>
        <v>#N/A</v>
      </c>
      <c r="B556" t="e">
        <f>IF(ISBLANK('[1]Точность устьев скважин'!B558),#N/A,'[1]Точность устьев скважин'!B558)</f>
        <v>#N/A</v>
      </c>
      <c r="C556" t="e">
        <f>IF(ISBLANK('[1]Точность устьев скважин'!C558),#N/A,'[1]Точность устьев скважин'!C558)</f>
        <v>#N/A</v>
      </c>
      <c r="D556" t="e">
        <f>IF(ISBLANK('[1]Точность устьев скважин'!D558),#N/A,'[1]Точность устьев скважин'!D558)</f>
        <v>#N/A</v>
      </c>
      <c r="G556" t="e">
        <f>IF(ISBLANK('[1]Точность устьев скважин'!H558),#N/A,'[1]Точность устьев скважин'!H558)</f>
        <v>#N/A</v>
      </c>
      <c r="H556" t="e">
        <f>IF(ISBLANK('[1]Точность устьев скважин'!I558),#N/A,'[1]Точность устьев скважин'!I558)</f>
        <v>#N/A</v>
      </c>
      <c r="I556" t="e">
        <f>IF(ISBLANK('[1]Точность устьев скважин'!J558),#N/A,'[1]Точность устьев скважин'!J558)</f>
        <v>#N/A</v>
      </c>
      <c r="J556" t="e">
        <f>IF(ISBLANK('[1]Точность устьев скважин'!K558),#N/A,'[1]Точность устьев скважин'!K558)</f>
        <v>#N/A</v>
      </c>
      <c r="L556" s="63" t="e">
        <f t="shared" si="63"/>
        <v>#N/A</v>
      </c>
      <c r="O556" t="e">
        <f t="shared" si="64"/>
        <v>#N/A</v>
      </c>
      <c r="P556" t="e">
        <f t="shared" si="64"/>
        <v>#N/A</v>
      </c>
      <c r="Q556" t="e">
        <f t="shared" si="65"/>
        <v>#N/A</v>
      </c>
      <c r="R556" t="e">
        <f t="shared" si="65"/>
        <v>#N/A</v>
      </c>
      <c r="S556" t="e">
        <f t="shared" si="66"/>
        <v>#N/A</v>
      </c>
      <c r="T556" t="e">
        <f t="shared" si="66"/>
        <v>#N/A</v>
      </c>
      <c r="U556" t="e">
        <f t="shared" si="67"/>
        <v>#N/A</v>
      </c>
      <c r="V556" t="e">
        <f t="shared" si="67"/>
        <v>#N/A</v>
      </c>
      <c r="W556" t="e">
        <f t="shared" si="68"/>
        <v>#N/A</v>
      </c>
      <c r="X556" t="e">
        <f t="shared" si="68"/>
        <v>#N/A</v>
      </c>
      <c r="Y556" t="e">
        <f t="shared" si="62"/>
        <v>#N/A</v>
      </c>
      <c r="Z556" t="e">
        <f t="shared" si="62"/>
        <v>#N/A</v>
      </c>
    </row>
    <row r="557" spans="1:26">
      <c r="A557" t="e">
        <f>IF(ISBLANK('[1]Точность устьев скважин'!A559),#N/A,'[1]Точность устьев скважин'!A559)</f>
        <v>#N/A</v>
      </c>
      <c r="B557" t="e">
        <f>IF(ISBLANK('[1]Точность устьев скважин'!B559),#N/A,'[1]Точность устьев скважин'!B559)</f>
        <v>#N/A</v>
      </c>
      <c r="C557" t="e">
        <f>IF(ISBLANK('[1]Точность устьев скважин'!C559),#N/A,'[1]Точность устьев скважин'!C559)</f>
        <v>#N/A</v>
      </c>
      <c r="D557" t="e">
        <f>IF(ISBLANK('[1]Точность устьев скважин'!D559),#N/A,'[1]Точность устьев скважин'!D559)</f>
        <v>#N/A</v>
      </c>
      <c r="G557" t="e">
        <f>IF(ISBLANK('[1]Точность устьев скважин'!H559),#N/A,'[1]Точность устьев скважин'!H559)</f>
        <v>#N/A</v>
      </c>
      <c r="H557" t="e">
        <f>IF(ISBLANK('[1]Точность устьев скважин'!I559),#N/A,'[1]Точность устьев скважин'!I559)</f>
        <v>#N/A</v>
      </c>
      <c r="I557" t="e">
        <f>IF(ISBLANK('[1]Точность устьев скважин'!J559),#N/A,'[1]Точность устьев скважин'!J559)</f>
        <v>#N/A</v>
      </c>
      <c r="J557" t="e">
        <f>IF(ISBLANK('[1]Точность устьев скважин'!K559),#N/A,'[1]Точность устьев скважин'!K559)</f>
        <v>#N/A</v>
      </c>
      <c r="L557" s="63" t="e">
        <f t="shared" si="63"/>
        <v>#N/A</v>
      </c>
      <c r="O557" t="e">
        <f t="shared" si="64"/>
        <v>#N/A</v>
      </c>
      <c r="P557" t="e">
        <f t="shared" si="64"/>
        <v>#N/A</v>
      </c>
      <c r="Q557" t="e">
        <f t="shared" si="65"/>
        <v>#N/A</v>
      </c>
      <c r="R557" t="e">
        <f t="shared" si="65"/>
        <v>#N/A</v>
      </c>
      <c r="S557" t="e">
        <f t="shared" si="66"/>
        <v>#N/A</v>
      </c>
      <c r="T557" t="e">
        <f t="shared" si="66"/>
        <v>#N/A</v>
      </c>
      <c r="U557" t="e">
        <f t="shared" si="67"/>
        <v>#N/A</v>
      </c>
      <c r="V557" t="e">
        <f t="shared" si="67"/>
        <v>#N/A</v>
      </c>
      <c r="W557" t="e">
        <f t="shared" si="68"/>
        <v>#N/A</v>
      </c>
      <c r="X557" t="e">
        <f t="shared" si="68"/>
        <v>#N/A</v>
      </c>
      <c r="Y557" t="e">
        <f t="shared" si="62"/>
        <v>#N/A</v>
      </c>
      <c r="Z557" t="e">
        <f t="shared" si="62"/>
        <v>#N/A</v>
      </c>
    </row>
    <row r="558" spans="1:26">
      <c r="A558" t="e">
        <f>IF(ISBLANK('[1]Точность устьев скважин'!A560),#N/A,'[1]Точность устьев скважин'!A560)</f>
        <v>#N/A</v>
      </c>
      <c r="B558" t="e">
        <f>IF(ISBLANK('[1]Точность устьев скважин'!B560),#N/A,'[1]Точность устьев скважин'!B560)</f>
        <v>#N/A</v>
      </c>
      <c r="C558" t="e">
        <f>IF(ISBLANK('[1]Точность устьев скважин'!C560),#N/A,'[1]Точность устьев скважин'!C560)</f>
        <v>#N/A</v>
      </c>
      <c r="D558" t="e">
        <f>IF(ISBLANK('[1]Точность устьев скважин'!D560),#N/A,'[1]Точность устьев скважин'!D560)</f>
        <v>#N/A</v>
      </c>
      <c r="G558" t="e">
        <f>IF(ISBLANK('[1]Точность устьев скважин'!H560),#N/A,'[1]Точность устьев скважин'!H560)</f>
        <v>#N/A</v>
      </c>
      <c r="H558" t="e">
        <f>IF(ISBLANK('[1]Точность устьев скважин'!I560),#N/A,'[1]Точность устьев скважин'!I560)</f>
        <v>#N/A</v>
      </c>
      <c r="I558" t="e">
        <f>IF(ISBLANK('[1]Точность устьев скважин'!J560),#N/A,'[1]Точность устьев скважин'!J560)</f>
        <v>#N/A</v>
      </c>
      <c r="J558" t="e">
        <f>IF(ISBLANK('[1]Точность устьев скважин'!K560),#N/A,'[1]Точность устьев скважин'!K560)</f>
        <v>#N/A</v>
      </c>
      <c r="L558" s="63" t="e">
        <f t="shared" si="63"/>
        <v>#N/A</v>
      </c>
      <c r="O558" t="e">
        <f t="shared" si="64"/>
        <v>#N/A</v>
      </c>
      <c r="P558" t="e">
        <f t="shared" si="64"/>
        <v>#N/A</v>
      </c>
      <c r="Q558" t="e">
        <f t="shared" si="65"/>
        <v>#N/A</v>
      </c>
      <c r="R558" t="e">
        <f t="shared" si="65"/>
        <v>#N/A</v>
      </c>
      <c r="S558" t="e">
        <f t="shared" si="66"/>
        <v>#N/A</v>
      </c>
      <c r="T558" t="e">
        <f t="shared" si="66"/>
        <v>#N/A</v>
      </c>
      <c r="U558" t="e">
        <f t="shared" si="67"/>
        <v>#N/A</v>
      </c>
      <c r="V558" t="e">
        <f t="shared" si="67"/>
        <v>#N/A</v>
      </c>
      <c r="W558" t="e">
        <f t="shared" si="68"/>
        <v>#N/A</v>
      </c>
      <c r="X558" t="e">
        <f t="shared" si="68"/>
        <v>#N/A</v>
      </c>
      <c r="Y558" t="e">
        <f t="shared" si="62"/>
        <v>#N/A</v>
      </c>
      <c r="Z558" t="e">
        <f t="shared" si="62"/>
        <v>#N/A</v>
      </c>
    </row>
    <row r="559" spans="1:26">
      <c r="A559" t="e">
        <f>IF(ISBLANK('[1]Точность устьев скважин'!A561),#N/A,'[1]Точность устьев скважин'!A561)</f>
        <v>#N/A</v>
      </c>
      <c r="B559" t="e">
        <f>IF(ISBLANK('[1]Точность устьев скважин'!B561),#N/A,'[1]Точность устьев скважин'!B561)</f>
        <v>#N/A</v>
      </c>
      <c r="C559" t="e">
        <f>IF(ISBLANK('[1]Точность устьев скважин'!C561),#N/A,'[1]Точность устьев скважин'!C561)</f>
        <v>#N/A</v>
      </c>
      <c r="D559" t="e">
        <f>IF(ISBLANK('[1]Точность устьев скважин'!D561),#N/A,'[1]Точность устьев скважин'!D561)</f>
        <v>#N/A</v>
      </c>
      <c r="G559" t="e">
        <f>IF(ISBLANK('[1]Точность устьев скважин'!H561),#N/A,'[1]Точность устьев скважин'!H561)</f>
        <v>#N/A</v>
      </c>
      <c r="H559" t="e">
        <f>IF(ISBLANK('[1]Точность устьев скважин'!I561),#N/A,'[1]Точность устьев скважин'!I561)</f>
        <v>#N/A</v>
      </c>
      <c r="I559" t="e">
        <f>IF(ISBLANK('[1]Точность устьев скважин'!J561),#N/A,'[1]Точность устьев скважин'!J561)</f>
        <v>#N/A</v>
      </c>
      <c r="J559" t="e">
        <f>IF(ISBLANK('[1]Точность устьев скважин'!K561),#N/A,'[1]Точность устьев скважин'!K561)</f>
        <v>#N/A</v>
      </c>
      <c r="L559" s="63" t="e">
        <f t="shared" si="63"/>
        <v>#N/A</v>
      </c>
      <c r="O559" t="e">
        <f t="shared" si="64"/>
        <v>#N/A</v>
      </c>
      <c r="P559" t="e">
        <f t="shared" si="64"/>
        <v>#N/A</v>
      </c>
      <c r="Q559" t="e">
        <f t="shared" si="65"/>
        <v>#N/A</v>
      </c>
      <c r="R559" t="e">
        <f t="shared" si="65"/>
        <v>#N/A</v>
      </c>
      <c r="S559" t="e">
        <f t="shared" si="66"/>
        <v>#N/A</v>
      </c>
      <c r="T559" t="e">
        <f t="shared" si="66"/>
        <v>#N/A</v>
      </c>
      <c r="U559" t="e">
        <f t="shared" si="67"/>
        <v>#N/A</v>
      </c>
      <c r="V559" t="e">
        <f t="shared" si="67"/>
        <v>#N/A</v>
      </c>
      <c r="W559" t="e">
        <f t="shared" si="68"/>
        <v>#N/A</v>
      </c>
      <c r="X559" t="e">
        <f t="shared" si="68"/>
        <v>#N/A</v>
      </c>
      <c r="Y559" t="e">
        <f t="shared" si="62"/>
        <v>#N/A</v>
      </c>
      <c r="Z559" t="e">
        <f t="shared" si="62"/>
        <v>#N/A</v>
      </c>
    </row>
    <row r="560" spans="1:26">
      <c r="A560" t="e">
        <f>IF(ISBLANK('[1]Точность устьев скважин'!A562),#N/A,'[1]Точность устьев скважин'!A562)</f>
        <v>#N/A</v>
      </c>
      <c r="B560" t="e">
        <f>IF(ISBLANK('[1]Точность устьев скважин'!B562),#N/A,'[1]Точность устьев скважин'!B562)</f>
        <v>#N/A</v>
      </c>
      <c r="C560" t="e">
        <f>IF(ISBLANK('[1]Точность устьев скважин'!C562),#N/A,'[1]Точность устьев скважин'!C562)</f>
        <v>#N/A</v>
      </c>
      <c r="D560" t="e">
        <f>IF(ISBLANK('[1]Точность устьев скважин'!D562),#N/A,'[1]Точность устьев скважин'!D562)</f>
        <v>#N/A</v>
      </c>
      <c r="G560" t="e">
        <f>IF(ISBLANK('[1]Точность устьев скважин'!H562),#N/A,'[1]Точность устьев скважин'!H562)</f>
        <v>#N/A</v>
      </c>
      <c r="H560" t="e">
        <f>IF(ISBLANK('[1]Точность устьев скважин'!I562),#N/A,'[1]Точность устьев скважин'!I562)</f>
        <v>#N/A</v>
      </c>
      <c r="I560" t="e">
        <f>IF(ISBLANK('[1]Точность устьев скважин'!J562),#N/A,'[1]Точность устьев скважин'!J562)</f>
        <v>#N/A</v>
      </c>
      <c r="J560" t="e">
        <f>IF(ISBLANK('[1]Точность устьев скважин'!K562),#N/A,'[1]Точность устьев скважин'!K562)</f>
        <v>#N/A</v>
      </c>
      <c r="L560" s="63" t="e">
        <f t="shared" si="63"/>
        <v>#N/A</v>
      </c>
      <c r="O560" t="e">
        <f t="shared" si="64"/>
        <v>#N/A</v>
      </c>
      <c r="P560" t="e">
        <f t="shared" si="64"/>
        <v>#N/A</v>
      </c>
      <c r="Q560" t="e">
        <f t="shared" si="65"/>
        <v>#N/A</v>
      </c>
      <c r="R560" t="e">
        <f t="shared" si="65"/>
        <v>#N/A</v>
      </c>
      <c r="S560" t="e">
        <f t="shared" si="66"/>
        <v>#N/A</v>
      </c>
      <c r="T560" t="e">
        <f t="shared" si="66"/>
        <v>#N/A</v>
      </c>
      <c r="U560" t="e">
        <f t="shared" si="67"/>
        <v>#N/A</v>
      </c>
      <c r="V560" t="e">
        <f t="shared" si="67"/>
        <v>#N/A</v>
      </c>
      <c r="W560" t="e">
        <f t="shared" si="68"/>
        <v>#N/A</v>
      </c>
      <c r="X560" t="e">
        <f t="shared" si="68"/>
        <v>#N/A</v>
      </c>
      <c r="Y560" t="e">
        <f t="shared" si="62"/>
        <v>#N/A</v>
      </c>
      <c r="Z560" t="e">
        <f t="shared" si="62"/>
        <v>#N/A</v>
      </c>
    </row>
    <row r="561" spans="1:26">
      <c r="A561" t="e">
        <f>IF(ISBLANK('[1]Точность устьев скважин'!A563),#N/A,'[1]Точность устьев скважин'!A563)</f>
        <v>#N/A</v>
      </c>
      <c r="B561" t="e">
        <f>IF(ISBLANK('[1]Точность устьев скважин'!B563),#N/A,'[1]Точность устьев скважин'!B563)</f>
        <v>#N/A</v>
      </c>
      <c r="C561" t="e">
        <f>IF(ISBLANK('[1]Точность устьев скважин'!C563),#N/A,'[1]Точность устьев скважин'!C563)</f>
        <v>#N/A</v>
      </c>
      <c r="D561" t="e">
        <f>IF(ISBLANK('[1]Точность устьев скважин'!D563),#N/A,'[1]Точность устьев скважин'!D563)</f>
        <v>#N/A</v>
      </c>
      <c r="G561" t="e">
        <f>IF(ISBLANK('[1]Точность устьев скважин'!H563),#N/A,'[1]Точность устьев скважин'!H563)</f>
        <v>#N/A</v>
      </c>
      <c r="H561" t="e">
        <f>IF(ISBLANK('[1]Точность устьев скважин'!I563),#N/A,'[1]Точность устьев скважин'!I563)</f>
        <v>#N/A</v>
      </c>
      <c r="I561" t="e">
        <f>IF(ISBLANK('[1]Точность устьев скважин'!J563),#N/A,'[1]Точность устьев скважин'!J563)</f>
        <v>#N/A</v>
      </c>
      <c r="J561" t="e">
        <f>IF(ISBLANK('[1]Точность устьев скважин'!K563),#N/A,'[1]Точность устьев скважин'!K563)</f>
        <v>#N/A</v>
      </c>
      <c r="L561" s="63" t="e">
        <f t="shared" si="63"/>
        <v>#N/A</v>
      </c>
      <c r="O561" t="e">
        <f t="shared" si="64"/>
        <v>#N/A</v>
      </c>
      <c r="P561" t="e">
        <f t="shared" si="64"/>
        <v>#N/A</v>
      </c>
      <c r="Q561" t="e">
        <f t="shared" si="65"/>
        <v>#N/A</v>
      </c>
      <c r="R561" t="e">
        <f t="shared" si="65"/>
        <v>#N/A</v>
      </c>
      <c r="S561" t="e">
        <f t="shared" si="66"/>
        <v>#N/A</v>
      </c>
      <c r="T561" t="e">
        <f t="shared" si="66"/>
        <v>#N/A</v>
      </c>
      <c r="U561" t="e">
        <f t="shared" si="67"/>
        <v>#N/A</v>
      </c>
      <c r="V561" t="e">
        <f t="shared" si="67"/>
        <v>#N/A</v>
      </c>
      <c r="W561" t="e">
        <f t="shared" si="68"/>
        <v>#N/A</v>
      </c>
      <c r="X561" t="e">
        <f t="shared" si="68"/>
        <v>#N/A</v>
      </c>
      <c r="Y561" t="e">
        <f t="shared" si="62"/>
        <v>#N/A</v>
      </c>
      <c r="Z561" t="e">
        <f t="shared" si="62"/>
        <v>#N/A</v>
      </c>
    </row>
    <row r="562" spans="1:26">
      <c r="A562" t="e">
        <f>IF(ISBLANK('[1]Точность устьев скважин'!A564),#N/A,'[1]Точность устьев скважин'!A564)</f>
        <v>#N/A</v>
      </c>
      <c r="B562" t="e">
        <f>IF(ISBLANK('[1]Точность устьев скважин'!B564),#N/A,'[1]Точность устьев скважин'!B564)</f>
        <v>#N/A</v>
      </c>
      <c r="C562" t="e">
        <f>IF(ISBLANK('[1]Точность устьев скважин'!C564),#N/A,'[1]Точность устьев скважин'!C564)</f>
        <v>#N/A</v>
      </c>
      <c r="D562" t="e">
        <f>IF(ISBLANK('[1]Точность устьев скважин'!D564),#N/A,'[1]Точность устьев скважин'!D564)</f>
        <v>#N/A</v>
      </c>
      <c r="G562" t="e">
        <f>IF(ISBLANK('[1]Точность устьев скважин'!H564),#N/A,'[1]Точность устьев скважин'!H564)</f>
        <v>#N/A</v>
      </c>
      <c r="H562" t="e">
        <f>IF(ISBLANK('[1]Точность устьев скважин'!I564),#N/A,'[1]Точность устьев скважин'!I564)</f>
        <v>#N/A</v>
      </c>
      <c r="I562" t="e">
        <f>IF(ISBLANK('[1]Точность устьев скважин'!J564),#N/A,'[1]Точность устьев скважин'!J564)</f>
        <v>#N/A</v>
      </c>
      <c r="J562" t="e">
        <f>IF(ISBLANK('[1]Точность устьев скважин'!K564),#N/A,'[1]Точность устьев скважин'!K564)</f>
        <v>#N/A</v>
      </c>
      <c r="L562" s="63" t="e">
        <f t="shared" si="63"/>
        <v>#N/A</v>
      </c>
      <c r="O562" t="e">
        <f t="shared" si="64"/>
        <v>#N/A</v>
      </c>
      <c r="P562" t="e">
        <f t="shared" si="64"/>
        <v>#N/A</v>
      </c>
      <c r="Q562" t="e">
        <f t="shared" si="65"/>
        <v>#N/A</v>
      </c>
      <c r="R562" t="e">
        <f t="shared" si="65"/>
        <v>#N/A</v>
      </c>
      <c r="S562" t="e">
        <f t="shared" si="66"/>
        <v>#N/A</v>
      </c>
      <c r="T562" t="e">
        <f t="shared" si="66"/>
        <v>#N/A</v>
      </c>
      <c r="U562" t="e">
        <f t="shared" si="67"/>
        <v>#N/A</v>
      </c>
      <c r="V562" t="e">
        <f t="shared" si="67"/>
        <v>#N/A</v>
      </c>
      <c r="W562" t="e">
        <f t="shared" si="68"/>
        <v>#N/A</v>
      </c>
      <c r="X562" t="e">
        <f t="shared" si="68"/>
        <v>#N/A</v>
      </c>
      <c r="Y562" t="e">
        <f t="shared" si="62"/>
        <v>#N/A</v>
      </c>
      <c r="Z562" t="e">
        <f t="shared" si="62"/>
        <v>#N/A</v>
      </c>
    </row>
    <row r="563" spans="1:26">
      <c r="A563" t="e">
        <f>IF(ISBLANK('[1]Точность устьев скважин'!A565),#N/A,'[1]Точность устьев скважин'!A565)</f>
        <v>#N/A</v>
      </c>
      <c r="B563" t="e">
        <f>IF(ISBLANK('[1]Точность устьев скважин'!B565),#N/A,'[1]Точность устьев скважин'!B565)</f>
        <v>#N/A</v>
      </c>
      <c r="C563" t="e">
        <f>IF(ISBLANK('[1]Точность устьев скважин'!C565),#N/A,'[1]Точность устьев скважин'!C565)</f>
        <v>#N/A</v>
      </c>
      <c r="D563" t="e">
        <f>IF(ISBLANK('[1]Точность устьев скважин'!D565),#N/A,'[1]Точность устьев скважин'!D565)</f>
        <v>#N/A</v>
      </c>
      <c r="G563" t="e">
        <f>IF(ISBLANK('[1]Точность устьев скважин'!H565),#N/A,'[1]Точность устьев скважин'!H565)</f>
        <v>#N/A</v>
      </c>
      <c r="H563" t="e">
        <f>IF(ISBLANK('[1]Точность устьев скважин'!I565),#N/A,'[1]Точность устьев скважин'!I565)</f>
        <v>#N/A</v>
      </c>
      <c r="I563" t="e">
        <f>IF(ISBLANK('[1]Точность устьев скважин'!J565),#N/A,'[1]Точность устьев скважин'!J565)</f>
        <v>#N/A</v>
      </c>
      <c r="J563" t="e">
        <f>IF(ISBLANK('[1]Точность устьев скважин'!K565),#N/A,'[1]Точность устьев скважин'!K565)</f>
        <v>#N/A</v>
      </c>
      <c r="L563" s="63" t="e">
        <f t="shared" si="63"/>
        <v>#N/A</v>
      </c>
      <c r="O563" t="e">
        <f t="shared" si="64"/>
        <v>#N/A</v>
      </c>
      <c r="P563" t="e">
        <f t="shared" si="64"/>
        <v>#N/A</v>
      </c>
      <c r="Q563" t="e">
        <f t="shared" si="65"/>
        <v>#N/A</v>
      </c>
      <c r="R563" t="e">
        <f t="shared" si="65"/>
        <v>#N/A</v>
      </c>
      <c r="S563" t="e">
        <f t="shared" si="66"/>
        <v>#N/A</v>
      </c>
      <c r="T563" t="e">
        <f t="shared" si="66"/>
        <v>#N/A</v>
      </c>
      <c r="U563" t="e">
        <f t="shared" si="67"/>
        <v>#N/A</v>
      </c>
      <c r="V563" t="e">
        <f t="shared" si="67"/>
        <v>#N/A</v>
      </c>
      <c r="W563" t="e">
        <f t="shared" si="68"/>
        <v>#N/A</v>
      </c>
      <c r="X563" t="e">
        <f t="shared" si="68"/>
        <v>#N/A</v>
      </c>
      <c r="Y563" t="e">
        <f t="shared" si="62"/>
        <v>#N/A</v>
      </c>
      <c r="Z563" t="e">
        <f t="shared" si="62"/>
        <v>#N/A</v>
      </c>
    </row>
    <row r="564" spans="1:26">
      <c r="A564" t="e">
        <f>IF(ISBLANK('[1]Точность устьев скважин'!A566),#N/A,'[1]Точность устьев скважин'!A566)</f>
        <v>#N/A</v>
      </c>
      <c r="B564" t="e">
        <f>IF(ISBLANK('[1]Точность устьев скважин'!B566),#N/A,'[1]Точность устьев скважин'!B566)</f>
        <v>#N/A</v>
      </c>
      <c r="C564" t="e">
        <f>IF(ISBLANK('[1]Точность устьев скважин'!C566),#N/A,'[1]Точность устьев скважин'!C566)</f>
        <v>#N/A</v>
      </c>
      <c r="D564" t="e">
        <f>IF(ISBLANK('[1]Точность устьев скважин'!D566),#N/A,'[1]Точность устьев скважин'!D566)</f>
        <v>#N/A</v>
      </c>
      <c r="G564" t="e">
        <f>IF(ISBLANK('[1]Точность устьев скважин'!H566),#N/A,'[1]Точность устьев скважин'!H566)</f>
        <v>#N/A</v>
      </c>
      <c r="H564" t="e">
        <f>IF(ISBLANK('[1]Точность устьев скважин'!I566),#N/A,'[1]Точность устьев скважин'!I566)</f>
        <v>#N/A</v>
      </c>
      <c r="I564" t="e">
        <f>IF(ISBLANK('[1]Точность устьев скважин'!J566),#N/A,'[1]Точность устьев скважин'!J566)</f>
        <v>#N/A</v>
      </c>
      <c r="J564" t="e">
        <f>IF(ISBLANK('[1]Точность устьев скважин'!K566),#N/A,'[1]Точность устьев скважин'!K566)</f>
        <v>#N/A</v>
      </c>
      <c r="L564" s="63" t="e">
        <f t="shared" si="63"/>
        <v>#N/A</v>
      </c>
      <c r="O564" t="e">
        <f t="shared" si="64"/>
        <v>#N/A</v>
      </c>
      <c r="P564" t="e">
        <f t="shared" si="64"/>
        <v>#N/A</v>
      </c>
      <c r="Q564" t="e">
        <f t="shared" si="65"/>
        <v>#N/A</v>
      </c>
      <c r="R564" t="e">
        <f t="shared" si="65"/>
        <v>#N/A</v>
      </c>
      <c r="S564" t="e">
        <f t="shared" si="66"/>
        <v>#N/A</v>
      </c>
      <c r="T564" t="e">
        <f t="shared" si="66"/>
        <v>#N/A</v>
      </c>
      <c r="U564" t="e">
        <f t="shared" si="67"/>
        <v>#N/A</v>
      </c>
      <c r="V564" t="e">
        <f t="shared" si="67"/>
        <v>#N/A</v>
      </c>
      <c r="W564" t="e">
        <f t="shared" si="68"/>
        <v>#N/A</v>
      </c>
      <c r="X564" t="e">
        <f t="shared" si="68"/>
        <v>#N/A</v>
      </c>
      <c r="Y564" t="e">
        <f t="shared" si="62"/>
        <v>#N/A</v>
      </c>
      <c r="Z564" t="e">
        <f t="shared" si="62"/>
        <v>#N/A</v>
      </c>
    </row>
    <row r="565" spans="1:26">
      <c r="A565" t="e">
        <f>IF(ISBLANK('[1]Точность устьев скважин'!A567),#N/A,'[1]Точность устьев скважин'!A567)</f>
        <v>#N/A</v>
      </c>
      <c r="B565" t="e">
        <f>IF(ISBLANK('[1]Точность устьев скважин'!B567),#N/A,'[1]Точность устьев скважин'!B567)</f>
        <v>#N/A</v>
      </c>
      <c r="C565" t="e">
        <f>IF(ISBLANK('[1]Точность устьев скважин'!C567),#N/A,'[1]Точность устьев скважин'!C567)</f>
        <v>#N/A</v>
      </c>
      <c r="D565" t="e">
        <f>IF(ISBLANK('[1]Точность устьев скважин'!D567),#N/A,'[1]Точность устьев скважин'!D567)</f>
        <v>#N/A</v>
      </c>
      <c r="G565" t="e">
        <f>IF(ISBLANK('[1]Точность устьев скважин'!H567),#N/A,'[1]Точность устьев скважин'!H567)</f>
        <v>#N/A</v>
      </c>
      <c r="H565" t="e">
        <f>IF(ISBLANK('[1]Точность устьев скважин'!I567),#N/A,'[1]Точность устьев скважин'!I567)</f>
        <v>#N/A</v>
      </c>
      <c r="I565" t="e">
        <f>IF(ISBLANK('[1]Точность устьев скважин'!J567),#N/A,'[1]Точность устьев скважин'!J567)</f>
        <v>#N/A</v>
      </c>
      <c r="J565" t="e">
        <f>IF(ISBLANK('[1]Точность устьев скважин'!K567),#N/A,'[1]Точность устьев скважин'!K567)</f>
        <v>#N/A</v>
      </c>
      <c r="L565" s="63" t="e">
        <f t="shared" si="63"/>
        <v>#N/A</v>
      </c>
      <c r="O565" t="e">
        <f t="shared" si="64"/>
        <v>#N/A</v>
      </c>
      <c r="P565" t="e">
        <f t="shared" si="64"/>
        <v>#N/A</v>
      </c>
      <c r="Q565" t="e">
        <f t="shared" si="65"/>
        <v>#N/A</v>
      </c>
      <c r="R565" t="e">
        <f t="shared" si="65"/>
        <v>#N/A</v>
      </c>
      <c r="S565" t="e">
        <f t="shared" si="66"/>
        <v>#N/A</v>
      </c>
      <c r="T565" t="e">
        <f t="shared" si="66"/>
        <v>#N/A</v>
      </c>
      <c r="U565" t="e">
        <f t="shared" si="67"/>
        <v>#N/A</v>
      </c>
      <c r="V565" t="e">
        <f t="shared" si="67"/>
        <v>#N/A</v>
      </c>
      <c r="W565" t="e">
        <f t="shared" si="68"/>
        <v>#N/A</v>
      </c>
      <c r="X565" t="e">
        <f t="shared" si="68"/>
        <v>#N/A</v>
      </c>
      <c r="Y565" t="e">
        <f t="shared" si="62"/>
        <v>#N/A</v>
      </c>
      <c r="Z565" t="e">
        <f t="shared" si="62"/>
        <v>#N/A</v>
      </c>
    </row>
    <row r="566" spans="1:26">
      <c r="A566" t="e">
        <f>IF(ISBLANK('[1]Точность устьев скважин'!A568),#N/A,'[1]Точность устьев скважин'!A568)</f>
        <v>#N/A</v>
      </c>
      <c r="B566" t="e">
        <f>IF(ISBLANK('[1]Точность устьев скважин'!B568),#N/A,'[1]Точность устьев скважин'!B568)</f>
        <v>#N/A</v>
      </c>
      <c r="C566" t="e">
        <f>IF(ISBLANK('[1]Точность устьев скважин'!C568),#N/A,'[1]Точность устьев скважин'!C568)</f>
        <v>#N/A</v>
      </c>
      <c r="D566" t="e">
        <f>IF(ISBLANK('[1]Точность устьев скважин'!D568),#N/A,'[1]Точность устьев скважин'!D568)</f>
        <v>#N/A</v>
      </c>
      <c r="G566" t="e">
        <f>IF(ISBLANK('[1]Точность устьев скважин'!H568),#N/A,'[1]Точность устьев скважин'!H568)</f>
        <v>#N/A</v>
      </c>
      <c r="H566" t="e">
        <f>IF(ISBLANK('[1]Точность устьев скважин'!I568),#N/A,'[1]Точность устьев скважин'!I568)</f>
        <v>#N/A</v>
      </c>
      <c r="I566" t="e">
        <f>IF(ISBLANK('[1]Точность устьев скважин'!J568),#N/A,'[1]Точность устьев скважин'!J568)</f>
        <v>#N/A</v>
      </c>
      <c r="J566" t="e">
        <f>IF(ISBLANK('[1]Точность устьев скважин'!K568),#N/A,'[1]Точность устьев скважин'!K568)</f>
        <v>#N/A</v>
      </c>
      <c r="L566" s="63" t="e">
        <f t="shared" si="63"/>
        <v>#N/A</v>
      </c>
      <c r="O566" t="e">
        <f t="shared" si="64"/>
        <v>#N/A</v>
      </c>
      <c r="P566" t="e">
        <f t="shared" si="64"/>
        <v>#N/A</v>
      </c>
      <c r="Q566" t="e">
        <f t="shared" si="65"/>
        <v>#N/A</v>
      </c>
      <c r="R566" t="e">
        <f t="shared" si="65"/>
        <v>#N/A</v>
      </c>
      <c r="S566" t="e">
        <f t="shared" si="66"/>
        <v>#N/A</v>
      </c>
      <c r="T566" t="e">
        <f t="shared" si="66"/>
        <v>#N/A</v>
      </c>
      <c r="U566" t="e">
        <f t="shared" si="67"/>
        <v>#N/A</v>
      </c>
      <c r="V566" t="e">
        <f t="shared" si="67"/>
        <v>#N/A</v>
      </c>
      <c r="W566" t="e">
        <f t="shared" si="68"/>
        <v>#N/A</v>
      </c>
      <c r="X566" t="e">
        <f t="shared" si="68"/>
        <v>#N/A</v>
      </c>
      <c r="Y566" t="e">
        <f t="shared" ref="Y566:Z629" si="69">IF($L$1=0.5,IF($L566&gt;=0.5,H566,#N/A),"")</f>
        <v>#N/A</v>
      </c>
      <c r="Z566" t="e">
        <f t="shared" si="69"/>
        <v>#N/A</v>
      </c>
    </row>
    <row r="567" spans="1:26">
      <c r="A567" t="e">
        <f>IF(ISBLANK('[1]Точность устьев скважин'!A569),#N/A,'[1]Точность устьев скважин'!A569)</f>
        <v>#N/A</v>
      </c>
      <c r="B567" t="e">
        <f>IF(ISBLANK('[1]Точность устьев скважин'!B569),#N/A,'[1]Точность устьев скважин'!B569)</f>
        <v>#N/A</v>
      </c>
      <c r="C567" t="e">
        <f>IF(ISBLANK('[1]Точность устьев скважин'!C569),#N/A,'[1]Точность устьев скважин'!C569)</f>
        <v>#N/A</v>
      </c>
      <c r="D567" t="e">
        <f>IF(ISBLANK('[1]Точность устьев скважин'!D569),#N/A,'[1]Точность устьев скважин'!D569)</f>
        <v>#N/A</v>
      </c>
      <c r="G567" t="e">
        <f>IF(ISBLANK('[1]Точность устьев скважин'!H569),#N/A,'[1]Точность устьев скважин'!H569)</f>
        <v>#N/A</v>
      </c>
      <c r="H567" t="e">
        <f>IF(ISBLANK('[1]Точность устьев скважин'!I569),#N/A,'[1]Точность устьев скважин'!I569)</f>
        <v>#N/A</v>
      </c>
      <c r="I567" t="e">
        <f>IF(ISBLANK('[1]Точность устьев скважин'!J569),#N/A,'[1]Точность устьев скважин'!J569)</f>
        <v>#N/A</v>
      </c>
      <c r="J567" t="e">
        <f>IF(ISBLANK('[1]Точность устьев скважин'!K569),#N/A,'[1]Точность устьев скважин'!K569)</f>
        <v>#N/A</v>
      </c>
      <c r="L567" s="63" t="e">
        <f t="shared" si="63"/>
        <v>#N/A</v>
      </c>
      <c r="O567" t="e">
        <f t="shared" si="64"/>
        <v>#N/A</v>
      </c>
      <c r="P567" t="e">
        <f t="shared" si="64"/>
        <v>#N/A</v>
      </c>
      <c r="Q567" t="e">
        <f t="shared" si="65"/>
        <v>#N/A</v>
      </c>
      <c r="R567" t="e">
        <f t="shared" si="65"/>
        <v>#N/A</v>
      </c>
      <c r="S567" t="e">
        <f t="shared" si="66"/>
        <v>#N/A</v>
      </c>
      <c r="T567" t="e">
        <f t="shared" si="66"/>
        <v>#N/A</v>
      </c>
      <c r="U567" t="e">
        <f t="shared" si="67"/>
        <v>#N/A</v>
      </c>
      <c r="V567" t="e">
        <f t="shared" si="67"/>
        <v>#N/A</v>
      </c>
      <c r="W567" t="e">
        <f t="shared" si="68"/>
        <v>#N/A</v>
      </c>
      <c r="X567" t="e">
        <f t="shared" si="68"/>
        <v>#N/A</v>
      </c>
      <c r="Y567" t="e">
        <f t="shared" si="69"/>
        <v>#N/A</v>
      </c>
      <c r="Z567" t="e">
        <f t="shared" si="69"/>
        <v>#N/A</v>
      </c>
    </row>
    <row r="568" spans="1:26">
      <c r="A568" t="e">
        <f>IF(ISBLANK('[1]Точность устьев скважин'!A570),#N/A,'[1]Точность устьев скважин'!A570)</f>
        <v>#N/A</v>
      </c>
      <c r="B568" t="e">
        <f>IF(ISBLANK('[1]Точность устьев скважин'!B570),#N/A,'[1]Точность устьев скважин'!B570)</f>
        <v>#N/A</v>
      </c>
      <c r="C568" t="e">
        <f>IF(ISBLANK('[1]Точность устьев скважин'!C570),#N/A,'[1]Точность устьев скважин'!C570)</f>
        <v>#N/A</v>
      </c>
      <c r="D568" t="e">
        <f>IF(ISBLANK('[1]Точность устьев скважин'!D570),#N/A,'[1]Точность устьев скважин'!D570)</f>
        <v>#N/A</v>
      </c>
      <c r="G568" t="e">
        <f>IF(ISBLANK('[1]Точность устьев скважин'!H570),#N/A,'[1]Точность устьев скважин'!H570)</f>
        <v>#N/A</v>
      </c>
      <c r="H568" t="e">
        <f>IF(ISBLANK('[1]Точность устьев скважин'!I570),#N/A,'[1]Точность устьев скважин'!I570)</f>
        <v>#N/A</v>
      </c>
      <c r="I568" t="e">
        <f>IF(ISBLANK('[1]Точность устьев скважин'!J570),#N/A,'[1]Точность устьев скважин'!J570)</f>
        <v>#N/A</v>
      </c>
      <c r="J568" t="e">
        <f>IF(ISBLANK('[1]Точность устьев скважин'!K570),#N/A,'[1]Точность устьев скважин'!K570)</f>
        <v>#N/A</v>
      </c>
      <c r="L568" s="63" t="e">
        <f t="shared" si="63"/>
        <v>#N/A</v>
      </c>
      <c r="O568" t="e">
        <f t="shared" si="64"/>
        <v>#N/A</v>
      </c>
      <c r="P568" t="e">
        <f t="shared" si="64"/>
        <v>#N/A</v>
      </c>
      <c r="Q568" t="e">
        <f t="shared" si="65"/>
        <v>#N/A</v>
      </c>
      <c r="R568" t="e">
        <f t="shared" si="65"/>
        <v>#N/A</v>
      </c>
      <c r="S568" t="e">
        <f t="shared" si="66"/>
        <v>#N/A</v>
      </c>
      <c r="T568" t="e">
        <f t="shared" si="66"/>
        <v>#N/A</v>
      </c>
      <c r="U568" t="e">
        <f t="shared" si="67"/>
        <v>#N/A</v>
      </c>
      <c r="V568" t="e">
        <f t="shared" si="67"/>
        <v>#N/A</v>
      </c>
      <c r="W568" t="e">
        <f t="shared" si="68"/>
        <v>#N/A</v>
      </c>
      <c r="X568" t="e">
        <f t="shared" si="68"/>
        <v>#N/A</v>
      </c>
      <c r="Y568" t="e">
        <f t="shared" si="69"/>
        <v>#N/A</v>
      </c>
      <c r="Z568" t="e">
        <f t="shared" si="69"/>
        <v>#N/A</v>
      </c>
    </row>
    <row r="569" spans="1:26">
      <c r="A569" t="e">
        <f>IF(ISBLANK('[1]Точность устьев скважин'!A571),#N/A,'[1]Точность устьев скважин'!A571)</f>
        <v>#N/A</v>
      </c>
      <c r="B569" t="e">
        <f>IF(ISBLANK('[1]Точность устьев скважин'!B571),#N/A,'[1]Точность устьев скважин'!B571)</f>
        <v>#N/A</v>
      </c>
      <c r="C569" t="e">
        <f>IF(ISBLANK('[1]Точность устьев скважин'!C571),#N/A,'[1]Точность устьев скважин'!C571)</f>
        <v>#N/A</v>
      </c>
      <c r="D569" t="e">
        <f>IF(ISBLANK('[1]Точность устьев скважин'!D571),#N/A,'[1]Точность устьев скважин'!D571)</f>
        <v>#N/A</v>
      </c>
      <c r="G569" t="e">
        <f>IF(ISBLANK('[1]Точность устьев скважин'!H571),#N/A,'[1]Точность устьев скважин'!H571)</f>
        <v>#N/A</v>
      </c>
      <c r="H569" t="e">
        <f>IF(ISBLANK('[1]Точность устьев скважин'!I571),#N/A,'[1]Точность устьев скважин'!I571)</f>
        <v>#N/A</v>
      </c>
      <c r="I569" t="e">
        <f>IF(ISBLANK('[1]Точность устьев скважин'!J571),#N/A,'[1]Точность устьев скважин'!J571)</f>
        <v>#N/A</v>
      </c>
      <c r="J569" t="e">
        <f>IF(ISBLANK('[1]Точность устьев скважин'!K571),#N/A,'[1]Точность устьев скважин'!K571)</f>
        <v>#N/A</v>
      </c>
      <c r="L569" s="63" t="e">
        <f t="shared" si="63"/>
        <v>#N/A</v>
      </c>
      <c r="O569" t="e">
        <f t="shared" si="64"/>
        <v>#N/A</v>
      </c>
      <c r="P569" t="e">
        <f t="shared" si="64"/>
        <v>#N/A</v>
      </c>
      <c r="Q569" t="e">
        <f t="shared" si="65"/>
        <v>#N/A</v>
      </c>
      <c r="R569" t="e">
        <f t="shared" si="65"/>
        <v>#N/A</v>
      </c>
      <c r="S569" t="e">
        <f t="shared" si="66"/>
        <v>#N/A</v>
      </c>
      <c r="T569" t="e">
        <f t="shared" si="66"/>
        <v>#N/A</v>
      </c>
      <c r="U569" t="e">
        <f t="shared" si="67"/>
        <v>#N/A</v>
      </c>
      <c r="V569" t="e">
        <f t="shared" si="67"/>
        <v>#N/A</v>
      </c>
      <c r="W569" t="e">
        <f t="shared" si="68"/>
        <v>#N/A</v>
      </c>
      <c r="X569" t="e">
        <f t="shared" si="68"/>
        <v>#N/A</v>
      </c>
      <c r="Y569" t="e">
        <f t="shared" si="69"/>
        <v>#N/A</v>
      </c>
      <c r="Z569" t="e">
        <f t="shared" si="69"/>
        <v>#N/A</v>
      </c>
    </row>
    <row r="570" spans="1:26">
      <c r="A570" t="e">
        <f>IF(ISBLANK('[1]Точность устьев скважин'!A572),#N/A,'[1]Точность устьев скважин'!A572)</f>
        <v>#N/A</v>
      </c>
      <c r="B570" t="e">
        <f>IF(ISBLANK('[1]Точность устьев скважин'!B572),#N/A,'[1]Точность устьев скважин'!B572)</f>
        <v>#N/A</v>
      </c>
      <c r="C570" t="e">
        <f>IF(ISBLANK('[1]Точность устьев скважин'!C572),#N/A,'[1]Точность устьев скважин'!C572)</f>
        <v>#N/A</v>
      </c>
      <c r="D570" t="e">
        <f>IF(ISBLANK('[1]Точность устьев скважин'!D572),#N/A,'[1]Точность устьев скважин'!D572)</f>
        <v>#N/A</v>
      </c>
      <c r="G570" t="e">
        <f>IF(ISBLANK('[1]Точность устьев скважин'!H572),#N/A,'[1]Точность устьев скважин'!H572)</f>
        <v>#N/A</v>
      </c>
      <c r="H570" t="e">
        <f>IF(ISBLANK('[1]Точность устьев скважин'!I572),#N/A,'[1]Точность устьев скважин'!I572)</f>
        <v>#N/A</v>
      </c>
      <c r="I570" t="e">
        <f>IF(ISBLANK('[1]Точность устьев скважин'!J572),#N/A,'[1]Точность устьев скважин'!J572)</f>
        <v>#N/A</v>
      </c>
      <c r="J570" t="e">
        <f>IF(ISBLANK('[1]Точность устьев скважин'!K572),#N/A,'[1]Точность устьев скважин'!K572)</f>
        <v>#N/A</v>
      </c>
      <c r="L570" s="63" t="e">
        <f t="shared" si="63"/>
        <v>#N/A</v>
      </c>
      <c r="O570" t="e">
        <f t="shared" si="64"/>
        <v>#N/A</v>
      </c>
      <c r="P570" t="e">
        <f t="shared" si="64"/>
        <v>#N/A</v>
      </c>
      <c r="Q570" t="e">
        <f t="shared" si="65"/>
        <v>#N/A</v>
      </c>
      <c r="R570" t="e">
        <f t="shared" si="65"/>
        <v>#N/A</v>
      </c>
      <c r="S570" t="e">
        <f t="shared" si="66"/>
        <v>#N/A</v>
      </c>
      <c r="T570" t="e">
        <f t="shared" si="66"/>
        <v>#N/A</v>
      </c>
      <c r="U570" t="e">
        <f t="shared" si="67"/>
        <v>#N/A</v>
      </c>
      <c r="V570" t="e">
        <f t="shared" si="67"/>
        <v>#N/A</v>
      </c>
      <c r="W570" t="e">
        <f t="shared" si="68"/>
        <v>#N/A</v>
      </c>
      <c r="X570" t="e">
        <f t="shared" si="68"/>
        <v>#N/A</v>
      </c>
      <c r="Y570" t="e">
        <f t="shared" si="69"/>
        <v>#N/A</v>
      </c>
      <c r="Z570" t="e">
        <f t="shared" si="69"/>
        <v>#N/A</v>
      </c>
    </row>
    <row r="571" spans="1:26">
      <c r="A571" t="e">
        <f>IF(ISBLANK('[1]Точность устьев скважин'!A573),#N/A,'[1]Точность устьев скважин'!A573)</f>
        <v>#N/A</v>
      </c>
      <c r="B571" t="e">
        <f>IF(ISBLANK('[1]Точность устьев скважин'!B573),#N/A,'[1]Точность устьев скважин'!B573)</f>
        <v>#N/A</v>
      </c>
      <c r="C571" t="e">
        <f>IF(ISBLANK('[1]Точность устьев скважин'!C573),#N/A,'[1]Точность устьев скважин'!C573)</f>
        <v>#N/A</v>
      </c>
      <c r="D571" t="e">
        <f>IF(ISBLANK('[1]Точность устьев скважин'!D573),#N/A,'[1]Точность устьев скважин'!D573)</f>
        <v>#N/A</v>
      </c>
      <c r="G571" t="e">
        <f>IF(ISBLANK('[1]Точность устьев скважин'!H573),#N/A,'[1]Точность устьев скважин'!H573)</f>
        <v>#N/A</v>
      </c>
      <c r="H571" t="e">
        <f>IF(ISBLANK('[1]Точность устьев скважин'!I573),#N/A,'[1]Точность устьев скважин'!I573)</f>
        <v>#N/A</v>
      </c>
      <c r="I571" t="e">
        <f>IF(ISBLANK('[1]Точность устьев скважин'!J573),#N/A,'[1]Точность устьев скважин'!J573)</f>
        <v>#N/A</v>
      </c>
      <c r="J571" t="e">
        <f>IF(ISBLANK('[1]Точность устьев скважин'!K573),#N/A,'[1]Точность устьев скважин'!K573)</f>
        <v>#N/A</v>
      </c>
      <c r="L571" s="63" t="e">
        <f t="shared" si="63"/>
        <v>#N/A</v>
      </c>
      <c r="O571" t="e">
        <f t="shared" si="64"/>
        <v>#N/A</v>
      </c>
      <c r="P571" t="e">
        <f t="shared" si="64"/>
        <v>#N/A</v>
      </c>
      <c r="Q571" t="e">
        <f t="shared" si="65"/>
        <v>#N/A</v>
      </c>
      <c r="R571" t="e">
        <f t="shared" si="65"/>
        <v>#N/A</v>
      </c>
      <c r="S571" t="e">
        <f t="shared" si="66"/>
        <v>#N/A</v>
      </c>
      <c r="T571" t="e">
        <f t="shared" si="66"/>
        <v>#N/A</v>
      </c>
      <c r="U571" t="e">
        <f t="shared" si="67"/>
        <v>#N/A</v>
      </c>
      <c r="V571" t="e">
        <f t="shared" si="67"/>
        <v>#N/A</v>
      </c>
      <c r="W571" t="e">
        <f t="shared" si="68"/>
        <v>#N/A</v>
      </c>
      <c r="X571" t="e">
        <f t="shared" si="68"/>
        <v>#N/A</v>
      </c>
      <c r="Y571" t="e">
        <f t="shared" si="69"/>
        <v>#N/A</v>
      </c>
      <c r="Z571" t="e">
        <f t="shared" si="69"/>
        <v>#N/A</v>
      </c>
    </row>
    <row r="572" spans="1:26">
      <c r="A572" t="e">
        <f>IF(ISBLANK('[1]Точность устьев скважин'!A574),#N/A,'[1]Точность устьев скважин'!A574)</f>
        <v>#N/A</v>
      </c>
      <c r="B572" t="e">
        <f>IF(ISBLANK('[1]Точность устьев скважин'!B574),#N/A,'[1]Точность устьев скважин'!B574)</f>
        <v>#N/A</v>
      </c>
      <c r="C572" t="e">
        <f>IF(ISBLANK('[1]Точность устьев скважин'!C574),#N/A,'[1]Точность устьев скважин'!C574)</f>
        <v>#N/A</v>
      </c>
      <c r="D572" t="e">
        <f>IF(ISBLANK('[1]Точность устьев скважин'!D574),#N/A,'[1]Точность устьев скважин'!D574)</f>
        <v>#N/A</v>
      </c>
      <c r="G572" t="e">
        <f>IF(ISBLANK('[1]Точность устьев скважин'!H574),#N/A,'[1]Точность устьев скважин'!H574)</f>
        <v>#N/A</v>
      </c>
      <c r="H572" t="e">
        <f>IF(ISBLANK('[1]Точность устьев скважин'!I574),#N/A,'[1]Точность устьев скважин'!I574)</f>
        <v>#N/A</v>
      </c>
      <c r="I572" t="e">
        <f>IF(ISBLANK('[1]Точность устьев скважин'!J574),#N/A,'[1]Точность устьев скважин'!J574)</f>
        <v>#N/A</v>
      </c>
      <c r="J572" t="e">
        <f>IF(ISBLANK('[1]Точность устьев скважин'!K574),#N/A,'[1]Точность устьев скважин'!K574)</f>
        <v>#N/A</v>
      </c>
      <c r="L572" s="63" t="e">
        <f t="shared" si="63"/>
        <v>#N/A</v>
      </c>
      <c r="O572" t="e">
        <f t="shared" si="64"/>
        <v>#N/A</v>
      </c>
      <c r="P572" t="e">
        <f t="shared" si="64"/>
        <v>#N/A</v>
      </c>
      <c r="Q572" t="e">
        <f t="shared" si="65"/>
        <v>#N/A</v>
      </c>
      <c r="R572" t="e">
        <f t="shared" si="65"/>
        <v>#N/A</v>
      </c>
      <c r="S572" t="e">
        <f t="shared" si="66"/>
        <v>#N/A</v>
      </c>
      <c r="T572" t="e">
        <f t="shared" si="66"/>
        <v>#N/A</v>
      </c>
      <c r="U572" t="e">
        <f t="shared" si="67"/>
        <v>#N/A</v>
      </c>
      <c r="V572" t="e">
        <f t="shared" si="67"/>
        <v>#N/A</v>
      </c>
      <c r="W572" t="e">
        <f t="shared" si="68"/>
        <v>#N/A</v>
      </c>
      <c r="X572" t="e">
        <f t="shared" si="68"/>
        <v>#N/A</v>
      </c>
      <c r="Y572" t="e">
        <f t="shared" si="69"/>
        <v>#N/A</v>
      </c>
      <c r="Z572" t="e">
        <f t="shared" si="69"/>
        <v>#N/A</v>
      </c>
    </row>
    <row r="573" spans="1:26">
      <c r="A573" t="e">
        <f>IF(ISBLANK('[1]Точность устьев скважин'!A575),#N/A,'[1]Точность устьев скважин'!A575)</f>
        <v>#N/A</v>
      </c>
      <c r="B573" t="e">
        <f>IF(ISBLANK('[1]Точность устьев скважин'!B575),#N/A,'[1]Точность устьев скважин'!B575)</f>
        <v>#N/A</v>
      </c>
      <c r="C573" t="e">
        <f>IF(ISBLANK('[1]Точность устьев скважин'!C575),#N/A,'[1]Точность устьев скважин'!C575)</f>
        <v>#N/A</v>
      </c>
      <c r="D573" t="e">
        <f>IF(ISBLANK('[1]Точность устьев скважин'!D575),#N/A,'[1]Точность устьев скважин'!D575)</f>
        <v>#N/A</v>
      </c>
      <c r="G573" t="e">
        <f>IF(ISBLANK('[1]Точность устьев скважин'!H575),#N/A,'[1]Точность устьев скважин'!H575)</f>
        <v>#N/A</v>
      </c>
      <c r="H573" t="e">
        <f>IF(ISBLANK('[1]Точность устьев скважин'!I575),#N/A,'[1]Точность устьев скважин'!I575)</f>
        <v>#N/A</v>
      </c>
      <c r="I573" t="e">
        <f>IF(ISBLANK('[1]Точность устьев скважин'!J575),#N/A,'[1]Точность устьев скважин'!J575)</f>
        <v>#N/A</v>
      </c>
      <c r="J573" t="e">
        <f>IF(ISBLANK('[1]Точность устьев скважин'!K575),#N/A,'[1]Точность устьев скважин'!K575)</f>
        <v>#N/A</v>
      </c>
      <c r="L573" s="63" t="e">
        <f t="shared" si="63"/>
        <v>#N/A</v>
      </c>
      <c r="O573" t="e">
        <f t="shared" si="64"/>
        <v>#N/A</v>
      </c>
      <c r="P573" t="e">
        <f t="shared" si="64"/>
        <v>#N/A</v>
      </c>
      <c r="Q573" t="e">
        <f t="shared" si="65"/>
        <v>#N/A</v>
      </c>
      <c r="R573" t="e">
        <f t="shared" si="65"/>
        <v>#N/A</v>
      </c>
      <c r="S573" t="e">
        <f t="shared" si="66"/>
        <v>#N/A</v>
      </c>
      <c r="T573" t="e">
        <f t="shared" si="66"/>
        <v>#N/A</v>
      </c>
      <c r="U573" t="e">
        <f t="shared" si="67"/>
        <v>#N/A</v>
      </c>
      <c r="V573" t="e">
        <f t="shared" si="67"/>
        <v>#N/A</v>
      </c>
      <c r="W573" t="e">
        <f t="shared" si="68"/>
        <v>#N/A</v>
      </c>
      <c r="X573" t="e">
        <f t="shared" si="68"/>
        <v>#N/A</v>
      </c>
      <c r="Y573" t="e">
        <f t="shared" si="69"/>
        <v>#N/A</v>
      </c>
      <c r="Z573" t="e">
        <f t="shared" si="69"/>
        <v>#N/A</v>
      </c>
    </row>
    <row r="574" spans="1:26">
      <c r="A574" t="e">
        <f>IF(ISBLANK('[1]Точность устьев скважин'!A576),#N/A,'[1]Точность устьев скважин'!A576)</f>
        <v>#N/A</v>
      </c>
      <c r="B574" t="e">
        <f>IF(ISBLANK('[1]Точность устьев скважин'!B576),#N/A,'[1]Точность устьев скважин'!B576)</f>
        <v>#N/A</v>
      </c>
      <c r="C574" t="e">
        <f>IF(ISBLANK('[1]Точность устьев скважин'!C576),#N/A,'[1]Точность устьев скважин'!C576)</f>
        <v>#N/A</v>
      </c>
      <c r="D574" t="e">
        <f>IF(ISBLANK('[1]Точность устьев скважин'!D576),#N/A,'[1]Точность устьев скважин'!D576)</f>
        <v>#N/A</v>
      </c>
      <c r="G574" t="e">
        <f>IF(ISBLANK('[1]Точность устьев скважин'!H576),#N/A,'[1]Точность устьев скважин'!H576)</f>
        <v>#N/A</v>
      </c>
      <c r="H574" t="e">
        <f>IF(ISBLANK('[1]Точность устьев скважин'!I576),#N/A,'[1]Точность устьев скважин'!I576)</f>
        <v>#N/A</v>
      </c>
      <c r="I574" t="e">
        <f>IF(ISBLANK('[1]Точность устьев скважин'!J576),#N/A,'[1]Точность устьев скважин'!J576)</f>
        <v>#N/A</v>
      </c>
      <c r="J574" t="e">
        <f>IF(ISBLANK('[1]Точность устьев скважин'!K576),#N/A,'[1]Точность устьев скважин'!K576)</f>
        <v>#N/A</v>
      </c>
      <c r="L574" s="63" t="e">
        <f t="shared" si="63"/>
        <v>#N/A</v>
      </c>
      <c r="O574" t="e">
        <f t="shared" si="64"/>
        <v>#N/A</v>
      </c>
      <c r="P574" t="e">
        <f t="shared" si="64"/>
        <v>#N/A</v>
      </c>
      <c r="Q574" t="e">
        <f t="shared" si="65"/>
        <v>#N/A</v>
      </c>
      <c r="R574" t="e">
        <f t="shared" si="65"/>
        <v>#N/A</v>
      </c>
      <c r="S574" t="e">
        <f t="shared" si="66"/>
        <v>#N/A</v>
      </c>
      <c r="T574" t="e">
        <f t="shared" si="66"/>
        <v>#N/A</v>
      </c>
      <c r="U574" t="e">
        <f t="shared" si="67"/>
        <v>#N/A</v>
      </c>
      <c r="V574" t="e">
        <f t="shared" si="67"/>
        <v>#N/A</v>
      </c>
      <c r="W574" t="e">
        <f t="shared" si="68"/>
        <v>#N/A</v>
      </c>
      <c r="X574" t="e">
        <f t="shared" si="68"/>
        <v>#N/A</v>
      </c>
      <c r="Y574" t="e">
        <f t="shared" si="69"/>
        <v>#N/A</v>
      </c>
      <c r="Z574" t="e">
        <f t="shared" si="69"/>
        <v>#N/A</v>
      </c>
    </row>
    <row r="575" spans="1:26">
      <c r="A575" t="e">
        <f>IF(ISBLANK('[1]Точность устьев скважин'!A577),#N/A,'[1]Точность устьев скважин'!A577)</f>
        <v>#N/A</v>
      </c>
      <c r="B575" t="e">
        <f>IF(ISBLANK('[1]Точность устьев скважин'!B577),#N/A,'[1]Точность устьев скважин'!B577)</f>
        <v>#N/A</v>
      </c>
      <c r="C575" t="e">
        <f>IF(ISBLANK('[1]Точность устьев скважин'!C577),#N/A,'[1]Точность устьев скважин'!C577)</f>
        <v>#N/A</v>
      </c>
      <c r="D575" t="e">
        <f>IF(ISBLANK('[1]Точность устьев скважин'!D577),#N/A,'[1]Точность устьев скважин'!D577)</f>
        <v>#N/A</v>
      </c>
      <c r="G575" t="e">
        <f>IF(ISBLANK('[1]Точность устьев скважин'!H577),#N/A,'[1]Точность устьев скважин'!H577)</f>
        <v>#N/A</v>
      </c>
      <c r="H575" t="e">
        <f>IF(ISBLANK('[1]Точность устьев скважин'!I577),#N/A,'[1]Точность устьев скважин'!I577)</f>
        <v>#N/A</v>
      </c>
      <c r="I575" t="e">
        <f>IF(ISBLANK('[1]Точность устьев скважин'!J577),#N/A,'[1]Точность устьев скважин'!J577)</f>
        <v>#N/A</v>
      </c>
      <c r="J575" t="e">
        <f>IF(ISBLANK('[1]Точность устьев скважин'!K577),#N/A,'[1]Точность устьев скважин'!K577)</f>
        <v>#N/A</v>
      </c>
      <c r="L575" s="63" t="e">
        <f t="shared" si="63"/>
        <v>#N/A</v>
      </c>
      <c r="O575" t="e">
        <f t="shared" si="64"/>
        <v>#N/A</v>
      </c>
      <c r="P575" t="e">
        <f t="shared" si="64"/>
        <v>#N/A</v>
      </c>
      <c r="Q575" t="e">
        <f t="shared" si="65"/>
        <v>#N/A</v>
      </c>
      <c r="R575" t="e">
        <f t="shared" si="65"/>
        <v>#N/A</v>
      </c>
      <c r="S575" t="e">
        <f t="shared" si="66"/>
        <v>#N/A</v>
      </c>
      <c r="T575" t="e">
        <f t="shared" si="66"/>
        <v>#N/A</v>
      </c>
      <c r="U575" t="e">
        <f t="shared" si="67"/>
        <v>#N/A</v>
      </c>
      <c r="V575" t="e">
        <f t="shared" si="67"/>
        <v>#N/A</v>
      </c>
      <c r="W575" t="e">
        <f t="shared" si="68"/>
        <v>#N/A</v>
      </c>
      <c r="X575" t="e">
        <f t="shared" si="68"/>
        <v>#N/A</v>
      </c>
      <c r="Y575" t="e">
        <f t="shared" si="69"/>
        <v>#N/A</v>
      </c>
      <c r="Z575" t="e">
        <f t="shared" si="69"/>
        <v>#N/A</v>
      </c>
    </row>
    <row r="576" spans="1:26">
      <c r="A576" t="e">
        <f>IF(ISBLANK('[1]Точность устьев скважин'!A578),#N/A,'[1]Точность устьев скважин'!A578)</f>
        <v>#N/A</v>
      </c>
      <c r="B576" t="e">
        <f>IF(ISBLANK('[1]Точность устьев скважин'!B578),#N/A,'[1]Точность устьев скважин'!B578)</f>
        <v>#N/A</v>
      </c>
      <c r="C576" t="e">
        <f>IF(ISBLANK('[1]Точность устьев скважин'!C578),#N/A,'[1]Точность устьев скважин'!C578)</f>
        <v>#N/A</v>
      </c>
      <c r="D576" t="e">
        <f>IF(ISBLANK('[1]Точность устьев скважин'!D578),#N/A,'[1]Точность устьев скважин'!D578)</f>
        <v>#N/A</v>
      </c>
      <c r="G576" t="e">
        <f>IF(ISBLANK('[1]Точность устьев скважин'!H578),#N/A,'[1]Точность устьев скважин'!H578)</f>
        <v>#N/A</v>
      </c>
      <c r="H576" t="e">
        <f>IF(ISBLANK('[1]Точность устьев скважин'!I578),#N/A,'[1]Точность устьев скважин'!I578)</f>
        <v>#N/A</v>
      </c>
      <c r="I576" t="e">
        <f>IF(ISBLANK('[1]Точность устьев скважин'!J578),#N/A,'[1]Точность устьев скважин'!J578)</f>
        <v>#N/A</v>
      </c>
      <c r="J576" t="e">
        <f>IF(ISBLANK('[1]Точность устьев скважин'!K578),#N/A,'[1]Точность устьев скважин'!K578)</f>
        <v>#N/A</v>
      </c>
      <c r="L576" s="63" t="e">
        <f t="shared" si="63"/>
        <v>#N/A</v>
      </c>
      <c r="O576" t="e">
        <f t="shared" si="64"/>
        <v>#N/A</v>
      </c>
      <c r="P576" t="e">
        <f t="shared" si="64"/>
        <v>#N/A</v>
      </c>
      <c r="Q576" t="e">
        <f t="shared" si="65"/>
        <v>#N/A</v>
      </c>
      <c r="R576" t="e">
        <f t="shared" si="65"/>
        <v>#N/A</v>
      </c>
      <c r="S576" t="e">
        <f t="shared" si="66"/>
        <v>#N/A</v>
      </c>
      <c r="T576" t="e">
        <f t="shared" si="66"/>
        <v>#N/A</v>
      </c>
      <c r="U576" t="e">
        <f t="shared" si="67"/>
        <v>#N/A</v>
      </c>
      <c r="V576" t="e">
        <f t="shared" si="67"/>
        <v>#N/A</v>
      </c>
      <c r="W576" t="e">
        <f t="shared" si="68"/>
        <v>#N/A</v>
      </c>
      <c r="X576" t="e">
        <f t="shared" si="68"/>
        <v>#N/A</v>
      </c>
      <c r="Y576" t="e">
        <f t="shared" si="69"/>
        <v>#N/A</v>
      </c>
      <c r="Z576" t="e">
        <f t="shared" si="69"/>
        <v>#N/A</v>
      </c>
    </row>
    <row r="577" spans="1:26">
      <c r="A577" t="e">
        <f>IF(ISBLANK('[1]Точность устьев скважин'!A579),#N/A,'[1]Точность устьев скважин'!A579)</f>
        <v>#N/A</v>
      </c>
      <c r="B577" t="e">
        <f>IF(ISBLANK('[1]Точность устьев скважин'!B579),#N/A,'[1]Точность устьев скважин'!B579)</f>
        <v>#N/A</v>
      </c>
      <c r="C577" t="e">
        <f>IF(ISBLANK('[1]Точность устьев скважин'!C579),#N/A,'[1]Точность устьев скважин'!C579)</f>
        <v>#N/A</v>
      </c>
      <c r="D577" t="e">
        <f>IF(ISBLANK('[1]Точность устьев скважин'!D579),#N/A,'[1]Точность устьев скважин'!D579)</f>
        <v>#N/A</v>
      </c>
      <c r="G577" t="e">
        <f>IF(ISBLANK('[1]Точность устьев скважин'!H579),#N/A,'[1]Точность устьев скважин'!H579)</f>
        <v>#N/A</v>
      </c>
      <c r="H577" t="e">
        <f>IF(ISBLANK('[1]Точность устьев скважин'!I579),#N/A,'[1]Точность устьев скважин'!I579)</f>
        <v>#N/A</v>
      </c>
      <c r="I577" t="e">
        <f>IF(ISBLANK('[1]Точность устьев скважин'!J579),#N/A,'[1]Точность устьев скважин'!J579)</f>
        <v>#N/A</v>
      </c>
      <c r="J577" t="e">
        <f>IF(ISBLANK('[1]Точность устьев скважин'!K579),#N/A,'[1]Точность устьев скважин'!K579)</f>
        <v>#N/A</v>
      </c>
      <c r="L577" s="63" t="e">
        <f t="shared" si="63"/>
        <v>#N/A</v>
      </c>
      <c r="O577" t="e">
        <f t="shared" si="64"/>
        <v>#N/A</v>
      </c>
      <c r="P577" t="e">
        <f t="shared" si="64"/>
        <v>#N/A</v>
      </c>
      <c r="Q577" t="e">
        <f t="shared" si="65"/>
        <v>#N/A</v>
      </c>
      <c r="R577" t="e">
        <f t="shared" si="65"/>
        <v>#N/A</v>
      </c>
      <c r="S577" t="e">
        <f t="shared" si="66"/>
        <v>#N/A</v>
      </c>
      <c r="T577" t="e">
        <f t="shared" si="66"/>
        <v>#N/A</v>
      </c>
      <c r="U577" t="e">
        <f t="shared" si="67"/>
        <v>#N/A</v>
      </c>
      <c r="V577" t="e">
        <f t="shared" si="67"/>
        <v>#N/A</v>
      </c>
      <c r="W577" t="e">
        <f t="shared" si="68"/>
        <v>#N/A</v>
      </c>
      <c r="X577" t="e">
        <f t="shared" si="68"/>
        <v>#N/A</v>
      </c>
      <c r="Y577" t="e">
        <f t="shared" si="69"/>
        <v>#N/A</v>
      </c>
      <c r="Z577" t="e">
        <f t="shared" si="69"/>
        <v>#N/A</v>
      </c>
    </row>
    <row r="578" spans="1:26">
      <c r="A578" t="e">
        <f>IF(ISBLANK('[1]Точность устьев скважин'!A580),#N/A,'[1]Точность устьев скважин'!A580)</f>
        <v>#N/A</v>
      </c>
      <c r="B578" t="e">
        <f>IF(ISBLANK('[1]Точность устьев скважин'!B580),#N/A,'[1]Точность устьев скважин'!B580)</f>
        <v>#N/A</v>
      </c>
      <c r="C578" t="e">
        <f>IF(ISBLANK('[1]Точность устьев скважин'!C580),#N/A,'[1]Точность устьев скважин'!C580)</f>
        <v>#N/A</v>
      </c>
      <c r="D578" t="e">
        <f>IF(ISBLANK('[1]Точность устьев скважин'!D580),#N/A,'[1]Точность устьев скважин'!D580)</f>
        <v>#N/A</v>
      </c>
      <c r="G578" t="e">
        <f>IF(ISBLANK('[1]Точность устьев скважин'!H580),#N/A,'[1]Точность устьев скважин'!H580)</f>
        <v>#N/A</v>
      </c>
      <c r="H578" t="e">
        <f>IF(ISBLANK('[1]Точность устьев скважин'!I580),#N/A,'[1]Точность устьев скважин'!I580)</f>
        <v>#N/A</v>
      </c>
      <c r="I578" t="e">
        <f>IF(ISBLANK('[1]Точность устьев скважин'!J580),#N/A,'[1]Точность устьев скважин'!J580)</f>
        <v>#N/A</v>
      </c>
      <c r="J578" t="e">
        <f>IF(ISBLANK('[1]Точность устьев скважин'!K580),#N/A,'[1]Точность устьев скважин'!K580)</f>
        <v>#N/A</v>
      </c>
      <c r="L578" s="63" t="e">
        <f t="shared" si="63"/>
        <v>#N/A</v>
      </c>
      <c r="O578" t="e">
        <f t="shared" si="64"/>
        <v>#N/A</v>
      </c>
      <c r="P578" t="e">
        <f t="shared" si="64"/>
        <v>#N/A</v>
      </c>
      <c r="Q578" t="e">
        <f t="shared" si="65"/>
        <v>#N/A</v>
      </c>
      <c r="R578" t="e">
        <f t="shared" si="65"/>
        <v>#N/A</v>
      </c>
      <c r="S578" t="e">
        <f t="shared" si="66"/>
        <v>#N/A</v>
      </c>
      <c r="T578" t="e">
        <f t="shared" si="66"/>
        <v>#N/A</v>
      </c>
      <c r="U578" t="e">
        <f t="shared" si="67"/>
        <v>#N/A</v>
      </c>
      <c r="V578" t="e">
        <f t="shared" si="67"/>
        <v>#N/A</v>
      </c>
      <c r="W578" t="e">
        <f t="shared" si="68"/>
        <v>#N/A</v>
      </c>
      <c r="X578" t="e">
        <f t="shared" si="68"/>
        <v>#N/A</v>
      </c>
      <c r="Y578" t="e">
        <f t="shared" si="69"/>
        <v>#N/A</v>
      </c>
      <c r="Z578" t="e">
        <f t="shared" si="69"/>
        <v>#N/A</v>
      </c>
    </row>
    <row r="579" spans="1:26">
      <c r="A579" t="e">
        <f>IF(ISBLANK('[1]Точность устьев скважин'!A581),#N/A,'[1]Точность устьев скважин'!A581)</f>
        <v>#N/A</v>
      </c>
      <c r="B579" t="e">
        <f>IF(ISBLANK('[1]Точность устьев скважин'!B581),#N/A,'[1]Точность устьев скважин'!B581)</f>
        <v>#N/A</v>
      </c>
      <c r="C579" t="e">
        <f>IF(ISBLANK('[1]Точность устьев скважин'!C581),#N/A,'[1]Точность устьев скважин'!C581)</f>
        <v>#N/A</v>
      </c>
      <c r="D579" t="e">
        <f>IF(ISBLANK('[1]Точность устьев скважин'!D581),#N/A,'[1]Точность устьев скважин'!D581)</f>
        <v>#N/A</v>
      </c>
      <c r="G579" t="e">
        <f>IF(ISBLANK('[1]Точность устьев скважин'!H581),#N/A,'[1]Точность устьев скважин'!H581)</f>
        <v>#N/A</v>
      </c>
      <c r="H579" t="e">
        <f>IF(ISBLANK('[1]Точность устьев скважин'!I581),#N/A,'[1]Точность устьев скважин'!I581)</f>
        <v>#N/A</v>
      </c>
      <c r="I579" t="e">
        <f>IF(ISBLANK('[1]Точность устьев скважин'!J581),#N/A,'[1]Точность устьев скважин'!J581)</f>
        <v>#N/A</v>
      </c>
      <c r="J579" t="e">
        <f>IF(ISBLANK('[1]Точность устьев скважин'!K581),#N/A,'[1]Точность устьев скважин'!K581)</f>
        <v>#N/A</v>
      </c>
      <c r="L579" s="63" t="e">
        <f t="shared" si="63"/>
        <v>#N/A</v>
      </c>
      <c r="O579" t="e">
        <f t="shared" si="64"/>
        <v>#N/A</v>
      </c>
      <c r="P579" t="e">
        <f t="shared" si="64"/>
        <v>#N/A</v>
      </c>
      <c r="Q579" t="e">
        <f t="shared" si="65"/>
        <v>#N/A</v>
      </c>
      <c r="R579" t="e">
        <f t="shared" si="65"/>
        <v>#N/A</v>
      </c>
      <c r="S579" t="e">
        <f t="shared" si="66"/>
        <v>#N/A</v>
      </c>
      <c r="T579" t="e">
        <f t="shared" si="66"/>
        <v>#N/A</v>
      </c>
      <c r="U579" t="e">
        <f t="shared" si="67"/>
        <v>#N/A</v>
      </c>
      <c r="V579" t="e">
        <f t="shared" si="67"/>
        <v>#N/A</v>
      </c>
      <c r="W579" t="e">
        <f t="shared" si="68"/>
        <v>#N/A</v>
      </c>
      <c r="X579" t="e">
        <f t="shared" si="68"/>
        <v>#N/A</v>
      </c>
      <c r="Y579" t="e">
        <f t="shared" si="69"/>
        <v>#N/A</v>
      </c>
      <c r="Z579" t="e">
        <f t="shared" si="69"/>
        <v>#N/A</v>
      </c>
    </row>
    <row r="580" spans="1:26">
      <c r="A580" t="e">
        <f>IF(ISBLANK('[1]Точность устьев скважин'!A582),#N/A,'[1]Точность устьев скважин'!A582)</f>
        <v>#N/A</v>
      </c>
      <c r="B580" t="e">
        <f>IF(ISBLANK('[1]Точность устьев скважин'!B582),#N/A,'[1]Точность устьев скважин'!B582)</f>
        <v>#N/A</v>
      </c>
      <c r="C580" t="e">
        <f>IF(ISBLANK('[1]Точность устьев скважин'!C582),#N/A,'[1]Точность устьев скважин'!C582)</f>
        <v>#N/A</v>
      </c>
      <c r="D580" t="e">
        <f>IF(ISBLANK('[1]Точность устьев скважин'!D582),#N/A,'[1]Точность устьев скважин'!D582)</f>
        <v>#N/A</v>
      </c>
      <c r="G580" t="e">
        <f>IF(ISBLANK('[1]Точность устьев скважин'!H582),#N/A,'[1]Точность устьев скважин'!H582)</f>
        <v>#N/A</v>
      </c>
      <c r="H580" t="e">
        <f>IF(ISBLANK('[1]Точность устьев скважин'!I582),#N/A,'[1]Точность устьев скважин'!I582)</f>
        <v>#N/A</v>
      </c>
      <c r="I580" t="e">
        <f>IF(ISBLANK('[1]Точность устьев скважин'!J582),#N/A,'[1]Точность устьев скважин'!J582)</f>
        <v>#N/A</v>
      </c>
      <c r="J580" t="e">
        <f>IF(ISBLANK('[1]Точность устьев скважин'!K582),#N/A,'[1]Точность устьев скважин'!K582)</f>
        <v>#N/A</v>
      </c>
      <c r="L580" s="63" t="e">
        <f t="shared" ref="L580:L643" si="70">IF(B580="","",(SQRT((H580-B580)^2+(I580-C580)^2)))</f>
        <v>#N/A</v>
      </c>
      <c r="O580" t="e">
        <f t="shared" si="64"/>
        <v>#N/A</v>
      </c>
      <c r="P580" t="e">
        <f t="shared" si="64"/>
        <v>#N/A</v>
      </c>
      <c r="Q580" t="e">
        <f t="shared" si="65"/>
        <v>#N/A</v>
      </c>
      <c r="R580" t="e">
        <f t="shared" si="65"/>
        <v>#N/A</v>
      </c>
      <c r="S580" t="e">
        <f t="shared" si="66"/>
        <v>#N/A</v>
      </c>
      <c r="T580" t="e">
        <f t="shared" si="66"/>
        <v>#N/A</v>
      </c>
      <c r="U580" t="e">
        <f t="shared" si="67"/>
        <v>#N/A</v>
      </c>
      <c r="V580" t="e">
        <f t="shared" si="67"/>
        <v>#N/A</v>
      </c>
      <c r="W580" t="e">
        <f t="shared" si="68"/>
        <v>#N/A</v>
      </c>
      <c r="X580" t="e">
        <f t="shared" si="68"/>
        <v>#N/A</v>
      </c>
      <c r="Y580" t="e">
        <f t="shared" si="69"/>
        <v>#N/A</v>
      </c>
      <c r="Z580" t="e">
        <f t="shared" si="69"/>
        <v>#N/A</v>
      </c>
    </row>
    <row r="581" spans="1:26">
      <c r="A581" t="e">
        <f>IF(ISBLANK('[1]Точность устьев скважин'!A583),#N/A,'[1]Точность устьев скважин'!A583)</f>
        <v>#N/A</v>
      </c>
      <c r="B581" t="e">
        <f>IF(ISBLANK('[1]Точность устьев скважин'!B583),#N/A,'[1]Точность устьев скважин'!B583)</f>
        <v>#N/A</v>
      </c>
      <c r="C581" t="e">
        <f>IF(ISBLANK('[1]Точность устьев скважин'!C583),#N/A,'[1]Точность устьев скважин'!C583)</f>
        <v>#N/A</v>
      </c>
      <c r="D581" t="e">
        <f>IF(ISBLANK('[1]Точность устьев скважин'!D583),#N/A,'[1]Точность устьев скважин'!D583)</f>
        <v>#N/A</v>
      </c>
      <c r="G581" t="e">
        <f>IF(ISBLANK('[1]Точность устьев скважин'!H583),#N/A,'[1]Точность устьев скважин'!H583)</f>
        <v>#N/A</v>
      </c>
      <c r="H581" t="e">
        <f>IF(ISBLANK('[1]Точность устьев скважин'!I583),#N/A,'[1]Точность устьев скважин'!I583)</f>
        <v>#N/A</v>
      </c>
      <c r="I581" t="e">
        <f>IF(ISBLANK('[1]Точность устьев скважин'!J583),#N/A,'[1]Точность устьев скважин'!J583)</f>
        <v>#N/A</v>
      </c>
      <c r="J581" t="e">
        <f>IF(ISBLANK('[1]Точность устьев скважин'!K583),#N/A,'[1]Точность устьев скважин'!K583)</f>
        <v>#N/A</v>
      </c>
      <c r="L581" s="63" t="e">
        <f t="shared" si="70"/>
        <v>#N/A</v>
      </c>
      <c r="O581" t="e">
        <f t="shared" si="64"/>
        <v>#N/A</v>
      </c>
      <c r="P581" t="e">
        <f t="shared" si="64"/>
        <v>#N/A</v>
      </c>
      <c r="Q581" t="e">
        <f t="shared" si="65"/>
        <v>#N/A</v>
      </c>
      <c r="R581" t="e">
        <f t="shared" si="65"/>
        <v>#N/A</v>
      </c>
      <c r="S581" t="e">
        <f t="shared" si="66"/>
        <v>#N/A</v>
      </c>
      <c r="T581" t="e">
        <f t="shared" si="66"/>
        <v>#N/A</v>
      </c>
      <c r="U581" t="e">
        <f t="shared" si="67"/>
        <v>#N/A</v>
      </c>
      <c r="V581" t="e">
        <f t="shared" si="67"/>
        <v>#N/A</v>
      </c>
      <c r="W581" t="e">
        <f t="shared" si="68"/>
        <v>#N/A</v>
      </c>
      <c r="X581" t="e">
        <f t="shared" si="68"/>
        <v>#N/A</v>
      </c>
      <c r="Y581" t="e">
        <f t="shared" si="69"/>
        <v>#N/A</v>
      </c>
      <c r="Z581" t="e">
        <f t="shared" si="69"/>
        <v>#N/A</v>
      </c>
    </row>
    <row r="582" spans="1:26">
      <c r="A582" t="e">
        <f>IF(ISBLANK('[1]Точность устьев скважин'!A584),#N/A,'[1]Точность устьев скважин'!A584)</f>
        <v>#N/A</v>
      </c>
      <c r="B582" t="e">
        <f>IF(ISBLANK('[1]Точность устьев скважин'!B584),#N/A,'[1]Точность устьев скважин'!B584)</f>
        <v>#N/A</v>
      </c>
      <c r="C582" t="e">
        <f>IF(ISBLANK('[1]Точность устьев скважин'!C584),#N/A,'[1]Точность устьев скважин'!C584)</f>
        <v>#N/A</v>
      </c>
      <c r="D582" t="e">
        <f>IF(ISBLANK('[1]Точность устьев скважин'!D584),#N/A,'[1]Точность устьев скважин'!D584)</f>
        <v>#N/A</v>
      </c>
      <c r="G582" t="e">
        <f>IF(ISBLANK('[1]Точность устьев скважин'!H584),#N/A,'[1]Точность устьев скважин'!H584)</f>
        <v>#N/A</v>
      </c>
      <c r="H582" t="e">
        <f>IF(ISBLANK('[1]Точность устьев скважин'!I584),#N/A,'[1]Точность устьев скважин'!I584)</f>
        <v>#N/A</v>
      </c>
      <c r="I582" t="e">
        <f>IF(ISBLANK('[1]Точность устьев скважин'!J584),#N/A,'[1]Точность устьев скважин'!J584)</f>
        <v>#N/A</v>
      </c>
      <c r="J582" t="e">
        <f>IF(ISBLANK('[1]Точность устьев скважин'!K584),#N/A,'[1]Точность устьев скважин'!K584)</f>
        <v>#N/A</v>
      </c>
      <c r="L582" s="63" t="e">
        <f t="shared" si="70"/>
        <v>#N/A</v>
      </c>
      <c r="O582" t="e">
        <f t="shared" si="64"/>
        <v>#N/A</v>
      </c>
      <c r="P582" t="e">
        <f t="shared" si="64"/>
        <v>#N/A</v>
      </c>
      <c r="Q582" t="e">
        <f t="shared" si="65"/>
        <v>#N/A</v>
      </c>
      <c r="R582" t="e">
        <f t="shared" si="65"/>
        <v>#N/A</v>
      </c>
      <c r="S582" t="e">
        <f t="shared" si="66"/>
        <v>#N/A</v>
      </c>
      <c r="T582" t="e">
        <f t="shared" si="66"/>
        <v>#N/A</v>
      </c>
      <c r="U582" t="e">
        <f t="shared" si="67"/>
        <v>#N/A</v>
      </c>
      <c r="V582" t="e">
        <f t="shared" si="67"/>
        <v>#N/A</v>
      </c>
      <c r="W582" t="e">
        <f t="shared" si="68"/>
        <v>#N/A</v>
      </c>
      <c r="X582" t="e">
        <f t="shared" si="68"/>
        <v>#N/A</v>
      </c>
      <c r="Y582" t="e">
        <f t="shared" si="69"/>
        <v>#N/A</v>
      </c>
      <c r="Z582" t="e">
        <f t="shared" si="69"/>
        <v>#N/A</v>
      </c>
    </row>
    <row r="583" spans="1:26">
      <c r="A583" t="e">
        <f>IF(ISBLANK('[1]Точность устьев скважин'!A585),#N/A,'[1]Точность устьев скважин'!A585)</f>
        <v>#N/A</v>
      </c>
      <c r="B583" t="e">
        <f>IF(ISBLANK('[1]Точность устьев скважин'!B585),#N/A,'[1]Точность устьев скважин'!B585)</f>
        <v>#N/A</v>
      </c>
      <c r="C583" t="e">
        <f>IF(ISBLANK('[1]Точность устьев скважин'!C585),#N/A,'[1]Точность устьев скважин'!C585)</f>
        <v>#N/A</v>
      </c>
      <c r="D583" t="e">
        <f>IF(ISBLANK('[1]Точность устьев скважин'!D585),#N/A,'[1]Точность устьев скважин'!D585)</f>
        <v>#N/A</v>
      </c>
      <c r="G583" t="e">
        <f>IF(ISBLANK('[1]Точность устьев скважин'!H585),#N/A,'[1]Точность устьев скважин'!H585)</f>
        <v>#N/A</v>
      </c>
      <c r="H583" t="e">
        <f>IF(ISBLANK('[1]Точность устьев скважин'!I585),#N/A,'[1]Точность устьев скважин'!I585)</f>
        <v>#N/A</v>
      </c>
      <c r="I583" t="e">
        <f>IF(ISBLANK('[1]Точность устьев скважин'!J585),#N/A,'[1]Точность устьев скважин'!J585)</f>
        <v>#N/A</v>
      </c>
      <c r="J583" t="e">
        <f>IF(ISBLANK('[1]Точность устьев скважин'!K585),#N/A,'[1]Точность устьев скважин'!K585)</f>
        <v>#N/A</v>
      </c>
      <c r="L583" s="63" t="e">
        <f t="shared" si="70"/>
        <v>#N/A</v>
      </c>
      <c r="O583" t="e">
        <f t="shared" si="64"/>
        <v>#N/A</v>
      </c>
      <c r="P583" t="e">
        <f t="shared" si="64"/>
        <v>#N/A</v>
      </c>
      <c r="Q583" t="e">
        <f t="shared" si="65"/>
        <v>#N/A</v>
      </c>
      <c r="R583" t="e">
        <f t="shared" si="65"/>
        <v>#N/A</v>
      </c>
      <c r="S583" t="e">
        <f t="shared" si="66"/>
        <v>#N/A</v>
      </c>
      <c r="T583" t="e">
        <f t="shared" si="66"/>
        <v>#N/A</v>
      </c>
      <c r="U583" t="e">
        <f t="shared" si="67"/>
        <v>#N/A</v>
      </c>
      <c r="V583" t="e">
        <f t="shared" si="67"/>
        <v>#N/A</v>
      </c>
      <c r="W583" t="e">
        <f t="shared" si="68"/>
        <v>#N/A</v>
      </c>
      <c r="X583" t="e">
        <f t="shared" si="68"/>
        <v>#N/A</v>
      </c>
      <c r="Y583" t="e">
        <f t="shared" si="69"/>
        <v>#N/A</v>
      </c>
      <c r="Z583" t="e">
        <f t="shared" si="69"/>
        <v>#N/A</v>
      </c>
    </row>
    <row r="584" spans="1:26">
      <c r="A584" t="e">
        <f>IF(ISBLANK('[1]Точность устьев скважин'!A586),#N/A,'[1]Точность устьев скважин'!A586)</f>
        <v>#N/A</v>
      </c>
      <c r="B584" t="e">
        <f>IF(ISBLANK('[1]Точность устьев скважин'!B586),#N/A,'[1]Точность устьев скважин'!B586)</f>
        <v>#N/A</v>
      </c>
      <c r="C584" t="e">
        <f>IF(ISBLANK('[1]Точность устьев скважин'!C586),#N/A,'[1]Точность устьев скважин'!C586)</f>
        <v>#N/A</v>
      </c>
      <c r="D584" t="e">
        <f>IF(ISBLANK('[1]Точность устьев скважин'!D586),#N/A,'[1]Точность устьев скважин'!D586)</f>
        <v>#N/A</v>
      </c>
      <c r="G584" t="e">
        <f>IF(ISBLANK('[1]Точность устьев скважин'!H586),#N/A,'[1]Точность устьев скважин'!H586)</f>
        <v>#N/A</v>
      </c>
      <c r="H584" t="e">
        <f>IF(ISBLANK('[1]Точность устьев скважин'!I586),#N/A,'[1]Точность устьев скважин'!I586)</f>
        <v>#N/A</v>
      </c>
      <c r="I584" t="e">
        <f>IF(ISBLANK('[1]Точность устьев скважин'!J586),#N/A,'[1]Точность устьев скважин'!J586)</f>
        <v>#N/A</v>
      </c>
      <c r="J584" t="e">
        <f>IF(ISBLANK('[1]Точность устьев скважин'!K586),#N/A,'[1]Точность устьев скважин'!K586)</f>
        <v>#N/A</v>
      </c>
      <c r="L584" s="63" t="e">
        <f t="shared" si="70"/>
        <v>#N/A</v>
      </c>
      <c r="O584" t="e">
        <f t="shared" si="64"/>
        <v>#N/A</v>
      </c>
      <c r="P584" t="e">
        <f t="shared" si="64"/>
        <v>#N/A</v>
      </c>
      <c r="Q584" t="e">
        <f t="shared" si="65"/>
        <v>#N/A</v>
      </c>
      <c r="R584" t="e">
        <f t="shared" si="65"/>
        <v>#N/A</v>
      </c>
      <c r="S584" t="e">
        <f t="shared" si="66"/>
        <v>#N/A</v>
      </c>
      <c r="T584" t="e">
        <f t="shared" si="66"/>
        <v>#N/A</v>
      </c>
      <c r="U584" t="e">
        <f t="shared" si="67"/>
        <v>#N/A</v>
      </c>
      <c r="V584" t="e">
        <f t="shared" si="67"/>
        <v>#N/A</v>
      </c>
      <c r="W584" t="e">
        <f t="shared" si="68"/>
        <v>#N/A</v>
      </c>
      <c r="X584" t="e">
        <f t="shared" si="68"/>
        <v>#N/A</v>
      </c>
      <c r="Y584" t="e">
        <f t="shared" si="69"/>
        <v>#N/A</v>
      </c>
      <c r="Z584" t="e">
        <f t="shared" si="69"/>
        <v>#N/A</v>
      </c>
    </row>
    <row r="585" spans="1:26">
      <c r="A585" t="e">
        <f>IF(ISBLANK('[1]Точность устьев скважин'!A587),#N/A,'[1]Точность устьев скважин'!A587)</f>
        <v>#N/A</v>
      </c>
      <c r="B585" t="e">
        <f>IF(ISBLANK('[1]Точность устьев скважин'!B587),#N/A,'[1]Точность устьев скважин'!B587)</f>
        <v>#N/A</v>
      </c>
      <c r="C585" t="e">
        <f>IF(ISBLANK('[1]Точность устьев скважин'!C587),#N/A,'[1]Точность устьев скважин'!C587)</f>
        <v>#N/A</v>
      </c>
      <c r="D585" t="e">
        <f>IF(ISBLANK('[1]Точность устьев скважин'!D587),#N/A,'[1]Точность устьев скважин'!D587)</f>
        <v>#N/A</v>
      </c>
      <c r="G585" t="e">
        <f>IF(ISBLANK('[1]Точность устьев скважин'!H587),#N/A,'[1]Точность устьев скважин'!H587)</f>
        <v>#N/A</v>
      </c>
      <c r="H585" t="e">
        <f>IF(ISBLANK('[1]Точность устьев скважин'!I587),#N/A,'[1]Точность устьев скважин'!I587)</f>
        <v>#N/A</v>
      </c>
      <c r="I585" t="e">
        <f>IF(ISBLANK('[1]Точность устьев скважин'!J587),#N/A,'[1]Точность устьев скважин'!J587)</f>
        <v>#N/A</v>
      </c>
      <c r="J585" t="e">
        <f>IF(ISBLANK('[1]Точность устьев скважин'!K587),#N/A,'[1]Точность устьев скважин'!K587)</f>
        <v>#N/A</v>
      </c>
      <c r="L585" s="63" t="e">
        <f t="shared" si="70"/>
        <v>#N/A</v>
      </c>
      <c r="O585" t="e">
        <f t="shared" si="64"/>
        <v>#N/A</v>
      </c>
      <c r="P585" t="e">
        <f t="shared" si="64"/>
        <v>#N/A</v>
      </c>
      <c r="Q585" t="e">
        <f t="shared" si="65"/>
        <v>#N/A</v>
      </c>
      <c r="R585" t="e">
        <f t="shared" si="65"/>
        <v>#N/A</v>
      </c>
      <c r="S585" t="e">
        <f t="shared" si="66"/>
        <v>#N/A</v>
      </c>
      <c r="T585" t="e">
        <f t="shared" si="66"/>
        <v>#N/A</v>
      </c>
      <c r="U585" t="e">
        <f t="shared" si="67"/>
        <v>#N/A</v>
      </c>
      <c r="V585" t="e">
        <f t="shared" si="67"/>
        <v>#N/A</v>
      </c>
      <c r="W585" t="e">
        <f t="shared" si="68"/>
        <v>#N/A</v>
      </c>
      <c r="X585" t="e">
        <f t="shared" si="68"/>
        <v>#N/A</v>
      </c>
      <c r="Y585" t="e">
        <f t="shared" si="69"/>
        <v>#N/A</v>
      </c>
      <c r="Z585" t="e">
        <f t="shared" si="69"/>
        <v>#N/A</v>
      </c>
    </row>
    <row r="586" spans="1:26">
      <c r="A586" t="e">
        <f>IF(ISBLANK('[1]Точность устьев скважин'!A588),#N/A,'[1]Точность устьев скважин'!A588)</f>
        <v>#N/A</v>
      </c>
      <c r="B586" t="e">
        <f>IF(ISBLANK('[1]Точность устьев скважин'!B588),#N/A,'[1]Точность устьев скважин'!B588)</f>
        <v>#N/A</v>
      </c>
      <c r="C586" t="e">
        <f>IF(ISBLANK('[1]Точность устьев скважин'!C588),#N/A,'[1]Точность устьев скважин'!C588)</f>
        <v>#N/A</v>
      </c>
      <c r="D586" t="e">
        <f>IF(ISBLANK('[1]Точность устьев скважин'!D588),#N/A,'[1]Точность устьев скважин'!D588)</f>
        <v>#N/A</v>
      </c>
      <c r="G586" t="e">
        <f>IF(ISBLANK('[1]Точность устьев скважин'!H588),#N/A,'[1]Точность устьев скважин'!H588)</f>
        <v>#N/A</v>
      </c>
      <c r="H586" t="e">
        <f>IF(ISBLANK('[1]Точность устьев скважин'!I588),#N/A,'[1]Точность устьев скважин'!I588)</f>
        <v>#N/A</v>
      </c>
      <c r="I586" t="e">
        <f>IF(ISBLANK('[1]Точность устьев скважин'!J588),#N/A,'[1]Точность устьев скважин'!J588)</f>
        <v>#N/A</v>
      </c>
      <c r="J586" t="e">
        <f>IF(ISBLANK('[1]Точность устьев скважин'!K588),#N/A,'[1]Точность устьев скважин'!K588)</f>
        <v>#N/A</v>
      </c>
      <c r="L586" s="63" t="e">
        <f t="shared" si="70"/>
        <v>#N/A</v>
      </c>
      <c r="O586" t="e">
        <f t="shared" si="64"/>
        <v>#N/A</v>
      </c>
      <c r="P586" t="e">
        <f t="shared" si="64"/>
        <v>#N/A</v>
      </c>
      <c r="Q586" t="e">
        <f t="shared" si="65"/>
        <v>#N/A</v>
      </c>
      <c r="R586" t="e">
        <f t="shared" si="65"/>
        <v>#N/A</v>
      </c>
      <c r="S586" t="e">
        <f t="shared" si="66"/>
        <v>#N/A</v>
      </c>
      <c r="T586" t="e">
        <f t="shared" si="66"/>
        <v>#N/A</v>
      </c>
      <c r="U586" t="e">
        <f t="shared" si="67"/>
        <v>#N/A</v>
      </c>
      <c r="V586" t="e">
        <f t="shared" si="67"/>
        <v>#N/A</v>
      </c>
      <c r="W586" t="e">
        <f t="shared" si="68"/>
        <v>#N/A</v>
      </c>
      <c r="X586" t="e">
        <f t="shared" si="68"/>
        <v>#N/A</v>
      </c>
      <c r="Y586" t="e">
        <f t="shared" si="69"/>
        <v>#N/A</v>
      </c>
      <c r="Z586" t="e">
        <f t="shared" si="69"/>
        <v>#N/A</v>
      </c>
    </row>
    <row r="587" spans="1:26">
      <c r="A587" t="e">
        <f>IF(ISBLANK('[1]Точность устьев скважин'!A589),#N/A,'[1]Точность устьев скважин'!A589)</f>
        <v>#N/A</v>
      </c>
      <c r="B587" t="e">
        <f>IF(ISBLANK('[1]Точность устьев скважин'!B589),#N/A,'[1]Точность устьев скважин'!B589)</f>
        <v>#N/A</v>
      </c>
      <c r="C587" t="e">
        <f>IF(ISBLANK('[1]Точность устьев скважин'!C589),#N/A,'[1]Точность устьев скважин'!C589)</f>
        <v>#N/A</v>
      </c>
      <c r="D587" t="e">
        <f>IF(ISBLANK('[1]Точность устьев скважин'!D589),#N/A,'[1]Точность устьев скважин'!D589)</f>
        <v>#N/A</v>
      </c>
      <c r="G587" t="e">
        <f>IF(ISBLANK('[1]Точность устьев скважин'!H589),#N/A,'[1]Точность устьев скважин'!H589)</f>
        <v>#N/A</v>
      </c>
      <c r="H587" t="e">
        <f>IF(ISBLANK('[1]Точность устьев скважин'!I589),#N/A,'[1]Точность устьев скважин'!I589)</f>
        <v>#N/A</v>
      </c>
      <c r="I587" t="e">
        <f>IF(ISBLANK('[1]Точность устьев скважин'!J589),#N/A,'[1]Точность устьев скважин'!J589)</f>
        <v>#N/A</v>
      </c>
      <c r="J587" t="e">
        <f>IF(ISBLANK('[1]Точность устьев скважин'!K589),#N/A,'[1]Точность устьев скважин'!K589)</f>
        <v>#N/A</v>
      </c>
      <c r="L587" s="63" t="e">
        <f t="shared" si="70"/>
        <v>#N/A</v>
      </c>
      <c r="O587" t="e">
        <f t="shared" si="64"/>
        <v>#N/A</v>
      </c>
      <c r="P587" t="e">
        <f t="shared" si="64"/>
        <v>#N/A</v>
      </c>
      <c r="Q587" t="e">
        <f t="shared" si="65"/>
        <v>#N/A</v>
      </c>
      <c r="R587" t="e">
        <f t="shared" si="65"/>
        <v>#N/A</v>
      </c>
      <c r="S587" t="e">
        <f t="shared" si="66"/>
        <v>#N/A</v>
      </c>
      <c r="T587" t="e">
        <f t="shared" si="66"/>
        <v>#N/A</v>
      </c>
      <c r="U587" t="e">
        <f t="shared" si="67"/>
        <v>#N/A</v>
      </c>
      <c r="V587" t="e">
        <f t="shared" si="67"/>
        <v>#N/A</v>
      </c>
      <c r="W587" t="e">
        <f t="shared" si="68"/>
        <v>#N/A</v>
      </c>
      <c r="X587" t="e">
        <f t="shared" si="68"/>
        <v>#N/A</v>
      </c>
      <c r="Y587" t="e">
        <f t="shared" si="69"/>
        <v>#N/A</v>
      </c>
      <c r="Z587" t="e">
        <f t="shared" si="69"/>
        <v>#N/A</v>
      </c>
    </row>
    <row r="588" spans="1:26">
      <c r="A588" t="e">
        <f>IF(ISBLANK('[1]Точность устьев скважин'!A590),#N/A,'[1]Точность устьев скважин'!A590)</f>
        <v>#N/A</v>
      </c>
      <c r="B588" t="e">
        <f>IF(ISBLANK('[1]Точность устьев скважин'!B590),#N/A,'[1]Точность устьев скважин'!B590)</f>
        <v>#N/A</v>
      </c>
      <c r="C588" t="e">
        <f>IF(ISBLANK('[1]Точность устьев скважин'!C590),#N/A,'[1]Точность устьев скважин'!C590)</f>
        <v>#N/A</v>
      </c>
      <c r="D588" t="e">
        <f>IF(ISBLANK('[1]Точность устьев скважин'!D590),#N/A,'[1]Точность устьев скважин'!D590)</f>
        <v>#N/A</v>
      </c>
      <c r="G588" t="e">
        <f>IF(ISBLANK('[1]Точность устьев скважин'!H590),#N/A,'[1]Точность устьев скважин'!H590)</f>
        <v>#N/A</v>
      </c>
      <c r="H588" t="e">
        <f>IF(ISBLANK('[1]Точность устьев скважин'!I590),#N/A,'[1]Точность устьев скважин'!I590)</f>
        <v>#N/A</v>
      </c>
      <c r="I588" t="e">
        <f>IF(ISBLANK('[1]Точность устьев скважин'!J590),#N/A,'[1]Точность устьев скважин'!J590)</f>
        <v>#N/A</v>
      </c>
      <c r="J588" t="e">
        <f>IF(ISBLANK('[1]Точность устьев скважин'!K590),#N/A,'[1]Точность устьев скважин'!K590)</f>
        <v>#N/A</v>
      </c>
      <c r="L588" s="63" t="e">
        <f t="shared" si="70"/>
        <v>#N/A</v>
      </c>
      <c r="O588" t="e">
        <f t="shared" si="64"/>
        <v>#N/A</v>
      </c>
      <c r="P588" t="e">
        <f t="shared" si="64"/>
        <v>#N/A</v>
      </c>
      <c r="Q588" t="e">
        <f t="shared" si="65"/>
        <v>#N/A</v>
      </c>
      <c r="R588" t="e">
        <f t="shared" si="65"/>
        <v>#N/A</v>
      </c>
      <c r="S588" t="e">
        <f t="shared" si="66"/>
        <v>#N/A</v>
      </c>
      <c r="T588" t="e">
        <f t="shared" si="66"/>
        <v>#N/A</v>
      </c>
      <c r="U588" t="e">
        <f t="shared" si="67"/>
        <v>#N/A</v>
      </c>
      <c r="V588" t="e">
        <f t="shared" si="67"/>
        <v>#N/A</v>
      </c>
      <c r="W588" t="e">
        <f t="shared" si="68"/>
        <v>#N/A</v>
      </c>
      <c r="X588" t="e">
        <f t="shared" si="68"/>
        <v>#N/A</v>
      </c>
      <c r="Y588" t="e">
        <f t="shared" si="69"/>
        <v>#N/A</v>
      </c>
      <c r="Z588" t="e">
        <f t="shared" si="69"/>
        <v>#N/A</v>
      </c>
    </row>
    <row r="589" spans="1:26">
      <c r="A589" t="e">
        <f>IF(ISBLANK('[1]Точность устьев скважин'!A591),#N/A,'[1]Точность устьев скважин'!A591)</f>
        <v>#N/A</v>
      </c>
      <c r="B589" t="e">
        <f>IF(ISBLANK('[1]Точность устьев скважин'!B591),#N/A,'[1]Точность устьев скважин'!B591)</f>
        <v>#N/A</v>
      </c>
      <c r="C589" t="e">
        <f>IF(ISBLANK('[1]Точность устьев скважин'!C591),#N/A,'[1]Точность устьев скважин'!C591)</f>
        <v>#N/A</v>
      </c>
      <c r="D589" t="e">
        <f>IF(ISBLANK('[1]Точность устьев скважин'!D591),#N/A,'[1]Точность устьев скважин'!D591)</f>
        <v>#N/A</v>
      </c>
      <c r="G589" t="e">
        <f>IF(ISBLANK('[1]Точность устьев скважин'!H591),#N/A,'[1]Точность устьев скважин'!H591)</f>
        <v>#N/A</v>
      </c>
      <c r="H589" t="e">
        <f>IF(ISBLANK('[1]Точность устьев скважин'!I591),#N/A,'[1]Точность устьев скважин'!I591)</f>
        <v>#N/A</v>
      </c>
      <c r="I589" t="e">
        <f>IF(ISBLANK('[1]Точность устьев скважин'!J591),#N/A,'[1]Точность устьев скважин'!J591)</f>
        <v>#N/A</v>
      </c>
      <c r="J589" t="e">
        <f>IF(ISBLANK('[1]Точность устьев скважин'!K591),#N/A,'[1]Точность устьев скважин'!K591)</f>
        <v>#N/A</v>
      </c>
      <c r="L589" s="63" t="e">
        <f t="shared" si="70"/>
        <v>#N/A</v>
      </c>
      <c r="O589" t="e">
        <f t="shared" si="64"/>
        <v>#N/A</v>
      </c>
      <c r="P589" t="e">
        <f t="shared" si="64"/>
        <v>#N/A</v>
      </c>
      <c r="Q589" t="e">
        <f t="shared" si="65"/>
        <v>#N/A</v>
      </c>
      <c r="R589" t="e">
        <f t="shared" si="65"/>
        <v>#N/A</v>
      </c>
      <c r="S589" t="e">
        <f t="shared" si="66"/>
        <v>#N/A</v>
      </c>
      <c r="T589" t="e">
        <f t="shared" si="66"/>
        <v>#N/A</v>
      </c>
      <c r="U589" t="e">
        <f t="shared" si="67"/>
        <v>#N/A</v>
      </c>
      <c r="V589" t="e">
        <f t="shared" si="67"/>
        <v>#N/A</v>
      </c>
      <c r="W589" t="e">
        <f t="shared" si="68"/>
        <v>#N/A</v>
      </c>
      <c r="X589" t="e">
        <f t="shared" si="68"/>
        <v>#N/A</v>
      </c>
      <c r="Y589" t="e">
        <f t="shared" si="69"/>
        <v>#N/A</v>
      </c>
      <c r="Z589" t="e">
        <f t="shared" si="69"/>
        <v>#N/A</v>
      </c>
    </row>
    <row r="590" spans="1:26">
      <c r="A590" t="e">
        <f>IF(ISBLANK('[1]Точность устьев скважин'!A592),#N/A,'[1]Точность устьев скважин'!A592)</f>
        <v>#N/A</v>
      </c>
      <c r="B590" t="e">
        <f>IF(ISBLANK('[1]Точность устьев скважин'!B592),#N/A,'[1]Точность устьев скважин'!B592)</f>
        <v>#N/A</v>
      </c>
      <c r="C590" t="e">
        <f>IF(ISBLANK('[1]Точность устьев скважин'!C592),#N/A,'[1]Точность устьев скважин'!C592)</f>
        <v>#N/A</v>
      </c>
      <c r="D590" t="e">
        <f>IF(ISBLANK('[1]Точность устьев скважин'!D592),#N/A,'[1]Точность устьев скважин'!D592)</f>
        <v>#N/A</v>
      </c>
      <c r="G590" t="e">
        <f>IF(ISBLANK('[1]Точность устьев скважин'!H592),#N/A,'[1]Точность устьев скважин'!H592)</f>
        <v>#N/A</v>
      </c>
      <c r="H590" t="e">
        <f>IF(ISBLANK('[1]Точность устьев скважин'!I592),#N/A,'[1]Точность устьев скважин'!I592)</f>
        <v>#N/A</v>
      </c>
      <c r="I590" t="e">
        <f>IF(ISBLANK('[1]Точность устьев скважин'!J592),#N/A,'[1]Точность устьев скважин'!J592)</f>
        <v>#N/A</v>
      </c>
      <c r="J590" t="e">
        <f>IF(ISBLANK('[1]Точность устьев скважин'!K592),#N/A,'[1]Точность устьев скважин'!K592)</f>
        <v>#N/A</v>
      </c>
      <c r="L590" s="63" t="e">
        <f t="shared" si="70"/>
        <v>#N/A</v>
      </c>
      <c r="O590" t="e">
        <f t="shared" si="64"/>
        <v>#N/A</v>
      </c>
      <c r="P590" t="e">
        <f t="shared" si="64"/>
        <v>#N/A</v>
      </c>
      <c r="Q590" t="e">
        <f t="shared" si="65"/>
        <v>#N/A</v>
      </c>
      <c r="R590" t="e">
        <f t="shared" si="65"/>
        <v>#N/A</v>
      </c>
      <c r="S590" t="e">
        <f t="shared" si="66"/>
        <v>#N/A</v>
      </c>
      <c r="T590" t="e">
        <f t="shared" si="66"/>
        <v>#N/A</v>
      </c>
      <c r="U590" t="e">
        <f t="shared" si="67"/>
        <v>#N/A</v>
      </c>
      <c r="V590" t="e">
        <f t="shared" si="67"/>
        <v>#N/A</v>
      </c>
      <c r="W590" t="e">
        <f t="shared" si="68"/>
        <v>#N/A</v>
      </c>
      <c r="X590" t="e">
        <f t="shared" si="68"/>
        <v>#N/A</v>
      </c>
      <c r="Y590" t="e">
        <f t="shared" si="69"/>
        <v>#N/A</v>
      </c>
      <c r="Z590" t="e">
        <f t="shared" si="69"/>
        <v>#N/A</v>
      </c>
    </row>
    <row r="591" spans="1:26">
      <c r="A591" t="e">
        <f>IF(ISBLANK('[1]Точность устьев скважин'!A593),#N/A,'[1]Точность устьев скважин'!A593)</f>
        <v>#N/A</v>
      </c>
      <c r="B591" t="e">
        <f>IF(ISBLANK('[1]Точность устьев скважин'!B593),#N/A,'[1]Точность устьев скважин'!B593)</f>
        <v>#N/A</v>
      </c>
      <c r="C591" t="e">
        <f>IF(ISBLANK('[1]Точность устьев скважин'!C593),#N/A,'[1]Точность устьев скважин'!C593)</f>
        <v>#N/A</v>
      </c>
      <c r="D591" t="e">
        <f>IF(ISBLANK('[1]Точность устьев скважин'!D593),#N/A,'[1]Точность устьев скважин'!D593)</f>
        <v>#N/A</v>
      </c>
      <c r="G591" t="e">
        <f>IF(ISBLANK('[1]Точность устьев скважин'!H593),#N/A,'[1]Точность устьев скважин'!H593)</f>
        <v>#N/A</v>
      </c>
      <c r="H591" t="e">
        <f>IF(ISBLANK('[1]Точность устьев скважин'!I593),#N/A,'[1]Точность устьев скважин'!I593)</f>
        <v>#N/A</v>
      </c>
      <c r="I591" t="e">
        <f>IF(ISBLANK('[1]Точность устьев скважин'!J593),#N/A,'[1]Точность устьев скважин'!J593)</f>
        <v>#N/A</v>
      </c>
      <c r="J591" t="e">
        <f>IF(ISBLANK('[1]Точность устьев скважин'!K593),#N/A,'[1]Точность устьев скважин'!K593)</f>
        <v>#N/A</v>
      </c>
      <c r="L591" s="63" t="e">
        <f t="shared" si="70"/>
        <v>#N/A</v>
      </c>
      <c r="O591" t="e">
        <f t="shared" si="64"/>
        <v>#N/A</v>
      </c>
      <c r="P591" t="e">
        <f t="shared" si="64"/>
        <v>#N/A</v>
      </c>
      <c r="Q591" t="e">
        <f t="shared" si="65"/>
        <v>#N/A</v>
      </c>
      <c r="R591" t="e">
        <f t="shared" si="65"/>
        <v>#N/A</v>
      </c>
      <c r="S591" t="e">
        <f t="shared" si="66"/>
        <v>#N/A</v>
      </c>
      <c r="T591" t="e">
        <f t="shared" si="66"/>
        <v>#N/A</v>
      </c>
      <c r="U591" t="e">
        <f t="shared" si="67"/>
        <v>#N/A</v>
      </c>
      <c r="V591" t="e">
        <f t="shared" si="67"/>
        <v>#N/A</v>
      </c>
      <c r="W591" t="e">
        <f t="shared" si="68"/>
        <v>#N/A</v>
      </c>
      <c r="X591" t="e">
        <f t="shared" si="68"/>
        <v>#N/A</v>
      </c>
      <c r="Y591" t="e">
        <f t="shared" si="69"/>
        <v>#N/A</v>
      </c>
      <c r="Z591" t="e">
        <f t="shared" si="69"/>
        <v>#N/A</v>
      </c>
    </row>
    <row r="592" spans="1:26">
      <c r="A592" t="e">
        <f>IF(ISBLANK('[1]Точность устьев скважин'!A594),#N/A,'[1]Точность устьев скважин'!A594)</f>
        <v>#N/A</v>
      </c>
      <c r="B592" t="e">
        <f>IF(ISBLANK('[1]Точность устьев скважин'!B594),#N/A,'[1]Точность устьев скважин'!B594)</f>
        <v>#N/A</v>
      </c>
      <c r="C592" t="e">
        <f>IF(ISBLANK('[1]Точность устьев скважин'!C594),#N/A,'[1]Точность устьев скважин'!C594)</f>
        <v>#N/A</v>
      </c>
      <c r="D592" t="e">
        <f>IF(ISBLANK('[1]Точность устьев скважин'!D594),#N/A,'[1]Точность устьев скважин'!D594)</f>
        <v>#N/A</v>
      </c>
      <c r="G592" t="e">
        <f>IF(ISBLANK('[1]Точность устьев скважин'!H594),#N/A,'[1]Точность устьев скважин'!H594)</f>
        <v>#N/A</v>
      </c>
      <c r="H592" t="e">
        <f>IF(ISBLANK('[1]Точность устьев скважин'!I594),#N/A,'[1]Точность устьев скважин'!I594)</f>
        <v>#N/A</v>
      </c>
      <c r="I592" t="e">
        <f>IF(ISBLANK('[1]Точность устьев скважин'!J594),#N/A,'[1]Точность устьев скважин'!J594)</f>
        <v>#N/A</v>
      </c>
      <c r="J592" t="e">
        <f>IF(ISBLANK('[1]Точность устьев скважин'!K594),#N/A,'[1]Точность устьев скважин'!K594)</f>
        <v>#N/A</v>
      </c>
      <c r="L592" s="63" t="e">
        <f t="shared" si="70"/>
        <v>#N/A</v>
      </c>
      <c r="O592" t="e">
        <f t="shared" si="64"/>
        <v>#N/A</v>
      </c>
      <c r="P592" t="e">
        <f t="shared" si="64"/>
        <v>#N/A</v>
      </c>
      <c r="Q592" t="e">
        <f t="shared" si="65"/>
        <v>#N/A</v>
      </c>
      <c r="R592" t="e">
        <f t="shared" si="65"/>
        <v>#N/A</v>
      </c>
      <c r="S592" t="e">
        <f t="shared" si="66"/>
        <v>#N/A</v>
      </c>
      <c r="T592" t="e">
        <f t="shared" si="66"/>
        <v>#N/A</v>
      </c>
      <c r="U592" t="e">
        <f t="shared" si="67"/>
        <v>#N/A</v>
      </c>
      <c r="V592" t="e">
        <f t="shared" si="67"/>
        <v>#N/A</v>
      </c>
      <c r="W592" t="e">
        <f t="shared" si="68"/>
        <v>#N/A</v>
      </c>
      <c r="X592" t="e">
        <f t="shared" si="68"/>
        <v>#N/A</v>
      </c>
      <c r="Y592" t="e">
        <f t="shared" si="69"/>
        <v>#N/A</v>
      </c>
      <c r="Z592" t="e">
        <f t="shared" si="69"/>
        <v>#N/A</v>
      </c>
    </row>
    <row r="593" spans="1:26">
      <c r="A593" t="e">
        <f>IF(ISBLANK('[1]Точность устьев скважин'!A595),#N/A,'[1]Точность устьев скважин'!A595)</f>
        <v>#N/A</v>
      </c>
      <c r="B593" t="e">
        <f>IF(ISBLANK('[1]Точность устьев скважин'!B595),#N/A,'[1]Точность устьев скважин'!B595)</f>
        <v>#N/A</v>
      </c>
      <c r="C593" t="e">
        <f>IF(ISBLANK('[1]Точность устьев скважин'!C595),#N/A,'[1]Точность устьев скважин'!C595)</f>
        <v>#N/A</v>
      </c>
      <c r="D593" t="e">
        <f>IF(ISBLANK('[1]Точность устьев скважин'!D595),#N/A,'[1]Точность устьев скважин'!D595)</f>
        <v>#N/A</v>
      </c>
      <c r="G593" t="e">
        <f>IF(ISBLANK('[1]Точность устьев скважин'!H595),#N/A,'[1]Точность устьев скважин'!H595)</f>
        <v>#N/A</v>
      </c>
      <c r="H593" t="e">
        <f>IF(ISBLANK('[1]Точность устьев скважин'!I595),#N/A,'[1]Точность устьев скважин'!I595)</f>
        <v>#N/A</v>
      </c>
      <c r="I593" t="e">
        <f>IF(ISBLANK('[1]Точность устьев скважин'!J595),#N/A,'[1]Точность устьев скважин'!J595)</f>
        <v>#N/A</v>
      </c>
      <c r="J593" t="e">
        <f>IF(ISBLANK('[1]Точность устьев скважин'!K595),#N/A,'[1]Точность устьев скважин'!K595)</f>
        <v>#N/A</v>
      </c>
      <c r="L593" s="63" t="e">
        <f t="shared" si="70"/>
        <v>#N/A</v>
      </c>
      <c r="O593" t="e">
        <f t="shared" si="64"/>
        <v>#N/A</v>
      </c>
      <c r="P593" t="e">
        <f t="shared" si="64"/>
        <v>#N/A</v>
      </c>
      <c r="Q593" t="e">
        <f t="shared" si="65"/>
        <v>#N/A</v>
      </c>
      <c r="R593" t="e">
        <f t="shared" si="65"/>
        <v>#N/A</v>
      </c>
      <c r="S593" t="e">
        <f t="shared" si="66"/>
        <v>#N/A</v>
      </c>
      <c r="T593" t="e">
        <f t="shared" si="66"/>
        <v>#N/A</v>
      </c>
      <c r="U593" t="e">
        <f t="shared" si="67"/>
        <v>#N/A</v>
      </c>
      <c r="V593" t="e">
        <f t="shared" si="67"/>
        <v>#N/A</v>
      </c>
      <c r="W593" t="e">
        <f t="shared" si="68"/>
        <v>#N/A</v>
      </c>
      <c r="X593" t="e">
        <f t="shared" si="68"/>
        <v>#N/A</v>
      </c>
      <c r="Y593" t="e">
        <f t="shared" si="69"/>
        <v>#N/A</v>
      </c>
      <c r="Z593" t="e">
        <f t="shared" si="69"/>
        <v>#N/A</v>
      </c>
    </row>
    <row r="594" spans="1:26">
      <c r="A594" t="e">
        <f>IF(ISBLANK('[1]Точность устьев скважин'!A596),#N/A,'[1]Точность устьев скважин'!A596)</f>
        <v>#N/A</v>
      </c>
      <c r="B594" t="e">
        <f>IF(ISBLANK('[1]Точность устьев скважин'!B596),#N/A,'[1]Точность устьев скважин'!B596)</f>
        <v>#N/A</v>
      </c>
      <c r="C594" t="e">
        <f>IF(ISBLANK('[1]Точность устьев скважин'!C596),#N/A,'[1]Точность устьев скважин'!C596)</f>
        <v>#N/A</v>
      </c>
      <c r="D594" t="e">
        <f>IF(ISBLANK('[1]Точность устьев скважин'!D596),#N/A,'[1]Точность устьев скважин'!D596)</f>
        <v>#N/A</v>
      </c>
      <c r="G594" t="e">
        <f>IF(ISBLANK('[1]Точность устьев скважин'!H596),#N/A,'[1]Точность устьев скважин'!H596)</f>
        <v>#N/A</v>
      </c>
      <c r="H594" t="e">
        <f>IF(ISBLANK('[1]Точность устьев скважин'!I596),#N/A,'[1]Точность устьев скважин'!I596)</f>
        <v>#N/A</v>
      </c>
      <c r="I594" t="e">
        <f>IF(ISBLANK('[1]Точность устьев скважин'!J596),#N/A,'[1]Точность устьев скважин'!J596)</f>
        <v>#N/A</v>
      </c>
      <c r="J594" t="e">
        <f>IF(ISBLANK('[1]Точность устьев скважин'!K596),#N/A,'[1]Точность устьев скважин'!K596)</f>
        <v>#N/A</v>
      </c>
      <c r="L594" s="63" t="e">
        <f t="shared" si="70"/>
        <v>#N/A</v>
      </c>
      <c r="O594" t="e">
        <f t="shared" si="64"/>
        <v>#N/A</v>
      </c>
      <c r="P594" t="e">
        <f t="shared" si="64"/>
        <v>#N/A</v>
      </c>
      <c r="Q594" t="e">
        <f t="shared" si="65"/>
        <v>#N/A</v>
      </c>
      <c r="R594" t="e">
        <f t="shared" si="65"/>
        <v>#N/A</v>
      </c>
      <c r="S594" t="e">
        <f t="shared" si="66"/>
        <v>#N/A</v>
      </c>
      <c r="T594" t="e">
        <f t="shared" si="66"/>
        <v>#N/A</v>
      </c>
      <c r="U594" t="e">
        <f t="shared" si="67"/>
        <v>#N/A</v>
      </c>
      <c r="V594" t="e">
        <f t="shared" si="67"/>
        <v>#N/A</v>
      </c>
      <c r="W594" t="e">
        <f t="shared" si="68"/>
        <v>#N/A</v>
      </c>
      <c r="X594" t="e">
        <f t="shared" si="68"/>
        <v>#N/A</v>
      </c>
      <c r="Y594" t="e">
        <f t="shared" si="69"/>
        <v>#N/A</v>
      </c>
      <c r="Z594" t="e">
        <f t="shared" si="69"/>
        <v>#N/A</v>
      </c>
    </row>
    <row r="595" spans="1:26">
      <c r="A595" t="e">
        <f>IF(ISBLANK('[1]Точность устьев скважин'!A597),#N/A,'[1]Точность устьев скважин'!A597)</f>
        <v>#N/A</v>
      </c>
      <c r="B595" t="e">
        <f>IF(ISBLANK('[1]Точность устьев скважин'!B597),#N/A,'[1]Точность устьев скважин'!B597)</f>
        <v>#N/A</v>
      </c>
      <c r="C595" t="e">
        <f>IF(ISBLANK('[1]Точность устьев скважин'!C597),#N/A,'[1]Точность устьев скважин'!C597)</f>
        <v>#N/A</v>
      </c>
      <c r="D595" t="e">
        <f>IF(ISBLANK('[1]Точность устьев скважин'!D597),#N/A,'[1]Точность устьев скважин'!D597)</f>
        <v>#N/A</v>
      </c>
      <c r="G595" t="e">
        <f>IF(ISBLANK('[1]Точность устьев скважин'!H597),#N/A,'[1]Точность устьев скважин'!H597)</f>
        <v>#N/A</v>
      </c>
      <c r="H595" t="e">
        <f>IF(ISBLANK('[1]Точность устьев скважин'!I597),#N/A,'[1]Точность устьев скважин'!I597)</f>
        <v>#N/A</v>
      </c>
      <c r="I595" t="e">
        <f>IF(ISBLANK('[1]Точность устьев скважин'!J597),#N/A,'[1]Точность устьев скважин'!J597)</f>
        <v>#N/A</v>
      </c>
      <c r="J595" t="e">
        <f>IF(ISBLANK('[1]Точность устьев скважин'!K597),#N/A,'[1]Точность устьев скважин'!K597)</f>
        <v>#N/A</v>
      </c>
      <c r="L595" s="63" t="e">
        <f t="shared" si="70"/>
        <v>#N/A</v>
      </c>
      <c r="O595" t="e">
        <f t="shared" si="64"/>
        <v>#N/A</v>
      </c>
      <c r="P595" t="e">
        <f t="shared" si="64"/>
        <v>#N/A</v>
      </c>
      <c r="Q595" t="e">
        <f t="shared" si="65"/>
        <v>#N/A</v>
      </c>
      <c r="R595" t="e">
        <f t="shared" si="65"/>
        <v>#N/A</v>
      </c>
      <c r="S595" t="e">
        <f t="shared" si="66"/>
        <v>#N/A</v>
      </c>
      <c r="T595" t="e">
        <f t="shared" si="66"/>
        <v>#N/A</v>
      </c>
      <c r="U595" t="e">
        <f t="shared" si="67"/>
        <v>#N/A</v>
      </c>
      <c r="V595" t="e">
        <f t="shared" si="67"/>
        <v>#N/A</v>
      </c>
      <c r="W595" t="e">
        <f t="shared" si="68"/>
        <v>#N/A</v>
      </c>
      <c r="X595" t="e">
        <f t="shared" si="68"/>
        <v>#N/A</v>
      </c>
      <c r="Y595" t="e">
        <f t="shared" si="69"/>
        <v>#N/A</v>
      </c>
      <c r="Z595" t="e">
        <f t="shared" si="69"/>
        <v>#N/A</v>
      </c>
    </row>
    <row r="596" spans="1:26">
      <c r="A596" t="e">
        <f>IF(ISBLANK('[1]Точность устьев скважин'!A598),#N/A,'[1]Точность устьев скважин'!A598)</f>
        <v>#N/A</v>
      </c>
      <c r="B596" t="e">
        <f>IF(ISBLANK('[1]Точность устьев скважин'!B598),#N/A,'[1]Точность устьев скважин'!B598)</f>
        <v>#N/A</v>
      </c>
      <c r="C596" t="e">
        <f>IF(ISBLANK('[1]Точность устьев скважин'!C598),#N/A,'[1]Точность устьев скважин'!C598)</f>
        <v>#N/A</v>
      </c>
      <c r="D596" t="e">
        <f>IF(ISBLANK('[1]Точность устьев скважин'!D598),#N/A,'[1]Точность устьев скважин'!D598)</f>
        <v>#N/A</v>
      </c>
      <c r="G596" t="e">
        <f>IF(ISBLANK('[1]Точность устьев скважин'!H598),#N/A,'[1]Точность устьев скважин'!H598)</f>
        <v>#N/A</v>
      </c>
      <c r="H596" t="e">
        <f>IF(ISBLANK('[1]Точность устьев скважин'!I598),#N/A,'[1]Точность устьев скважин'!I598)</f>
        <v>#N/A</v>
      </c>
      <c r="I596" t="e">
        <f>IF(ISBLANK('[1]Точность устьев скважин'!J598),#N/A,'[1]Точность устьев скважин'!J598)</f>
        <v>#N/A</v>
      </c>
      <c r="J596" t="e">
        <f>IF(ISBLANK('[1]Точность устьев скважин'!K598),#N/A,'[1]Точность устьев скважин'!K598)</f>
        <v>#N/A</v>
      </c>
      <c r="L596" s="63" t="e">
        <f t="shared" si="70"/>
        <v>#N/A</v>
      </c>
      <c r="O596" t="e">
        <f t="shared" si="64"/>
        <v>#N/A</v>
      </c>
      <c r="P596" t="e">
        <f t="shared" si="64"/>
        <v>#N/A</v>
      </c>
      <c r="Q596" t="e">
        <f t="shared" si="65"/>
        <v>#N/A</v>
      </c>
      <c r="R596" t="e">
        <f t="shared" si="65"/>
        <v>#N/A</v>
      </c>
      <c r="S596" t="e">
        <f t="shared" si="66"/>
        <v>#N/A</v>
      </c>
      <c r="T596" t="e">
        <f t="shared" si="66"/>
        <v>#N/A</v>
      </c>
      <c r="U596" t="e">
        <f t="shared" si="67"/>
        <v>#N/A</v>
      </c>
      <c r="V596" t="e">
        <f t="shared" si="67"/>
        <v>#N/A</v>
      </c>
      <c r="W596" t="e">
        <f t="shared" si="68"/>
        <v>#N/A</v>
      </c>
      <c r="X596" t="e">
        <f t="shared" si="68"/>
        <v>#N/A</v>
      </c>
      <c r="Y596" t="e">
        <f t="shared" si="69"/>
        <v>#N/A</v>
      </c>
      <c r="Z596" t="e">
        <f t="shared" si="69"/>
        <v>#N/A</v>
      </c>
    </row>
    <row r="597" spans="1:26">
      <c r="A597" t="e">
        <f>IF(ISBLANK('[1]Точность устьев скважин'!A599),#N/A,'[1]Точность устьев скважин'!A599)</f>
        <v>#N/A</v>
      </c>
      <c r="B597" t="e">
        <f>IF(ISBLANK('[1]Точность устьев скважин'!B599),#N/A,'[1]Точность устьев скважин'!B599)</f>
        <v>#N/A</v>
      </c>
      <c r="C597" t="e">
        <f>IF(ISBLANK('[1]Точность устьев скважин'!C599),#N/A,'[1]Точность устьев скважин'!C599)</f>
        <v>#N/A</v>
      </c>
      <c r="D597" t="e">
        <f>IF(ISBLANK('[1]Точность устьев скважин'!D599),#N/A,'[1]Точность устьев скважин'!D599)</f>
        <v>#N/A</v>
      </c>
      <c r="G597" t="e">
        <f>IF(ISBLANK('[1]Точность устьев скважин'!H599),#N/A,'[1]Точность устьев скважин'!H599)</f>
        <v>#N/A</v>
      </c>
      <c r="H597" t="e">
        <f>IF(ISBLANK('[1]Точность устьев скважин'!I599),#N/A,'[1]Точность устьев скважин'!I599)</f>
        <v>#N/A</v>
      </c>
      <c r="I597" t="e">
        <f>IF(ISBLANK('[1]Точность устьев скважин'!J599),#N/A,'[1]Точность устьев скважин'!J599)</f>
        <v>#N/A</v>
      </c>
      <c r="J597" t="e">
        <f>IF(ISBLANK('[1]Точность устьев скважин'!K599),#N/A,'[1]Точность устьев скважин'!K599)</f>
        <v>#N/A</v>
      </c>
      <c r="L597" s="63" t="e">
        <f t="shared" si="70"/>
        <v>#N/A</v>
      </c>
      <c r="O597" t="e">
        <f t="shared" si="64"/>
        <v>#N/A</v>
      </c>
      <c r="P597" t="e">
        <f t="shared" si="64"/>
        <v>#N/A</v>
      </c>
      <c r="Q597" t="e">
        <f t="shared" si="65"/>
        <v>#N/A</v>
      </c>
      <c r="R597" t="e">
        <f t="shared" si="65"/>
        <v>#N/A</v>
      </c>
      <c r="S597" t="e">
        <f t="shared" si="66"/>
        <v>#N/A</v>
      </c>
      <c r="T597" t="e">
        <f t="shared" si="66"/>
        <v>#N/A</v>
      </c>
      <c r="U597" t="e">
        <f t="shared" si="67"/>
        <v>#N/A</v>
      </c>
      <c r="V597" t="e">
        <f t="shared" si="67"/>
        <v>#N/A</v>
      </c>
      <c r="W597" t="e">
        <f t="shared" si="68"/>
        <v>#N/A</v>
      </c>
      <c r="X597" t="e">
        <f t="shared" si="68"/>
        <v>#N/A</v>
      </c>
      <c r="Y597" t="e">
        <f t="shared" si="69"/>
        <v>#N/A</v>
      </c>
      <c r="Z597" t="e">
        <f t="shared" si="69"/>
        <v>#N/A</v>
      </c>
    </row>
    <row r="598" spans="1:26">
      <c r="A598" t="e">
        <f>IF(ISBLANK('[1]Точность устьев скважин'!A600),#N/A,'[1]Точность устьев скважин'!A600)</f>
        <v>#N/A</v>
      </c>
      <c r="B598" t="e">
        <f>IF(ISBLANK('[1]Точность устьев скважин'!B600),#N/A,'[1]Точность устьев скважин'!B600)</f>
        <v>#N/A</v>
      </c>
      <c r="C598" t="e">
        <f>IF(ISBLANK('[1]Точность устьев скважин'!C600),#N/A,'[1]Точность устьев скважин'!C600)</f>
        <v>#N/A</v>
      </c>
      <c r="D598" t="e">
        <f>IF(ISBLANK('[1]Точность устьев скважин'!D600),#N/A,'[1]Точность устьев скважин'!D600)</f>
        <v>#N/A</v>
      </c>
      <c r="G598" t="e">
        <f>IF(ISBLANK('[1]Точность устьев скважин'!H600),#N/A,'[1]Точность устьев скважин'!H600)</f>
        <v>#N/A</v>
      </c>
      <c r="H598" t="e">
        <f>IF(ISBLANK('[1]Точность устьев скважин'!I600),#N/A,'[1]Точность устьев скважин'!I600)</f>
        <v>#N/A</v>
      </c>
      <c r="I598" t="e">
        <f>IF(ISBLANK('[1]Точность устьев скважин'!J600),#N/A,'[1]Точность устьев скважин'!J600)</f>
        <v>#N/A</v>
      </c>
      <c r="J598" t="e">
        <f>IF(ISBLANK('[1]Точность устьев скважин'!K600),#N/A,'[1]Точность устьев скважин'!K600)</f>
        <v>#N/A</v>
      </c>
      <c r="L598" s="63" t="e">
        <f t="shared" si="70"/>
        <v>#N/A</v>
      </c>
      <c r="O598" t="e">
        <f t="shared" si="64"/>
        <v>#N/A</v>
      </c>
      <c r="P598" t="e">
        <f t="shared" si="64"/>
        <v>#N/A</v>
      </c>
      <c r="Q598" t="e">
        <f t="shared" si="65"/>
        <v>#N/A</v>
      </c>
      <c r="R598" t="e">
        <f t="shared" si="65"/>
        <v>#N/A</v>
      </c>
      <c r="S598" t="e">
        <f t="shared" si="66"/>
        <v>#N/A</v>
      </c>
      <c r="T598" t="e">
        <f t="shared" si="66"/>
        <v>#N/A</v>
      </c>
      <c r="U598" t="e">
        <f t="shared" si="67"/>
        <v>#N/A</v>
      </c>
      <c r="V598" t="e">
        <f t="shared" si="67"/>
        <v>#N/A</v>
      </c>
      <c r="W598" t="e">
        <f t="shared" si="68"/>
        <v>#N/A</v>
      </c>
      <c r="X598" t="e">
        <f t="shared" si="68"/>
        <v>#N/A</v>
      </c>
      <c r="Y598" t="e">
        <f t="shared" si="69"/>
        <v>#N/A</v>
      </c>
      <c r="Z598" t="e">
        <f t="shared" si="69"/>
        <v>#N/A</v>
      </c>
    </row>
    <row r="599" spans="1:26">
      <c r="A599" t="e">
        <f>IF(ISBLANK('[1]Точность устьев скважин'!A601),#N/A,'[1]Точность устьев скважин'!A601)</f>
        <v>#N/A</v>
      </c>
      <c r="B599" t="e">
        <f>IF(ISBLANK('[1]Точность устьев скважин'!B601),#N/A,'[1]Точность устьев скважин'!B601)</f>
        <v>#N/A</v>
      </c>
      <c r="C599" t="e">
        <f>IF(ISBLANK('[1]Точность устьев скважин'!C601),#N/A,'[1]Точность устьев скважин'!C601)</f>
        <v>#N/A</v>
      </c>
      <c r="D599" t="e">
        <f>IF(ISBLANK('[1]Точность устьев скважин'!D601),#N/A,'[1]Точность устьев скважин'!D601)</f>
        <v>#N/A</v>
      </c>
      <c r="G599" t="e">
        <f>IF(ISBLANK('[1]Точность устьев скважин'!H601),#N/A,'[1]Точность устьев скважин'!H601)</f>
        <v>#N/A</v>
      </c>
      <c r="H599" t="e">
        <f>IF(ISBLANK('[1]Точность устьев скважин'!I601),#N/A,'[1]Точность устьев скважин'!I601)</f>
        <v>#N/A</v>
      </c>
      <c r="I599" t="e">
        <f>IF(ISBLANK('[1]Точность устьев скважин'!J601),#N/A,'[1]Точность устьев скважин'!J601)</f>
        <v>#N/A</v>
      </c>
      <c r="J599" t="e">
        <f>IF(ISBLANK('[1]Точность устьев скважин'!K601),#N/A,'[1]Точность устьев скважин'!K601)</f>
        <v>#N/A</v>
      </c>
      <c r="L599" s="63" t="e">
        <f t="shared" si="70"/>
        <v>#N/A</v>
      </c>
      <c r="O599" t="e">
        <f t="shared" si="64"/>
        <v>#N/A</v>
      </c>
      <c r="P599" t="e">
        <f t="shared" si="64"/>
        <v>#N/A</v>
      </c>
      <c r="Q599" t="e">
        <f t="shared" si="65"/>
        <v>#N/A</v>
      </c>
      <c r="R599" t="e">
        <f t="shared" si="65"/>
        <v>#N/A</v>
      </c>
      <c r="S599" t="e">
        <f t="shared" si="66"/>
        <v>#N/A</v>
      </c>
      <c r="T599" t="e">
        <f t="shared" si="66"/>
        <v>#N/A</v>
      </c>
      <c r="U599" t="e">
        <f t="shared" si="67"/>
        <v>#N/A</v>
      </c>
      <c r="V599" t="e">
        <f t="shared" si="67"/>
        <v>#N/A</v>
      </c>
      <c r="W599" t="e">
        <f t="shared" si="68"/>
        <v>#N/A</v>
      </c>
      <c r="X599" t="e">
        <f t="shared" si="68"/>
        <v>#N/A</v>
      </c>
      <c r="Y599" t="e">
        <f t="shared" si="69"/>
        <v>#N/A</v>
      </c>
      <c r="Z599" t="e">
        <f t="shared" si="69"/>
        <v>#N/A</v>
      </c>
    </row>
    <row r="600" spans="1:26">
      <c r="A600" t="e">
        <f>IF(ISBLANK('[1]Точность устьев скважин'!A602),#N/A,'[1]Точность устьев скважин'!A602)</f>
        <v>#N/A</v>
      </c>
      <c r="B600" t="e">
        <f>IF(ISBLANK('[1]Точность устьев скважин'!B602),#N/A,'[1]Точность устьев скважин'!B602)</f>
        <v>#N/A</v>
      </c>
      <c r="C600" t="e">
        <f>IF(ISBLANK('[1]Точность устьев скважин'!C602),#N/A,'[1]Точность устьев скважин'!C602)</f>
        <v>#N/A</v>
      </c>
      <c r="D600" t="e">
        <f>IF(ISBLANK('[1]Точность устьев скважин'!D602),#N/A,'[1]Точность устьев скважин'!D602)</f>
        <v>#N/A</v>
      </c>
      <c r="G600" t="e">
        <f>IF(ISBLANK('[1]Точность устьев скважин'!H602),#N/A,'[1]Точность устьев скважин'!H602)</f>
        <v>#N/A</v>
      </c>
      <c r="H600" t="e">
        <f>IF(ISBLANK('[1]Точность устьев скважин'!I602),#N/A,'[1]Точность устьев скважин'!I602)</f>
        <v>#N/A</v>
      </c>
      <c r="I600" t="e">
        <f>IF(ISBLANK('[1]Точность устьев скважин'!J602),#N/A,'[1]Точность устьев скважин'!J602)</f>
        <v>#N/A</v>
      </c>
      <c r="J600" t="e">
        <f>IF(ISBLANK('[1]Точность устьев скважин'!K602),#N/A,'[1]Точность устьев скважин'!K602)</f>
        <v>#N/A</v>
      </c>
      <c r="L600" s="63" t="e">
        <f t="shared" si="70"/>
        <v>#N/A</v>
      </c>
      <c r="O600" t="e">
        <f t="shared" si="64"/>
        <v>#N/A</v>
      </c>
      <c r="P600" t="e">
        <f t="shared" si="64"/>
        <v>#N/A</v>
      </c>
      <c r="Q600" t="e">
        <f t="shared" si="65"/>
        <v>#N/A</v>
      </c>
      <c r="R600" t="e">
        <f t="shared" si="65"/>
        <v>#N/A</v>
      </c>
      <c r="S600" t="e">
        <f t="shared" si="66"/>
        <v>#N/A</v>
      </c>
      <c r="T600" t="e">
        <f t="shared" si="66"/>
        <v>#N/A</v>
      </c>
      <c r="U600" t="e">
        <f t="shared" si="67"/>
        <v>#N/A</v>
      </c>
      <c r="V600" t="e">
        <f t="shared" si="67"/>
        <v>#N/A</v>
      </c>
      <c r="W600" t="e">
        <f t="shared" si="68"/>
        <v>#N/A</v>
      </c>
      <c r="X600" t="e">
        <f t="shared" si="68"/>
        <v>#N/A</v>
      </c>
      <c r="Y600" t="e">
        <f t="shared" si="69"/>
        <v>#N/A</v>
      </c>
      <c r="Z600" t="e">
        <f t="shared" si="69"/>
        <v>#N/A</v>
      </c>
    </row>
    <row r="601" spans="1:26">
      <c r="A601" t="e">
        <f>IF(ISBLANK('[1]Точность устьев скважин'!A603),#N/A,'[1]Точность устьев скважин'!A603)</f>
        <v>#N/A</v>
      </c>
      <c r="B601" t="e">
        <f>IF(ISBLANK('[1]Точность устьев скважин'!B603),#N/A,'[1]Точность устьев скважин'!B603)</f>
        <v>#N/A</v>
      </c>
      <c r="C601" t="e">
        <f>IF(ISBLANK('[1]Точность устьев скважин'!C603),#N/A,'[1]Точность устьев скважин'!C603)</f>
        <v>#N/A</v>
      </c>
      <c r="D601" t="e">
        <f>IF(ISBLANK('[1]Точность устьев скважин'!D603),#N/A,'[1]Точность устьев скважин'!D603)</f>
        <v>#N/A</v>
      </c>
      <c r="G601" t="e">
        <f>IF(ISBLANK('[1]Точность устьев скважин'!H603),#N/A,'[1]Точность устьев скважин'!H603)</f>
        <v>#N/A</v>
      </c>
      <c r="H601" t="e">
        <f>IF(ISBLANK('[1]Точность устьев скважин'!I603),#N/A,'[1]Точность устьев скважин'!I603)</f>
        <v>#N/A</v>
      </c>
      <c r="I601" t="e">
        <f>IF(ISBLANK('[1]Точность устьев скважин'!J603),#N/A,'[1]Точность устьев скважин'!J603)</f>
        <v>#N/A</v>
      </c>
      <c r="J601" t="e">
        <f>IF(ISBLANK('[1]Точность устьев скважин'!K603),#N/A,'[1]Точность устьев скважин'!K603)</f>
        <v>#N/A</v>
      </c>
      <c r="L601" s="63" t="e">
        <f t="shared" si="70"/>
        <v>#N/A</v>
      </c>
      <c r="O601" t="e">
        <f t="shared" si="64"/>
        <v>#N/A</v>
      </c>
      <c r="P601" t="e">
        <f t="shared" si="64"/>
        <v>#N/A</v>
      </c>
      <c r="Q601" t="e">
        <f t="shared" si="65"/>
        <v>#N/A</v>
      </c>
      <c r="R601" t="e">
        <f t="shared" si="65"/>
        <v>#N/A</v>
      </c>
      <c r="S601" t="e">
        <f t="shared" si="66"/>
        <v>#N/A</v>
      </c>
      <c r="T601" t="e">
        <f t="shared" si="66"/>
        <v>#N/A</v>
      </c>
      <c r="U601" t="e">
        <f t="shared" si="67"/>
        <v>#N/A</v>
      </c>
      <c r="V601" t="e">
        <f t="shared" si="67"/>
        <v>#N/A</v>
      </c>
      <c r="W601" t="e">
        <f t="shared" si="68"/>
        <v>#N/A</v>
      </c>
      <c r="X601" t="e">
        <f t="shared" si="68"/>
        <v>#N/A</v>
      </c>
      <c r="Y601" t="e">
        <f t="shared" si="69"/>
        <v>#N/A</v>
      </c>
      <c r="Z601" t="e">
        <f t="shared" si="69"/>
        <v>#N/A</v>
      </c>
    </row>
    <row r="602" spans="1:26">
      <c r="A602" t="e">
        <f>IF(ISBLANK('[1]Точность устьев скважин'!A604),#N/A,'[1]Точность устьев скважин'!A604)</f>
        <v>#N/A</v>
      </c>
      <c r="B602" t="e">
        <f>IF(ISBLANK('[1]Точность устьев скважин'!B604),#N/A,'[1]Точность устьев скважин'!B604)</f>
        <v>#N/A</v>
      </c>
      <c r="C602" t="e">
        <f>IF(ISBLANK('[1]Точность устьев скважин'!C604),#N/A,'[1]Точность устьев скважин'!C604)</f>
        <v>#N/A</v>
      </c>
      <c r="D602" t="e">
        <f>IF(ISBLANK('[1]Точность устьев скважин'!D604),#N/A,'[1]Точность устьев скважин'!D604)</f>
        <v>#N/A</v>
      </c>
      <c r="G602" t="e">
        <f>IF(ISBLANK('[1]Точность устьев скважин'!H604),#N/A,'[1]Точность устьев скважин'!H604)</f>
        <v>#N/A</v>
      </c>
      <c r="H602" t="e">
        <f>IF(ISBLANK('[1]Точность устьев скважин'!I604),#N/A,'[1]Точность устьев скважин'!I604)</f>
        <v>#N/A</v>
      </c>
      <c r="I602" t="e">
        <f>IF(ISBLANK('[1]Точность устьев скважин'!J604),#N/A,'[1]Точность устьев скважин'!J604)</f>
        <v>#N/A</v>
      </c>
      <c r="J602" t="e">
        <f>IF(ISBLANK('[1]Точность устьев скважин'!K604),#N/A,'[1]Точность устьев скважин'!K604)</f>
        <v>#N/A</v>
      </c>
      <c r="L602" s="63" t="e">
        <f t="shared" si="70"/>
        <v>#N/A</v>
      </c>
      <c r="O602" t="e">
        <f t="shared" si="64"/>
        <v>#N/A</v>
      </c>
      <c r="P602" t="e">
        <f t="shared" si="64"/>
        <v>#N/A</v>
      </c>
      <c r="Q602" t="e">
        <f t="shared" si="65"/>
        <v>#N/A</v>
      </c>
      <c r="R602" t="e">
        <f t="shared" si="65"/>
        <v>#N/A</v>
      </c>
      <c r="S602" t="e">
        <f t="shared" si="66"/>
        <v>#N/A</v>
      </c>
      <c r="T602" t="e">
        <f t="shared" si="66"/>
        <v>#N/A</v>
      </c>
      <c r="U602" t="e">
        <f t="shared" si="67"/>
        <v>#N/A</v>
      </c>
      <c r="V602" t="e">
        <f t="shared" si="67"/>
        <v>#N/A</v>
      </c>
      <c r="W602" t="e">
        <f t="shared" si="68"/>
        <v>#N/A</v>
      </c>
      <c r="X602" t="e">
        <f t="shared" si="68"/>
        <v>#N/A</v>
      </c>
      <c r="Y602" t="e">
        <f t="shared" si="69"/>
        <v>#N/A</v>
      </c>
      <c r="Z602" t="e">
        <f t="shared" si="69"/>
        <v>#N/A</v>
      </c>
    </row>
    <row r="603" spans="1:26">
      <c r="A603" t="e">
        <f>IF(ISBLANK('[1]Точность устьев скважин'!A605),#N/A,'[1]Точность устьев скважин'!A605)</f>
        <v>#N/A</v>
      </c>
      <c r="B603" t="e">
        <f>IF(ISBLANK('[1]Точность устьев скважин'!B605),#N/A,'[1]Точность устьев скважин'!B605)</f>
        <v>#N/A</v>
      </c>
      <c r="C603" t="e">
        <f>IF(ISBLANK('[1]Точность устьев скважин'!C605),#N/A,'[1]Точность устьев скважин'!C605)</f>
        <v>#N/A</v>
      </c>
      <c r="D603" t="e">
        <f>IF(ISBLANK('[1]Точность устьев скважин'!D605),#N/A,'[1]Точность устьев скважин'!D605)</f>
        <v>#N/A</v>
      </c>
      <c r="G603" t="e">
        <f>IF(ISBLANK('[1]Точность устьев скважин'!H605),#N/A,'[1]Точность устьев скважин'!H605)</f>
        <v>#N/A</v>
      </c>
      <c r="H603" t="e">
        <f>IF(ISBLANK('[1]Точность устьев скважин'!I605),#N/A,'[1]Точность устьев скважин'!I605)</f>
        <v>#N/A</v>
      </c>
      <c r="I603" t="e">
        <f>IF(ISBLANK('[1]Точность устьев скважин'!J605),#N/A,'[1]Точность устьев скважин'!J605)</f>
        <v>#N/A</v>
      </c>
      <c r="J603" t="e">
        <f>IF(ISBLANK('[1]Точность устьев скважин'!K605),#N/A,'[1]Точность устьев скважин'!K605)</f>
        <v>#N/A</v>
      </c>
      <c r="L603" s="63" t="e">
        <f t="shared" si="70"/>
        <v>#N/A</v>
      </c>
      <c r="O603" t="e">
        <f t="shared" si="64"/>
        <v>#N/A</v>
      </c>
      <c r="P603" t="e">
        <f t="shared" si="64"/>
        <v>#N/A</v>
      </c>
      <c r="Q603" t="e">
        <f t="shared" si="65"/>
        <v>#N/A</v>
      </c>
      <c r="R603" t="e">
        <f t="shared" si="65"/>
        <v>#N/A</v>
      </c>
      <c r="S603" t="e">
        <f t="shared" si="66"/>
        <v>#N/A</v>
      </c>
      <c r="T603" t="e">
        <f t="shared" si="66"/>
        <v>#N/A</v>
      </c>
      <c r="U603" t="e">
        <f t="shared" si="67"/>
        <v>#N/A</v>
      </c>
      <c r="V603" t="e">
        <f t="shared" si="67"/>
        <v>#N/A</v>
      </c>
      <c r="W603" t="e">
        <f t="shared" si="68"/>
        <v>#N/A</v>
      </c>
      <c r="X603" t="e">
        <f t="shared" si="68"/>
        <v>#N/A</v>
      </c>
      <c r="Y603" t="e">
        <f t="shared" si="69"/>
        <v>#N/A</v>
      </c>
      <c r="Z603" t="e">
        <f t="shared" si="69"/>
        <v>#N/A</v>
      </c>
    </row>
    <row r="604" spans="1:26">
      <c r="A604" t="e">
        <f>IF(ISBLANK('[1]Точность устьев скважин'!A606),#N/A,'[1]Точность устьев скважин'!A606)</f>
        <v>#N/A</v>
      </c>
      <c r="B604" t="e">
        <f>IF(ISBLANK('[1]Точность устьев скважин'!B606),#N/A,'[1]Точность устьев скважин'!B606)</f>
        <v>#N/A</v>
      </c>
      <c r="C604" t="e">
        <f>IF(ISBLANK('[1]Точность устьев скважин'!C606),#N/A,'[1]Точность устьев скважин'!C606)</f>
        <v>#N/A</v>
      </c>
      <c r="D604" t="e">
        <f>IF(ISBLANK('[1]Точность устьев скважин'!D606),#N/A,'[1]Точность устьев скважин'!D606)</f>
        <v>#N/A</v>
      </c>
      <c r="G604" t="e">
        <f>IF(ISBLANK('[1]Точность устьев скважин'!H606),#N/A,'[1]Точность устьев скважин'!H606)</f>
        <v>#N/A</v>
      </c>
      <c r="H604" t="e">
        <f>IF(ISBLANK('[1]Точность устьев скважин'!I606),#N/A,'[1]Точность устьев скважин'!I606)</f>
        <v>#N/A</v>
      </c>
      <c r="I604" t="e">
        <f>IF(ISBLANK('[1]Точность устьев скважин'!J606),#N/A,'[1]Точность устьев скважин'!J606)</f>
        <v>#N/A</v>
      </c>
      <c r="J604" t="e">
        <f>IF(ISBLANK('[1]Точность устьев скважин'!K606),#N/A,'[1]Точность устьев скважин'!K606)</f>
        <v>#N/A</v>
      </c>
      <c r="L604" s="63" t="e">
        <f t="shared" si="70"/>
        <v>#N/A</v>
      </c>
      <c r="O604" t="e">
        <f t="shared" si="64"/>
        <v>#N/A</v>
      </c>
      <c r="P604" t="e">
        <f t="shared" si="64"/>
        <v>#N/A</v>
      </c>
      <c r="Q604" t="e">
        <f t="shared" si="65"/>
        <v>#N/A</v>
      </c>
      <c r="R604" t="e">
        <f t="shared" si="65"/>
        <v>#N/A</v>
      </c>
      <c r="S604" t="e">
        <f t="shared" si="66"/>
        <v>#N/A</v>
      </c>
      <c r="T604" t="e">
        <f t="shared" si="66"/>
        <v>#N/A</v>
      </c>
      <c r="U604" t="e">
        <f t="shared" si="67"/>
        <v>#N/A</v>
      </c>
      <c r="V604" t="e">
        <f t="shared" si="67"/>
        <v>#N/A</v>
      </c>
      <c r="W604" t="e">
        <f t="shared" si="68"/>
        <v>#N/A</v>
      </c>
      <c r="X604" t="e">
        <f t="shared" si="68"/>
        <v>#N/A</v>
      </c>
      <c r="Y604" t="e">
        <f t="shared" si="69"/>
        <v>#N/A</v>
      </c>
      <c r="Z604" t="e">
        <f t="shared" si="69"/>
        <v>#N/A</v>
      </c>
    </row>
    <row r="605" spans="1:26">
      <c r="A605" t="e">
        <f>IF(ISBLANK('[1]Точность устьев скважин'!A607),#N/A,'[1]Точность устьев скважин'!A607)</f>
        <v>#N/A</v>
      </c>
      <c r="B605" t="e">
        <f>IF(ISBLANK('[1]Точность устьев скважин'!B607),#N/A,'[1]Точность устьев скважин'!B607)</f>
        <v>#N/A</v>
      </c>
      <c r="C605" t="e">
        <f>IF(ISBLANK('[1]Точность устьев скважин'!C607),#N/A,'[1]Точность устьев скважин'!C607)</f>
        <v>#N/A</v>
      </c>
      <c r="D605" t="e">
        <f>IF(ISBLANK('[1]Точность устьев скважин'!D607),#N/A,'[1]Точность устьев скважин'!D607)</f>
        <v>#N/A</v>
      </c>
      <c r="G605" t="e">
        <f>IF(ISBLANK('[1]Точность устьев скважин'!H607),#N/A,'[1]Точность устьев скважин'!H607)</f>
        <v>#N/A</v>
      </c>
      <c r="H605" t="e">
        <f>IF(ISBLANK('[1]Точность устьев скважин'!I607),#N/A,'[1]Точность устьев скважин'!I607)</f>
        <v>#N/A</v>
      </c>
      <c r="I605" t="e">
        <f>IF(ISBLANK('[1]Точность устьев скважин'!J607),#N/A,'[1]Точность устьев скважин'!J607)</f>
        <v>#N/A</v>
      </c>
      <c r="J605" t="e">
        <f>IF(ISBLANK('[1]Точность устьев скважин'!K607),#N/A,'[1]Точность устьев скважин'!K607)</f>
        <v>#N/A</v>
      </c>
      <c r="L605" s="63" t="e">
        <f t="shared" si="70"/>
        <v>#N/A</v>
      </c>
      <c r="O605" t="e">
        <f t="shared" si="64"/>
        <v>#N/A</v>
      </c>
      <c r="P605" t="e">
        <f t="shared" si="64"/>
        <v>#N/A</v>
      </c>
      <c r="Q605" t="e">
        <f t="shared" si="65"/>
        <v>#N/A</v>
      </c>
      <c r="R605" t="e">
        <f t="shared" si="65"/>
        <v>#N/A</v>
      </c>
      <c r="S605" t="e">
        <f t="shared" si="66"/>
        <v>#N/A</v>
      </c>
      <c r="T605" t="e">
        <f t="shared" si="66"/>
        <v>#N/A</v>
      </c>
      <c r="U605" t="e">
        <f t="shared" si="67"/>
        <v>#N/A</v>
      </c>
      <c r="V605" t="e">
        <f t="shared" si="67"/>
        <v>#N/A</v>
      </c>
      <c r="W605" t="e">
        <f t="shared" si="68"/>
        <v>#N/A</v>
      </c>
      <c r="X605" t="e">
        <f t="shared" si="68"/>
        <v>#N/A</v>
      </c>
      <c r="Y605" t="e">
        <f t="shared" si="69"/>
        <v>#N/A</v>
      </c>
      <c r="Z605" t="e">
        <f t="shared" si="69"/>
        <v>#N/A</v>
      </c>
    </row>
    <row r="606" spans="1:26">
      <c r="A606" t="e">
        <f>IF(ISBLANK('[1]Точность устьев скважин'!A608),#N/A,'[1]Точность устьев скважин'!A608)</f>
        <v>#N/A</v>
      </c>
      <c r="B606" t="e">
        <f>IF(ISBLANK('[1]Точность устьев скважин'!B608),#N/A,'[1]Точность устьев скважин'!B608)</f>
        <v>#N/A</v>
      </c>
      <c r="C606" t="e">
        <f>IF(ISBLANK('[1]Точность устьев скважин'!C608),#N/A,'[1]Точность устьев скважин'!C608)</f>
        <v>#N/A</v>
      </c>
      <c r="D606" t="e">
        <f>IF(ISBLANK('[1]Точность устьев скважин'!D608),#N/A,'[1]Точность устьев скважин'!D608)</f>
        <v>#N/A</v>
      </c>
      <c r="G606" t="e">
        <f>IF(ISBLANK('[1]Точность устьев скважин'!H608),#N/A,'[1]Точность устьев скважин'!H608)</f>
        <v>#N/A</v>
      </c>
      <c r="H606" t="e">
        <f>IF(ISBLANK('[1]Точность устьев скважин'!I608),#N/A,'[1]Точность устьев скважин'!I608)</f>
        <v>#N/A</v>
      </c>
      <c r="I606" t="e">
        <f>IF(ISBLANK('[1]Точность устьев скважин'!J608),#N/A,'[1]Точность устьев скважин'!J608)</f>
        <v>#N/A</v>
      </c>
      <c r="J606" t="e">
        <f>IF(ISBLANK('[1]Точность устьев скважин'!K608),#N/A,'[1]Точность устьев скважин'!K608)</f>
        <v>#N/A</v>
      </c>
      <c r="L606" s="63" t="e">
        <f t="shared" si="70"/>
        <v>#N/A</v>
      </c>
      <c r="O606" t="e">
        <f t="shared" si="64"/>
        <v>#N/A</v>
      </c>
      <c r="P606" t="e">
        <f t="shared" si="64"/>
        <v>#N/A</v>
      </c>
      <c r="Q606" t="e">
        <f t="shared" si="65"/>
        <v>#N/A</v>
      </c>
      <c r="R606" t="e">
        <f t="shared" si="65"/>
        <v>#N/A</v>
      </c>
      <c r="S606" t="e">
        <f t="shared" si="66"/>
        <v>#N/A</v>
      </c>
      <c r="T606" t="e">
        <f t="shared" si="66"/>
        <v>#N/A</v>
      </c>
      <c r="U606" t="e">
        <f t="shared" si="67"/>
        <v>#N/A</v>
      </c>
      <c r="V606" t="e">
        <f t="shared" si="67"/>
        <v>#N/A</v>
      </c>
      <c r="W606" t="e">
        <f t="shared" si="68"/>
        <v>#N/A</v>
      </c>
      <c r="X606" t="e">
        <f t="shared" si="68"/>
        <v>#N/A</v>
      </c>
      <c r="Y606" t="e">
        <f t="shared" si="69"/>
        <v>#N/A</v>
      </c>
      <c r="Z606" t="e">
        <f t="shared" si="69"/>
        <v>#N/A</v>
      </c>
    </row>
    <row r="607" spans="1:26">
      <c r="A607" t="e">
        <f>IF(ISBLANK('[1]Точность устьев скважин'!A609),#N/A,'[1]Точность устьев скважин'!A609)</f>
        <v>#N/A</v>
      </c>
      <c r="B607" t="e">
        <f>IF(ISBLANK('[1]Точность устьев скважин'!B609),#N/A,'[1]Точность устьев скважин'!B609)</f>
        <v>#N/A</v>
      </c>
      <c r="C607" t="e">
        <f>IF(ISBLANK('[1]Точность устьев скважин'!C609),#N/A,'[1]Точность устьев скважин'!C609)</f>
        <v>#N/A</v>
      </c>
      <c r="D607" t="e">
        <f>IF(ISBLANK('[1]Точность устьев скважин'!D609),#N/A,'[1]Точность устьев скважин'!D609)</f>
        <v>#N/A</v>
      </c>
      <c r="G607" t="e">
        <f>IF(ISBLANK('[1]Точность устьев скважин'!H609),#N/A,'[1]Точность устьев скважин'!H609)</f>
        <v>#N/A</v>
      </c>
      <c r="H607" t="e">
        <f>IF(ISBLANK('[1]Точность устьев скважин'!I609),#N/A,'[1]Точность устьев скважин'!I609)</f>
        <v>#N/A</v>
      </c>
      <c r="I607" t="e">
        <f>IF(ISBLANK('[1]Точность устьев скважин'!J609),#N/A,'[1]Точность устьев скважин'!J609)</f>
        <v>#N/A</v>
      </c>
      <c r="J607" t="e">
        <f>IF(ISBLANK('[1]Точность устьев скважин'!K609),#N/A,'[1]Точность устьев скважин'!K609)</f>
        <v>#N/A</v>
      </c>
      <c r="L607" s="63" t="e">
        <f t="shared" si="70"/>
        <v>#N/A</v>
      </c>
      <c r="O607" t="e">
        <f t="shared" si="64"/>
        <v>#N/A</v>
      </c>
      <c r="P607" t="e">
        <f t="shared" si="64"/>
        <v>#N/A</v>
      </c>
      <c r="Q607" t="e">
        <f t="shared" si="65"/>
        <v>#N/A</v>
      </c>
      <c r="R607" t="e">
        <f t="shared" si="65"/>
        <v>#N/A</v>
      </c>
      <c r="S607" t="e">
        <f t="shared" si="66"/>
        <v>#N/A</v>
      </c>
      <c r="T607" t="e">
        <f t="shared" si="66"/>
        <v>#N/A</v>
      </c>
      <c r="U607" t="e">
        <f t="shared" si="67"/>
        <v>#N/A</v>
      </c>
      <c r="V607" t="e">
        <f t="shared" si="67"/>
        <v>#N/A</v>
      </c>
      <c r="W607" t="e">
        <f t="shared" si="68"/>
        <v>#N/A</v>
      </c>
      <c r="X607" t="e">
        <f t="shared" si="68"/>
        <v>#N/A</v>
      </c>
      <c r="Y607" t="e">
        <f t="shared" si="69"/>
        <v>#N/A</v>
      </c>
      <c r="Z607" t="e">
        <f t="shared" si="69"/>
        <v>#N/A</v>
      </c>
    </row>
    <row r="608" spans="1:26">
      <c r="A608" t="e">
        <f>IF(ISBLANK('[1]Точность устьев скважин'!A610),#N/A,'[1]Точность устьев скважин'!A610)</f>
        <v>#N/A</v>
      </c>
      <c r="B608" t="e">
        <f>IF(ISBLANK('[1]Точность устьев скважин'!B610),#N/A,'[1]Точность устьев скважин'!B610)</f>
        <v>#N/A</v>
      </c>
      <c r="C608" t="e">
        <f>IF(ISBLANK('[1]Точность устьев скважин'!C610),#N/A,'[1]Точность устьев скважин'!C610)</f>
        <v>#N/A</v>
      </c>
      <c r="D608" t="e">
        <f>IF(ISBLANK('[1]Точность устьев скважин'!D610),#N/A,'[1]Точность устьев скважин'!D610)</f>
        <v>#N/A</v>
      </c>
      <c r="G608" t="e">
        <f>IF(ISBLANK('[1]Точность устьев скважин'!H610),#N/A,'[1]Точность устьев скважин'!H610)</f>
        <v>#N/A</v>
      </c>
      <c r="H608" t="e">
        <f>IF(ISBLANK('[1]Точность устьев скважин'!I610),#N/A,'[1]Точность устьев скважин'!I610)</f>
        <v>#N/A</v>
      </c>
      <c r="I608" t="e">
        <f>IF(ISBLANK('[1]Точность устьев скважин'!J610),#N/A,'[1]Точность устьев скважин'!J610)</f>
        <v>#N/A</v>
      </c>
      <c r="J608" t="e">
        <f>IF(ISBLANK('[1]Точность устьев скважин'!K610),#N/A,'[1]Точность устьев скважин'!K610)</f>
        <v>#N/A</v>
      </c>
      <c r="L608" s="63" t="e">
        <f t="shared" si="70"/>
        <v>#N/A</v>
      </c>
      <c r="O608" t="e">
        <f t="shared" si="64"/>
        <v>#N/A</v>
      </c>
      <c r="P608" t="e">
        <f t="shared" si="64"/>
        <v>#N/A</v>
      </c>
      <c r="Q608" t="e">
        <f t="shared" si="65"/>
        <v>#N/A</v>
      </c>
      <c r="R608" t="e">
        <f t="shared" si="65"/>
        <v>#N/A</v>
      </c>
      <c r="S608" t="e">
        <f t="shared" si="66"/>
        <v>#N/A</v>
      </c>
      <c r="T608" t="e">
        <f t="shared" si="66"/>
        <v>#N/A</v>
      </c>
      <c r="U608" t="e">
        <f t="shared" si="67"/>
        <v>#N/A</v>
      </c>
      <c r="V608" t="e">
        <f t="shared" si="67"/>
        <v>#N/A</v>
      </c>
      <c r="W608" t="e">
        <f t="shared" si="68"/>
        <v>#N/A</v>
      </c>
      <c r="X608" t="e">
        <f t="shared" si="68"/>
        <v>#N/A</v>
      </c>
      <c r="Y608" t="e">
        <f t="shared" si="69"/>
        <v>#N/A</v>
      </c>
      <c r="Z608" t="e">
        <f t="shared" si="69"/>
        <v>#N/A</v>
      </c>
    </row>
    <row r="609" spans="1:26">
      <c r="A609" t="e">
        <f>IF(ISBLANK('[1]Точность устьев скважин'!A611),#N/A,'[1]Точность устьев скважин'!A611)</f>
        <v>#N/A</v>
      </c>
      <c r="B609" t="e">
        <f>IF(ISBLANK('[1]Точность устьев скважин'!B611),#N/A,'[1]Точность устьев скважин'!B611)</f>
        <v>#N/A</v>
      </c>
      <c r="C609" t="e">
        <f>IF(ISBLANK('[1]Точность устьев скважин'!C611),#N/A,'[1]Точность устьев скважин'!C611)</f>
        <v>#N/A</v>
      </c>
      <c r="D609" t="e">
        <f>IF(ISBLANK('[1]Точность устьев скважин'!D611),#N/A,'[1]Точность устьев скважин'!D611)</f>
        <v>#N/A</v>
      </c>
      <c r="G609" t="e">
        <f>IF(ISBLANK('[1]Точность устьев скважин'!H611),#N/A,'[1]Точность устьев скважин'!H611)</f>
        <v>#N/A</v>
      </c>
      <c r="H609" t="e">
        <f>IF(ISBLANK('[1]Точность устьев скважин'!I611),#N/A,'[1]Точность устьев скважин'!I611)</f>
        <v>#N/A</v>
      </c>
      <c r="I609" t="e">
        <f>IF(ISBLANK('[1]Точность устьев скважин'!J611),#N/A,'[1]Точность устьев скважин'!J611)</f>
        <v>#N/A</v>
      </c>
      <c r="J609" t="e">
        <f>IF(ISBLANK('[1]Точность устьев скважин'!K611),#N/A,'[1]Точность устьев скважин'!K611)</f>
        <v>#N/A</v>
      </c>
      <c r="L609" s="63" t="e">
        <f t="shared" si="70"/>
        <v>#N/A</v>
      </c>
      <c r="O609" t="e">
        <f t="shared" si="64"/>
        <v>#N/A</v>
      </c>
      <c r="P609" t="e">
        <f t="shared" si="64"/>
        <v>#N/A</v>
      </c>
      <c r="Q609" t="e">
        <f t="shared" si="65"/>
        <v>#N/A</v>
      </c>
      <c r="R609" t="e">
        <f t="shared" si="65"/>
        <v>#N/A</v>
      </c>
      <c r="S609" t="e">
        <f t="shared" si="66"/>
        <v>#N/A</v>
      </c>
      <c r="T609" t="e">
        <f t="shared" si="66"/>
        <v>#N/A</v>
      </c>
      <c r="U609" t="e">
        <f t="shared" si="67"/>
        <v>#N/A</v>
      </c>
      <c r="V609" t="e">
        <f t="shared" si="67"/>
        <v>#N/A</v>
      </c>
      <c r="W609" t="e">
        <f t="shared" si="68"/>
        <v>#N/A</v>
      </c>
      <c r="X609" t="e">
        <f t="shared" si="68"/>
        <v>#N/A</v>
      </c>
      <c r="Y609" t="e">
        <f t="shared" si="69"/>
        <v>#N/A</v>
      </c>
      <c r="Z609" t="e">
        <f t="shared" si="69"/>
        <v>#N/A</v>
      </c>
    </row>
    <row r="610" spans="1:26">
      <c r="A610" t="e">
        <f>IF(ISBLANK('[1]Точность устьев скважин'!A612),#N/A,'[1]Точность устьев скважин'!A612)</f>
        <v>#N/A</v>
      </c>
      <c r="B610" t="e">
        <f>IF(ISBLANK('[1]Точность устьев скважин'!B612),#N/A,'[1]Точность устьев скважин'!B612)</f>
        <v>#N/A</v>
      </c>
      <c r="C610" t="e">
        <f>IF(ISBLANK('[1]Точность устьев скважин'!C612),#N/A,'[1]Точность устьев скважин'!C612)</f>
        <v>#N/A</v>
      </c>
      <c r="D610" t="e">
        <f>IF(ISBLANK('[1]Точность устьев скважин'!D612),#N/A,'[1]Точность устьев скважин'!D612)</f>
        <v>#N/A</v>
      </c>
      <c r="G610" t="e">
        <f>IF(ISBLANK('[1]Точность устьев скважин'!H612),#N/A,'[1]Точность устьев скважин'!H612)</f>
        <v>#N/A</v>
      </c>
      <c r="H610" t="e">
        <f>IF(ISBLANK('[1]Точность устьев скважин'!I612),#N/A,'[1]Точность устьев скважин'!I612)</f>
        <v>#N/A</v>
      </c>
      <c r="I610" t="e">
        <f>IF(ISBLANK('[1]Точность устьев скважин'!J612),#N/A,'[1]Точность устьев скважин'!J612)</f>
        <v>#N/A</v>
      </c>
      <c r="J610" t="e">
        <f>IF(ISBLANK('[1]Точность устьев скважин'!K612),#N/A,'[1]Точность устьев скважин'!K612)</f>
        <v>#N/A</v>
      </c>
      <c r="L610" s="63" t="e">
        <f t="shared" si="70"/>
        <v>#N/A</v>
      </c>
      <c r="O610" t="e">
        <f t="shared" si="64"/>
        <v>#N/A</v>
      </c>
      <c r="P610" t="e">
        <f t="shared" si="64"/>
        <v>#N/A</v>
      </c>
      <c r="Q610" t="e">
        <f t="shared" si="65"/>
        <v>#N/A</v>
      </c>
      <c r="R610" t="e">
        <f t="shared" si="65"/>
        <v>#N/A</v>
      </c>
      <c r="S610" t="e">
        <f t="shared" si="66"/>
        <v>#N/A</v>
      </c>
      <c r="T610" t="e">
        <f t="shared" si="66"/>
        <v>#N/A</v>
      </c>
      <c r="U610" t="e">
        <f t="shared" si="67"/>
        <v>#N/A</v>
      </c>
      <c r="V610" t="e">
        <f t="shared" si="67"/>
        <v>#N/A</v>
      </c>
      <c r="W610" t="e">
        <f t="shared" si="68"/>
        <v>#N/A</v>
      </c>
      <c r="X610" t="e">
        <f t="shared" si="68"/>
        <v>#N/A</v>
      </c>
      <c r="Y610" t="e">
        <f t="shared" si="69"/>
        <v>#N/A</v>
      </c>
      <c r="Z610" t="e">
        <f t="shared" si="69"/>
        <v>#N/A</v>
      </c>
    </row>
    <row r="611" spans="1:26">
      <c r="A611" t="e">
        <f>IF(ISBLANK('[1]Точность устьев скважин'!A613),#N/A,'[1]Точность устьев скважин'!A613)</f>
        <v>#N/A</v>
      </c>
      <c r="B611" t="e">
        <f>IF(ISBLANK('[1]Точность устьев скважин'!B613),#N/A,'[1]Точность устьев скважин'!B613)</f>
        <v>#N/A</v>
      </c>
      <c r="C611" t="e">
        <f>IF(ISBLANK('[1]Точность устьев скважин'!C613),#N/A,'[1]Точность устьев скважин'!C613)</f>
        <v>#N/A</v>
      </c>
      <c r="D611" t="e">
        <f>IF(ISBLANK('[1]Точность устьев скважин'!D613),#N/A,'[1]Точность устьев скважин'!D613)</f>
        <v>#N/A</v>
      </c>
      <c r="G611" t="e">
        <f>IF(ISBLANK('[1]Точность устьев скважин'!H613),#N/A,'[1]Точность устьев скважин'!H613)</f>
        <v>#N/A</v>
      </c>
      <c r="H611" t="e">
        <f>IF(ISBLANK('[1]Точность устьев скважин'!I613),#N/A,'[1]Точность устьев скважин'!I613)</f>
        <v>#N/A</v>
      </c>
      <c r="I611" t="e">
        <f>IF(ISBLANK('[1]Точность устьев скважин'!J613),#N/A,'[1]Точность устьев скважин'!J613)</f>
        <v>#N/A</v>
      </c>
      <c r="J611" t="e">
        <f>IF(ISBLANK('[1]Точность устьев скважин'!K613),#N/A,'[1]Точность устьев скважин'!K613)</f>
        <v>#N/A</v>
      </c>
      <c r="L611" s="63" t="e">
        <f t="shared" si="70"/>
        <v>#N/A</v>
      </c>
      <c r="O611" t="e">
        <f t="shared" si="64"/>
        <v>#N/A</v>
      </c>
      <c r="P611" t="e">
        <f t="shared" si="64"/>
        <v>#N/A</v>
      </c>
      <c r="Q611" t="e">
        <f t="shared" si="65"/>
        <v>#N/A</v>
      </c>
      <c r="R611" t="e">
        <f t="shared" si="65"/>
        <v>#N/A</v>
      </c>
      <c r="S611" t="e">
        <f t="shared" si="66"/>
        <v>#N/A</v>
      </c>
      <c r="T611" t="e">
        <f t="shared" si="66"/>
        <v>#N/A</v>
      </c>
      <c r="U611" t="e">
        <f t="shared" si="67"/>
        <v>#N/A</v>
      </c>
      <c r="V611" t="e">
        <f t="shared" si="67"/>
        <v>#N/A</v>
      </c>
      <c r="W611" t="e">
        <f t="shared" si="68"/>
        <v>#N/A</v>
      </c>
      <c r="X611" t="e">
        <f t="shared" si="68"/>
        <v>#N/A</v>
      </c>
      <c r="Y611" t="e">
        <f t="shared" si="69"/>
        <v>#N/A</v>
      </c>
      <c r="Z611" t="e">
        <f t="shared" si="69"/>
        <v>#N/A</v>
      </c>
    </row>
    <row r="612" spans="1:26">
      <c r="A612" t="e">
        <f>IF(ISBLANK('[1]Точность устьев скважин'!A614),#N/A,'[1]Точность устьев скважин'!A614)</f>
        <v>#N/A</v>
      </c>
      <c r="B612" t="e">
        <f>IF(ISBLANK('[1]Точность устьев скважин'!B614),#N/A,'[1]Точность устьев скважин'!B614)</f>
        <v>#N/A</v>
      </c>
      <c r="C612" t="e">
        <f>IF(ISBLANK('[1]Точность устьев скважин'!C614),#N/A,'[1]Точность устьев скважин'!C614)</f>
        <v>#N/A</v>
      </c>
      <c r="D612" t="e">
        <f>IF(ISBLANK('[1]Точность устьев скважин'!D614),#N/A,'[1]Точность устьев скважин'!D614)</f>
        <v>#N/A</v>
      </c>
      <c r="G612" t="e">
        <f>IF(ISBLANK('[1]Точность устьев скважин'!H614),#N/A,'[1]Точность устьев скважин'!H614)</f>
        <v>#N/A</v>
      </c>
      <c r="H612" t="e">
        <f>IF(ISBLANK('[1]Точность устьев скважин'!I614),#N/A,'[1]Точность устьев скважин'!I614)</f>
        <v>#N/A</v>
      </c>
      <c r="I612" t="e">
        <f>IF(ISBLANK('[1]Точность устьев скважин'!J614),#N/A,'[1]Точность устьев скважин'!J614)</f>
        <v>#N/A</v>
      </c>
      <c r="J612" t="e">
        <f>IF(ISBLANK('[1]Точность устьев скважин'!K614),#N/A,'[1]Точность устьев скважин'!K614)</f>
        <v>#N/A</v>
      </c>
      <c r="L612" s="63" t="e">
        <f t="shared" si="70"/>
        <v>#N/A</v>
      </c>
      <c r="O612" t="e">
        <f t="shared" si="64"/>
        <v>#N/A</v>
      </c>
      <c r="P612" t="e">
        <f t="shared" si="64"/>
        <v>#N/A</v>
      </c>
      <c r="Q612" t="e">
        <f t="shared" si="65"/>
        <v>#N/A</v>
      </c>
      <c r="R612" t="e">
        <f t="shared" si="65"/>
        <v>#N/A</v>
      </c>
      <c r="S612" t="e">
        <f t="shared" si="66"/>
        <v>#N/A</v>
      </c>
      <c r="T612" t="e">
        <f t="shared" si="66"/>
        <v>#N/A</v>
      </c>
      <c r="U612" t="e">
        <f t="shared" si="67"/>
        <v>#N/A</v>
      </c>
      <c r="V612" t="e">
        <f t="shared" si="67"/>
        <v>#N/A</v>
      </c>
      <c r="W612" t="e">
        <f t="shared" si="68"/>
        <v>#N/A</v>
      </c>
      <c r="X612" t="e">
        <f t="shared" si="68"/>
        <v>#N/A</v>
      </c>
      <c r="Y612" t="e">
        <f t="shared" si="69"/>
        <v>#N/A</v>
      </c>
      <c r="Z612" t="e">
        <f t="shared" si="69"/>
        <v>#N/A</v>
      </c>
    </row>
    <row r="613" spans="1:26">
      <c r="A613" t="e">
        <f>IF(ISBLANK('[1]Точность устьев скважин'!A615),#N/A,'[1]Точность устьев скважин'!A615)</f>
        <v>#N/A</v>
      </c>
      <c r="B613" t="e">
        <f>IF(ISBLANK('[1]Точность устьев скважин'!B615),#N/A,'[1]Точность устьев скважин'!B615)</f>
        <v>#N/A</v>
      </c>
      <c r="C613" t="e">
        <f>IF(ISBLANK('[1]Точность устьев скважин'!C615),#N/A,'[1]Точность устьев скважин'!C615)</f>
        <v>#N/A</v>
      </c>
      <c r="D613" t="e">
        <f>IF(ISBLANK('[1]Точность устьев скважин'!D615),#N/A,'[1]Точность устьев скважин'!D615)</f>
        <v>#N/A</v>
      </c>
      <c r="G613" t="e">
        <f>IF(ISBLANK('[1]Точность устьев скважин'!H615),#N/A,'[1]Точность устьев скважин'!H615)</f>
        <v>#N/A</v>
      </c>
      <c r="H613" t="e">
        <f>IF(ISBLANK('[1]Точность устьев скважин'!I615),#N/A,'[1]Точность устьев скважин'!I615)</f>
        <v>#N/A</v>
      </c>
      <c r="I613" t="e">
        <f>IF(ISBLANK('[1]Точность устьев скважин'!J615),#N/A,'[1]Точность устьев скважин'!J615)</f>
        <v>#N/A</v>
      </c>
      <c r="J613" t="e">
        <f>IF(ISBLANK('[1]Точность устьев скважин'!K615),#N/A,'[1]Точность устьев скважин'!K615)</f>
        <v>#N/A</v>
      </c>
      <c r="L613" s="63" t="e">
        <f t="shared" si="70"/>
        <v>#N/A</v>
      </c>
      <c r="O613" t="e">
        <f t="shared" si="64"/>
        <v>#N/A</v>
      </c>
      <c r="P613" t="e">
        <f t="shared" si="64"/>
        <v>#N/A</v>
      </c>
      <c r="Q613" t="e">
        <f t="shared" si="65"/>
        <v>#N/A</v>
      </c>
      <c r="R613" t="e">
        <f t="shared" si="65"/>
        <v>#N/A</v>
      </c>
      <c r="S613" t="e">
        <f t="shared" si="66"/>
        <v>#N/A</v>
      </c>
      <c r="T613" t="e">
        <f t="shared" si="66"/>
        <v>#N/A</v>
      </c>
      <c r="U613" t="e">
        <f t="shared" si="67"/>
        <v>#N/A</v>
      </c>
      <c r="V613" t="e">
        <f t="shared" si="67"/>
        <v>#N/A</v>
      </c>
      <c r="W613" t="e">
        <f t="shared" si="68"/>
        <v>#N/A</v>
      </c>
      <c r="X613" t="e">
        <f t="shared" si="68"/>
        <v>#N/A</v>
      </c>
      <c r="Y613" t="e">
        <f t="shared" si="69"/>
        <v>#N/A</v>
      </c>
      <c r="Z613" t="e">
        <f t="shared" si="69"/>
        <v>#N/A</v>
      </c>
    </row>
    <row r="614" spans="1:26">
      <c r="A614" t="e">
        <f>IF(ISBLANK('[1]Точность устьев скважин'!A616),#N/A,'[1]Точность устьев скважин'!A616)</f>
        <v>#N/A</v>
      </c>
      <c r="B614" t="e">
        <f>IF(ISBLANK('[1]Точность устьев скважин'!B616),#N/A,'[1]Точность устьев скважин'!B616)</f>
        <v>#N/A</v>
      </c>
      <c r="C614" t="e">
        <f>IF(ISBLANK('[1]Точность устьев скважин'!C616),#N/A,'[1]Точность устьев скважин'!C616)</f>
        <v>#N/A</v>
      </c>
      <c r="D614" t="e">
        <f>IF(ISBLANK('[1]Точность устьев скважин'!D616),#N/A,'[1]Точность устьев скважин'!D616)</f>
        <v>#N/A</v>
      </c>
      <c r="G614" t="e">
        <f>IF(ISBLANK('[1]Точность устьев скважин'!H616),#N/A,'[1]Точность устьев скважин'!H616)</f>
        <v>#N/A</v>
      </c>
      <c r="H614" t="e">
        <f>IF(ISBLANK('[1]Точность устьев скважин'!I616),#N/A,'[1]Точность устьев скважин'!I616)</f>
        <v>#N/A</v>
      </c>
      <c r="I614" t="e">
        <f>IF(ISBLANK('[1]Точность устьев скважин'!J616),#N/A,'[1]Точность устьев скважин'!J616)</f>
        <v>#N/A</v>
      </c>
      <c r="J614" t="e">
        <f>IF(ISBLANK('[1]Точность устьев скважин'!K616),#N/A,'[1]Точность устьев скважин'!K616)</f>
        <v>#N/A</v>
      </c>
      <c r="L614" s="63" t="e">
        <f t="shared" si="70"/>
        <v>#N/A</v>
      </c>
      <c r="O614" t="e">
        <f t="shared" si="64"/>
        <v>#N/A</v>
      </c>
      <c r="P614" t="e">
        <f t="shared" si="64"/>
        <v>#N/A</v>
      </c>
      <c r="Q614" t="e">
        <f t="shared" si="65"/>
        <v>#N/A</v>
      </c>
      <c r="R614" t="e">
        <f t="shared" si="65"/>
        <v>#N/A</v>
      </c>
      <c r="S614" t="e">
        <f t="shared" si="66"/>
        <v>#N/A</v>
      </c>
      <c r="T614" t="e">
        <f t="shared" si="66"/>
        <v>#N/A</v>
      </c>
      <c r="U614" t="e">
        <f t="shared" si="67"/>
        <v>#N/A</v>
      </c>
      <c r="V614" t="e">
        <f t="shared" si="67"/>
        <v>#N/A</v>
      </c>
      <c r="W614" t="e">
        <f t="shared" si="68"/>
        <v>#N/A</v>
      </c>
      <c r="X614" t="e">
        <f t="shared" si="68"/>
        <v>#N/A</v>
      </c>
      <c r="Y614" t="e">
        <f t="shared" si="69"/>
        <v>#N/A</v>
      </c>
      <c r="Z614" t="e">
        <f t="shared" si="69"/>
        <v>#N/A</v>
      </c>
    </row>
    <row r="615" spans="1:26">
      <c r="A615" t="e">
        <f>IF(ISBLANK('[1]Точность устьев скважин'!A617),#N/A,'[1]Точность устьев скважин'!A617)</f>
        <v>#N/A</v>
      </c>
      <c r="B615" t="e">
        <f>IF(ISBLANK('[1]Точность устьев скважин'!B617),#N/A,'[1]Точность устьев скважин'!B617)</f>
        <v>#N/A</v>
      </c>
      <c r="C615" t="e">
        <f>IF(ISBLANK('[1]Точность устьев скважин'!C617),#N/A,'[1]Точность устьев скважин'!C617)</f>
        <v>#N/A</v>
      </c>
      <c r="D615" t="e">
        <f>IF(ISBLANK('[1]Точность устьев скважин'!D617),#N/A,'[1]Точность устьев скважин'!D617)</f>
        <v>#N/A</v>
      </c>
      <c r="G615" t="e">
        <f>IF(ISBLANK('[1]Точность устьев скважин'!H617),#N/A,'[1]Точность устьев скважин'!H617)</f>
        <v>#N/A</v>
      </c>
      <c r="H615" t="e">
        <f>IF(ISBLANK('[1]Точность устьев скважин'!I617),#N/A,'[1]Точность устьев скважин'!I617)</f>
        <v>#N/A</v>
      </c>
      <c r="I615" t="e">
        <f>IF(ISBLANK('[1]Точность устьев скважин'!J617),#N/A,'[1]Точность устьев скважин'!J617)</f>
        <v>#N/A</v>
      </c>
      <c r="J615" t="e">
        <f>IF(ISBLANK('[1]Точность устьев скважин'!K617),#N/A,'[1]Точность устьев скважин'!K617)</f>
        <v>#N/A</v>
      </c>
      <c r="L615" s="63" t="e">
        <f t="shared" si="70"/>
        <v>#N/A</v>
      </c>
      <c r="O615" t="e">
        <f t="shared" si="64"/>
        <v>#N/A</v>
      </c>
      <c r="P615" t="e">
        <f t="shared" si="64"/>
        <v>#N/A</v>
      </c>
      <c r="Q615" t="e">
        <f t="shared" si="65"/>
        <v>#N/A</v>
      </c>
      <c r="R615" t="e">
        <f t="shared" si="65"/>
        <v>#N/A</v>
      </c>
      <c r="S615" t="e">
        <f t="shared" si="66"/>
        <v>#N/A</v>
      </c>
      <c r="T615" t="e">
        <f t="shared" si="66"/>
        <v>#N/A</v>
      </c>
      <c r="U615" t="e">
        <f t="shared" si="67"/>
        <v>#N/A</v>
      </c>
      <c r="V615" t="e">
        <f t="shared" si="67"/>
        <v>#N/A</v>
      </c>
      <c r="W615" t="e">
        <f t="shared" si="68"/>
        <v>#N/A</v>
      </c>
      <c r="X615" t="e">
        <f t="shared" si="68"/>
        <v>#N/A</v>
      </c>
      <c r="Y615" t="e">
        <f t="shared" si="69"/>
        <v>#N/A</v>
      </c>
      <c r="Z615" t="e">
        <f t="shared" si="69"/>
        <v>#N/A</v>
      </c>
    </row>
    <row r="616" spans="1:26">
      <c r="A616" t="e">
        <f>IF(ISBLANK('[1]Точность устьев скважин'!A618),#N/A,'[1]Точность устьев скважин'!A618)</f>
        <v>#N/A</v>
      </c>
      <c r="B616" t="e">
        <f>IF(ISBLANK('[1]Точность устьев скважин'!B618),#N/A,'[1]Точность устьев скважин'!B618)</f>
        <v>#N/A</v>
      </c>
      <c r="C616" t="e">
        <f>IF(ISBLANK('[1]Точность устьев скважин'!C618),#N/A,'[1]Точность устьев скважин'!C618)</f>
        <v>#N/A</v>
      </c>
      <c r="D616" t="e">
        <f>IF(ISBLANK('[1]Точность устьев скважин'!D618),#N/A,'[1]Точность устьев скважин'!D618)</f>
        <v>#N/A</v>
      </c>
      <c r="G616" t="e">
        <f>IF(ISBLANK('[1]Точность устьев скважин'!H618),#N/A,'[1]Точность устьев скважин'!H618)</f>
        <v>#N/A</v>
      </c>
      <c r="H616" t="e">
        <f>IF(ISBLANK('[1]Точность устьев скважин'!I618),#N/A,'[1]Точность устьев скважин'!I618)</f>
        <v>#N/A</v>
      </c>
      <c r="I616" t="e">
        <f>IF(ISBLANK('[1]Точность устьев скважин'!J618),#N/A,'[1]Точность устьев скважин'!J618)</f>
        <v>#N/A</v>
      </c>
      <c r="J616" t="e">
        <f>IF(ISBLANK('[1]Точность устьев скважин'!K618),#N/A,'[1]Точность устьев скважин'!K618)</f>
        <v>#N/A</v>
      </c>
      <c r="L616" s="63" t="e">
        <f t="shared" si="70"/>
        <v>#N/A</v>
      </c>
      <c r="O616" t="e">
        <f t="shared" si="64"/>
        <v>#N/A</v>
      </c>
      <c r="P616" t="e">
        <f t="shared" si="64"/>
        <v>#N/A</v>
      </c>
      <c r="Q616" t="e">
        <f t="shared" si="65"/>
        <v>#N/A</v>
      </c>
      <c r="R616" t="e">
        <f t="shared" si="65"/>
        <v>#N/A</v>
      </c>
      <c r="S616" t="e">
        <f t="shared" si="66"/>
        <v>#N/A</v>
      </c>
      <c r="T616" t="e">
        <f t="shared" si="66"/>
        <v>#N/A</v>
      </c>
      <c r="U616" t="e">
        <f t="shared" si="67"/>
        <v>#N/A</v>
      </c>
      <c r="V616" t="e">
        <f t="shared" si="67"/>
        <v>#N/A</v>
      </c>
      <c r="W616" t="e">
        <f t="shared" si="68"/>
        <v>#N/A</v>
      </c>
      <c r="X616" t="e">
        <f t="shared" si="68"/>
        <v>#N/A</v>
      </c>
      <c r="Y616" t="e">
        <f t="shared" si="69"/>
        <v>#N/A</v>
      </c>
      <c r="Z616" t="e">
        <f t="shared" si="69"/>
        <v>#N/A</v>
      </c>
    </row>
    <row r="617" spans="1:26">
      <c r="A617" t="e">
        <f>IF(ISBLANK('[1]Точность устьев скважин'!A619),#N/A,'[1]Точность устьев скважин'!A619)</f>
        <v>#N/A</v>
      </c>
      <c r="B617" t="e">
        <f>IF(ISBLANK('[1]Точность устьев скважин'!B619),#N/A,'[1]Точность устьев скважин'!B619)</f>
        <v>#N/A</v>
      </c>
      <c r="C617" t="e">
        <f>IF(ISBLANK('[1]Точность устьев скважин'!C619),#N/A,'[1]Точность устьев скважин'!C619)</f>
        <v>#N/A</v>
      </c>
      <c r="D617" t="e">
        <f>IF(ISBLANK('[1]Точность устьев скважин'!D619),#N/A,'[1]Точность устьев скважин'!D619)</f>
        <v>#N/A</v>
      </c>
      <c r="G617" t="e">
        <f>IF(ISBLANK('[1]Точность устьев скважин'!H619),#N/A,'[1]Точность устьев скважин'!H619)</f>
        <v>#N/A</v>
      </c>
      <c r="H617" t="e">
        <f>IF(ISBLANK('[1]Точность устьев скважин'!I619),#N/A,'[1]Точность устьев скважин'!I619)</f>
        <v>#N/A</v>
      </c>
      <c r="I617" t="e">
        <f>IF(ISBLANK('[1]Точность устьев скважин'!J619),#N/A,'[1]Точность устьев скважин'!J619)</f>
        <v>#N/A</v>
      </c>
      <c r="J617" t="e">
        <f>IF(ISBLANK('[1]Точность устьев скважин'!K619),#N/A,'[1]Точность устьев скважин'!K619)</f>
        <v>#N/A</v>
      </c>
      <c r="L617" s="63" t="e">
        <f t="shared" si="70"/>
        <v>#N/A</v>
      </c>
      <c r="O617" t="e">
        <f t="shared" ref="O617:P680" si="71">IF($L$1=0.5,IF(AND($L617&gt;0,$L617&lt;0.1),H617,#N/A),"")</f>
        <v>#N/A</v>
      </c>
      <c r="P617" t="e">
        <f t="shared" si="71"/>
        <v>#N/A</v>
      </c>
      <c r="Q617" t="e">
        <f t="shared" ref="Q617:R680" si="72">IF($L$1=0.5,IF(AND($L617&gt;=0.1,$L617&lt;0.2),H617,#N/A),"")</f>
        <v>#N/A</v>
      </c>
      <c r="R617" t="e">
        <f t="shared" si="72"/>
        <v>#N/A</v>
      </c>
      <c r="S617" t="e">
        <f t="shared" ref="S617:T680" si="73">IF($L$1=0.5,IF(AND($L617&gt;=0.2,$L617&lt;0.3),H617,#N/A),"")</f>
        <v>#N/A</v>
      </c>
      <c r="T617" t="e">
        <f t="shared" si="73"/>
        <v>#N/A</v>
      </c>
      <c r="U617" t="e">
        <f t="shared" ref="U617:V680" si="74">IF($L$1=0.5,IF(AND($L617&gt;=0.3,$L617&lt;0.4),H617,#N/A),"")</f>
        <v>#N/A</v>
      </c>
      <c r="V617" t="e">
        <f t="shared" si="74"/>
        <v>#N/A</v>
      </c>
      <c r="W617" t="e">
        <f t="shared" ref="W617:X680" si="75">IF($L$1=0.5,IF(AND($L617&gt;=0.4,$L617&lt;0.5),H617,#N/A),"")</f>
        <v>#N/A</v>
      </c>
      <c r="X617" t="e">
        <f t="shared" si="75"/>
        <v>#N/A</v>
      </c>
      <c r="Y617" t="e">
        <f t="shared" si="69"/>
        <v>#N/A</v>
      </c>
      <c r="Z617" t="e">
        <f t="shared" si="69"/>
        <v>#N/A</v>
      </c>
    </row>
    <row r="618" spans="1:26">
      <c r="A618" t="e">
        <f>IF(ISBLANK('[1]Точность устьев скважин'!A620),#N/A,'[1]Точность устьев скважин'!A620)</f>
        <v>#N/A</v>
      </c>
      <c r="B618" t="e">
        <f>IF(ISBLANK('[1]Точность устьев скважин'!B620),#N/A,'[1]Точность устьев скважин'!B620)</f>
        <v>#N/A</v>
      </c>
      <c r="C618" t="e">
        <f>IF(ISBLANK('[1]Точность устьев скважин'!C620),#N/A,'[1]Точность устьев скважин'!C620)</f>
        <v>#N/A</v>
      </c>
      <c r="D618" t="e">
        <f>IF(ISBLANK('[1]Точность устьев скважин'!D620),#N/A,'[1]Точность устьев скважин'!D620)</f>
        <v>#N/A</v>
      </c>
      <c r="G618" t="e">
        <f>IF(ISBLANK('[1]Точность устьев скважин'!H620),#N/A,'[1]Точность устьев скважин'!H620)</f>
        <v>#N/A</v>
      </c>
      <c r="H618" t="e">
        <f>IF(ISBLANK('[1]Точность устьев скважин'!I620),#N/A,'[1]Точность устьев скважин'!I620)</f>
        <v>#N/A</v>
      </c>
      <c r="I618" t="e">
        <f>IF(ISBLANK('[1]Точность устьев скважин'!J620),#N/A,'[1]Точность устьев скважин'!J620)</f>
        <v>#N/A</v>
      </c>
      <c r="J618" t="e">
        <f>IF(ISBLANK('[1]Точность устьев скважин'!K620),#N/A,'[1]Точность устьев скважин'!K620)</f>
        <v>#N/A</v>
      </c>
      <c r="L618" s="63" t="e">
        <f t="shared" si="70"/>
        <v>#N/A</v>
      </c>
      <c r="O618" t="e">
        <f t="shared" si="71"/>
        <v>#N/A</v>
      </c>
      <c r="P618" t="e">
        <f t="shared" si="71"/>
        <v>#N/A</v>
      </c>
      <c r="Q618" t="e">
        <f t="shared" si="72"/>
        <v>#N/A</v>
      </c>
      <c r="R618" t="e">
        <f t="shared" si="72"/>
        <v>#N/A</v>
      </c>
      <c r="S618" t="e">
        <f t="shared" si="73"/>
        <v>#N/A</v>
      </c>
      <c r="T618" t="e">
        <f t="shared" si="73"/>
        <v>#N/A</v>
      </c>
      <c r="U618" t="e">
        <f t="shared" si="74"/>
        <v>#N/A</v>
      </c>
      <c r="V618" t="e">
        <f t="shared" si="74"/>
        <v>#N/A</v>
      </c>
      <c r="W618" t="e">
        <f t="shared" si="75"/>
        <v>#N/A</v>
      </c>
      <c r="X618" t="e">
        <f t="shared" si="75"/>
        <v>#N/A</v>
      </c>
      <c r="Y618" t="e">
        <f t="shared" si="69"/>
        <v>#N/A</v>
      </c>
      <c r="Z618" t="e">
        <f t="shared" si="69"/>
        <v>#N/A</v>
      </c>
    </row>
    <row r="619" spans="1:26">
      <c r="A619" t="e">
        <f>IF(ISBLANK('[1]Точность устьев скважин'!A621),#N/A,'[1]Точность устьев скважин'!A621)</f>
        <v>#N/A</v>
      </c>
      <c r="B619" t="e">
        <f>IF(ISBLANK('[1]Точность устьев скважин'!B621),#N/A,'[1]Точность устьев скважин'!B621)</f>
        <v>#N/A</v>
      </c>
      <c r="C619" t="e">
        <f>IF(ISBLANK('[1]Точность устьев скважин'!C621),#N/A,'[1]Точность устьев скважин'!C621)</f>
        <v>#N/A</v>
      </c>
      <c r="D619" t="e">
        <f>IF(ISBLANK('[1]Точность устьев скважин'!D621),#N/A,'[1]Точность устьев скважин'!D621)</f>
        <v>#N/A</v>
      </c>
      <c r="G619" t="e">
        <f>IF(ISBLANK('[1]Точность устьев скважин'!H621),#N/A,'[1]Точность устьев скважин'!H621)</f>
        <v>#N/A</v>
      </c>
      <c r="H619" t="e">
        <f>IF(ISBLANK('[1]Точность устьев скважин'!I621),#N/A,'[1]Точность устьев скважин'!I621)</f>
        <v>#N/A</v>
      </c>
      <c r="I619" t="e">
        <f>IF(ISBLANK('[1]Точность устьев скважин'!J621),#N/A,'[1]Точность устьев скважин'!J621)</f>
        <v>#N/A</v>
      </c>
      <c r="J619" t="e">
        <f>IF(ISBLANK('[1]Точность устьев скважин'!K621),#N/A,'[1]Точность устьев скважин'!K621)</f>
        <v>#N/A</v>
      </c>
      <c r="L619" s="63" t="e">
        <f t="shared" si="70"/>
        <v>#N/A</v>
      </c>
      <c r="O619" t="e">
        <f t="shared" si="71"/>
        <v>#N/A</v>
      </c>
      <c r="P619" t="e">
        <f t="shared" si="71"/>
        <v>#N/A</v>
      </c>
      <c r="Q619" t="e">
        <f t="shared" si="72"/>
        <v>#N/A</v>
      </c>
      <c r="R619" t="e">
        <f t="shared" si="72"/>
        <v>#N/A</v>
      </c>
      <c r="S619" t="e">
        <f t="shared" si="73"/>
        <v>#N/A</v>
      </c>
      <c r="T619" t="e">
        <f t="shared" si="73"/>
        <v>#N/A</v>
      </c>
      <c r="U619" t="e">
        <f t="shared" si="74"/>
        <v>#N/A</v>
      </c>
      <c r="V619" t="e">
        <f t="shared" si="74"/>
        <v>#N/A</v>
      </c>
      <c r="W619" t="e">
        <f t="shared" si="75"/>
        <v>#N/A</v>
      </c>
      <c r="X619" t="e">
        <f t="shared" si="75"/>
        <v>#N/A</v>
      </c>
      <c r="Y619" t="e">
        <f t="shared" si="69"/>
        <v>#N/A</v>
      </c>
      <c r="Z619" t="e">
        <f t="shared" si="69"/>
        <v>#N/A</v>
      </c>
    </row>
    <row r="620" spans="1:26">
      <c r="A620" t="e">
        <f>IF(ISBLANK('[1]Точность устьев скважин'!A622),#N/A,'[1]Точность устьев скважин'!A622)</f>
        <v>#N/A</v>
      </c>
      <c r="B620" t="e">
        <f>IF(ISBLANK('[1]Точность устьев скважин'!B622),#N/A,'[1]Точность устьев скважин'!B622)</f>
        <v>#N/A</v>
      </c>
      <c r="C620" t="e">
        <f>IF(ISBLANK('[1]Точность устьев скважин'!C622),#N/A,'[1]Точность устьев скважин'!C622)</f>
        <v>#N/A</v>
      </c>
      <c r="D620" t="e">
        <f>IF(ISBLANK('[1]Точность устьев скважин'!D622),#N/A,'[1]Точность устьев скважин'!D622)</f>
        <v>#N/A</v>
      </c>
      <c r="G620" t="e">
        <f>IF(ISBLANK('[1]Точность устьев скважин'!H622),#N/A,'[1]Точность устьев скважин'!H622)</f>
        <v>#N/A</v>
      </c>
      <c r="H620" t="e">
        <f>IF(ISBLANK('[1]Точность устьев скважин'!I622),#N/A,'[1]Точность устьев скважин'!I622)</f>
        <v>#N/A</v>
      </c>
      <c r="I620" t="e">
        <f>IF(ISBLANK('[1]Точность устьев скважин'!J622),#N/A,'[1]Точность устьев скважин'!J622)</f>
        <v>#N/A</v>
      </c>
      <c r="J620" t="e">
        <f>IF(ISBLANK('[1]Точность устьев скважин'!K622),#N/A,'[1]Точность устьев скважин'!K622)</f>
        <v>#N/A</v>
      </c>
      <c r="L620" s="63" t="e">
        <f t="shared" si="70"/>
        <v>#N/A</v>
      </c>
      <c r="O620" t="e">
        <f t="shared" si="71"/>
        <v>#N/A</v>
      </c>
      <c r="P620" t="e">
        <f t="shared" si="71"/>
        <v>#N/A</v>
      </c>
      <c r="Q620" t="e">
        <f t="shared" si="72"/>
        <v>#N/A</v>
      </c>
      <c r="R620" t="e">
        <f t="shared" si="72"/>
        <v>#N/A</v>
      </c>
      <c r="S620" t="e">
        <f t="shared" si="73"/>
        <v>#N/A</v>
      </c>
      <c r="T620" t="e">
        <f t="shared" si="73"/>
        <v>#N/A</v>
      </c>
      <c r="U620" t="e">
        <f t="shared" si="74"/>
        <v>#N/A</v>
      </c>
      <c r="V620" t="e">
        <f t="shared" si="74"/>
        <v>#N/A</v>
      </c>
      <c r="W620" t="e">
        <f t="shared" si="75"/>
        <v>#N/A</v>
      </c>
      <c r="X620" t="e">
        <f t="shared" si="75"/>
        <v>#N/A</v>
      </c>
      <c r="Y620" t="e">
        <f t="shared" si="69"/>
        <v>#N/A</v>
      </c>
      <c r="Z620" t="e">
        <f t="shared" si="69"/>
        <v>#N/A</v>
      </c>
    </row>
    <row r="621" spans="1:26">
      <c r="A621" t="e">
        <f>IF(ISBLANK('[1]Точность устьев скважин'!A623),#N/A,'[1]Точность устьев скважин'!A623)</f>
        <v>#N/A</v>
      </c>
      <c r="B621" t="e">
        <f>IF(ISBLANK('[1]Точность устьев скважин'!B623),#N/A,'[1]Точность устьев скважин'!B623)</f>
        <v>#N/A</v>
      </c>
      <c r="C621" t="e">
        <f>IF(ISBLANK('[1]Точность устьев скважин'!C623),#N/A,'[1]Точность устьев скважин'!C623)</f>
        <v>#N/A</v>
      </c>
      <c r="D621" t="e">
        <f>IF(ISBLANK('[1]Точность устьев скважин'!D623),#N/A,'[1]Точность устьев скважин'!D623)</f>
        <v>#N/A</v>
      </c>
      <c r="G621" t="e">
        <f>IF(ISBLANK('[1]Точность устьев скважин'!H623),#N/A,'[1]Точность устьев скважин'!H623)</f>
        <v>#N/A</v>
      </c>
      <c r="H621" t="e">
        <f>IF(ISBLANK('[1]Точность устьев скважин'!I623),#N/A,'[1]Точность устьев скважин'!I623)</f>
        <v>#N/A</v>
      </c>
      <c r="I621" t="e">
        <f>IF(ISBLANK('[1]Точность устьев скважин'!J623),#N/A,'[1]Точность устьев скважин'!J623)</f>
        <v>#N/A</v>
      </c>
      <c r="J621" t="e">
        <f>IF(ISBLANK('[1]Точность устьев скважин'!K623),#N/A,'[1]Точность устьев скважин'!K623)</f>
        <v>#N/A</v>
      </c>
      <c r="L621" s="63" t="e">
        <f t="shared" si="70"/>
        <v>#N/A</v>
      </c>
      <c r="O621" t="e">
        <f t="shared" si="71"/>
        <v>#N/A</v>
      </c>
      <c r="P621" t="e">
        <f t="shared" si="71"/>
        <v>#N/A</v>
      </c>
      <c r="Q621" t="e">
        <f t="shared" si="72"/>
        <v>#N/A</v>
      </c>
      <c r="R621" t="e">
        <f t="shared" si="72"/>
        <v>#N/A</v>
      </c>
      <c r="S621" t="e">
        <f t="shared" si="73"/>
        <v>#N/A</v>
      </c>
      <c r="T621" t="e">
        <f t="shared" si="73"/>
        <v>#N/A</v>
      </c>
      <c r="U621" t="e">
        <f t="shared" si="74"/>
        <v>#N/A</v>
      </c>
      <c r="V621" t="e">
        <f t="shared" si="74"/>
        <v>#N/A</v>
      </c>
      <c r="W621" t="e">
        <f t="shared" si="75"/>
        <v>#N/A</v>
      </c>
      <c r="X621" t="e">
        <f t="shared" si="75"/>
        <v>#N/A</v>
      </c>
      <c r="Y621" t="e">
        <f t="shared" si="69"/>
        <v>#N/A</v>
      </c>
      <c r="Z621" t="e">
        <f t="shared" si="69"/>
        <v>#N/A</v>
      </c>
    </row>
    <row r="622" spans="1:26">
      <c r="A622" t="e">
        <f>IF(ISBLANK('[1]Точность устьев скважин'!A624),#N/A,'[1]Точность устьев скважин'!A624)</f>
        <v>#N/A</v>
      </c>
      <c r="B622" t="e">
        <f>IF(ISBLANK('[1]Точность устьев скважин'!B624),#N/A,'[1]Точность устьев скважин'!B624)</f>
        <v>#N/A</v>
      </c>
      <c r="C622" t="e">
        <f>IF(ISBLANK('[1]Точность устьев скважин'!C624),#N/A,'[1]Точность устьев скважин'!C624)</f>
        <v>#N/A</v>
      </c>
      <c r="D622" t="e">
        <f>IF(ISBLANK('[1]Точность устьев скважин'!D624),#N/A,'[1]Точность устьев скважин'!D624)</f>
        <v>#N/A</v>
      </c>
      <c r="G622" t="e">
        <f>IF(ISBLANK('[1]Точность устьев скважин'!H624),#N/A,'[1]Точность устьев скважин'!H624)</f>
        <v>#N/A</v>
      </c>
      <c r="H622" t="e">
        <f>IF(ISBLANK('[1]Точность устьев скважин'!I624),#N/A,'[1]Точность устьев скважин'!I624)</f>
        <v>#N/A</v>
      </c>
      <c r="I622" t="e">
        <f>IF(ISBLANK('[1]Точность устьев скважин'!J624),#N/A,'[1]Точность устьев скважин'!J624)</f>
        <v>#N/A</v>
      </c>
      <c r="J622" t="e">
        <f>IF(ISBLANK('[1]Точность устьев скважин'!K624),#N/A,'[1]Точность устьев скважин'!K624)</f>
        <v>#N/A</v>
      </c>
      <c r="L622" s="63" t="e">
        <f t="shared" si="70"/>
        <v>#N/A</v>
      </c>
      <c r="O622" t="e">
        <f t="shared" si="71"/>
        <v>#N/A</v>
      </c>
      <c r="P622" t="e">
        <f t="shared" si="71"/>
        <v>#N/A</v>
      </c>
      <c r="Q622" t="e">
        <f t="shared" si="72"/>
        <v>#N/A</v>
      </c>
      <c r="R622" t="e">
        <f t="shared" si="72"/>
        <v>#N/A</v>
      </c>
      <c r="S622" t="e">
        <f t="shared" si="73"/>
        <v>#N/A</v>
      </c>
      <c r="T622" t="e">
        <f t="shared" si="73"/>
        <v>#N/A</v>
      </c>
      <c r="U622" t="e">
        <f t="shared" si="74"/>
        <v>#N/A</v>
      </c>
      <c r="V622" t="e">
        <f t="shared" si="74"/>
        <v>#N/A</v>
      </c>
      <c r="W622" t="e">
        <f t="shared" si="75"/>
        <v>#N/A</v>
      </c>
      <c r="X622" t="e">
        <f t="shared" si="75"/>
        <v>#N/A</v>
      </c>
      <c r="Y622" t="e">
        <f t="shared" si="69"/>
        <v>#N/A</v>
      </c>
      <c r="Z622" t="e">
        <f t="shared" si="69"/>
        <v>#N/A</v>
      </c>
    </row>
    <row r="623" spans="1:26">
      <c r="A623" t="e">
        <f>IF(ISBLANK('[1]Точность устьев скважин'!A625),#N/A,'[1]Точность устьев скважин'!A625)</f>
        <v>#N/A</v>
      </c>
      <c r="B623" t="e">
        <f>IF(ISBLANK('[1]Точность устьев скважин'!B625),#N/A,'[1]Точность устьев скважин'!B625)</f>
        <v>#N/A</v>
      </c>
      <c r="C623" t="e">
        <f>IF(ISBLANK('[1]Точность устьев скважин'!C625),#N/A,'[1]Точность устьев скважин'!C625)</f>
        <v>#N/A</v>
      </c>
      <c r="D623" t="e">
        <f>IF(ISBLANK('[1]Точность устьев скважин'!D625),#N/A,'[1]Точность устьев скважин'!D625)</f>
        <v>#N/A</v>
      </c>
      <c r="G623" t="e">
        <f>IF(ISBLANK('[1]Точность устьев скважин'!H625),#N/A,'[1]Точность устьев скважин'!H625)</f>
        <v>#N/A</v>
      </c>
      <c r="H623" t="e">
        <f>IF(ISBLANK('[1]Точность устьев скважин'!I625),#N/A,'[1]Точность устьев скважин'!I625)</f>
        <v>#N/A</v>
      </c>
      <c r="I623" t="e">
        <f>IF(ISBLANK('[1]Точность устьев скважин'!J625),#N/A,'[1]Точность устьев скважин'!J625)</f>
        <v>#N/A</v>
      </c>
      <c r="J623" t="e">
        <f>IF(ISBLANK('[1]Точность устьев скважин'!K625),#N/A,'[1]Точность устьев скважин'!K625)</f>
        <v>#N/A</v>
      </c>
      <c r="L623" s="63" t="e">
        <f t="shared" si="70"/>
        <v>#N/A</v>
      </c>
      <c r="O623" t="e">
        <f t="shared" si="71"/>
        <v>#N/A</v>
      </c>
      <c r="P623" t="e">
        <f t="shared" si="71"/>
        <v>#N/A</v>
      </c>
      <c r="Q623" t="e">
        <f t="shared" si="72"/>
        <v>#N/A</v>
      </c>
      <c r="R623" t="e">
        <f t="shared" si="72"/>
        <v>#N/A</v>
      </c>
      <c r="S623" t="e">
        <f t="shared" si="73"/>
        <v>#N/A</v>
      </c>
      <c r="T623" t="e">
        <f t="shared" si="73"/>
        <v>#N/A</v>
      </c>
      <c r="U623" t="e">
        <f t="shared" si="74"/>
        <v>#N/A</v>
      </c>
      <c r="V623" t="e">
        <f t="shared" si="74"/>
        <v>#N/A</v>
      </c>
      <c r="W623" t="e">
        <f t="shared" si="75"/>
        <v>#N/A</v>
      </c>
      <c r="X623" t="e">
        <f t="shared" si="75"/>
        <v>#N/A</v>
      </c>
      <c r="Y623" t="e">
        <f t="shared" si="69"/>
        <v>#N/A</v>
      </c>
      <c r="Z623" t="e">
        <f t="shared" si="69"/>
        <v>#N/A</v>
      </c>
    </row>
    <row r="624" spans="1:26">
      <c r="A624" t="e">
        <f>IF(ISBLANK('[1]Точность устьев скважин'!A626),#N/A,'[1]Точность устьев скважин'!A626)</f>
        <v>#N/A</v>
      </c>
      <c r="B624" t="e">
        <f>IF(ISBLANK('[1]Точность устьев скважин'!B626),#N/A,'[1]Точность устьев скважин'!B626)</f>
        <v>#N/A</v>
      </c>
      <c r="C624" t="e">
        <f>IF(ISBLANK('[1]Точность устьев скважин'!C626),#N/A,'[1]Точность устьев скважин'!C626)</f>
        <v>#N/A</v>
      </c>
      <c r="D624" t="e">
        <f>IF(ISBLANK('[1]Точность устьев скважин'!D626),#N/A,'[1]Точность устьев скважин'!D626)</f>
        <v>#N/A</v>
      </c>
      <c r="G624" t="e">
        <f>IF(ISBLANK('[1]Точность устьев скважин'!H626),#N/A,'[1]Точность устьев скважин'!H626)</f>
        <v>#N/A</v>
      </c>
      <c r="H624" t="e">
        <f>IF(ISBLANK('[1]Точность устьев скважин'!I626),#N/A,'[1]Точность устьев скважин'!I626)</f>
        <v>#N/A</v>
      </c>
      <c r="I624" t="e">
        <f>IF(ISBLANK('[1]Точность устьев скважин'!J626),#N/A,'[1]Точность устьев скважин'!J626)</f>
        <v>#N/A</v>
      </c>
      <c r="J624" t="e">
        <f>IF(ISBLANK('[1]Точность устьев скважин'!K626),#N/A,'[1]Точность устьев скважин'!K626)</f>
        <v>#N/A</v>
      </c>
      <c r="L624" s="63" t="e">
        <f t="shared" si="70"/>
        <v>#N/A</v>
      </c>
      <c r="O624" t="e">
        <f t="shared" si="71"/>
        <v>#N/A</v>
      </c>
      <c r="P624" t="e">
        <f t="shared" si="71"/>
        <v>#N/A</v>
      </c>
      <c r="Q624" t="e">
        <f t="shared" si="72"/>
        <v>#N/A</v>
      </c>
      <c r="R624" t="e">
        <f t="shared" si="72"/>
        <v>#N/A</v>
      </c>
      <c r="S624" t="e">
        <f t="shared" si="73"/>
        <v>#N/A</v>
      </c>
      <c r="T624" t="e">
        <f t="shared" si="73"/>
        <v>#N/A</v>
      </c>
      <c r="U624" t="e">
        <f t="shared" si="74"/>
        <v>#N/A</v>
      </c>
      <c r="V624" t="e">
        <f t="shared" si="74"/>
        <v>#N/A</v>
      </c>
      <c r="W624" t="e">
        <f t="shared" si="75"/>
        <v>#N/A</v>
      </c>
      <c r="X624" t="e">
        <f t="shared" si="75"/>
        <v>#N/A</v>
      </c>
      <c r="Y624" t="e">
        <f t="shared" si="69"/>
        <v>#N/A</v>
      </c>
      <c r="Z624" t="e">
        <f t="shared" si="69"/>
        <v>#N/A</v>
      </c>
    </row>
    <row r="625" spans="1:26">
      <c r="A625" t="e">
        <f>IF(ISBLANK('[1]Точность устьев скважин'!A627),#N/A,'[1]Точность устьев скважин'!A627)</f>
        <v>#N/A</v>
      </c>
      <c r="B625" t="e">
        <f>IF(ISBLANK('[1]Точность устьев скважин'!B627),#N/A,'[1]Точность устьев скважин'!B627)</f>
        <v>#N/A</v>
      </c>
      <c r="C625" t="e">
        <f>IF(ISBLANK('[1]Точность устьев скважин'!C627),#N/A,'[1]Точность устьев скважин'!C627)</f>
        <v>#N/A</v>
      </c>
      <c r="D625" t="e">
        <f>IF(ISBLANK('[1]Точность устьев скважин'!D627),#N/A,'[1]Точность устьев скважин'!D627)</f>
        <v>#N/A</v>
      </c>
      <c r="G625" t="e">
        <f>IF(ISBLANK('[1]Точность устьев скважин'!H627),#N/A,'[1]Точность устьев скважин'!H627)</f>
        <v>#N/A</v>
      </c>
      <c r="H625" t="e">
        <f>IF(ISBLANK('[1]Точность устьев скважин'!I627),#N/A,'[1]Точность устьев скважин'!I627)</f>
        <v>#N/A</v>
      </c>
      <c r="I625" t="e">
        <f>IF(ISBLANK('[1]Точность устьев скважин'!J627),#N/A,'[1]Точность устьев скважин'!J627)</f>
        <v>#N/A</v>
      </c>
      <c r="J625" t="e">
        <f>IF(ISBLANK('[1]Точность устьев скважин'!K627),#N/A,'[1]Точность устьев скважин'!K627)</f>
        <v>#N/A</v>
      </c>
      <c r="L625" s="63" t="e">
        <f t="shared" si="70"/>
        <v>#N/A</v>
      </c>
      <c r="O625" t="e">
        <f t="shared" si="71"/>
        <v>#N/A</v>
      </c>
      <c r="P625" t="e">
        <f t="shared" si="71"/>
        <v>#N/A</v>
      </c>
      <c r="Q625" t="e">
        <f t="shared" si="72"/>
        <v>#N/A</v>
      </c>
      <c r="R625" t="e">
        <f t="shared" si="72"/>
        <v>#N/A</v>
      </c>
      <c r="S625" t="e">
        <f t="shared" si="73"/>
        <v>#N/A</v>
      </c>
      <c r="T625" t="e">
        <f t="shared" si="73"/>
        <v>#N/A</v>
      </c>
      <c r="U625" t="e">
        <f t="shared" si="74"/>
        <v>#N/A</v>
      </c>
      <c r="V625" t="e">
        <f t="shared" si="74"/>
        <v>#N/A</v>
      </c>
      <c r="W625" t="e">
        <f t="shared" si="75"/>
        <v>#N/A</v>
      </c>
      <c r="X625" t="e">
        <f t="shared" si="75"/>
        <v>#N/A</v>
      </c>
      <c r="Y625" t="e">
        <f t="shared" si="69"/>
        <v>#N/A</v>
      </c>
      <c r="Z625" t="e">
        <f t="shared" si="69"/>
        <v>#N/A</v>
      </c>
    </row>
    <row r="626" spans="1:26">
      <c r="A626" t="e">
        <f>IF(ISBLANK('[1]Точность устьев скважин'!A628),#N/A,'[1]Точность устьев скважин'!A628)</f>
        <v>#N/A</v>
      </c>
      <c r="B626" t="e">
        <f>IF(ISBLANK('[1]Точность устьев скважин'!B628),#N/A,'[1]Точность устьев скважин'!B628)</f>
        <v>#N/A</v>
      </c>
      <c r="C626" t="e">
        <f>IF(ISBLANK('[1]Точность устьев скважин'!C628),#N/A,'[1]Точность устьев скважин'!C628)</f>
        <v>#N/A</v>
      </c>
      <c r="D626" t="e">
        <f>IF(ISBLANK('[1]Точность устьев скважин'!D628),#N/A,'[1]Точность устьев скважин'!D628)</f>
        <v>#N/A</v>
      </c>
      <c r="G626" t="e">
        <f>IF(ISBLANK('[1]Точность устьев скважин'!H628),#N/A,'[1]Точность устьев скважин'!H628)</f>
        <v>#N/A</v>
      </c>
      <c r="H626" t="e">
        <f>IF(ISBLANK('[1]Точность устьев скважин'!I628),#N/A,'[1]Точность устьев скважин'!I628)</f>
        <v>#N/A</v>
      </c>
      <c r="I626" t="e">
        <f>IF(ISBLANK('[1]Точность устьев скважин'!J628),#N/A,'[1]Точность устьев скважин'!J628)</f>
        <v>#N/A</v>
      </c>
      <c r="J626" t="e">
        <f>IF(ISBLANK('[1]Точность устьев скважин'!K628),#N/A,'[1]Точность устьев скважин'!K628)</f>
        <v>#N/A</v>
      </c>
      <c r="L626" s="63" t="e">
        <f t="shared" si="70"/>
        <v>#N/A</v>
      </c>
      <c r="O626" t="e">
        <f t="shared" si="71"/>
        <v>#N/A</v>
      </c>
      <c r="P626" t="e">
        <f t="shared" si="71"/>
        <v>#N/A</v>
      </c>
      <c r="Q626" t="e">
        <f t="shared" si="72"/>
        <v>#N/A</v>
      </c>
      <c r="R626" t="e">
        <f t="shared" si="72"/>
        <v>#N/A</v>
      </c>
      <c r="S626" t="e">
        <f t="shared" si="73"/>
        <v>#N/A</v>
      </c>
      <c r="T626" t="e">
        <f t="shared" si="73"/>
        <v>#N/A</v>
      </c>
      <c r="U626" t="e">
        <f t="shared" si="74"/>
        <v>#N/A</v>
      </c>
      <c r="V626" t="e">
        <f t="shared" si="74"/>
        <v>#N/A</v>
      </c>
      <c r="W626" t="e">
        <f t="shared" si="75"/>
        <v>#N/A</v>
      </c>
      <c r="X626" t="e">
        <f t="shared" si="75"/>
        <v>#N/A</v>
      </c>
      <c r="Y626" t="e">
        <f t="shared" si="69"/>
        <v>#N/A</v>
      </c>
      <c r="Z626" t="e">
        <f t="shared" si="69"/>
        <v>#N/A</v>
      </c>
    </row>
    <row r="627" spans="1:26">
      <c r="A627" t="e">
        <f>IF(ISBLANK('[1]Точность устьев скважин'!A629),#N/A,'[1]Точность устьев скважин'!A629)</f>
        <v>#N/A</v>
      </c>
      <c r="B627" t="e">
        <f>IF(ISBLANK('[1]Точность устьев скважин'!B629),#N/A,'[1]Точность устьев скважин'!B629)</f>
        <v>#N/A</v>
      </c>
      <c r="C627" t="e">
        <f>IF(ISBLANK('[1]Точность устьев скважин'!C629),#N/A,'[1]Точность устьев скважин'!C629)</f>
        <v>#N/A</v>
      </c>
      <c r="D627" t="e">
        <f>IF(ISBLANK('[1]Точность устьев скважин'!D629),#N/A,'[1]Точность устьев скважин'!D629)</f>
        <v>#N/A</v>
      </c>
      <c r="G627" t="e">
        <f>IF(ISBLANK('[1]Точность устьев скважин'!H629),#N/A,'[1]Точность устьев скважин'!H629)</f>
        <v>#N/A</v>
      </c>
      <c r="H627" t="e">
        <f>IF(ISBLANK('[1]Точность устьев скважин'!I629),#N/A,'[1]Точность устьев скважин'!I629)</f>
        <v>#N/A</v>
      </c>
      <c r="I627" t="e">
        <f>IF(ISBLANK('[1]Точность устьев скважин'!J629),#N/A,'[1]Точность устьев скважин'!J629)</f>
        <v>#N/A</v>
      </c>
      <c r="J627" t="e">
        <f>IF(ISBLANK('[1]Точность устьев скважин'!K629),#N/A,'[1]Точность устьев скважин'!K629)</f>
        <v>#N/A</v>
      </c>
      <c r="L627" s="63" t="e">
        <f t="shared" si="70"/>
        <v>#N/A</v>
      </c>
      <c r="O627" t="e">
        <f t="shared" si="71"/>
        <v>#N/A</v>
      </c>
      <c r="P627" t="e">
        <f t="shared" si="71"/>
        <v>#N/A</v>
      </c>
      <c r="Q627" t="e">
        <f t="shared" si="72"/>
        <v>#N/A</v>
      </c>
      <c r="R627" t="e">
        <f t="shared" si="72"/>
        <v>#N/A</v>
      </c>
      <c r="S627" t="e">
        <f t="shared" si="73"/>
        <v>#N/A</v>
      </c>
      <c r="T627" t="e">
        <f t="shared" si="73"/>
        <v>#N/A</v>
      </c>
      <c r="U627" t="e">
        <f t="shared" si="74"/>
        <v>#N/A</v>
      </c>
      <c r="V627" t="e">
        <f t="shared" si="74"/>
        <v>#N/A</v>
      </c>
      <c r="W627" t="e">
        <f t="shared" si="75"/>
        <v>#N/A</v>
      </c>
      <c r="X627" t="e">
        <f t="shared" si="75"/>
        <v>#N/A</v>
      </c>
      <c r="Y627" t="e">
        <f t="shared" si="69"/>
        <v>#N/A</v>
      </c>
      <c r="Z627" t="e">
        <f t="shared" si="69"/>
        <v>#N/A</v>
      </c>
    </row>
    <row r="628" spans="1:26">
      <c r="A628" t="e">
        <f>IF(ISBLANK('[1]Точность устьев скважин'!A630),#N/A,'[1]Точность устьев скважин'!A630)</f>
        <v>#N/A</v>
      </c>
      <c r="B628" t="e">
        <f>IF(ISBLANK('[1]Точность устьев скважин'!B630),#N/A,'[1]Точность устьев скважин'!B630)</f>
        <v>#N/A</v>
      </c>
      <c r="C628" t="e">
        <f>IF(ISBLANK('[1]Точность устьев скважин'!C630),#N/A,'[1]Точность устьев скважин'!C630)</f>
        <v>#N/A</v>
      </c>
      <c r="D628" t="e">
        <f>IF(ISBLANK('[1]Точность устьев скважин'!D630),#N/A,'[1]Точность устьев скважин'!D630)</f>
        <v>#N/A</v>
      </c>
      <c r="G628" t="e">
        <f>IF(ISBLANK('[1]Точность устьев скважин'!H630),#N/A,'[1]Точность устьев скважин'!H630)</f>
        <v>#N/A</v>
      </c>
      <c r="H628" t="e">
        <f>IF(ISBLANK('[1]Точность устьев скважин'!I630),#N/A,'[1]Точность устьев скважин'!I630)</f>
        <v>#N/A</v>
      </c>
      <c r="I628" t="e">
        <f>IF(ISBLANK('[1]Точность устьев скважин'!J630),#N/A,'[1]Точность устьев скважин'!J630)</f>
        <v>#N/A</v>
      </c>
      <c r="J628" t="e">
        <f>IF(ISBLANK('[1]Точность устьев скважин'!K630),#N/A,'[1]Точность устьев скважин'!K630)</f>
        <v>#N/A</v>
      </c>
      <c r="L628" s="63" t="e">
        <f t="shared" si="70"/>
        <v>#N/A</v>
      </c>
      <c r="O628" t="e">
        <f t="shared" si="71"/>
        <v>#N/A</v>
      </c>
      <c r="P628" t="e">
        <f t="shared" si="71"/>
        <v>#N/A</v>
      </c>
      <c r="Q628" t="e">
        <f t="shared" si="72"/>
        <v>#N/A</v>
      </c>
      <c r="R628" t="e">
        <f t="shared" si="72"/>
        <v>#N/A</v>
      </c>
      <c r="S628" t="e">
        <f t="shared" si="73"/>
        <v>#N/A</v>
      </c>
      <c r="T628" t="e">
        <f t="shared" si="73"/>
        <v>#N/A</v>
      </c>
      <c r="U628" t="e">
        <f t="shared" si="74"/>
        <v>#N/A</v>
      </c>
      <c r="V628" t="e">
        <f t="shared" si="74"/>
        <v>#N/A</v>
      </c>
      <c r="W628" t="e">
        <f t="shared" si="75"/>
        <v>#N/A</v>
      </c>
      <c r="X628" t="e">
        <f t="shared" si="75"/>
        <v>#N/A</v>
      </c>
      <c r="Y628" t="e">
        <f t="shared" si="69"/>
        <v>#N/A</v>
      </c>
      <c r="Z628" t="e">
        <f t="shared" si="69"/>
        <v>#N/A</v>
      </c>
    </row>
    <row r="629" spans="1:26">
      <c r="A629" t="e">
        <f>IF(ISBLANK('[1]Точность устьев скважин'!A631),#N/A,'[1]Точность устьев скважин'!A631)</f>
        <v>#N/A</v>
      </c>
      <c r="B629" t="e">
        <f>IF(ISBLANK('[1]Точность устьев скважин'!B631),#N/A,'[1]Точность устьев скважин'!B631)</f>
        <v>#N/A</v>
      </c>
      <c r="C629" t="e">
        <f>IF(ISBLANK('[1]Точность устьев скважин'!C631),#N/A,'[1]Точность устьев скважин'!C631)</f>
        <v>#N/A</v>
      </c>
      <c r="D629" t="e">
        <f>IF(ISBLANK('[1]Точность устьев скважин'!D631),#N/A,'[1]Точность устьев скважин'!D631)</f>
        <v>#N/A</v>
      </c>
      <c r="G629" t="e">
        <f>IF(ISBLANK('[1]Точность устьев скважин'!H631),#N/A,'[1]Точность устьев скважин'!H631)</f>
        <v>#N/A</v>
      </c>
      <c r="H629" t="e">
        <f>IF(ISBLANK('[1]Точность устьев скважин'!I631),#N/A,'[1]Точность устьев скважин'!I631)</f>
        <v>#N/A</v>
      </c>
      <c r="I629" t="e">
        <f>IF(ISBLANK('[1]Точность устьев скважин'!J631),#N/A,'[1]Точность устьев скважин'!J631)</f>
        <v>#N/A</v>
      </c>
      <c r="J629" t="e">
        <f>IF(ISBLANK('[1]Точность устьев скважин'!K631),#N/A,'[1]Точность устьев скважин'!K631)</f>
        <v>#N/A</v>
      </c>
      <c r="L629" s="63" t="e">
        <f t="shared" si="70"/>
        <v>#N/A</v>
      </c>
      <c r="O629" t="e">
        <f t="shared" si="71"/>
        <v>#N/A</v>
      </c>
      <c r="P629" t="e">
        <f t="shared" si="71"/>
        <v>#N/A</v>
      </c>
      <c r="Q629" t="e">
        <f t="shared" si="72"/>
        <v>#N/A</v>
      </c>
      <c r="R629" t="e">
        <f t="shared" si="72"/>
        <v>#N/A</v>
      </c>
      <c r="S629" t="e">
        <f t="shared" si="73"/>
        <v>#N/A</v>
      </c>
      <c r="T629" t="e">
        <f t="shared" si="73"/>
        <v>#N/A</v>
      </c>
      <c r="U629" t="e">
        <f t="shared" si="74"/>
        <v>#N/A</v>
      </c>
      <c r="V629" t="e">
        <f t="shared" si="74"/>
        <v>#N/A</v>
      </c>
      <c r="W629" t="e">
        <f t="shared" si="75"/>
        <v>#N/A</v>
      </c>
      <c r="X629" t="e">
        <f t="shared" si="75"/>
        <v>#N/A</v>
      </c>
      <c r="Y629" t="e">
        <f t="shared" si="69"/>
        <v>#N/A</v>
      </c>
      <c r="Z629" t="e">
        <f t="shared" si="69"/>
        <v>#N/A</v>
      </c>
    </row>
    <row r="630" spans="1:26">
      <c r="A630" t="e">
        <f>IF(ISBLANK('[1]Точность устьев скважин'!A632),#N/A,'[1]Точность устьев скважин'!A632)</f>
        <v>#N/A</v>
      </c>
      <c r="B630" t="e">
        <f>IF(ISBLANK('[1]Точность устьев скважин'!B632),#N/A,'[1]Точность устьев скважин'!B632)</f>
        <v>#N/A</v>
      </c>
      <c r="C630" t="e">
        <f>IF(ISBLANK('[1]Точность устьев скважин'!C632),#N/A,'[1]Точность устьев скважин'!C632)</f>
        <v>#N/A</v>
      </c>
      <c r="D630" t="e">
        <f>IF(ISBLANK('[1]Точность устьев скважин'!D632),#N/A,'[1]Точность устьев скважин'!D632)</f>
        <v>#N/A</v>
      </c>
      <c r="G630" t="e">
        <f>IF(ISBLANK('[1]Точность устьев скважин'!H632),#N/A,'[1]Точность устьев скважин'!H632)</f>
        <v>#N/A</v>
      </c>
      <c r="H630" t="e">
        <f>IF(ISBLANK('[1]Точность устьев скважин'!I632),#N/A,'[1]Точность устьев скважин'!I632)</f>
        <v>#N/A</v>
      </c>
      <c r="I630" t="e">
        <f>IF(ISBLANK('[1]Точность устьев скважин'!J632),#N/A,'[1]Точность устьев скважин'!J632)</f>
        <v>#N/A</v>
      </c>
      <c r="J630" t="e">
        <f>IF(ISBLANK('[1]Точность устьев скважин'!K632),#N/A,'[1]Точность устьев скважин'!K632)</f>
        <v>#N/A</v>
      </c>
      <c r="L630" s="63" t="e">
        <f t="shared" si="70"/>
        <v>#N/A</v>
      </c>
      <c r="O630" t="e">
        <f t="shared" si="71"/>
        <v>#N/A</v>
      </c>
      <c r="P630" t="e">
        <f t="shared" si="71"/>
        <v>#N/A</v>
      </c>
      <c r="Q630" t="e">
        <f t="shared" si="72"/>
        <v>#N/A</v>
      </c>
      <c r="R630" t="e">
        <f t="shared" si="72"/>
        <v>#N/A</v>
      </c>
      <c r="S630" t="e">
        <f t="shared" si="73"/>
        <v>#N/A</v>
      </c>
      <c r="T630" t="e">
        <f t="shared" si="73"/>
        <v>#N/A</v>
      </c>
      <c r="U630" t="e">
        <f t="shared" si="74"/>
        <v>#N/A</v>
      </c>
      <c r="V630" t="e">
        <f t="shared" si="74"/>
        <v>#N/A</v>
      </c>
      <c r="W630" t="e">
        <f t="shared" si="75"/>
        <v>#N/A</v>
      </c>
      <c r="X630" t="e">
        <f t="shared" si="75"/>
        <v>#N/A</v>
      </c>
      <c r="Y630" t="e">
        <f t="shared" ref="Y630:Z693" si="76">IF($L$1=0.5,IF($L630&gt;=0.5,H630,#N/A),"")</f>
        <v>#N/A</v>
      </c>
      <c r="Z630" t="e">
        <f t="shared" si="76"/>
        <v>#N/A</v>
      </c>
    </row>
    <row r="631" spans="1:26">
      <c r="A631" t="e">
        <f>IF(ISBLANK('[1]Точность устьев скважин'!A633),#N/A,'[1]Точность устьев скважин'!A633)</f>
        <v>#N/A</v>
      </c>
      <c r="B631" t="e">
        <f>IF(ISBLANK('[1]Точность устьев скважин'!B633),#N/A,'[1]Точность устьев скважин'!B633)</f>
        <v>#N/A</v>
      </c>
      <c r="C631" t="e">
        <f>IF(ISBLANK('[1]Точность устьев скважин'!C633),#N/A,'[1]Точность устьев скважин'!C633)</f>
        <v>#N/A</v>
      </c>
      <c r="D631" t="e">
        <f>IF(ISBLANK('[1]Точность устьев скважин'!D633),#N/A,'[1]Точность устьев скважин'!D633)</f>
        <v>#N/A</v>
      </c>
      <c r="G631" t="e">
        <f>IF(ISBLANK('[1]Точность устьев скважин'!H633),#N/A,'[1]Точность устьев скважин'!H633)</f>
        <v>#N/A</v>
      </c>
      <c r="H631" t="e">
        <f>IF(ISBLANK('[1]Точность устьев скважин'!I633),#N/A,'[1]Точность устьев скважин'!I633)</f>
        <v>#N/A</v>
      </c>
      <c r="I631" t="e">
        <f>IF(ISBLANK('[1]Точность устьев скважин'!J633),#N/A,'[1]Точность устьев скважин'!J633)</f>
        <v>#N/A</v>
      </c>
      <c r="J631" t="e">
        <f>IF(ISBLANK('[1]Точность устьев скважин'!K633),#N/A,'[1]Точность устьев скважин'!K633)</f>
        <v>#N/A</v>
      </c>
      <c r="L631" s="63" t="e">
        <f t="shared" si="70"/>
        <v>#N/A</v>
      </c>
      <c r="O631" t="e">
        <f t="shared" si="71"/>
        <v>#N/A</v>
      </c>
      <c r="P631" t="e">
        <f t="shared" si="71"/>
        <v>#N/A</v>
      </c>
      <c r="Q631" t="e">
        <f t="shared" si="72"/>
        <v>#N/A</v>
      </c>
      <c r="R631" t="e">
        <f t="shared" si="72"/>
        <v>#N/A</v>
      </c>
      <c r="S631" t="e">
        <f t="shared" si="73"/>
        <v>#N/A</v>
      </c>
      <c r="T631" t="e">
        <f t="shared" si="73"/>
        <v>#N/A</v>
      </c>
      <c r="U631" t="e">
        <f t="shared" si="74"/>
        <v>#N/A</v>
      </c>
      <c r="V631" t="e">
        <f t="shared" si="74"/>
        <v>#N/A</v>
      </c>
      <c r="W631" t="e">
        <f t="shared" si="75"/>
        <v>#N/A</v>
      </c>
      <c r="X631" t="e">
        <f t="shared" si="75"/>
        <v>#N/A</v>
      </c>
      <c r="Y631" t="e">
        <f t="shared" si="76"/>
        <v>#N/A</v>
      </c>
      <c r="Z631" t="e">
        <f t="shared" si="76"/>
        <v>#N/A</v>
      </c>
    </row>
    <row r="632" spans="1:26">
      <c r="A632" t="e">
        <f>IF(ISBLANK('[1]Точность устьев скважин'!A634),#N/A,'[1]Точность устьев скважин'!A634)</f>
        <v>#N/A</v>
      </c>
      <c r="B632" t="e">
        <f>IF(ISBLANK('[1]Точность устьев скважин'!B634),#N/A,'[1]Точность устьев скважин'!B634)</f>
        <v>#N/A</v>
      </c>
      <c r="C632" t="e">
        <f>IF(ISBLANK('[1]Точность устьев скважин'!C634),#N/A,'[1]Точность устьев скважин'!C634)</f>
        <v>#N/A</v>
      </c>
      <c r="D632" t="e">
        <f>IF(ISBLANK('[1]Точность устьев скважин'!D634),#N/A,'[1]Точность устьев скважин'!D634)</f>
        <v>#N/A</v>
      </c>
      <c r="G632" t="e">
        <f>IF(ISBLANK('[1]Точность устьев скважин'!H634),#N/A,'[1]Точность устьев скважин'!H634)</f>
        <v>#N/A</v>
      </c>
      <c r="H632" t="e">
        <f>IF(ISBLANK('[1]Точность устьев скважин'!I634),#N/A,'[1]Точность устьев скважин'!I634)</f>
        <v>#N/A</v>
      </c>
      <c r="I632" t="e">
        <f>IF(ISBLANK('[1]Точность устьев скважин'!J634),#N/A,'[1]Точность устьев скважин'!J634)</f>
        <v>#N/A</v>
      </c>
      <c r="J632" t="e">
        <f>IF(ISBLANK('[1]Точность устьев скважин'!K634),#N/A,'[1]Точность устьев скважин'!K634)</f>
        <v>#N/A</v>
      </c>
      <c r="L632" s="63" t="e">
        <f t="shared" si="70"/>
        <v>#N/A</v>
      </c>
      <c r="O632" t="e">
        <f t="shared" si="71"/>
        <v>#N/A</v>
      </c>
      <c r="P632" t="e">
        <f t="shared" si="71"/>
        <v>#N/A</v>
      </c>
      <c r="Q632" t="e">
        <f t="shared" si="72"/>
        <v>#N/A</v>
      </c>
      <c r="R632" t="e">
        <f t="shared" si="72"/>
        <v>#N/A</v>
      </c>
      <c r="S632" t="e">
        <f t="shared" si="73"/>
        <v>#N/A</v>
      </c>
      <c r="T632" t="e">
        <f t="shared" si="73"/>
        <v>#N/A</v>
      </c>
      <c r="U632" t="e">
        <f t="shared" si="74"/>
        <v>#N/A</v>
      </c>
      <c r="V632" t="e">
        <f t="shared" si="74"/>
        <v>#N/A</v>
      </c>
      <c r="W632" t="e">
        <f t="shared" si="75"/>
        <v>#N/A</v>
      </c>
      <c r="X632" t="e">
        <f t="shared" si="75"/>
        <v>#N/A</v>
      </c>
      <c r="Y632" t="e">
        <f t="shared" si="76"/>
        <v>#N/A</v>
      </c>
      <c r="Z632" t="e">
        <f t="shared" si="76"/>
        <v>#N/A</v>
      </c>
    </row>
    <row r="633" spans="1:26">
      <c r="A633" t="e">
        <f>IF(ISBLANK('[1]Точность устьев скважин'!A635),#N/A,'[1]Точность устьев скважин'!A635)</f>
        <v>#N/A</v>
      </c>
      <c r="B633" t="e">
        <f>IF(ISBLANK('[1]Точность устьев скважин'!B635),#N/A,'[1]Точность устьев скважин'!B635)</f>
        <v>#N/A</v>
      </c>
      <c r="C633" t="e">
        <f>IF(ISBLANK('[1]Точность устьев скважин'!C635),#N/A,'[1]Точность устьев скважин'!C635)</f>
        <v>#N/A</v>
      </c>
      <c r="D633" t="e">
        <f>IF(ISBLANK('[1]Точность устьев скважин'!D635),#N/A,'[1]Точность устьев скважин'!D635)</f>
        <v>#N/A</v>
      </c>
      <c r="G633" t="e">
        <f>IF(ISBLANK('[1]Точность устьев скважин'!H635),#N/A,'[1]Точность устьев скважин'!H635)</f>
        <v>#N/A</v>
      </c>
      <c r="H633" t="e">
        <f>IF(ISBLANK('[1]Точность устьев скважин'!I635),#N/A,'[1]Точность устьев скважин'!I635)</f>
        <v>#N/A</v>
      </c>
      <c r="I633" t="e">
        <f>IF(ISBLANK('[1]Точность устьев скважин'!J635),#N/A,'[1]Точность устьев скважин'!J635)</f>
        <v>#N/A</v>
      </c>
      <c r="J633" t="e">
        <f>IF(ISBLANK('[1]Точность устьев скважин'!K635),#N/A,'[1]Точность устьев скважин'!K635)</f>
        <v>#N/A</v>
      </c>
      <c r="L633" s="63" t="e">
        <f t="shared" si="70"/>
        <v>#N/A</v>
      </c>
      <c r="O633" t="e">
        <f t="shared" si="71"/>
        <v>#N/A</v>
      </c>
      <c r="P633" t="e">
        <f t="shared" si="71"/>
        <v>#N/A</v>
      </c>
      <c r="Q633" t="e">
        <f t="shared" si="72"/>
        <v>#N/A</v>
      </c>
      <c r="R633" t="e">
        <f t="shared" si="72"/>
        <v>#N/A</v>
      </c>
      <c r="S633" t="e">
        <f t="shared" si="73"/>
        <v>#N/A</v>
      </c>
      <c r="T633" t="e">
        <f t="shared" si="73"/>
        <v>#N/A</v>
      </c>
      <c r="U633" t="e">
        <f t="shared" si="74"/>
        <v>#N/A</v>
      </c>
      <c r="V633" t="e">
        <f t="shared" si="74"/>
        <v>#N/A</v>
      </c>
      <c r="W633" t="e">
        <f t="shared" si="75"/>
        <v>#N/A</v>
      </c>
      <c r="X633" t="e">
        <f t="shared" si="75"/>
        <v>#N/A</v>
      </c>
      <c r="Y633" t="e">
        <f t="shared" si="76"/>
        <v>#N/A</v>
      </c>
      <c r="Z633" t="e">
        <f t="shared" si="76"/>
        <v>#N/A</v>
      </c>
    </row>
    <row r="634" spans="1:26">
      <c r="A634" t="e">
        <f>IF(ISBLANK('[1]Точность устьев скважин'!A636),#N/A,'[1]Точность устьев скважин'!A636)</f>
        <v>#N/A</v>
      </c>
      <c r="B634" t="e">
        <f>IF(ISBLANK('[1]Точность устьев скважин'!B636),#N/A,'[1]Точность устьев скважин'!B636)</f>
        <v>#N/A</v>
      </c>
      <c r="C634" t="e">
        <f>IF(ISBLANK('[1]Точность устьев скважин'!C636),#N/A,'[1]Точность устьев скважин'!C636)</f>
        <v>#N/A</v>
      </c>
      <c r="D634" t="e">
        <f>IF(ISBLANK('[1]Точность устьев скважин'!D636),#N/A,'[1]Точность устьев скважин'!D636)</f>
        <v>#N/A</v>
      </c>
      <c r="G634" t="e">
        <f>IF(ISBLANK('[1]Точность устьев скважин'!H636),#N/A,'[1]Точность устьев скважин'!H636)</f>
        <v>#N/A</v>
      </c>
      <c r="H634" t="e">
        <f>IF(ISBLANK('[1]Точность устьев скважин'!I636),#N/A,'[1]Точность устьев скважин'!I636)</f>
        <v>#N/A</v>
      </c>
      <c r="I634" t="e">
        <f>IF(ISBLANK('[1]Точность устьев скважин'!J636),#N/A,'[1]Точность устьев скважин'!J636)</f>
        <v>#N/A</v>
      </c>
      <c r="J634" t="e">
        <f>IF(ISBLANK('[1]Точность устьев скважин'!K636),#N/A,'[1]Точность устьев скважин'!K636)</f>
        <v>#N/A</v>
      </c>
      <c r="L634" s="63" t="e">
        <f t="shared" si="70"/>
        <v>#N/A</v>
      </c>
      <c r="O634" t="e">
        <f t="shared" si="71"/>
        <v>#N/A</v>
      </c>
      <c r="P634" t="e">
        <f t="shared" si="71"/>
        <v>#N/A</v>
      </c>
      <c r="Q634" t="e">
        <f t="shared" si="72"/>
        <v>#N/A</v>
      </c>
      <c r="R634" t="e">
        <f t="shared" si="72"/>
        <v>#N/A</v>
      </c>
      <c r="S634" t="e">
        <f t="shared" si="73"/>
        <v>#N/A</v>
      </c>
      <c r="T634" t="e">
        <f t="shared" si="73"/>
        <v>#N/A</v>
      </c>
      <c r="U634" t="e">
        <f t="shared" si="74"/>
        <v>#N/A</v>
      </c>
      <c r="V634" t="e">
        <f t="shared" si="74"/>
        <v>#N/A</v>
      </c>
      <c r="W634" t="e">
        <f t="shared" si="75"/>
        <v>#N/A</v>
      </c>
      <c r="X634" t="e">
        <f t="shared" si="75"/>
        <v>#N/A</v>
      </c>
      <c r="Y634" t="e">
        <f t="shared" si="76"/>
        <v>#N/A</v>
      </c>
      <c r="Z634" t="e">
        <f t="shared" si="76"/>
        <v>#N/A</v>
      </c>
    </row>
    <row r="635" spans="1:26">
      <c r="A635" t="e">
        <f>IF(ISBLANK('[1]Точность устьев скважин'!A637),#N/A,'[1]Точность устьев скважин'!A637)</f>
        <v>#N/A</v>
      </c>
      <c r="B635" t="e">
        <f>IF(ISBLANK('[1]Точность устьев скважин'!B637),#N/A,'[1]Точность устьев скважин'!B637)</f>
        <v>#N/A</v>
      </c>
      <c r="C635" t="e">
        <f>IF(ISBLANK('[1]Точность устьев скважин'!C637),#N/A,'[1]Точность устьев скважин'!C637)</f>
        <v>#N/A</v>
      </c>
      <c r="D635" t="e">
        <f>IF(ISBLANK('[1]Точность устьев скважин'!D637),#N/A,'[1]Точность устьев скважин'!D637)</f>
        <v>#N/A</v>
      </c>
      <c r="G635" t="e">
        <f>IF(ISBLANK('[1]Точность устьев скважин'!H637),#N/A,'[1]Точность устьев скважин'!H637)</f>
        <v>#N/A</v>
      </c>
      <c r="H635" t="e">
        <f>IF(ISBLANK('[1]Точность устьев скважин'!I637),#N/A,'[1]Точность устьев скважин'!I637)</f>
        <v>#N/A</v>
      </c>
      <c r="I635" t="e">
        <f>IF(ISBLANK('[1]Точность устьев скважин'!J637),#N/A,'[1]Точность устьев скважин'!J637)</f>
        <v>#N/A</v>
      </c>
      <c r="J635" t="e">
        <f>IF(ISBLANK('[1]Точность устьев скважин'!K637),#N/A,'[1]Точность устьев скважин'!K637)</f>
        <v>#N/A</v>
      </c>
      <c r="L635" s="63" t="e">
        <f t="shared" si="70"/>
        <v>#N/A</v>
      </c>
      <c r="O635" t="e">
        <f t="shared" si="71"/>
        <v>#N/A</v>
      </c>
      <c r="P635" t="e">
        <f t="shared" si="71"/>
        <v>#N/A</v>
      </c>
      <c r="Q635" t="e">
        <f t="shared" si="72"/>
        <v>#N/A</v>
      </c>
      <c r="R635" t="e">
        <f t="shared" si="72"/>
        <v>#N/A</v>
      </c>
      <c r="S635" t="e">
        <f t="shared" si="73"/>
        <v>#N/A</v>
      </c>
      <c r="T635" t="e">
        <f t="shared" si="73"/>
        <v>#N/A</v>
      </c>
      <c r="U635" t="e">
        <f t="shared" si="74"/>
        <v>#N/A</v>
      </c>
      <c r="V635" t="e">
        <f t="shared" si="74"/>
        <v>#N/A</v>
      </c>
      <c r="W635" t="e">
        <f t="shared" si="75"/>
        <v>#N/A</v>
      </c>
      <c r="X635" t="e">
        <f t="shared" si="75"/>
        <v>#N/A</v>
      </c>
      <c r="Y635" t="e">
        <f t="shared" si="76"/>
        <v>#N/A</v>
      </c>
      <c r="Z635" t="e">
        <f t="shared" si="76"/>
        <v>#N/A</v>
      </c>
    </row>
    <row r="636" spans="1:26">
      <c r="A636" t="e">
        <f>IF(ISBLANK('[1]Точность устьев скважин'!A638),#N/A,'[1]Точность устьев скважин'!A638)</f>
        <v>#N/A</v>
      </c>
      <c r="B636" t="e">
        <f>IF(ISBLANK('[1]Точность устьев скважин'!B638),#N/A,'[1]Точность устьев скважин'!B638)</f>
        <v>#N/A</v>
      </c>
      <c r="C636" t="e">
        <f>IF(ISBLANK('[1]Точность устьев скважин'!C638),#N/A,'[1]Точность устьев скважин'!C638)</f>
        <v>#N/A</v>
      </c>
      <c r="D636" t="e">
        <f>IF(ISBLANK('[1]Точность устьев скважин'!D638),#N/A,'[1]Точность устьев скважин'!D638)</f>
        <v>#N/A</v>
      </c>
      <c r="G636" t="e">
        <f>IF(ISBLANK('[1]Точность устьев скважин'!H638),#N/A,'[1]Точность устьев скважин'!H638)</f>
        <v>#N/A</v>
      </c>
      <c r="H636" t="e">
        <f>IF(ISBLANK('[1]Точность устьев скважин'!I638),#N/A,'[1]Точность устьев скважин'!I638)</f>
        <v>#N/A</v>
      </c>
      <c r="I636" t="e">
        <f>IF(ISBLANK('[1]Точность устьев скважин'!J638),#N/A,'[1]Точность устьев скважин'!J638)</f>
        <v>#N/A</v>
      </c>
      <c r="J636" t="e">
        <f>IF(ISBLANK('[1]Точность устьев скважин'!K638),#N/A,'[1]Точность устьев скважин'!K638)</f>
        <v>#N/A</v>
      </c>
      <c r="L636" s="63" t="e">
        <f t="shared" si="70"/>
        <v>#N/A</v>
      </c>
      <c r="O636" t="e">
        <f t="shared" si="71"/>
        <v>#N/A</v>
      </c>
      <c r="P636" t="e">
        <f t="shared" si="71"/>
        <v>#N/A</v>
      </c>
      <c r="Q636" t="e">
        <f t="shared" si="72"/>
        <v>#N/A</v>
      </c>
      <c r="R636" t="e">
        <f t="shared" si="72"/>
        <v>#N/A</v>
      </c>
      <c r="S636" t="e">
        <f t="shared" si="73"/>
        <v>#N/A</v>
      </c>
      <c r="T636" t="e">
        <f t="shared" si="73"/>
        <v>#N/A</v>
      </c>
      <c r="U636" t="e">
        <f t="shared" si="74"/>
        <v>#N/A</v>
      </c>
      <c r="V636" t="e">
        <f t="shared" si="74"/>
        <v>#N/A</v>
      </c>
      <c r="W636" t="e">
        <f t="shared" si="75"/>
        <v>#N/A</v>
      </c>
      <c r="X636" t="e">
        <f t="shared" si="75"/>
        <v>#N/A</v>
      </c>
      <c r="Y636" t="e">
        <f t="shared" si="76"/>
        <v>#N/A</v>
      </c>
      <c r="Z636" t="e">
        <f t="shared" si="76"/>
        <v>#N/A</v>
      </c>
    </row>
    <row r="637" spans="1:26">
      <c r="A637" t="e">
        <f>IF(ISBLANK('[1]Точность устьев скважин'!A639),#N/A,'[1]Точность устьев скважин'!A639)</f>
        <v>#N/A</v>
      </c>
      <c r="B637" t="e">
        <f>IF(ISBLANK('[1]Точность устьев скважин'!B639),#N/A,'[1]Точность устьев скважин'!B639)</f>
        <v>#N/A</v>
      </c>
      <c r="C637" t="e">
        <f>IF(ISBLANK('[1]Точность устьев скважин'!C639),#N/A,'[1]Точность устьев скважин'!C639)</f>
        <v>#N/A</v>
      </c>
      <c r="D637" t="e">
        <f>IF(ISBLANK('[1]Точность устьев скважин'!D639),#N/A,'[1]Точность устьев скважин'!D639)</f>
        <v>#N/A</v>
      </c>
      <c r="G637" t="e">
        <f>IF(ISBLANK('[1]Точность устьев скважин'!H639),#N/A,'[1]Точность устьев скважин'!H639)</f>
        <v>#N/A</v>
      </c>
      <c r="H637" t="e">
        <f>IF(ISBLANK('[1]Точность устьев скважин'!I639),#N/A,'[1]Точность устьев скважин'!I639)</f>
        <v>#N/A</v>
      </c>
      <c r="I637" t="e">
        <f>IF(ISBLANK('[1]Точность устьев скважин'!J639),#N/A,'[1]Точность устьев скважин'!J639)</f>
        <v>#N/A</v>
      </c>
      <c r="J637" t="e">
        <f>IF(ISBLANK('[1]Точность устьев скважин'!K639),#N/A,'[1]Точность устьев скважин'!K639)</f>
        <v>#N/A</v>
      </c>
      <c r="L637" s="63" t="e">
        <f t="shared" si="70"/>
        <v>#N/A</v>
      </c>
      <c r="O637" t="e">
        <f t="shared" si="71"/>
        <v>#N/A</v>
      </c>
      <c r="P637" t="e">
        <f t="shared" si="71"/>
        <v>#N/A</v>
      </c>
      <c r="Q637" t="e">
        <f t="shared" si="72"/>
        <v>#N/A</v>
      </c>
      <c r="R637" t="e">
        <f t="shared" si="72"/>
        <v>#N/A</v>
      </c>
      <c r="S637" t="e">
        <f t="shared" si="73"/>
        <v>#N/A</v>
      </c>
      <c r="T637" t="e">
        <f t="shared" si="73"/>
        <v>#N/A</v>
      </c>
      <c r="U637" t="e">
        <f t="shared" si="74"/>
        <v>#N/A</v>
      </c>
      <c r="V637" t="e">
        <f t="shared" si="74"/>
        <v>#N/A</v>
      </c>
      <c r="W637" t="e">
        <f t="shared" si="75"/>
        <v>#N/A</v>
      </c>
      <c r="X637" t="e">
        <f t="shared" si="75"/>
        <v>#N/A</v>
      </c>
      <c r="Y637" t="e">
        <f t="shared" si="76"/>
        <v>#N/A</v>
      </c>
      <c r="Z637" t="e">
        <f t="shared" si="76"/>
        <v>#N/A</v>
      </c>
    </row>
    <row r="638" spans="1:26">
      <c r="A638" t="e">
        <f>IF(ISBLANK('[1]Точность устьев скважин'!A640),#N/A,'[1]Точность устьев скважин'!A640)</f>
        <v>#N/A</v>
      </c>
      <c r="B638" t="e">
        <f>IF(ISBLANK('[1]Точность устьев скважин'!B640),#N/A,'[1]Точность устьев скважин'!B640)</f>
        <v>#N/A</v>
      </c>
      <c r="C638" t="e">
        <f>IF(ISBLANK('[1]Точность устьев скважин'!C640),#N/A,'[1]Точность устьев скважин'!C640)</f>
        <v>#N/A</v>
      </c>
      <c r="D638" t="e">
        <f>IF(ISBLANK('[1]Точность устьев скважин'!D640),#N/A,'[1]Точность устьев скважин'!D640)</f>
        <v>#N/A</v>
      </c>
      <c r="G638" t="e">
        <f>IF(ISBLANK('[1]Точность устьев скважин'!H640),#N/A,'[1]Точность устьев скважин'!H640)</f>
        <v>#N/A</v>
      </c>
      <c r="H638" t="e">
        <f>IF(ISBLANK('[1]Точность устьев скважин'!I640),#N/A,'[1]Точность устьев скважин'!I640)</f>
        <v>#N/A</v>
      </c>
      <c r="I638" t="e">
        <f>IF(ISBLANK('[1]Точность устьев скважин'!J640),#N/A,'[1]Точность устьев скважин'!J640)</f>
        <v>#N/A</v>
      </c>
      <c r="J638" t="e">
        <f>IF(ISBLANK('[1]Точность устьев скважин'!K640),#N/A,'[1]Точность устьев скважин'!K640)</f>
        <v>#N/A</v>
      </c>
      <c r="L638" s="63" t="e">
        <f t="shared" si="70"/>
        <v>#N/A</v>
      </c>
      <c r="O638" t="e">
        <f t="shared" si="71"/>
        <v>#N/A</v>
      </c>
      <c r="P638" t="e">
        <f t="shared" si="71"/>
        <v>#N/A</v>
      </c>
      <c r="Q638" t="e">
        <f t="shared" si="72"/>
        <v>#N/A</v>
      </c>
      <c r="R638" t="e">
        <f t="shared" si="72"/>
        <v>#N/A</v>
      </c>
      <c r="S638" t="e">
        <f t="shared" si="73"/>
        <v>#N/A</v>
      </c>
      <c r="T638" t="e">
        <f t="shared" si="73"/>
        <v>#N/A</v>
      </c>
      <c r="U638" t="e">
        <f t="shared" si="74"/>
        <v>#N/A</v>
      </c>
      <c r="V638" t="e">
        <f t="shared" si="74"/>
        <v>#N/A</v>
      </c>
      <c r="W638" t="e">
        <f t="shared" si="75"/>
        <v>#N/A</v>
      </c>
      <c r="X638" t="e">
        <f t="shared" si="75"/>
        <v>#N/A</v>
      </c>
      <c r="Y638" t="e">
        <f t="shared" si="76"/>
        <v>#N/A</v>
      </c>
      <c r="Z638" t="e">
        <f t="shared" si="76"/>
        <v>#N/A</v>
      </c>
    </row>
    <row r="639" spans="1:26">
      <c r="A639" t="e">
        <f>IF(ISBLANK('[1]Точность устьев скважин'!A641),#N/A,'[1]Точность устьев скважин'!A641)</f>
        <v>#N/A</v>
      </c>
      <c r="B639" t="e">
        <f>IF(ISBLANK('[1]Точность устьев скважин'!B641),#N/A,'[1]Точность устьев скважин'!B641)</f>
        <v>#N/A</v>
      </c>
      <c r="C639" t="e">
        <f>IF(ISBLANK('[1]Точность устьев скважин'!C641),#N/A,'[1]Точность устьев скважин'!C641)</f>
        <v>#N/A</v>
      </c>
      <c r="D639" t="e">
        <f>IF(ISBLANK('[1]Точность устьев скважин'!D641),#N/A,'[1]Точность устьев скважин'!D641)</f>
        <v>#N/A</v>
      </c>
      <c r="G639" t="e">
        <f>IF(ISBLANK('[1]Точность устьев скважин'!H641),#N/A,'[1]Точность устьев скважин'!H641)</f>
        <v>#N/A</v>
      </c>
      <c r="H639" t="e">
        <f>IF(ISBLANK('[1]Точность устьев скважин'!I641),#N/A,'[1]Точность устьев скважин'!I641)</f>
        <v>#N/A</v>
      </c>
      <c r="I639" t="e">
        <f>IF(ISBLANK('[1]Точность устьев скважин'!J641),#N/A,'[1]Точность устьев скважин'!J641)</f>
        <v>#N/A</v>
      </c>
      <c r="J639" t="e">
        <f>IF(ISBLANK('[1]Точность устьев скважин'!K641),#N/A,'[1]Точность устьев скважин'!K641)</f>
        <v>#N/A</v>
      </c>
      <c r="L639" s="63" t="e">
        <f t="shared" si="70"/>
        <v>#N/A</v>
      </c>
      <c r="O639" t="e">
        <f t="shared" si="71"/>
        <v>#N/A</v>
      </c>
      <c r="P639" t="e">
        <f t="shared" si="71"/>
        <v>#N/A</v>
      </c>
      <c r="Q639" t="e">
        <f t="shared" si="72"/>
        <v>#N/A</v>
      </c>
      <c r="R639" t="e">
        <f t="shared" si="72"/>
        <v>#N/A</v>
      </c>
      <c r="S639" t="e">
        <f t="shared" si="73"/>
        <v>#N/A</v>
      </c>
      <c r="T639" t="e">
        <f t="shared" si="73"/>
        <v>#N/A</v>
      </c>
      <c r="U639" t="e">
        <f t="shared" si="74"/>
        <v>#N/A</v>
      </c>
      <c r="V639" t="e">
        <f t="shared" si="74"/>
        <v>#N/A</v>
      </c>
      <c r="W639" t="e">
        <f t="shared" si="75"/>
        <v>#N/A</v>
      </c>
      <c r="X639" t="e">
        <f t="shared" si="75"/>
        <v>#N/A</v>
      </c>
      <c r="Y639" t="e">
        <f t="shared" si="76"/>
        <v>#N/A</v>
      </c>
      <c r="Z639" t="e">
        <f t="shared" si="76"/>
        <v>#N/A</v>
      </c>
    </row>
    <row r="640" spans="1:26">
      <c r="A640" t="e">
        <f>IF(ISBLANK('[1]Точность устьев скважин'!A642),#N/A,'[1]Точность устьев скважин'!A642)</f>
        <v>#N/A</v>
      </c>
      <c r="B640" t="e">
        <f>IF(ISBLANK('[1]Точность устьев скважин'!B642),#N/A,'[1]Точность устьев скважин'!B642)</f>
        <v>#N/A</v>
      </c>
      <c r="C640" t="e">
        <f>IF(ISBLANK('[1]Точность устьев скважин'!C642),#N/A,'[1]Точность устьев скважин'!C642)</f>
        <v>#N/A</v>
      </c>
      <c r="D640" t="e">
        <f>IF(ISBLANK('[1]Точность устьев скважин'!D642),#N/A,'[1]Точность устьев скважин'!D642)</f>
        <v>#N/A</v>
      </c>
      <c r="G640" t="e">
        <f>IF(ISBLANK('[1]Точность устьев скважин'!H642),#N/A,'[1]Точность устьев скважин'!H642)</f>
        <v>#N/A</v>
      </c>
      <c r="H640" t="e">
        <f>IF(ISBLANK('[1]Точность устьев скважин'!I642),#N/A,'[1]Точность устьев скважин'!I642)</f>
        <v>#N/A</v>
      </c>
      <c r="I640" t="e">
        <f>IF(ISBLANK('[1]Точность устьев скважин'!J642),#N/A,'[1]Точность устьев скважин'!J642)</f>
        <v>#N/A</v>
      </c>
      <c r="J640" t="e">
        <f>IF(ISBLANK('[1]Точность устьев скважин'!K642),#N/A,'[1]Точность устьев скважин'!K642)</f>
        <v>#N/A</v>
      </c>
      <c r="L640" s="63" t="e">
        <f t="shared" si="70"/>
        <v>#N/A</v>
      </c>
      <c r="O640" t="e">
        <f t="shared" si="71"/>
        <v>#N/A</v>
      </c>
      <c r="P640" t="e">
        <f t="shared" si="71"/>
        <v>#N/A</v>
      </c>
      <c r="Q640" t="e">
        <f t="shared" si="72"/>
        <v>#N/A</v>
      </c>
      <c r="R640" t="e">
        <f t="shared" si="72"/>
        <v>#N/A</v>
      </c>
      <c r="S640" t="e">
        <f t="shared" si="73"/>
        <v>#N/A</v>
      </c>
      <c r="T640" t="e">
        <f t="shared" si="73"/>
        <v>#N/A</v>
      </c>
      <c r="U640" t="e">
        <f t="shared" si="74"/>
        <v>#N/A</v>
      </c>
      <c r="V640" t="e">
        <f t="shared" si="74"/>
        <v>#N/A</v>
      </c>
      <c r="W640" t="e">
        <f t="shared" si="75"/>
        <v>#N/A</v>
      </c>
      <c r="X640" t="e">
        <f t="shared" si="75"/>
        <v>#N/A</v>
      </c>
      <c r="Y640" t="e">
        <f t="shared" si="76"/>
        <v>#N/A</v>
      </c>
      <c r="Z640" t="e">
        <f t="shared" si="76"/>
        <v>#N/A</v>
      </c>
    </row>
    <row r="641" spans="1:26">
      <c r="A641" t="e">
        <f>IF(ISBLANK('[1]Точность устьев скважин'!A643),#N/A,'[1]Точность устьев скважин'!A643)</f>
        <v>#N/A</v>
      </c>
      <c r="B641" t="e">
        <f>IF(ISBLANK('[1]Точность устьев скважин'!B643),#N/A,'[1]Точность устьев скважин'!B643)</f>
        <v>#N/A</v>
      </c>
      <c r="C641" t="e">
        <f>IF(ISBLANK('[1]Точность устьев скважин'!C643),#N/A,'[1]Точность устьев скважин'!C643)</f>
        <v>#N/A</v>
      </c>
      <c r="D641" t="e">
        <f>IF(ISBLANK('[1]Точность устьев скважин'!D643),#N/A,'[1]Точность устьев скважин'!D643)</f>
        <v>#N/A</v>
      </c>
      <c r="G641" t="e">
        <f>IF(ISBLANK('[1]Точность устьев скважин'!H643),#N/A,'[1]Точность устьев скважин'!H643)</f>
        <v>#N/A</v>
      </c>
      <c r="H641" t="e">
        <f>IF(ISBLANK('[1]Точность устьев скважин'!I643),#N/A,'[1]Точность устьев скважин'!I643)</f>
        <v>#N/A</v>
      </c>
      <c r="I641" t="e">
        <f>IF(ISBLANK('[1]Точность устьев скважин'!J643),#N/A,'[1]Точность устьев скважин'!J643)</f>
        <v>#N/A</v>
      </c>
      <c r="J641" t="e">
        <f>IF(ISBLANK('[1]Точность устьев скважин'!K643),#N/A,'[1]Точность устьев скважин'!K643)</f>
        <v>#N/A</v>
      </c>
      <c r="L641" s="63" t="e">
        <f t="shared" si="70"/>
        <v>#N/A</v>
      </c>
      <c r="O641" t="e">
        <f t="shared" si="71"/>
        <v>#N/A</v>
      </c>
      <c r="P641" t="e">
        <f t="shared" si="71"/>
        <v>#N/A</v>
      </c>
      <c r="Q641" t="e">
        <f t="shared" si="72"/>
        <v>#N/A</v>
      </c>
      <c r="R641" t="e">
        <f t="shared" si="72"/>
        <v>#N/A</v>
      </c>
      <c r="S641" t="e">
        <f t="shared" si="73"/>
        <v>#N/A</v>
      </c>
      <c r="T641" t="e">
        <f t="shared" si="73"/>
        <v>#N/A</v>
      </c>
      <c r="U641" t="e">
        <f t="shared" si="74"/>
        <v>#N/A</v>
      </c>
      <c r="V641" t="e">
        <f t="shared" si="74"/>
        <v>#N/A</v>
      </c>
      <c r="W641" t="e">
        <f t="shared" si="75"/>
        <v>#N/A</v>
      </c>
      <c r="X641" t="e">
        <f t="shared" si="75"/>
        <v>#N/A</v>
      </c>
      <c r="Y641" t="e">
        <f t="shared" si="76"/>
        <v>#N/A</v>
      </c>
      <c r="Z641" t="e">
        <f t="shared" si="76"/>
        <v>#N/A</v>
      </c>
    </row>
    <row r="642" spans="1:26">
      <c r="A642" t="e">
        <f>IF(ISBLANK('[1]Точность устьев скважин'!A644),#N/A,'[1]Точность устьев скважин'!A644)</f>
        <v>#N/A</v>
      </c>
      <c r="B642" t="e">
        <f>IF(ISBLANK('[1]Точность устьев скважин'!B644),#N/A,'[1]Точность устьев скважин'!B644)</f>
        <v>#N/A</v>
      </c>
      <c r="C642" t="e">
        <f>IF(ISBLANK('[1]Точность устьев скважин'!C644),#N/A,'[1]Точность устьев скважин'!C644)</f>
        <v>#N/A</v>
      </c>
      <c r="D642" t="e">
        <f>IF(ISBLANK('[1]Точность устьев скважин'!D644),#N/A,'[1]Точность устьев скважин'!D644)</f>
        <v>#N/A</v>
      </c>
      <c r="G642" t="e">
        <f>IF(ISBLANK('[1]Точность устьев скважин'!H644),#N/A,'[1]Точность устьев скважин'!H644)</f>
        <v>#N/A</v>
      </c>
      <c r="H642" t="e">
        <f>IF(ISBLANK('[1]Точность устьев скважин'!I644),#N/A,'[1]Точность устьев скважин'!I644)</f>
        <v>#N/A</v>
      </c>
      <c r="I642" t="e">
        <f>IF(ISBLANK('[1]Точность устьев скважин'!J644),#N/A,'[1]Точность устьев скважин'!J644)</f>
        <v>#N/A</v>
      </c>
      <c r="J642" t="e">
        <f>IF(ISBLANK('[1]Точность устьев скважин'!K644),#N/A,'[1]Точность устьев скважин'!K644)</f>
        <v>#N/A</v>
      </c>
      <c r="L642" s="63" t="e">
        <f t="shared" si="70"/>
        <v>#N/A</v>
      </c>
      <c r="O642" t="e">
        <f t="shared" si="71"/>
        <v>#N/A</v>
      </c>
      <c r="P642" t="e">
        <f t="shared" si="71"/>
        <v>#N/A</v>
      </c>
      <c r="Q642" t="e">
        <f t="shared" si="72"/>
        <v>#N/A</v>
      </c>
      <c r="R642" t="e">
        <f t="shared" si="72"/>
        <v>#N/A</v>
      </c>
      <c r="S642" t="e">
        <f t="shared" si="73"/>
        <v>#N/A</v>
      </c>
      <c r="T642" t="e">
        <f t="shared" si="73"/>
        <v>#N/A</v>
      </c>
      <c r="U642" t="e">
        <f t="shared" si="74"/>
        <v>#N/A</v>
      </c>
      <c r="V642" t="e">
        <f t="shared" si="74"/>
        <v>#N/A</v>
      </c>
      <c r="W642" t="e">
        <f t="shared" si="75"/>
        <v>#N/A</v>
      </c>
      <c r="X642" t="e">
        <f t="shared" si="75"/>
        <v>#N/A</v>
      </c>
      <c r="Y642" t="e">
        <f t="shared" si="76"/>
        <v>#N/A</v>
      </c>
      <c r="Z642" t="e">
        <f t="shared" si="76"/>
        <v>#N/A</v>
      </c>
    </row>
    <row r="643" spans="1:26">
      <c r="A643" t="e">
        <f>IF(ISBLANK('[1]Точность устьев скважин'!A645),#N/A,'[1]Точность устьев скважин'!A645)</f>
        <v>#N/A</v>
      </c>
      <c r="B643" t="e">
        <f>IF(ISBLANK('[1]Точность устьев скважин'!B645),#N/A,'[1]Точность устьев скважин'!B645)</f>
        <v>#N/A</v>
      </c>
      <c r="C643" t="e">
        <f>IF(ISBLANK('[1]Точность устьев скважин'!C645),#N/A,'[1]Точность устьев скважин'!C645)</f>
        <v>#N/A</v>
      </c>
      <c r="D643" t="e">
        <f>IF(ISBLANK('[1]Точность устьев скважин'!D645),#N/A,'[1]Точность устьев скважин'!D645)</f>
        <v>#N/A</v>
      </c>
      <c r="G643" t="e">
        <f>IF(ISBLANK('[1]Точность устьев скважин'!H645),#N/A,'[1]Точность устьев скважин'!H645)</f>
        <v>#N/A</v>
      </c>
      <c r="H643" t="e">
        <f>IF(ISBLANK('[1]Точность устьев скважин'!I645),#N/A,'[1]Точность устьев скважин'!I645)</f>
        <v>#N/A</v>
      </c>
      <c r="I643" t="e">
        <f>IF(ISBLANK('[1]Точность устьев скважин'!J645),#N/A,'[1]Точность устьев скважин'!J645)</f>
        <v>#N/A</v>
      </c>
      <c r="J643" t="e">
        <f>IF(ISBLANK('[1]Точность устьев скважин'!K645),#N/A,'[1]Точность устьев скважин'!K645)</f>
        <v>#N/A</v>
      </c>
      <c r="L643" s="63" t="e">
        <f t="shared" si="70"/>
        <v>#N/A</v>
      </c>
      <c r="O643" t="e">
        <f t="shared" si="71"/>
        <v>#N/A</v>
      </c>
      <c r="P643" t="e">
        <f t="shared" si="71"/>
        <v>#N/A</v>
      </c>
      <c r="Q643" t="e">
        <f t="shared" si="72"/>
        <v>#N/A</v>
      </c>
      <c r="R643" t="e">
        <f t="shared" si="72"/>
        <v>#N/A</v>
      </c>
      <c r="S643" t="e">
        <f t="shared" si="73"/>
        <v>#N/A</v>
      </c>
      <c r="T643" t="e">
        <f t="shared" si="73"/>
        <v>#N/A</v>
      </c>
      <c r="U643" t="e">
        <f t="shared" si="74"/>
        <v>#N/A</v>
      </c>
      <c r="V643" t="e">
        <f t="shared" si="74"/>
        <v>#N/A</v>
      </c>
      <c r="W643" t="e">
        <f t="shared" si="75"/>
        <v>#N/A</v>
      </c>
      <c r="X643" t="e">
        <f t="shared" si="75"/>
        <v>#N/A</v>
      </c>
      <c r="Y643" t="e">
        <f t="shared" si="76"/>
        <v>#N/A</v>
      </c>
      <c r="Z643" t="e">
        <f t="shared" si="76"/>
        <v>#N/A</v>
      </c>
    </row>
    <row r="644" spans="1:26">
      <c r="A644" t="e">
        <f>IF(ISBLANK('[1]Точность устьев скважин'!A646),#N/A,'[1]Точность устьев скважин'!A646)</f>
        <v>#N/A</v>
      </c>
      <c r="B644" t="e">
        <f>IF(ISBLANK('[1]Точность устьев скважин'!B646),#N/A,'[1]Точность устьев скважин'!B646)</f>
        <v>#N/A</v>
      </c>
      <c r="C644" t="e">
        <f>IF(ISBLANK('[1]Точность устьев скважин'!C646),#N/A,'[1]Точность устьев скважин'!C646)</f>
        <v>#N/A</v>
      </c>
      <c r="D644" t="e">
        <f>IF(ISBLANK('[1]Точность устьев скважин'!D646),#N/A,'[1]Точность устьев скважин'!D646)</f>
        <v>#N/A</v>
      </c>
      <c r="G644" t="e">
        <f>IF(ISBLANK('[1]Точность устьев скважин'!H646),#N/A,'[1]Точность устьев скважин'!H646)</f>
        <v>#N/A</v>
      </c>
      <c r="H644" t="e">
        <f>IF(ISBLANK('[1]Точность устьев скважин'!I646),#N/A,'[1]Точность устьев скважин'!I646)</f>
        <v>#N/A</v>
      </c>
      <c r="I644" t="e">
        <f>IF(ISBLANK('[1]Точность устьев скважин'!J646),#N/A,'[1]Точность устьев скважин'!J646)</f>
        <v>#N/A</v>
      </c>
      <c r="J644" t="e">
        <f>IF(ISBLANK('[1]Точность устьев скважин'!K646),#N/A,'[1]Точность устьев скважин'!K646)</f>
        <v>#N/A</v>
      </c>
      <c r="L644" s="63" t="e">
        <f t="shared" ref="L644:L707" si="77">IF(B644="","",(SQRT((H644-B644)^2+(I644-C644)^2)))</f>
        <v>#N/A</v>
      </c>
      <c r="O644" t="e">
        <f t="shared" si="71"/>
        <v>#N/A</v>
      </c>
      <c r="P644" t="e">
        <f t="shared" si="71"/>
        <v>#N/A</v>
      </c>
      <c r="Q644" t="e">
        <f t="shared" si="72"/>
        <v>#N/A</v>
      </c>
      <c r="R644" t="e">
        <f t="shared" si="72"/>
        <v>#N/A</v>
      </c>
      <c r="S644" t="e">
        <f t="shared" si="73"/>
        <v>#N/A</v>
      </c>
      <c r="T644" t="e">
        <f t="shared" si="73"/>
        <v>#N/A</v>
      </c>
      <c r="U644" t="e">
        <f t="shared" si="74"/>
        <v>#N/A</v>
      </c>
      <c r="V644" t="e">
        <f t="shared" si="74"/>
        <v>#N/A</v>
      </c>
      <c r="W644" t="e">
        <f t="shared" si="75"/>
        <v>#N/A</v>
      </c>
      <c r="X644" t="e">
        <f t="shared" si="75"/>
        <v>#N/A</v>
      </c>
      <c r="Y644" t="e">
        <f t="shared" si="76"/>
        <v>#N/A</v>
      </c>
      <c r="Z644" t="e">
        <f t="shared" si="76"/>
        <v>#N/A</v>
      </c>
    </row>
    <row r="645" spans="1:26">
      <c r="A645" t="e">
        <f>IF(ISBLANK('[1]Точность устьев скважин'!A647),#N/A,'[1]Точность устьев скважин'!A647)</f>
        <v>#N/A</v>
      </c>
      <c r="B645" t="e">
        <f>IF(ISBLANK('[1]Точность устьев скважин'!B647),#N/A,'[1]Точность устьев скважин'!B647)</f>
        <v>#N/A</v>
      </c>
      <c r="C645" t="e">
        <f>IF(ISBLANK('[1]Точность устьев скважин'!C647),#N/A,'[1]Точность устьев скважин'!C647)</f>
        <v>#N/A</v>
      </c>
      <c r="D645" t="e">
        <f>IF(ISBLANK('[1]Точность устьев скважин'!D647),#N/A,'[1]Точность устьев скважин'!D647)</f>
        <v>#N/A</v>
      </c>
      <c r="G645" t="e">
        <f>IF(ISBLANK('[1]Точность устьев скважин'!H647),#N/A,'[1]Точность устьев скважин'!H647)</f>
        <v>#N/A</v>
      </c>
      <c r="H645" t="e">
        <f>IF(ISBLANK('[1]Точность устьев скважин'!I647),#N/A,'[1]Точность устьев скважин'!I647)</f>
        <v>#N/A</v>
      </c>
      <c r="I645" t="e">
        <f>IF(ISBLANK('[1]Точность устьев скважин'!J647),#N/A,'[1]Точность устьев скважин'!J647)</f>
        <v>#N/A</v>
      </c>
      <c r="J645" t="e">
        <f>IF(ISBLANK('[1]Точность устьев скважин'!K647),#N/A,'[1]Точность устьев скважин'!K647)</f>
        <v>#N/A</v>
      </c>
      <c r="L645" s="63" t="e">
        <f t="shared" si="77"/>
        <v>#N/A</v>
      </c>
      <c r="O645" t="e">
        <f t="shared" si="71"/>
        <v>#N/A</v>
      </c>
      <c r="P645" t="e">
        <f t="shared" si="71"/>
        <v>#N/A</v>
      </c>
      <c r="Q645" t="e">
        <f t="shared" si="72"/>
        <v>#N/A</v>
      </c>
      <c r="R645" t="e">
        <f t="shared" si="72"/>
        <v>#N/A</v>
      </c>
      <c r="S645" t="e">
        <f t="shared" si="73"/>
        <v>#N/A</v>
      </c>
      <c r="T645" t="e">
        <f t="shared" si="73"/>
        <v>#N/A</v>
      </c>
      <c r="U645" t="e">
        <f t="shared" si="74"/>
        <v>#N/A</v>
      </c>
      <c r="V645" t="e">
        <f t="shared" si="74"/>
        <v>#N/A</v>
      </c>
      <c r="W645" t="e">
        <f t="shared" si="75"/>
        <v>#N/A</v>
      </c>
      <c r="X645" t="e">
        <f t="shared" si="75"/>
        <v>#N/A</v>
      </c>
      <c r="Y645" t="e">
        <f t="shared" si="76"/>
        <v>#N/A</v>
      </c>
      <c r="Z645" t="e">
        <f t="shared" si="76"/>
        <v>#N/A</v>
      </c>
    </row>
    <row r="646" spans="1:26">
      <c r="A646" t="e">
        <f>IF(ISBLANK('[1]Точность устьев скважин'!A648),#N/A,'[1]Точность устьев скважин'!A648)</f>
        <v>#N/A</v>
      </c>
      <c r="B646" t="e">
        <f>IF(ISBLANK('[1]Точность устьев скважин'!B648),#N/A,'[1]Точность устьев скважин'!B648)</f>
        <v>#N/A</v>
      </c>
      <c r="C646" t="e">
        <f>IF(ISBLANK('[1]Точность устьев скважин'!C648),#N/A,'[1]Точность устьев скважин'!C648)</f>
        <v>#N/A</v>
      </c>
      <c r="D646" t="e">
        <f>IF(ISBLANK('[1]Точность устьев скважин'!D648),#N/A,'[1]Точность устьев скважин'!D648)</f>
        <v>#N/A</v>
      </c>
      <c r="G646" t="e">
        <f>IF(ISBLANK('[1]Точность устьев скважин'!H648),#N/A,'[1]Точность устьев скважин'!H648)</f>
        <v>#N/A</v>
      </c>
      <c r="H646" t="e">
        <f>IF(ISBLANK('[1]Точность устьев скважин'!I648),#N/A,'[1]Точность устьев скважин'!I648)</f>
        <v>#N/A</v>
      </c>
      <c r="I646" t="e">
        <f>IF(ISBLANK('[1]Точность устьев скважин'!J648),#N/A,'[1]Точность устьев скважин'!J648)</f>
        <v>#N/A</v>
      </c>
      <c r="J646" t="e">
        <f>IF(ISBLANK('[1]Точность устьев скважин'!K648),#N/A,'[1]Точность устьев скважин'!K648)</f>
        <v>#N/A</v>
      </c>
      <c r="L646" s="63" t="e">
        <f t="shared" si="77"/>
        <v>#N/A</v>
      </c>
      <c r="O646" t="e">
        <f t="shared" si="71"/>
        <v>#N/A</v>
      </c>
      <c r="P646" t="e">
        <f t="shared" si="71"/>
        <v>#N/A</v>
      </c>
      <c r="Q646" t="e">
        <f t="shared" si="72"/>
        <v>#N/A</v>
      </c>
      <c r="R646" t="e">
        <f t="shared" si="72"/>
        <v>#N/A</v>
      </c>
      <c r="S646" t="e">
        <f t="shared" si="73"/>
        <v>#N/A</v>
      </c>
      <c r="T646" t="e">
        <f t="shared" si="73"/>
        <v>#N/A</v>
      </c>
      <c r="U646" t="e">
        <f t="shared" si="74"/>
        <v>#N/A</v>
      </c>
      <c r="V646" t="e">
        <f t="shared" si="74"/>
        <v>#N/A</v>
      </c>
      <c r="W646" t="e">
        <f t="shared" si="75"/>
        <v>#N/A</v>
      </c>
      <c r="X646" t="e">
        <f t="shared" si="75"/>
        <v>#N/A</v>
      </c>
      <c r="Y646" t="e">
        <f t="shared" si="76"/>
        <v>#N/A</v>
      </c>
      <c r="Z646" t="e">
        <f t="shared" si="76"/>
        <v>#N/A</v>
      </c>
    </row>
    <row r="647" spans="1:26">
      <c r="A647" t="e">
        <f>IF(ISBLANK('[1]Точность устьев скважин'!A649),#N/A,'[1]Точность устьев скважин'!A649)</f>
        <v>#N/A</v>
      </c>
      <c r="B647" t="e">
        <f>IF(ISBLANK('[1]Точность устьев скважин'!B649),#N/A,'[1]Точность устьев скважин'!B649)</f>
        <v>#N/A</v>
      </c>
      <c r="C647" t="e">
        <f>IF(ISBLANK('[1]Точность устьев скважин'!C649),#N/A,'[1]Точность устьев скважин'!C649)</f>
        <v>#N/A</v>
      </c>
      <c r="D647" t="e">
        <f>IF(ISBLANK('[1]Точность устьев скважин'!D649),#N/A,'[1]Точность устьев скважин'!D649)</f>
        <v>#N/A</v>
      </c>
      <c r="G647" t="e">
        <f>IF(ISBLANK('[1]Точность устьев скважин'!H649),#N/A,'[1]Точность устьев скважин'!H649)</f>
        <v>#N/A</v>
      </c>
      <c r="H647" t="e">
        <f>IF(ISBLANK('[1]Точность устьев скважин'!I649),#N/A,'[1]Точность устьев скважин'!I649)</f>
        <v>#N/A</v>
      </c>
      <c r="I647" t="e">
        <f>IF(ISBLANK('[1]Точность устьев скважин'!J649),#N/A,'[1]Точность устьев скважин'!J649)</f>
        <v>#N/A</v>
      </c>
      <c r="J647" t="e">
        <f>IF(ISBLANK('[1]Точность устьев скважин'!K649),#N/A,'[1]Точность устьев скважин'!K649)</f>
        <v>#N/A</v>
      </c>
      <c r="L647" s="63" t="e">
        <f t="shared" si="77"/>
        <v>#N/A</v>
      </c>
      <c r="O647" t="e">
        <f t="shared" si="71"/>
        <v>#N/A</v>
      </c>
      <c r="P647" t="e">
        <f t="shared" si="71"/>
        <v>#N/A</v>
      </c>
      <c r="Q647" t="e">
        <f t="shared" si="72"/>
        <v>#N/A</v>
      </c>
      <c r="R647" t="e">
        <f t="shared" si="72"/>
        <v>#N/A</v>
      </c>
      <c r="S647" t="e">
        <f t="shared" si="73"/>
        <v>#N/A</v>
      </c>
      <c r="T647" t="e">
        <f t="shared" si="73"/>
        <v>#N/A</v>
      </c>
      <c r="U647" t="e">
        <f t="shared" si="74"/>
        <v>#N/A</v>
      </c>
      <c r="V647" t="e">
        <f t="shared" si="74"/>
        <v>#N/A</v>
      </c>
      <c r="W647" t="e">
        <f t="shared" si="75"/>
        <v>#N/A</v>
      </c>
      <c r="X647" t="e">
        <f t="shared" si="75"/>
        <v>#N/A</v>
      </c>
      <c r="Y647" t="e">
        <f t="shared" si="76"/>
        <v>#N/A</v>
      </c>
      <c r="Z647" t="e">
        <f t="shared" si="76"/>
        <v>#N/A</v>
      </c>
    </row>
    <row r="648" spans="1:26">
      <c r="A648" t="e">
        <f>IF(ISBLANK('[1]Точность устьев скважин'!A650),#N/A,'[1]Точность устьев скважин'!A650)</f>
        <v>#N/A</v>
      </c>
      <c r="B648" t="e">
        <f>IF(ISBLANK('[1]Точность устьев скважин'!B650),#N/A,'[1]Точность устьев скважин'!B650)</f>
        <v>#N/A</v>
      </c>
      <c r="C648" t="e">
        <f>IF(ISBLANK('[1]Точность устьев скважин'!C650),#N/A,'[1]Точность устьев скважин'!C650)</f>
        <v>#N/A</v>
      </c>
      <c r="D648" t="e">
        <f>IF(ISBLANK('[1]Точность устьев скважин'!D650),#N/A,'[1]Точность устьев скважин'!D650)</f>
        <v>#N/A</v>
      </c>
      <c r="G648" t="e">
        <f>IF(ISBLANK('[1]Точность устьев скважин'!H650),#N/A,'[1]Точность устьев скважин'!H650)</f>
        <v>#N/A</v>
      </c>
      <c r="H648" t="e">
        <f>IF(ISBLANK('[1]Точность устьев скважин'!I650),#N/A,'[1]Точность устьев скважин'!I650)</f>
        <v>#N/A</v>
      </c>
      <c r="I648" t="e">
        <f>IF(ISBLANK('[1]Точность устьев скважин'!J650),#N/A,'[1]Точность устьев скважин'!J650)</f>
        <v>#N/A</v>
      </c>
      <c r="J648" t="e">
        <f>IF(ISBLANK('[1]Точность устьев скважин'!K650),#N/A,'[1]Точность устьев скважин'!K650)</f>
        <v>#N/A</v>
      </c>
      <c r="L648" s="63" t="e">
        <f t="shared" si="77"/>
        <v>#N/A</v>
      </c>
      <c r="O648" t="e">
        <f t="shared" si="71"/>
        <v>#N/A</v>
      </c>
      <c r="P648" t="e">
        <f t="shared" si="71"/>
        <v>#N/A</v>
      </c>
      <c r="Q648" t="e">
        <f t="shared" si="72"/>
        <v>#N/A</v>
      </c>
      <c r="R648" t="e">
        <f t="shared" si="72"/>
        <v>#N/A</v>
      </c>
      <c r="S648" t="e">
        <f t="shared" si="73"/>
        <v>#N/A</v>
      </c>
      <c r="T648" t="e">
        <f t="shared" si="73"/>
        <v>#N/A</v>
      </c>
      <c r="U648" t="e">
        <f t="shared" si="74"/>
        <v>#N/A</v>
      </c>
      <c r="V648" t="e">
        <f t="shared" si="74"/>
        <v>#N/A</v>
      </c>
      <c r="W648" t="e">
        <f t="shared" si="75"/>
        <v>#N/A</v>
      </c>
      <c r="X648" t="e">
        <f t="shared" si="75"/>
        <v>#N/A</v>
      </c>
      <c r="Y648" t="e">
        <f t="shared" si="76"/>
        <v>#N/A</v>
      </c>
      <c r="Z648" t="e">
        <f t="shared" si="76"/>
        <v>#N/A</v>
      </c>
    </row>
    <row r="649" spans="1:26">
      <c r="A649" t="e">
        <f>IF(ISBLANK('[1]Точность устьев скважин'!A651),#N/A,'[1]Точность устьев скважин'!A651)</f>
        <v>#N/A</v>
      </c>
      <c r="B649" t="e">
        <f>IF(ISBLANK('[1]Точность устьев скважин'!B651),#N/A,'[1]Точность устьев скважин'!B651)</f>
        <v>#N/A</v>
      </c>
      <c r="C649" t="e">
        <f>IF(ISBLANK('[1]Точность устьев скважин'!C651),#N/A,'[1]Точность устьев скважин'!C651)</f>
        <v>#N/A</v>
      </c>
      <c r="D649" t="e">
        <f>IF(ISBLANK('[1]Точность устьев скважин'!D651),#N/A,'[1]Точность устьев скважин'!D651)</f>
        <v>#N/A</v>
      </c>
      <c r="G649" t="e">
        <f>IF(ISBLANK('[1]Точность устьев скважин'!H651),#N/A,'[1]Точность устьев скважин'!H651)</f>
        <v>#N/A</v>
      </c>
      <c r="H649" t="e">
        <f>IF(ISBLANK('[1]Точность устьев скважин'!I651),#N/A,'[1]Точность устьев скважин'!I651)</f>
        <v>#N/A</v>
      </c>
      <c r="I649" t="e">
        <f>IF(ISBLANK('[1]Точность устьев скважин'!J651),#N/A,'[1]Точность устьев скважин'!J651)</f>
        <v>#N/A</v>
      </c>
      <c r="J649" t="e">
        <f>IF(ISBLANK('[1]Точность устьев скважин'!K651),#N/A,'[1]Точность устьев скважин'!K651)</f>
        <v>#N/A</v>
      </c>
      <c r="L649" s="63" t="e">
        <f t="shared" si="77"/>
        <v>#N/A</v>
      </c>
      <c r="O649" t="e">
        <f t="shared" si="71"/>
        <v>#N/A</v>
      </c>
      <c r="P649" t="e">
        <f t="shared" si="71"/>
        <v>#N/A</v>
      </c>
      <c r="Q649" t="e">
        <f t="shared" si="72"/>
        <v>#N/A</v>
      </c>
      <c r="R649" t="e">
        <f t="shared" si="72"/>
        <v>#N/A</v>
      </c>
      <c r="S649" t="e">
        <f t="shared" si="73"/>
        <v>#N/A</v>
      </c>
      <c r="T649" t="e">
        <f t="shared" si="73"/>
        <v>#N/A</v>
      </c>
      <c r="U649" t="e">
        <f t="shared" si="74"/>
        <v>#N/A</v>
      </c>
      <c r="V649" t="e">
        <f t="shared" si="74"/>
        <v>#N/A</v>
      </c>
      <c r="W649" t="e">
        <f t="shared" si="75"/>
        <v>#N/A</v>
      </c>
      <c r="X649" t="e">
        <f t="shared" si="75"/>
        <v>#N/A</v>
      </c>
      <c r="Y649" t="e">
        <f t="shared" si="76"/>
        <v>#N/A</v>
      </c>
      <c r="Z649" t="e">
        <f t="shared" si="76"/>
        <v>#N/A</v>
      </c>
    </row>
    <row r="650" spans="1:26">
      <c r="A650" t="e">
        <f>IF(ISBLANK('[1]Точность устьев скважин'!A652),#N/A,'[1]Точность устьев скважин'!A652)</f>
        <v>#N/A</v>
      </c>
      <c r="B650" t="e">
        <f>IF(ISBLANK('[1]Точность устьев скважин'!B652),#N/A,'[1]Точность устьев скважин'!B652)</f>
        <v>#N/A</v>
      </c>
      <c r="C650" t="e">
        <f>IF(ISBLANK('[1]Точность устьев скважин'!C652),#N/A,'[1]Точность устьев скважин'!C652)</f>
        <v>#N/A</v>
      </c>
      <c r="D650" t="e">
        <f>IF(ISBLANK('[1]Точность устьев скважин'!D652),#N/A,'[1]Точность устьев скважин'!D652)</f>
        <v>#N/A</v>
      </c>
      <c r="G650" t="e">
        <f>IF(ISBLANK('[1]Точность устьев скважин'!H652),#N/A,'[1]Точность устьев скважин'!H652)</f>
        <v>#N/A</v>
      </c>
      <c r="H650" t="e">
        <f>IF(ISBLANK('[1]Точность устьев скважин'!I652),#N/A,'[1]Точность устьев скважин'!I652)</f>
        <v>#N/A</v>
      </c>
      <c r="I650" t="e">
        <f>IF(ISBLANK('[1]Точность устьев скважин'!J652),#N/A,'[1]Точность устьев скважин'!J652)</f>
        <v>#N/A</v>
      </c>
      <c r="J650" t="e">
        <f>IF(ISBLANK('[1]Точность устьев скважин'!K652),#N/A,'[1]Точность устьев скважин'!K652)</f>
        <v>#N/A</v>
      </c>
      <c r="L650" s="63" t="e">
        <f t="shared" si="77"/>
        <v>#N/A</v>
      </c>
      <c r="O650" t="e">
        <f t="shared" si="71"/>
        <v>#N/A</v>
      </c>
      <c r="P650" t="e">
        <f t="shared" si="71"/>
        <v>#N/A</v>
      </c>
      <c r="Q650" t="e">
        <f t="shared" si="72"/>
        <v>#N/A</v>
      </c>
      <c r="R650" t="e">
        <f t="shared" si="72"/>
        <v>#N/A</v>
      </c>
      <c r="S650" t="e">
        <f t="shared" si="73"/>
        <v>#N/A</v>
      </c>
      <c r="T650" t="e">
        <f t="shared" si="73"/>
        <v>#N/A</v>
      </c>
      <c r="U650" t="e">
        <f t="shared" si="74"/>
        <v>#N/A</v>
      </c>
      <c r="V650" t="e">
        <f t="shared" si="74"/>
        <v>#N/A</v>
      </c>
      <c r="W650" t="e">
        <f t="shared" si="75"/>
        <v>#N/A</v>
      </c>
      <c r="X650" t="e">
        <f t="shared" si="75"/>
        <v>#N/A</v>
      </c>
      <c r="Y650" t="e">
        <f t="shared" si="76"/>
        <v>#N/A</v>
      </c>
      <c r="Z650" t="e">
        <f t="shared" si="76"/>
        <v>#N/A</v>
      </c>
    </row>
    <row r="651" spans="1:26">
      <c r="A651" t="e">
        <f>IF(ISBLANK('[1]Точность устьев скважин'!A653),#N/A,'[1]Точность устьев скважин'!A653)</f>
        <v>#N/A</v>
      </c>
      <c r="B651" t="e">
        <f>IF(ISBLANK('[1]Точность устьев скважин'!B653),#N/A,'[1]Точность устьев скважин'!B653)</f>
        <v>#N/A</v>
      </c>
      <c r="C651" t="e">
        <f>IF(ISBLANK('[1]Точность устьев скважин'!C653),#N/A,'[1]Точность устьев скважин'!C653)</f>
        <v>#N/A</v>
      </c>
      <c r="D651" t="e">
        <f>IF(ISBLANK('[1]Точность устьев скважин'!D653),#N/A,'[1]Точность устьев скважин'!D653)</f>
        <v>#N/A</v>
      </c>
      <c r="G651" t="e">
        <f>IF(ISBLANK('[1]Точность устьев скважин'!H653),#N/A,'[1]Точность устьев скважин'!H653)</f>
        <v>#N/A</v>
      </c>
      <c r="H651" t="e">
        <f>IF(ISBLANK('[1]Точность устьев скважин'!I653),#N/A,'[1]Точность устьев скважин'!I653)</f>
        <v>#N/A</v>
      </c>
      <c r="I651" t="e">
        <f>IF(ISBLANK('[1]Точность устьев скважин'!J653),#N/A,'[1]Точность устьев скважин'!J653)</f>
        <v>#N/A</v>
      </c>
      <c r="J651" t="e">
        <f>IF(ISBLANK('[1]Точность устьев скважин'!K653),#N/A,'[1]Точность устьев скважин'!K653)</f>
        <v>#N/A</v>
      </c>
      <c r="L651" s="63" t="e">
        <f t="shared" si="77"/>
        <v>#N/A</v>
      </c>
      <c r="O651" t="e">
        <f t="shared" si="71"/>
        <v>#N/A</v>
      </c>
      <c r="P651" t="e">
        <f t="shared" si="71"/>
        <v>#N/A</v>
      </c>
      <c r="Q651" t="e">
        <f t="shared" si="72"/>
        <v>#N/A</v>
      </c>
      <c r="R651" t="e">
        <f t="shared" si="72"/>
        <v>#N/A</v>
      </c>
      <c r="S651" t="e">
        <f t="shared" si="73"/>
        <v>#N/A</v>
      </c>
      <c r="T651" t="e">
        <f t="shared" si="73"/>
        <v>#N/A</v>
      </c>
      <c r="U651" t="e">
        <f t="shared" si="74"/>
        <v>#N/A</v>
      </c>
      <c r="V651" t="e">
        <f t="shared" si="74"/>
        <v>#N/A</v>
      </c>
      <c r="W651" t="e">
        <f t="shared" si="75"/>
        <v>#N/A</v>
      </c>
      <c r="X651" t="e">
        <f t="shared" si="75"/>
        <v>#N/A</v>
      </c>
      <c r="Y651" t="e">
        <f t="shared" si="76"/>
        <v>#N/A</v>
      </c>
      <c r="Z651" t="e">
        <f t="shared" si="76"/>
        <v>#N/A</v>
      </c>
    </row>
    <row r="652" spans="1:26">
      <c r="A652" t="e">
        <f>IF(ISBLANK('[1]Точность устьев скважин'!A654),#N/A,'[1]Точность устьев скважин'!A654)</f>
        <v>#N/A</v>
      </c>
      <c r="B652" t="e">
        <f>IF(ISBLANK('[1]Точность устьев скважин'!B654),#N/A,'[1]Точность устьев скважин'!B654)</f>
        <v>#N/A</v>
      </c>
      <c r="C652" t="e">
        <f>IF(ISBLANK('[1]Точность устьев скважин'!C654),#N/A,'[1]Точность устьев скважин'!C654)</f>
        <v>#N/A</v>
      </c>
      <c r="D652" t="e">
        <f>IF(ISBLANK('[1]Точность устьев скважин'!D654),#N/A,'[1]Точность устьев скважин'!D654)</f>
        <v>#N/A</v>
      </c>
      <c r="G652" t="e">
        <f>IF(ISBLANK('[1]Точность устьев скважин'!H654),#N/A,'[1]Точность устьев скважин'!H654)</f>
        <v>#N/A</v>
      </c>
      <c r="H652" t="e">
        <f>IF(ISBLANK('[1]Точность устьев скважин'!I654),#N/A,'[1]Точность устьев скважин'!I654)</f>
        <v>#N/A</v>
      </c>
      <c r="I652" t="e">
        <f>IF(ISBLANK('[1]Точность устьев скважин'!J654),#N/A,'[1]Точность устьев скважин'!J654)</f>
        <v>#N/A</v>
      </c>
      <c r="J652" t="e">
        <f>IF(ISBLANK('[1]Точность устьев скважин'!K654),#N/A,'[1]Точность устьев скважин'!K654)</f>
        <v>#N/A</v>
      </c>
      <c r="L652" s="63" t="e">
        <f t="shared" si="77"/>
        <v>#N/A</v>
      </c>
      <c r="O652" t="e">
        <f t="shared" si="71"/>
        <v>#N/A</v>
      </c>
      <c r="P652" t="e">
        <f t="shared" si="71"/>
        <v>#N/A</v>
      </c>
      <c r="Q652" t="e">
        <f t="shared" si="72"/>
        <v>#N/A</v>
      </c>
      <c r="R652" t="e">
        <f t="shared" si="72"/>
        <v>#N/A</v>
      </c>
      <c r="S652" t="e">
        <f t="shared" si="73"/>
        <v>#N/A</v>
      </c>
      <c r="T652" t="e">
        <f t="shared" si="73"/>
        <v>#N/A</v>
      </c>
      <c r="U652" t="e">
        <f t="shared" si="74"/>
        <v>#N/A</v>
      </c>
      <c r="V652" t="e">
        <f t="shared" si="74"/>
        <v>#N/A</v>
      </c>
      <c r="W652" t="e">
        <f t="shared" si="75"/>
        <v>#N/A</v>
      </c>
      <c r="X652" t="e">
        <f t="shared" si="75"/>
        <v>#N/A</v>
      </c>
      <c r="Y652" t="e">
        <f t="shared" si="76"/>
        <v>#N/A</v>
      </c>
      <c r="Z652" t="e">
        <f t="shared" si="76"/>
        <v>#N/A</v>
      </c>
    </row>
    <row r="653" spans="1:26">
      <c r="A653" t="e">
        <f>IF(ISBLANK('[1]Точность устьев скважин'!A655),#N/A,'[1]Точность устьев скважин'!A655)</f>
        <v>#N/A</v>
      </c>
      <c r="B653" t="e">
        <f>IF(ISBLANK('[1]Точность устьев скважин'!B655),#N/A,'[1]Точность устьев скважин'!B655)</f>
        <v>#N/A</v>
      </c>
      <c r="C653" t="e">
        <f>IF(ISBLANK('[1]Точность устьев скважин'!C655),#N/A,'[1]Точность устьев скважин'!C655)</f>
        <v>#N/A</v>
      </c>
      <c r="D653" t="e">
        <f>IF(ISBLANK('[1]Точность устьев скважин'!D655),#N/A,'[1]Точность устьев скважин'!D655)</f>
        <v>#N/A</v>
      </c>
      <c r="G653" t="e">
        <f>IF(ISBLANK('[1]Точность устьев скважин'!H655),#N/A,'[1]Точность устьев скважин'!H655)</f>
        <v>#N/A</v>
      </c>
      <c r="H653" t="e">
        <f>IF(ISBLANK('[1]Точность устьев скважин'!I655),#N/A,'[1]Точность устьев скважин'!I655)</f>
        <v>#N/A</v>
      </c>
      <c r="I653" t="e">
        <f>IF(ISBLANK('[1]Точность устьев скважин'!J655),#N/A,'[1]Точность устьев скважин'!J655)</f>
        <v>#N/A</v>
      </c>
      <c r="J653" t="e">
        <f>IF(ISBLANK('[1]Точность устьев скважин'!K655),#N/A,'[1]Точность устьев скважин'!K655)</f>
        <v>#N/A</v>
      </c>
      <c r="L653" s="63" t="e">
        <f t="shared" si="77"/>
        <v>#N/A</v>
      </c>
      <c r="O653" t="e">
        <f t="shared" si="71"/>
        <v>#N/A</v>
      </c>
      <c r="P653" t="e">
        <f t="shared" si="71"/>
        <v>#N/A</v>
      </c>
      <c r="Q653" t="e">
        <f t="shared" si="72"/>
        <v>#N/A</v>
      </c>
      <c r="R653" t="e">
        <f t="shared" si="72"/>
        <v>#N/A</v>
      </c>
      <c r="S653" t="e">
        <f t="shared" si="73"/>
        <v>#N/A</v>
      </c>
      <c r="T653" t="e">
        <f t="shared" si="73"/>
        <v>#N/A</v>
      </c>
      <c r="U653" t="e">
        <f t="shared" si="74"/>
        <v>#N/A</v>
      </c>
      <c r="V653" t="e">
        <f t="shared" si="74"/>
        <v>#N/A</v>
      </c>
      <c r="W653" t="e">
        <f t="shared" si="75"/>
        <v>#N/A</v>
      </c>
      <c r="X653" t="e">
        <f t="shared" si="75"/>
        <v>#N/A</v>
      </c>
      <c r="Y653" t="e">
        <f t="shared" si="76"/>
        <v>#N/A</v>
      </c>
      <c r="Z653" t="e">
        <f t="shared" si="76"/>
        <v>#N/A</v>
      </c>
    </row>
    <row r="654" spans="1:26">
      <c r="A654" t="e">
        <f>IF(ISBLANK('[1]Точность устьев скважин'!A656),#N/A,'[1]Точность устьев скважин'!A656)</f>
        <v>#N/A</v>
      </c>
      <c r="B654" t="e">
        <f>IF(ISBLANK('[1]Точность устьев скважин'!B656),#N/A,'[1]Точность устьев скважин'!B656)</f>
        <v>#N/A</v>
      </c>
      <c r="C654" t="e">
        <f>IF(ISBLANK('[1]Точность устьев скважин'!C656),#N/A,'[1]Точность устьев скважин'!C656)</f>
        <v>#N/A</v>
      </c>
      <c r="D654" t="e">
        <f>IF(ISBLANK('[1]Точность устьев скважин'!D656),#N/A,'[1]Точность устьев скважин'!D656)</f>
        <v>#N/A</v>
      </c>
      <c r="G654" t="e">
        <f>IF(ISBLANK('[1]Точность устьев скважин'!H656),#N/A,'[1]Точность устьев скважин'!H656)</f>
        <v>#N/A</v>
      </c>
      <c r="H654" t="e">
        <f>IF(ISBLANK('[1]Точность устьев скважин'!I656),#N/A,'[1]Точность устьев скважин'!I656)</f>
        <v>#N/A</v>
      </c>
      <c r="I654" t="e">
        <f>IF(ISBLANK('[1]Точность устьев скважин'!J656),#N/A,'[1]Точность устьев скважин'!J656)</f>
        <v>#N/A</v>
      </c>
      <c r="J654" t="e">
        <f>IF(ISBLANK('[1]Точность устьев скважин'!K656),#N/A,'[1]Точность устьев скважин'!K656)</f>
        <v>#N/A</v>
      </c>
      <c r="L654" s="63" t="e">
        <f t="shared" si="77"/>
        <v>#N/A</v>
      </c>
      <c r="O654" t="e">
        <f t="shared" si="71"/>
        <v>#N/A</v>
      </c>
      <c r="P654" t="e">
        <f t="shared" si="71"/>
        <v>#N/A</v>
      </c>
      <c r="Q654" t="e">
        <f t="shared" si="72"/>
        <v>#N/A</v>
      </c>
      <c r="R654" t="e">
        <f t="shared" si="72"/>
        <v>#N/A</v>
      </c>
      <c r="S654" t="e">
        <f t="shared" si="73"/>
        <v>#N/A</v>
      </c>
      <c r="T654" t="e">
        <f t="shared" si="73"/>
        <v>#N/A</v>
      </c>
      <c r="U654" t="e">
        <f t="shared" si="74"/>
        <v>#N/A</v>
      </c>
      <c r="V654" t="e">
        <f t="shared" si="74"/>
        <v>#N/A</v>
      </c>
      <c r="W654" t="e">
        <f t="shared" si="75"/>
        <v>#N/A</v>
      </c>
      <c r="X654" t="e">
        <f t="shared" si="75"/>
        <v>#N/A</v>
      </c>
      <c r="Y654" t="e">
        <f t="shared" si="76"/>
        <v>#N/A</v>
      </c>
      <c r="Z654" t="e">
        <f t="shared" si="76"/>
        <v>#N/A</v>
      </c>
    </row>
    <row r="655" spans="1:26">
      <c r="A655" t="e">
        <f>IF(ISBLANK('[1]Точность устьев скважин'!A657),#N/A,'[1]Точность устьев скважин'!A657)</f>
        <v>#N/A</v>
      </c>
      <c r="B655" t="e">
        <f>IF(ISBLANK('[1]Точность устьев скважин'!B657),#N/A,'[1]Точность устьев скважин'!B657)</f>
        <v>#N/A</v>
      </c>
      <c r="C655" t="e">
        <f>IF(ISBLANK('[1]Точность устьев скважин'!C657),#N/A,'[1]Точность устьев скважин'!C657)</f>
        <v>#N/A</v>
      </c>
      <c r="D655" t="e">
        <f>IF(ISBLANK('[1]Точность устьев скважин'!D657),#N/A,'[1]Точность устьев скважин'!D657)</f>
        <v>#N/A</v>
      </c>
      <c r="G655" t="e">
        <f>IF(ISBLANK('[1]Точность устьев скважин'!H657),#N/A,'[1]Точность устьев скважин'!H657)</f>
        <v>#N/A</v>
      </c>
      <c r="H655" t="e">
        <f>IF(ISBLANK('[1]Точность устьев скважин'!I657),#N/A,'[1]Точность устьев скважин'!I657)</f>
        <v>#N/A</v>
      </c>
      <c r="I655" t="e">
        <f>IF(ISBLANK('[1]Точность устьев скважин'!J657),#N/A,'[1]Точность устьев скважин'!J657)</f>
        <v>#N/A</v>
      </c>
      <c r="J655" t="e">
        <f>IF(ISBLANK('[1]Точность устьев скважин'!K657),#N/A,'[1]Точность устьев скважин'!K657)</f>
        <v>#N/A</v>
      </c>
      <c r="L655" s="63" t="e">
        <f t="shared" si="77"/>
        <v>#N/A</v>
      </c>
      <c r="O655" t="e">
        <f t="shared" si="71"/>
        <v>#N/A</v>
      </c>
      <c r="P655" t="e">
        <f t="shared" si="71"/>
        <v>#N/A</v>
      </c>
      <c r="Q655" t="e">
        <f t="shared" si="72"/>
        <v>#N/A</v>
      </c>
      <c r="R655" t="e">
        <f t="shared" si="72"/>
        <v>#N/A</v>
      </c>
      <c r="S655" t="e">
        <f t="shared" si="73"/>
        <v>#N/A</v>
      </c>
      <c r="T655" t="e">
        <f t="shared" si="73"/>
        <v>#N/A</v>
      </c>
      <c r="U655" t="e">
        <f t="shared" si="74"/>
        <v>#N/A</v>
      </c>
      <c r="V655" t="e">
        <f t="shared" si="74"/>
        <v>#N/A</v>
      </c>
      <c r="W655" t="e">
        <f t="shared" si="75"/>
        <v>#N/A</v>
      </c>
      <c r="X655" t="e">
        <f t="shared" si="75"/>
        <v>#N/A</v>
      </c>
      <c r="Y655" t="e">
        <f t="shared" si="76"/>
        <v>#N/A</v>
      </c>
      <c r="Z655" t="e">
        <f t="shared" si="76"/>
        <v>#N/A</v>
      </c>
    </row>
    <row r="656" spans="1:26">
      <c r="A656" t="e">
        <f>IF(ISBLANK('[1]Точность устьев скважин'!A658),#N/A,'[1]Точность устьев скважин'!A658)</f>
        <v>#N/A</v>
      </c>
      <c r="B656" t="e">
        <f>IF(ISBLANK('[1]Точность устьев скважин'!B658),#N/A,'[1]Точность устьев скважин'!B658)</f>
        <v>#N/A</v>
      </c>
      <c r="C656" t="e">
        <f>IF(ISBLANK('[1]Точность устьев скважин'!C658),#N/A,'[1]Точность устьев скважин'!C658)</f>
        <v>#N/A</v>
      </c>
      <c r="D656" t="e">
        <f>IF(ISBLANK('[1]Точность устьев скважин'!D658),#N/A,'[1]Точность устьев скважин'!D658)</f>
        <v>#N/A</v>
      </c>
      <c r="G656" t="e">
        <f>IF(ISBLANK('[1]Точность устьев скважин'!H658),#N/A,'[1]Точность устьев скважин'!H658)</f>
        <v>#N/A</v>
      </c>
      <c r="H656" t="e">
        <f>IF(ISBLANK('[1]Точность устьев скважин'!I658),#N/A,'[1]Точность устьев скважин'!I658)</f>
        <v>#N/A</v>
      </c>
      <c r="I656" t="e">
        <f>IF(ISBLANK('[1]Точность устьев скважин'!J658),#N/A,'[1]Точность устьев скважин'!J658)</f>
        <v>#N/A</v>
      </c>
      <c r="J656" t="e">
        <f>IF(ISBLANK('[1]Точность устьев скважин'!K658),#N/A,'[1]Точность устьев скважин'!K658)</f>
        <v>#N/A</v>
      </c>
      <c r="L656" s="63" t="e">
        <f t="shared" si="77"/>
        <v>#N/A</v>
      </c>
      <c r="O656" t="e">
        <f t="shared" si="71"/>
        <v>#N/A</v>
      </c>
      <c r="P656" t="e">
        <f t="shared" si="71"/>
        <v>#N/A</v>
      </c>
      <c r="Q656" t="e">
        <f t="shared" si="72"/>
        <v>#N/A</v>
      </c>
      <c r="R656" t="e">
        <f t="shared" si="72"/>
        <v>#N/A</v>
      </c>
      <c r="S656" t="e">
        <f t="shared" si="73"/>
        <v>#N/A</v>
      </c>
      <c r="T656" t="e">
        <f t="shared" si="73"/>
        <v>#N/A</v>
      </c>
      <c r="U656" t="e">
        <f t="shared" si="74"/>
        <v>#N/A</v>
      </c>
      <c r="V656" t="e">
        <f t="shared" si="74"/>
        <v>#N/A</v>
      </c>
      <c r="W656" t="e">
        <f t="shared" si="75"/>
        <v>#N/A</v>
      </c>
      <c r="X656" t="e">
        <f t="shared" si="75"/>
        <v>#N/A</v>
      </c>
      <c r="Y656" t="e">
        <f t="shared" si="76"/>
        <v>#N/A</v>
      </c>
      <c r="Z656" t="e">
        <f t="shared" si="76"/>
        <v>#N/A</v>
      </c>
    </row>
    <row r="657" spans="1:26">
      <c r="A657" t="e">
        <f>IF(ISBLANK('[1]Точность устьев скважин'!A659),#N/A,'[1]Точность устьев скважин'!A659)</f>
        <v>#N/A</v>
      </c>
      <c r="B657" t="e">
        <f>IF(ISBLANK('[1]Точность устьев скважин'!B659),#N/A,'[1]Точность устьев скважин'!B659)</f>
        <v>#N/A</v>
      </c>
      <c r="C657" t="e">
        <f>IF(ISBLANK('[1]Точность устьев скважин'!C659),#N/A,'[1]Точность устьев скважин'!C659)</f>
        <v>#N/A</v>
      </c>
      <c r="D657" t="e">
        <f>IF(ISBLANK('[1]Точность устьев скважин'!D659),#N/A,'[1]Точность устьев скважин'!D659)</f>
        <v>#N/A</v>
      </c>
      <c r="G657" t="e">
        <f>IF(ISBLANK('[1]Точность устьев скважин'!H659),#N/A,'[1]Точность устьев скважин'!H659)</f>
        <v>#N/A</v>
      </c>
      <c r="H657" t="e">
        <f>IF(ISBLANK('[1]Точность устьев скважин'!I659),#N/A,'[1]Точность устьев скважин'!I659)</f>
        <v>#N/A</v>
      </c>
      <c r="I657" t="e">
        <f>IF(ISBLANK('[1]Точность устьев скважин'!J659),#N/A,'[1]Точность устьев скважин'!J659)</f>
        <v>#N/A</v>
      </c>
      <c r="J657" t="e">
        <f>IF(ISBLANK('[1]Точность устьев скважин'!K659),#N/A,'[1]Точность устьев скважин'!K659)</f>
        <v>#N/A</v>
      </c>
      <c r="L657" s="63" t="e">
        <f t="shared" si="77"/>
        <v>#N/A</v>
      </c>
      <c r="O657" t="e">
        <f t="shared" si="71"/>
        <v>#N/A</v>
      </c>
      <c r="P657" t="e">
        <f t="shared" si="71"/>
        <v>#N/A</v>
      </c>
      <c r="Q657" t="e">
        <f t="shared" si="72"/>
        <v>#N/A</v>
      </c>
      <c r="R657" t="e">
        <f t="shared" si="72"/>
        <v>#N/A</v>
      </c>
      <c r="S657" t="e">
        <f t="shared" si="73"/>
        <v>#N/A</v>
      </c>
      <c r="T657" t="e">
        <f t="shared" si="73"/>
        <v>#N/A</v>
      </c>
      <c r="U657" t="e">
        <f t="shared" si="74"/>
        <v>#N/A</v>
      </c>
      <c r="V657" t="e">
        <f t="shared" si="74"/>
        <v>#N/A</v>
      </c>
      <c r="W657" t="e">
        <f t="shared" si="75"/>
        <v>#N/A</v>
      </c>
      <c r="X657" t="e">
        <f t="shared" si="75"/>
        <v>#N/A</v>
      </c>
      <c r="Y657" t="e">
        <f t="shared" si="76"/>
        <v>#N/A</v>
      </c>
      <c r="Z657" t="e">
        <f t="shared" si="76"/>
        <v>#N/A</v>
      </c>
    </row>
    <row r="658" spans="1:26">
      <c r="A658" t="e">
        <f>IF(ISBLANK('[1]Точность устьев скважин'!A660),#N/A,'[1]Точность устьев скважин'!A660)</f>
        <v>#N/A</v>
      </c>
      <c r="B658" t="e">
        <f>IF(ISBLANK('[1]Точность устьев скважин'!B660),#N/A,'[1]Точность устьев скважин'!B660)</f>
        <v>#N/A</v>
      </c>
      <c r="C658" t="e">
        <f>IF(ISBLANK('[1]Точность устьев скважин'!C660),#N/A,'[1]Точность устьев скважин'!C660)</f>
        <v>#N/A</v>
      </c>
      <c r="D658" t="e">
        <f>IF(ISBLANK('[1]Точность устьев скважин'!D660),#N/A,'[1]Точность устьев скважин'!D660)</f>
        <v>#N/A</v>
      </c>
      <c r="G658" t="e">
        <f>IF(ISBLANK('[1]Точность устьев скважин'!H660),#N/A,'[1]Точность устьев скважин'!H660)</f>
        <v>#N/A</v>
      </c>
      <c r="H658" t="e">
        <f>IF(ISBLANK('[1]Точность устьев скважин'!I660),#N/A,'[1]Точность устьев скважин'!I660)</f>
        <v>#N/A</v>
      </c>
      <c r="I658" t="e">
        <f>IF(ISBLANK('[1]Точность устьев скважин'!J660),#N/A,'[1]Точность устьев скважин'!J660)</f>
        <v>#N/A</v>
      </c>
      <c r="J658" t="e">
        <f>IF(ISBLANK('[1]Точность устьев скважин'!K660),#N/A,'[1]Точность устьев скважин'!K660)</f>
        <v>#N/A</v>
      </c>
      <c r="L658" s="63" t="e">
        <f t="shared" si="77"/>
        <v>#N/A</v>
      </c>
      <c r="O658" t="e">
        <f t="shared" si="71"/>
        <v>#N/A</v>
      </c>
      <c r="P658" t="e">
        <f t="shared" si="71"/>
        <v>#N/A</v>
      </c>
      <c r="Q658" t="e">
        <f t="shared" si="72"/>
        <v>#N/A</v>
      </c>
      <c r="R658" t="e">
        <f t="shared" si="72"/>
        <v>#N/A</v>
      </c>
      <c r="S658" t="e">
        <f t="shared" si="73"/>
        <v>#N/A</v>
      </c>
      <c r="T658" t="e">
        <f t="shared" si="73"/>
        <v>#N/A</v>
      </c>
      <c r="U658" t="e">
        <f t="shared" si="74"/>
        <v>#N/A</v>
      </c>
      <c r="V658" t="e">
        <f t="shared" si="74"/>
        <v>#N/A</v>
      </c>
      <c r="W658" t="e">
        <f t="shared" si="75"/>
        <v>#N/A</v>
      </c>
      <c r="X658" t="e">
        <f t="shared" si="75"/>
        <v>#N/A</v>
      </c>
      <c r="Y658" t="e">
        <f t="shared" si="76"/>
        <v>#N/A</v>
      </c>
      <c r="Z658" t="e">
        <f t="shared" si="76"/>
        <v>#N/A</v>
      </c>
    </row>
    <row r="659" spans="1:26">
      <c r="A659" t="e">
        <f>IF(ISBLANK('[1]Точность устьев скважин'!A661),#N/A,'[1]Точность устьев скважин'!A661)</f>
        <v>#N/A</v>
      </c>
      <c r="B659" t="e">
        <f>IF(ISBLANK('[1]Точность устьев скважин'!B661),#N/A,'[1]Точность устьев скважин'!B661)</f>
        <v>#N/A</v>
      </c>
      <c r="C659" t="e">
        <f>IF(ISBLANK('[1]Точность устьев скважин'!C661),#N/A,'[1]Точность устьев скважин'!C661)</f>
        <v>#N/A</v>
      </c>
      <c r="D659" t="e">
        <f>IF(ISBLANK('[1]Точность устьев скважин'!D661),#N/A,'[1]Точность устьев скважин'!D661)</f>
        <v>#N/A</v>
      </c>
      <c r="G659" t="e">
        <f>IF(ISBLANK('[1]Точность устьев скважин'!H661),#N/A,'[1]Точность устьев скважин'!H661)</f>
        <v>#N/A</v>
      </c>
      <c r="H659" t="e">
        <f>IF(ISBLANK('[1]Точность устьев скважин'!I661),#N/A,'[1]Точность устьев скважин'!I661)</f>
        <v>#N/A</v>
      </c>
      <c r="I659" t="e">
        <f>IF(ISBLANK('[1]Точность устьев скважин'!J661),#N/A,'[1]Точность устьев скважин'!J661)</f>
        <v>#N/A</v>
      </c>
      <c r="J659" t="e">
        <f>IF(ISBLANK('[1]Точность устьев скважин'!K661),#N/A,'[1]Точность устьев скважин'!K661)</f>
        <v>#N/A</v>
      </c>
      <c r="L659" s="63" t="e">
        <f t="shared" si="77"/>
        <v>#N/A</v>
      </c>
      <c r="O659" t="e">
        <f t="shared" si="71"/>
        <v>#N/A</v>
      </c>
      <c r="P659" t="e">
        <f t="shared" si="71"/>
        <v>#N/A</v>
      </c>
      <c r="Q659" t="e">
        <f t="shared" si="72"/>
        <v>#N/A</v>
      </c>
      <c r="R659" t="e">
        <f t="shared" si="72"/>
        <v>#N/A</v>
      </c>
      <c r="S659" t="e">
        <f t="shared" si="73"/>
        <v>#N/A</v>
      </c>
      <c r="T659" t="e">
        <f t="shared" si="73"/>
        <v>#N/A</v>
      </c>
      <c r="U659" t="e">
        <f t="shared" si="74"/>
        <v>#N/A</v>
      </c>
      <c r="V659" t="e">
        <f t="shared" si="74"/>
        <v>#N/A</v>
      </c>
      <c r="W659" t="e">
        <f t="shared" si="75"/>
        <v>#N/A</v>
      </c>
      <c r="X659" t="e">
        <f t="shared" si="75"/>
        <v>#N/A</v>
      </c>
      <c r="Y659" t="e">
        <f t="shared" si="76"/>
        <v>#N/A</v>
      </c>
      <c r="Z659" t="e">
        <f t="shared" si="76"/>
        <v>#N/A</v>
      </c>
    </row>
    <row r="660" spans="1:26">
      <c r="A660" t="e">
        <f>IF(ISBLANK('[1]Точность устьев скважин'!A662),#N/A,'[1]Точность устьев скважин'!A662)</f>
        <v>#N/A</v>
      </c>
      <c r="B660" t="e">
        <f>IF(ISBLANK('[1]Точность устьев скважин'!B662),#N/A,'[1]Точность устьев скважин'!B662)</f>
        <v>#N/A</v>
      </c>
      <c r="C660" t="e">
        <f>IF(ISBLANK('[1]Точность устьев скважин'!C662),#N/A,'[1]Точность устьев скважин'!C662)</f>
        <v>#N/A</v>
      </c>
      <c r="D660" t="e">
        <f>IF(ISBLANK('[1]Точность устьев скважин'!D662),#N/A,'[1]Точность устьев скважин'!D662)</f>
        <v>#N/A</v>
      </c>
      <c r="G660" t="e">
        <f>IF(ISBLANK('[1]Точность устьев скважин'!H662),#N/A,'[1]Точность устьев скважин'!H662)</f>
        <v>#N/A</v>
      </c>
      <c r="H660" t="e">
        <f>IF(ISBLANK('[1]Точность устьев скважин'!I662),#N/A,'[1]Точность устьев скважин'!I662)</f>
        <v>#N/A</v>
      </c>
      <c r="I660" t="e">
        <f>IF(ISBLANK('[1]Точность устьев скважин'!J662),#N/A,'[1]Точность устьев скважин'!J662)</f>
        <v>#N/A</v>
      </c>
      <c r="J660" t="e">
        <f>IF(ISBLANK('[1]Точность устьев скважин'!K662),#N/A,'[1]Точность устьев скважин'!K662)</f>
        <v>#N/A</v>
      </c>
      <c r="L660" s="63" t="e">
        <f t="shared" si="77"/>
        <v>#N/A</v>
      </c>
      <c r="O660" t="e">
        <f t="shared" si="71"/>
        <v>#N/A</v>
      </c>
      <c r="P660" t="e">
        <f t="shared" si="71"/>
        <v>#N/A</v>
      </c>
      <c r="Q660" t="e">
        <f t="shared" si="72"/>
        <v>#N/A</v>
      </c>
      <c r="R660" t="e">
        <f t="shared" si="72"/>
        <v>#N/A</v>
      </c>
      <c r="S660" t="e">
        <f t="shared" si="73"/>
        <v>#N/A</v>
      </c>
      <c r="T660" t="e">
        <f t="shared" si="73"/>
        <v>#N/A</v>
      </c>
      <c r="U660" t="e">
        <f t="shared" si="74"/>
        <v>#N/A</v>
      </c>
      <c r="V660" t="e">
        <f t="shared" si="74"/>
        <v>#N/A</v>
      </c>
      <c r="W660" t="e">
        <f t="shared" si="75"/>
        <v>#N/A</v>
      </c>
      <c r="X660" t="e">
        <f t="shared" si="75"/>
        <v>#N/A</v>
      </c>
      <c r="Y660" t="e">
        <f t="shared" si="76"/>
        <v>#N/A</v>
      </c>
      <c r="Z660" t="e">
        <f t="shared" si="76"/>
        <v>#N/A</v>
      </c>
    </row>
    <row r="661" spans="1:26">
      <c r="A661" t="e">
        <f>IF(ISBLANK('[1]Точность устьев скважин'!A663),#N/A,'[1]Точность устьев скважин'!A663)</f>
        <v>#N/A</v>
      </c>
      <c r="B661" t="e">
        <f>IF(ISBLANK('[1]Точность устьев скважин'!B663),#N/A,'[1]Точность устьев скважин'!B663)</f>
        <v>#N/A</v>
      </c>
      <c r="C661" t="e">
        <f>IF(ISBLANK('[1]Точность устьев скважин'!C663),#N/A,'[1]Точность устьев скважин'!C663)</f>
        <v>#N/A</v>
      </c>
      <c r="D661" t="e">
        <f>IF(ISBLANK('[1]Точность устьев скважин'!D663),#N/A,'[1]Точность устьев скважин'!D663)</f>
        <v>#N/A</v>
      </c>
      <c r="G661" t="e">
        <f>IF(ISBLANK('[1]Точность устьев скважин'!H663),#N/A,'[1]Точность устьев скважин'!H663)</f>
        <v>#N/A</v>
      </c>
      <c r="H661" t="e">
        <f>IF(ISBLANK('[1]Точность устьев скважин'!I663),#N/A,'[1]Точность устьев скважин'!I663)</f>
        <v>#N/A</v>
      </c>
      <c r="I661" t="e">
        <f>IF(ISBLANK('[1]Точность устьев скважин'!J663),#N/A,'[1]Точность устьев скважин'!J663)</f>
        <v>#N/A</v>
      </c>
      <c r="J661" t="e">
        <f>IF(ISBLANK('[1]Точность устьев скважин'!K663),#N/A,'[1]Точность устьев скважин'!K663)</f>
        <v>#N/A</v>
      </c>
      <c r="L661" s="63" t="e">
        <f t="shared" si="77"/>
        <v>#N/A</v>
      </c>
      <c r="O661" t="e">
        <f t="shared" si="71"/>
        <v>#N/A</v>
      </c>
      <c r="P661" t="e">
        <f t="shared" si="71"/>
        <v>#N/A</v>
      </c>
      <c r="Q661" t="e">
        <f t="shared" si="72"/>
        <v>#N/A</v>
      </c>
      <c r="R661" t="e">
        <f t="shared" si="72"/>
        <v>#N/A</v>
      </c>
      <c r="S661" t="e">
        <f t="shared" si="73"/>
        <v>#N/A</v>
      </c>
      <c r="T661" t="e">
        <f t="shared" si="73"/>
        <v>#N/A</v>
      </c>
      <c r="U661" t="e">
        <f t="shared" si="74"/>
        <v>#N/A</v>
      </c>
      <c r="V661" t="e">
        <f t="shared" si="74"/>
        <v>#N/A</v>
      </c>
      <c r="W661" t="e">
        <f t="shared" si="75"/>
        <v>#N/A</v>
      </c>
      <c r="X661" t="e">
        <f t="shared" si="75"/>
        <v>#N/A</v>
      </c>
      <c r="Y661" t="e">
        <f t="shared" si="76"/>
        <v>#N/A</v>
      </c>
      <c r="Z661" t="e">
        <f t="shared" si="76"/>
        <v>#N/A</v>
      </c>
    </row>
    <row r="662" spans="1:26">
      <c r="A662" t="e">
        <f>IF(ISBLANK('[1]Точность устьев скважин'!A664),#N/A,'[1]Точность устьев скважин'!A664)</f>
        <v>#N/A</v>
      </c>
      <c r="B662" t="e">
        <f>IF(ISBLANK('[1]Точность устьев скважин'!B664),#N/A,'[1]Точность устьев скважин'!B664)</f>
        <v>#N/A</v>
      </c>
      <c r="C662" t="e">
        <f>IF(ISBLANK('[1]Точность устьев скважин'!C664),#N/A,'[1]Точность устьев скважин'!C664)</f>
        <v>#N/A</v>
      </c>
      <c r="D662" t="e">
        <f>IF(ISBLANK('[1]Точность устьев скважин'!D664),#N/A,'[1]Точность устьев скважин'!D664)</f>
        <v>#N/A</v>
      </c>
      <c r="G662" t="e">
        <f>IF(ISBLANK('[1]Точность устьев скважин'!H664),#N/A,'[1]Точность устьев скважин'!H664)</f>
        <v>#N/A</v>
      </c>
      <c r="H662" t="e">
        <f>IF(ISBLANK('[1]Точность устьев скважин'!I664),#N/A,'[1]Точность устьев скважин'!I664)</f>
        <v>#N/A</v>
      </c>
      <c r="I662" t="e">
        <f>IF(ISBLANK('[1]Точность устьев скважин'!J664),#N/A,'[1]Точность устьев скважин'!J664)</f>
        <v>#N/A</v>
      </c>
      <c r="J662" t="e">
        <f>IF(ISBLANK('[1]Точность устьев скважин'!K664),#N/A,'[1]Точность устьев скважин'!K664)</f>
        <v>#N/A</v>
      </c>
      <c r="L662" s="63" t="e">
        <f t="shared" si="77"/>
        <v>#N/A</v>
      </c>
      <c r="O662" t="e">
        <f t="shared" si="71"/>
        <v>#N/A</v>
      </c>
      <c r="P662" t="e">
        <f t="shared" si="71"/>
        <v>#N/A</v>
      </c>
      <c r="Q662" t="e">
        <f t="shared" si="72"/>
        <v>#N/A</v>
      </c>
      <c r="R662" t="e">
        <f t="shared" si="72"/>
        <v>#N/A</v>
      </c>
      <c r="S662" t="e">
        <f t="shared" si="73"/>
        <v>#N/A</v>
      </c>
      <c r="T662" t="e">
        <f t="shared" si="73"/>
        <v>#N/A</v>
      </c>
      <c r="U662" t="e">
        <f t="shared" si="74"/>
        <v>#N/A</v>
      </c>
      <c r="V662" t="e">
        <f t="shared" si="74"/>
        <v>#N/A</v>
      </c>
      <c r="W662" t="e">
        <f t="shared" si="75"/>
        <v>#N/A</v>
      </c>
      <c r="X662" t="e">
        <f t="shared" si="75"/>
        <v>#N/A</v>
      </c>
      <c r="Y662" t="e">
        <f t="shared" si="76"/>
        <v>#N/A</v>
      </c>
      <c r="Z662" t="e">
        <f t="shared" si="76"/>
        <v>#N/A</v>
      </c>
    </row>
    <row r="663" spans="1:26">
      <c r="A663" t="e">
        <f>IF(ISBLANK('[1]Точность устьев скважин'!A665),#N/A,'[1]Точность устьев скважин'!A665)</f>
        <v>#N/A</v>
      </c>
      <c r="B663" t="e">
        <f>IF(ISBLANK('[1]Точность устьев скважин'!B665),#N/A,'[1]Точность устьев скважин'!B665)</f>
        <v>#N/A</v>
      </c>
      <c r="C663" t="e">
        <f>IF(ISBLANK('[1]Точность устьев скважин'!C665),#N/A,'[1]Точность устьев скважин'!C665)</f>
        <v>#N/A</v>
      </c>
      <c r="D663" t="e">
        <f>IF(ISBLANK('[1]Точность устьев скважин'!D665),#N/A,'[1]Точность устьев скважин'!D665)</f>
        <v>#N/A</v>
      </c>
      <c r="G663" t="e">
        <f>IF(ISBLANK('[1]Точность устьев скважин'!H665),#N/A,'[1]Точность устьев скважин'!H665)</f>
        <v>#N/A</v>
      </c>
      <c r="H663" t="e">
        <f>IF(ISBLANK('[1]Точность устьев скважин'!I665),#N/A,'[1]Точность устьев скважин'!I665)</f>
        <v>#N/A</v>
      </c>
      <c r="I663" t="e">
        <f>IF(ISBLANK('[1]Точность устьев скважин'!J665),#N/A,'[1]Точность устьев скважин'!J665)</f>
        <v>#N/A</v>
      </c>
      <c r="J663" t="e">
        <f>IF(ISBLANK('[1]Точность устьев скважин'!K665),#N/A,'[1]Точность устьев скважин'!K665)</f>
        <v>#N/A</v>
      </c>
      <c r="L663" s="63" t="e">
        <f t="shared" si="77"/>
        <v>#N/A</v>
      </c>
      <c r="O663" t="e">
        <f t="shared" si="71"/>
        <v>#N/A</v>
      </c>
      <c r="P663" t="e">
        <f t="shared" si="71"/>
        <v>#N/A</v>
      </c>
      <c r="Q663" t="e">
        <f t="shared" si="72"/>
        <v>#N/A</v>
      </c>
      <c r="R663" t="e">
        <f t="shared" si="72"/>
        <v>#N/A</v>
      </c>
      <c r="S663" t="e">
        <f t="shared" si="73"/>
        <v>#N/A</v>
      </c>
      <c r="T663" t="e">
        <f t="shared" si="73"/>
        <v>#N/A</v>
      </c>
      <c r="U663" t="e">
        <f t="shared" si="74"/>
        <v>#N/A</v>
      </c>
      <c r="V663" t="e">
        <f t="shared" si="74"/>
        <v>#N/A</v>
      </c>
      <c r="W663" t="e">
        <f t="shared" si="75"/>
        <v>#N/A</v>
      </c>
      <c r="X663" t="e">
        <f t="shared" si="75"/>
        <v>#N/A</v>
      </c>
      <c r="Y663" t="e">
        <f t="shared" si="76"/>
        <v>#N/A</v>
      </c>
      <c r="Z663" t="e">
        <f t="shared" si="76"/>
        <v>#N/A</v>
      </c>
    </row>
    <row r="664" spans="1:26">
      <c r="A664" t="e">
        <f>IF(ISBLANK('[1]Точность устьев скважин'!A666),#N/A,'[1]Точность устьев скважин'!A666)</f>
        <v>#N/A</v>
      </c>
      <c r="B664" t="e">
        <f>IF(ISBLANK('[1]Точность устьев скважин'!B666),#N/A,'[1]Точность устьев скважин'!B666)</f>
        <v>#N/A</v>
      </c>
      <c r="C664" t="e">
        <f>IF(ISBLANK('[1]Точность устьев скважин'!C666),#N/A,'[1]Точность устьев скважин'!C666)</f>
        <v>#N/A</v>
      </c>
      <c r="D664" t="e">
        <f>IF(ISBLANK('[1]Точность устьев скважин'!D666),#N/A,'[1]Точность устьев скважин'!D666)</f>
        <v>#N/A</v>
      </c>
      <c r="G664" t="e">
        <f>IF(ISBLANK('[1]Точность устьев скважин'!H666),#N/A,'[1]Точность устьев скважин'!H666)</f>
        <v>#N/A</v>
      </c>
      <c r="H664" t="e">
        <f>IF(ISBLANK('[1]Точность устьев скважин'!I666),#N/A,'[1]Точность устьев скважин'!I666)</f>
        <v>#N/A</v>
      </c>
      <c r="I664" t="e">
        <f>IF(ISBLANK('[1]Точность устьев скважин'!J666),#N/A,'[1]Точность устьев скважин'!J666)</f>
        <v>#N/A</v>
      </c>
      <c r="J664" t="e">
        <f>IF(ISBLANK('[1]Точность устьев скважин'!K666),#N/A,'[1]Точность устьев скважин'!K666)</f>
        <v>#N/A</v>
      </c>
      <c r="L664" s="63" t="e">
        <f t="shared" si="77"/>
        <v>#N/A</v>
      </c>
      <c r="O664" t="e">
        <f t="shared" si="71"/>
        <v>#N/A</v>
      </c>
      <c r="P664" t="e">
        <f t="shared" si="71"/>
        <v>#N/A</v>
      </c>
      <c r="Q664" t="e">
        <f t="shared" si="72"/>
        <v>#N/A</v>
      </c>
      <c r="R664" t="e">
        <f t="shared" si="72"/>
        <v>#N/A</v>
      </c>
      <c r="S664" t="e">
        <f t="shared" si="73"/>
        <v>#N/A</v>
      </c>
      <c r="T664" t="e">
        <f t="shared" si="73"/>
        <v>#N/A</v>
      </c>
      <c r="U664" t="e">
        <f t="shared" si="74"/>
        <v>#N/A</v>
      </c>
      <c r="V664" t="e">
        <f t="shared" si="74"/>
        <v>#N/A</v>
      </c>
      <c r="W664" t="e">
        <f t="shared" si="75"/>
        <v>#N/A</v>
      </c>
      <c r="X664" t="e">
        <f t="shared" si="75"/>
        <v>#N/A</v>
      </c>
      <c r="Y664" t="e">
        <f t="shared" si="76"/>
        <v>#N/A</v>
      </c>
      <c r="Z664" t="e">
        <f t="shared" si="76"/>
        <v>#N/A</v>
      </c>
    </row>
    <row r="665" spans="1:26">
      <c r="A665" t="e">
        <f>IF(ISBLANK('[1]Точность устьев скважин'!A667),#N/A,'[1]Точность устьев скважин'!A667)</f>
        <v>#N/A</v>
      </c>
      <c r="B665" t="e">
        <f>IF(ISBLANK('[1]Точность устьев скважин'!B667),#N/A,'[1]Точность устьев скважин'!B667)</f>
        <v>#N/A</v>
      </c>
      <c r="C665" t="e">
        <f>IF(ISBLANK('[1]Точность устьев скважин'!C667),#N/A,'[1]Точность устьев скважин'!C667)</f>
        <v>#N/A</v>
      </c>
      <c r="D665" t="e">
        <f>IF(ISBLANK('[1]Точность устьев скважин'!D667),#N/A,'[1]Точность устьев скважин'!D667)</f>
        <v>#N/A</v>
      </c>
      <c r="G665" t="e">
        <f>IF(ISBLANK('[1]Точность устьев скважин'!H667),#N/A,'[1]Точность устьев скважин'!H667)</f>
        <v>#N/A</v>
      </c>
      <c r="H665" t="e">
        <f>IF(ISBLANK('[1]Точность устьев скважин'!I667),#N/A,'[1]Точность устьев скважин'!I667)</f>
        <v>#N/A</v>
      </c>
      <c r="I665" t="e">
        <f>IF(ISBLANK('[1]Точность устьев скважин'!J667),#N/A,'[1]Точность устьев скважин'!J667)</f>
        <v>#N/A</v>
      </c>
      <c r="J665" t="e">
        <f>IF(ISBLANK('[1]Точность устьев скважин'!K667),#N/A,'[1]Точность устьев скважин'!K667)</f>
        <v>#N/A</v>
      </c>
      <c r="L665" s="63" t="e">
        <f t="shared" si="77"/>
        <v>#N/A</v>
      </c>
      <c r="O665" t="e">
        <f t="shared" si="71"/>
        <v>#N/A</v>
      </c>
      <c r="P665" t="e">
        <f t="shared" si="71"/>
        <v>#N/A</v>
      </c>
      <c r="Q665" t="e">
        <f t="shared" si="72"/>
        <v>#N/A</v>
      </c>
      <c r="R665" t="e">
        <f t="shared" si="72"/>
        <v>#N/A</v>
      </c>
      <c r="S665" t="e">
        <f t="shared" si="73"/>
        <v>#N/A</v>
      </c>
      <c r="T665" t="e">
        <f t="shared" si="73"/>
        <v>#N/A</v>
      </c>
      <c r="U665" t="e">
        <f t="shared" si="74"/>
        <v>#N/A</v>
      </c>
      <c r="V665" t="e">
        <f t="shared" si="74"/>
        <v>#N/A</v>
      </c>
      <c r="W665" t="e">
        <f t="shared" si="75"/>
        <v>#N/A</v>
      </c>
      <c r="X665" t="e">
        <f t="shared" si="75"/>
        <v>#N/A</v>
      </c>
      <c r="Y665" t="e">
        <f t="shared" si="76"/>
        <v>#N/A</v>
      </c>
      <c r="Z665" t="e">
        <f t="shared" si="76"/>
        <v>#N/A</v>
      </c>
    </row>
    <row r="666" spans="1:26">
      <c r="A666" t="e">
        <f>IF(ISBLANK('[1]Точность устьев скважин'!A668),#N/A,'[1]Точность устьев скважин'!A668)</f>
        <v>#N/A</v>
      </c>
      <c r="B666" t="e">
        <f>IF(ISBLANK('[1]Точность устьев скважин'!B668),#N/A,'[1]Точность устьев скважин'!B668)</f>
        <v>#N/A</v>
      </c>
      <c r="C666" t="e">
        <f>IF(ISBLANK('[1]Точность устьев скважин'!C668),#N/A,'[1]Точность устьев скважин'!C668)</f>
        <v>#N/A</v>
      </c>
      <c r="D666" t="e">
        <f>IF(ISBLANK('[1]Точность устьев скважин'!D668),#N/A,'[1]Точность устьев скважин'!D668)</f>
        <v>#N/A</v>
      </c>
      <c r="G666" t="e">
        <f>IF(ISBLANK('[1]Точность устьев скважин'!H668),#N/A,'[1]Точность устьев скважин'!H668)</f>
        <v>#N/A</v>
      </c>
      <c r="H666" t="e">
        <f>IF(ISBLANK('[1]Точность устьев скважин'!I668),#N/A,'[1]Точность устьев скважин'!I668)</f>
        <v>#N/A</v>
      </c>
      <c r="I666" t="e">
        <f>IF(ISBLANK('[1]Точность устьев скважин'!J668),#N/A,'[1]Точность устьев скважин'!J668)</f>
        <v>#N/A</v>
      </c>
      <c r="J666" t="e">
        <f>IF(ISBLANK('[1]Точность устьев скважин'!K668),#N/A,'[1]Точность устьев скважин'!K668)</f>
        <v>#N/A</v>
      </c>
      <c r="L666" s="63" t="e">
        <f t="shared" si="77"/>
        <v>#N/A</v>
      </c>
      <c r="O666" t="e">
        <f t="shared" si="71"/>
        <v>#N/A</v>
      </c>
      <c r="P666" t="e">
        <f t="shared" si="71"/>
        <v>#N/A</v>
      </c>
      <c r="Q666" t="e">
        <f t="shared" si="72"/>
        <v>#N/A</v>
      </c>
      <c r="R666" t="e">
        <f t="shared" si="72"/>
        <v>#N/A</v>
      </c>
      <c r="S666" t="e">
        <f t="shared" si="73"/>
        <v>#N/A</v>
      </c>
      <c r="T666" t="e">
        <f t="shared" si="73"/>
        <v>#N/A</v>
      </c>
      <c r="U666" t="e">
        <f t="shared" si="74"/>
        <v>#N/A</v>
      </c>
      <c r="V666" t="e">
        <f t="shared" si="74"/>
        <v>#N/A</v>
      </c>
      <c r="W666" t="e">
        <f t="shared" si="75"/>
        <v>#N/A</v>
      </c>
      <c r="X666" t="e">
        <f t="shared" si="75"/>
        <v>#N/A</v>
      </c>
      <c r="Y666" t="e">
        <f t="shared" si="76"/>
        <v>#N/A</v>
      </c>
      <c r="Z666" t="e">
        <f t="shared" si="76"/>
        <v>#N/A</v>
      </c>
    </row>
    <row r="667" spans="1:26">
      <c r="A667" t="e">
        <f>IF(ISBLANK('[1]Точность устьев скважин'!A669),#N/A,'[1]Точность устьев скважин'!A669)</f>
        <v>#N/A</v>
      </c>
      <c r="B667" t="e">
        <f>IF(ISBLANK('[1]Точность устьев скважин'!B669),#N/A,'[1]Точность устьев скважин'!B669)</f>
        <v>#N/A</v>
      </c>
      <c r="C667" t="e">
        <f>IF(ISBLANK('[1]Точность устьев скважин'!C669),#N/A,'[1]Точность устьев скважин'!C669)</f>
        <v>#N/A</v>
      </c>
      <c r="D667" t="e">
        <f>IF(ISBLANK('[1]Точность устьев скважин'!D669),#N/A,'[1]Точность устьев скважин'!D669)</f>
        <v>#N/A</v>
      </c>
      <c r="G667" t="e">
        <f>IF(ISBLANK('[1]Точность устьев скважин'!H669),#N/A,'[1]Точность устьев скважин'!H669)</f>
        <v>#N/A</v>
      </c>
      <c r="H667" t="e">
        <f>IF(ISBLANK('[1]Точность устьев скважин'!I669),#N/A,'[1]Точность устьев скважин'!I669)</f>
        <v>#N/A</v>
      </c>
      <c r="I667" t="e">
        <f>IF(ISBLANK('[1]Точность устьев скважин'!J669),#N/A,'[1]Точность устьев скважин'!J669)</f>
        <v>#N/A</v>
      </c>
      <c r="J667" t="e">
        <f>IF(ISBLANK('[1]Точность устьев скважин'!K669),#N/A,'[1]Точность устьев скважин'!K669)</f>
        <v>#N/A</v>
      </c>
      <c r="L667" s="63" t="e">
        <f t="shared" si="77"/>
        <v>#N/A</v>
      </c>
      <c r="O667" t="e">
        <f t="shared" si="71"/>
        <v>#N/A</v>
      </c>
      <c r="P667" t="e">
        <f t="shared" si="71"/>
        <v>#N/A</v>
      </c>
      <c r="Q667" t="e">
        <f t="shared" si="72"/>
        <v>#N/A</v>
      </c>
      <c r="R667" t="e">
        <f t="shared" si="72"/>
        <v>#N/A</v>
      </c>
      <c r="S667" t="e">
        <f t="shared" si="73"/>
        <v>#N/A</v>
      </c>
      <c r="T667" t="e">
        <f t="shared" si="73"/>
        <v>#N/A</v>
      </c>
      <c r="U667" t="e">
        <f t="shared" si="74"/>
        <v>#N/A</v>
      </c>
      <c r="V667" t="e">
        <f t="shared" si="74"/>
        <v>#N/A</v>
      </c>
      <c r="W667" t="e">
        <f t="shared" si="75"/>
        <v>#N/A</v>
      </c>
      <c r="X667" t="e">
        <f t="shared" si="75"/>
        <v>#N/A</v>
      </c>
      <c r="Y667" t="e">
        <f t="shared" si="76"/>
        <v>#N/A</v>
      </c>
      <c r="Z667" t="e">
        <f t="shared" si="76"/>
        <v>#N/A</v>
      </c>
    </row>
    <row r="668" spans="1:26">
      <c r="A668" t="e">
        <f>IF(ISBLANK('[1]Точность устьев скважин'!A670),#N/A,'[1]Точность устьев скважин'!A670)</f>
        <v>#N/A</v>
      </c>
      <c r="B668" t="e">
        <f>IF(ISBLANK('[1]Точность устьев скважин'!B670),#N/A,'[1]Точность устьев скважин'!B670)</f>
        <v>#N/A</v>
      </c>
      <c r="C668" t="e">
        <f>IF(ISBLANK('[1]Точность устьев скважин'!C670),#N/A,'[1]Точность устьев скважин'!C670)</f>
        <v>#N/A</v>
      </c>
      <c r="D668" t="e">
        <f>IF(ISBLANK('[1]Точность устьев скважин'!D670),#N/A,'[1]Точность устьев скважин'!D670)</f>
        <v>#N/A</v>
      </c>
      <c r="G668" t="e">
        <f>IF(ISBLANK('[1]Точность устьев скважин'!H670),#N/A,'[1]Точность устьев скважин'!H670)</f>
        <v>#N/A</v>
      </c>
      <c r="H668" t="e">
        <f>IF(ISBLANK('[1]Точность устьев скважин'!I670),#N/A,'[1]Точность устьев скважин'!I670)</f>
        <v>#N/A</v>
      </c>
      <c r="I668" t="e">
        <f>IF(ISBLANK('[1]Точность устьев скважин'!J670),#N/A,'[1]Точность устьев скважин'!J670)</f>
        <v>#N/A</v>
      </c>
      <c r="J668" t="e">
        <f>IF(ISBLANK('[1]Точность устьев скважин'!K670),#N/A,'[1]Точность устьев скважин'!K670)</f>
        <v>#N/A</v>
      </c>
      <c r="L668" s="63" t="e">
        <f t="shared" si="77"/>
        <v>#N/A</v>
      </c>
      <c r="O668" t="e">
        <f t="shared" si="71"/>
        <v>#N/A</v>
      </c>
      <c r="P668" t="e">
        <f t="shared" si="71"/>
        <v>#N/A</v>
      </c>
      <c r="Q668" t="e">
        <f t="shared" si="72"/>
        <v>#N/A</v>
      </c>
      <c r="R668" t="e">
        <f t="shared" si="72"/>
        <v>#N/A</v>
      </c>
      <c r="S668" t="e">
        <f t="shared" si="73"/>
        <v>#N/A</v>
      </c>
      <c r="T668" t="e">
        <f t="shared" si="73"/>
        <v>#N/A</v>
      </c>
      <c r="U668" t="e">
        <f t="shared" si="74"/>
        <v>#N/A</v>
      </c>
      <c r="V668" t="e">
        <f t="shared" si="74"/>
        <v>#N/A</v>
      </c>
      <c r="W668" t="e">
        <f t="shared" si="75"/>
        <v>#N/A</v>
      </c>
      <c r="X668" t="e">
        <f t="shared" si="75"/>
        <v>#N/A</v>
      </c>
      <c r="Y668" t="e">
        <f t="shared" si="76"/>
        <v>#N/A</v>
      </c>
      <c r="Z668" t="e">
        <f t="shared" si="76"/>
        <v>#N/A</v>
      </c>
    </row>
    <row r="669" spans="1:26">
      <c r="A669" t="e">
        <f>IF(ISBLANK('[1]Точность устьев скважин'!A671),#N/A,'[1]Точность устьев скважин'!A671)</f>
        <v>#N/A</v>
      </c>
      <c r="B669" t="e">
        <f>IF(ISBLANK('[1]Точность устьев скважин'!B671),#N/A,'[1]Точность устьев скважин'!B671)</f>
        <v>#N/A</v>
      </c>
      <c r="C669" t="e">
        <f>IF(ISBLANK('[1]Точность устьев скважин'!C671),#N/A,'[1]Точность устьев скважин'!C671)</f>
        <v>#N/A</v>
      </c>
      <c r="D669" t="e">
        <f>IF(ISBLANK('[1]Точность устьев скважин'!D671),#N/A,'[1]Точность устьев скважин'!D671)</f>
        <v>#N/A</v>
      </c>
      <c r="G669" t="e">
        <f>IF(ISBLANK('[1]Точность устьев скважин'!H671),#N/A,'[1]Точность устьев скважин'!H671)</f>
        <v>#N/A</v>
      </c>
      <c r="H669" t="e">
        <f>IF(ISBLANK('[1]Точность устьев скважин'!I671),#N/A,'[1]Точность устьев скважин'!I671)</f>
        <v>#N/A</v>
      </c>
      <c r="I669" t="e">
        <f>IF(ISBLANK('[1]Точность устьев скважин'!J671),#N/A,'[1]Точность устьев скважин'!J671)</f>
        <v>#N/A</v>
      </c>
      <c r="J669" t="e">
        <f>IF(ISBLANK('[1]Точность устьев скважин'!K671),#N/A,'[1]Точность устьев скважин'!K671)</f>
        <v>#N/A</v>
      </c>
      <c r="L669" s="63" t="e">
        <f t="shared" si="77"/>
        <v>#N/A</v>
      </c>
      <c r="O669" t="e">
        <f t="shared" si="71"/>
        <v>#N/A</v>
      </c>
      <c r="P669" t="e">
        <f t="shared" si="71"/>
        <v>#N/A</v>
      </c>
      <c r="Q669" t="e">
        <f t="shared" si="72"/>
        <v>#N/A</v>
      </c>
      <c r="R669" t="e">
        <f t="shared" si="72"/>
        <v>#N/A</v>
      </c>
      <c r="S669" t="e">
        <f t="shared" si="73"/>
        <v>#N/A</v>
      </c>
      <c r="T669" t="e">
        <f t="shared" si="73"/>
        <v>#N/A</v>
      </c>
      <c r="U669" t="e">
        <f t="shared" si="74"/>
        <v>#N/A</v>
      </c>
      <c r="V669" t="e">
        <f t="shared" si="74"/>
        <v>#N/A</v>
      </c>
      <c r="W669" t="e">
        <f t="shared" si="75"/>
        <v>#N/A</v>
      </c>
      <c r="X669" t="e">
        <f t="shared" si="75"/>
        <v>#N/A</v>
      </c>
      <c r="Y669" t="e">
        <f t="shared" si="76"/>
        <v>#N/A</v>
      </c>
      <c r="Z669" t="e">
        <f t="shared" si="76"/>
        <v>#N/A</v>
      </c>
    </row>
    <row r="670" spans="1:26">
      <c r="A670" t="e">
        <f>IF(ISBLANK('[1]Точность устьев скважин'!A672),#N/A,'[1]Точность устьев скважин'!A672)</f>
        <v>#N/A</v>
      </c>
      <c r="B670" t="e">
        <f>IF(ISBLANK('[1]Точность устьев скважин'!B672),#N/A,'[1]Точность устьев скважин'!B672)</f>
        <v>#N/A</v>
      </c>
      <c r="C670" t="e">
        <f>IF(ISBLANK('[1]Точность устьев скважин'!C672),#N/A,'[1]Точность устьев скважин'!C672)</f>
        <v>#N/A</v>
      </c>
      <c r="D670" t="e">
        <f>IF(ISBLANK('[1]Точность устьев скважин'!D672),#N/A,'[1]Точность устьев скважин'!D672)</f>
        <v>#N/A</v>
      </c>
      <c r="G670" t="e">
        <f>IF(ISBLANK('[1]Точность устьев скважин'!H672),#N/A,'[1]Точность устьев скважин'!H672)</f>
        <v>#N/A</v>
      </c>
      <c r="H670" t="e">
        <f>IF(ISBLANK('[1]Точность устьев скважин'!I672),#N/A,'[1]Точность устьев скважин'!I672)</f>
        <v>#N/A</v>
      </c>
      <c r="I670" t="e">
        <f>IF(ISBLANK('[1]Точность устьев скважин'!J672),#N/A,'[1]Точность устьев скважин'!J672)</f>
        <v>#N/A</v>
      </c>
      <c r="J670" t="e">
        <f>IF(ISBLANK('[1]Точность устьев скважин'!K672),#N/A,'[1]Точность устьев скважин'!K672)</f>
        <v>#N/A</v>
      </c>
      <c r="L670" s="63" t="e">
        <f t="shared" si="77"/>
        <v>#N/A</v>
      </c>
      <c r="O670" t="e">
        <f t="shared" si="71"/>
        <v>#N/A</v>
      </c>
      <c r="P670" t="e">
        <f t="shared" si="71"/>
        <v>#N/A</v>
      </c>
      <c r="Q670" t="e">
        <f t="shared" si="72"/>
        <v>#N/A</v>
      </c>
      <c r="R670" t="e">
        <f t="shared" si="72"/>
        <v>#N/A</v>
      </c>
      <c r="S670" t="e">
        <f t="shared" si="73"/>
        <v>#N/A</v>
      </c>
      <c r="T670" t="e">
        <f t="shared" si="73"/>
        <v>#N/A</v>
      </c>
      <c r="U670" t="e">
        <f t="shared" si="74"/>
        <v>#N/A</v>
      </c>
      <c r="V670" t="e">
        <f t="shared" si="74"/>
        <v>#N/A</v>
      </c>
      <c r="W670" t="e">
        <f t="shared" si="75"/>
        <v>#N/A</v>
      </c>
      <c r="X670" t="e">
        <f t="shared" si="75"/>
        <v>#N/A</v>
      </c>
      <c r="Y670" t="e">
        <f t="shared" si="76"/>
        <v>#N/A</v>
      </c>
      <c r="Z670" t="e">
        <f t="shared" si="76"/>
        <v>#N/A</v>
      </c>
    </row>
    <row r="671" spans="1:26">
      <c r="A671" t="e">
        <f>IF(ISBLANK('[1]Точность устьев скважин'!A673),#N/A,'[1]Точность устьев скважин'!A673)</f>
        <v>#N/A</v>
      </c>
      <c r="B671" t="e">
        <f>IF(ISBLANK('[1]Точность устьев скважин'!B673),#N/A,'[1]Точность устьев скважин'!B673)</f>
        <v>#N/A</v>
      </c>
      <c r="C671" t="e">
        <f>IF(ISBLANK('[1]Точность устьев скважин'!C673),#N/A,'[1]Точность устьев скважин'!C673)</f>
        <v>#N/A</v>
      </c>
      <c r="D671" t="e">
        <f>IF(ISBLANK('[1]Точность устьев скважин'!D673),#N/A,'[1]Точность устьев скважин'!D673)</f>
        <v>#N/A</v>
      </c>
      <c r="G671" t="e">
        <f>IF(ISBLANK('[1]Точность устьев скважин'!H673),#N/A,'[1]Точность устьев скважин'!H673)</f>
        <v>#N/A</v>
      </c>
      <c r="H671" t="e">
        <f>IF(ISBLANK('[1]Точность устьев скважин'!I673),#N/A,'[1]Точность устьев скважин'!I673)</f>
        <v>#N/A</v>
      </c>
      <c r="I671" t="e">
        <f>IF(ISBLANK('[1]Точность устьев скважин'!J673),#N/A,'[1]Точность устьев скважин'!J673)</f>
        <v>#N/A</v>
      </c>
      <c r="J671" t="e">
        <f>IF(ISBLANK('[1]Точность устьев скважин'!K673),#N/A,'[1]Точность устьев скважин'!K673)</f>
        <v>#N/A</v>
      </c>
      <c r="L671" s="63" t="e">
        <f t="shared" si="77"/>
        <v>#N/A</v>
      </c>
      <c r="O671" t="e">
        <f t="shared" si="71"/>
        <v>#N/A</v>
      </c>
      <c r="P671" t="e">
        <f t="shared" si="71"/>
        <v>#N/A</v>
      </c>
      <c r="Q671" t="e">
        <f t="shared" si="72"/>
        <v>#N/A</v>
      </c>
      <c r="R671" t="e">
        <f t="shared" si="72"/>
        <v>#N/A</v>
      </c>
      <c r="S671" t="e">
        <f t="shared" si="73"/>
        <v>#N/A</v>
      </c>
      <c r="T671" t="e">
        <f t="shared" si="73"/>
        <v>#N/A</v>
      </c>
      <c r="U671" t="e">
        <f t="shared" si="74"/>
        <v>#N/A</v>
      </c>
      <c r="V671" t="e">
        <f t="shared" si="74"/>
        <v>#N/A</v>
      </c>
      <c r="W671" t="e">
        <f t="shared" si="75"/>
        <v>#N/A</v>
      </c>
      <c r="X671" t="e">
        <f t="shared" si="75"/>
        <v>#N/A</v>
      </c>
      <c r="Y671" t="e">
        <f t="shared" si="76"/>
        <v>#N/A</v>
      </c>
      <c r="Z671" t="e">
        <f t="shared" si="76"/>
        <v>#N/A</v>
      </c>
    </row>
    <row r="672" spans="1:26">
      <c r="A672" t="e">
        <f>IF(ISBLANK('[1]Точность устьев скважин'!A674),#N/A,'[1]Точность устьев скважин'!A674)</f>
        <v>#N/A</v>
      </c>
      <c r="B672" t="e">
        <f>IF(ISBLANK('[1]Точность устьев скважин'!B674),#N/A,'[1]Точность устьев скважин'!B674)</f>
        <v>#N/A</v>
      </c>
      <c r="C672" t="e">
        <f>IF(ISBLANK('[1]Точность устьев скважин'!C674),#N/A,'[1]Точность устьев скважин'!C674)</f>
        <v>#N/A</v>
      </c>
      <c r="D672" t="e">
        <f>IF(ISBLANK('[1]Точность устьев скважин'!D674),#N/A,'[1]Точность устьев скважин'!D674)</f>
        <v>#N/A</v>
      </c>
      <c r="G672" t="e">
        <f>IF(ISBLANK('[1]Точность устьев скважин'!H674),#N/A,'[1]Точность устьев скважин'!H674)</f>
        <v>#N/A</v>
      </c>
      <c r="H672" t="e">
        <f>IF(ISBLANK('[1]Точность устьев скважин'!I674),#N/A,'[1]Точность устьев скважин'!I674)</f>
        <v>#N/A</v>
      </c>
      <c r="I672" t="e">
        <f>IF(ISBLANK('[1]Точность устьев скважин'!J674),#N/A,'[1]Точность устьев скважин'!J674)</f>
        <v>#N/A</v>
      </c>
      <c r="J672" t="e">
        <f>IF(ISBLANK('[1]Точность устьев скважин'!K674),#N/A,'[1]Точность устьев скважин'!K674)</f>
        <v>#N/A</v>
      </c>
      <c r="L672" s="63" t="e">
        <f t="shared" si="77"/>
        <v>#N/A</v>
      </c>
      <c r="O672" t="e">
        <f t="shared" si="71"/>
        <v>#N/A</v>
      </c>
      <c r="P672" t="e">
        <f t="shared" si="71"/>
        <v>#N/A</v>
      </c>
      <c r="Q672" t="e">
        <f t="shared" si="72"/>
        <v>#N/A</v>
      </c>
      <c r="R672" t="e">
        <f t="shared" si="72"/>
        <v>#N/A</v>
      </c>
      <c r="S672" t="e">
        <f t="shared" si="73"/>
        <v>#N/A</v>
      </c>
      <c r="T672" t="e">
        <f t="shared" si="73"/>
        <v>#N/A</v>
      </c>
      <c r="U672" t="e">
        <f t="shared" si="74"/>
        <v>#N/A</v>
      </c>
      <c r="V672" t="e">
        <f t="shared" si="74"/>
        <v>#N/A</v>
      </c>
      <c r="W672" t="e">
        <f t="shared" si="75"/>
        <v>#N/A</v>
      </c>
      <c r="X672" t="e">
        <f t="shared" si="75"/>
        <v>#N/A</v>
      </c>
      <c r="Y672" t="e">
        <f t="shared" si="76"/>
        <v>#N/A</v>
      </c>
      <c r="Z672" t="e">
        <f t="shared" si="76"/>
        <v>#N/A</v>
      </c>
    </row>
    <row r="673" spans="1:26">
      <c r="A673" t="e">
        <f>IF(ISBLANK('[1]Точность устьев скважин'!A675),#N/A,'[1]Точность устьев скважин'!A675)</f>
        <v>#N/A</v>
      </c>
      <c r="B673" t="e">
        <f>IF(ISBLANK('[1]Точность устьев скважин'!B675),#N/A,'[1]Точность устьев скважин'!B675)</f>
        <v>#N/A</v>
      </c>
      <c r="C673" t="e">
        <f>IF(ISBLANK('[1]Точность устьев скважин'!C675),#N/A,'[1]Точность устьев скважин'!C675)</f>
        <v>#N/A</v>
      </c>
      <c r="D673" t="e">
        <f>IF(ISBLANK('[1]Точность устьев скважин'!D675),#N/A,'[1]Точность устьев скважин'!D675)</f>
        <v>#N/A</v>
      </c>
      <c r="G673" t="e">
        <f>IF(ISBLANK('[1]Точность устьев скважин'!H675),#N/A,'[1]Точность устьев скважин'!H675)</f>
        <v>#N/A</v>
      </c>
      <c r="H673" t="e">
        <f>IF(ISBLANK('[1]Точность устьев скважин'!I675),#N/A,'[1]Точность устьев скважин'!I675)</f>
        <v>#N/A</v>
      </c>
      <c r="I673" t="e">
        <f>IF(ISBLANK('[1]Точность устьев скважин'!J675),#N/A,'[1]Точность устьев скважин'!J675)</f>
        <v>#N/A</v>
      </c>
      <c r="J673" t="e">
        <f>IF(ISBLANK('[1]Точность устьев скважин'!K675),#N/A,'[1]Точность устьев скважин'!K675)</f>
        <v>#N/A</v>
      </c>
      <c r="L673" s="63" t="e">
        <f t="shared" si="77"/>
        <v>#N/A</v>
      </c>
      <c r="O673" t="e">
        <f t="shared" si="71"/>
        <v>#N/A</v>
      </c>
      <c r="P673" t="e">
        <f t="shared" si="71"/>
        <v>#N/A</v>
      </c>
      <c r="Q673" t="e">
        <f t="shared" si="72"/>
        <v>#N/A</v>
      </c>
      <c r="R673" t="e">
        <f t="shared" si="72"/>
        <v>#N/A</v>
      </c>
      <c r="S673" t="e">
        <f t="shared" si="73"/>
        <v>#N/A</v>
      </c>
      <c r="T673" t="e">
        <f t="shared" si="73"/>
        <v>#N/A</v>
      </c>
      <c r="U673" t="e">
        <f t="shared" si="74"/>
        <v>#N/A</v>
      </c>
      <c r="V673" t="e">
        <f t="shared" si="74"/>
        <v>#N/A</v>
      </c>
      <c r="W673" t="e">
        <f t="shared" si="75"/>
        <v>#N/A</v>
      </c>
      <c r="X673" t="e">
        <f t="shared" si="75"/>
        <v>#N/A</v>
      </c>
      <c r="Y673" t="e">
        <f t="shared" si="76"/>
        <v>#N/A</v>
      </c>
      <c r="Z673" t="e">
        <f t="shared" si="76"/>
        <v>#N/A</v>
      </c>
    </row>
    <row r="674" spans="1:26">
      <c r="A674" t="e">
        <f>IF(ISBLANK('[1]Точность устьев скважин'!A676),#N/A,'[1]Точность устьев скважин'!A676)</f>
        <v>#N/A</v>
      </c>
      <c r="B674" t="e">
        <f>IF(ISBLANK('[1]Точность устьев скважин'!B676),#N/A,'[1]Точность устьев скважин'!B676)</f>
        <v>#N/A</v>
      </c>
      <c r="C674" t="e">
        <f>IF(ISBLANK('[1]Точность устьев скважин'!C676),#N/A,'[1]Точность устьев скважин'!C676)</f>
        <v>#N/A</v>
      </c>
      <c r="D674" t="e">
        <f>IF(ISBLANK('[1]Точность устьев скважин'!D676),#N/A,'[1]Точность устьев скважин'!D676)</f>
        <v>#N/A</v>
      </c>
      <c r="G674" t="e">
        <f>IF(ISBLANK('[1]Точность устьев скважин'!H676),#N/A,'[1]Точность устьев скважин'!H676)</f>
        <v>#N/A</v>
      </c>
      <c r="H674" t="e">
        <f>IF(ISBLANK('[1]Точность устьев скважин'!I676),#N/A,'[1]Точность устьев скважин'!I676)</f>
        <v>#N/A</v>
      </c>
      <c r="I674" t="e">
        <f>IF(ISBLANK('[1]Точность устьев скважин'!J676),#N/A,'[1]Точность устьев скважин'!J676)</f>
        <v>#N/A</v>
      </c>
      <c r="J674" t="e">
        <f>IF(ISBLANK('[1]Точность устьев скважин'!K676),#N/A,'[1]Точность устьев скважин'!K676)</f>
        <v>#N/A</v>
      </c>
      <c r="L674" s="63" t="e">
        <f t="shared" si="77"/>
        <v>#N/A</v>
      </c>
      <c r="O674" t="e">
        <f t="shared" si="71"/>
        <v>#N/A</v>
      </c>
      <c r="P674" t="e">
        <f t="shared" si="71"/>
        <v>#N/A</v>
      </c>
      <c r="Q674" t="e">
        <f t="shared" si="72"/>
        <v>#N/A</v>
      </c>
      <c r="R674" t="e">
        <f t="shared" si="72"/>
        <v>#N/A</v>
      </c>
      <c r="S674" t="e">
        <f t="shared" si="73"/>
        <v>#N/A</v>
      </c>
      <c r="T674" t="e">
        <f t="shared" si="73"/>
        <v>#N/A</v>
      </c>
      <c r="U674" t="e">
        <f t="shared" si="74"/>
        <v>#N/A</v>
      </c>
      <c r="V674" t="e">
        <f t="shared" si="74"/>
        <v>#N/A</v>
      </c>
      <c r="W674" t="e">
        <f t="shared" si="75"/>
        <v>#N/A</v>
      </c>
      <c r="X674" t="e">
        <f t="shared" si="75"/>
        <v>#N/A</v>
      </c>
      <c r="Y674" t="e">
        <f t="shared" si="76"/>
        <v>#N/A</v>
      </c>
      <c r="Z674" t="e">
        <f t="shared" si="76"/>
        <v>#N/A</v>
      </c>
    </row>
    <row r="675" spans="1:26">
      <c r="A675" t="e">
        <f>IF(ISBLANK('[1]Точность устьев скважин'!A677),#N/A,'[1]Точность устьев скважин'!A677)</f>
        <v>#N/A</v>
      </c>
      <c r="B675" t="e">
        <f>IF(ISBLANK('[1]Точность устьев скважин'!B677),#N/A,'[1]Точность устьев скважин'!B677)</f>
        <v>#N/A</v>
      </c>
      <c r="C675" t="e">
        <f>IF(ISBLANK('[1]Точность устьев скважин'!C677),#N/A,'[1]Точность устьев скважин'!C677)</f>
        <v>#N/A</v>
      </c>
      <c r="D675" t="e">
        <f>IF(ISBLANK('[1]Точность устьев скважин'!D677),#N/A,'[1]Точность устьев скважин'!D677)</f>
        <v>#N/A</v>
      </c>
      <c r="G675" t="e">
        <f>IF(ISBLANK('[1]Точность устьев скважин'!H677),#N/A,'[1]Точность устьев скважин'!H677)</f>
        <v>#N/A</v>
      </c>
      <c r="H675" t="e">
        <f>IF(ISBLANK('[1]Точность устьев скважин'!I677),#N/A,'[1]Точность устьев скважин'!I677)</f>
        <v>#N/A</v>
      </c>
      <c r="I675" t="e">
        <f>IF(ISBLANK('[1]Точность устьев скважин'!J677),#N/A,'[1]Точность устьев скважин'!J677)</f>
        <v>#N/A</v>
      </c>
      <c r="J675" t="e">
        <f>IF(ISBLANK('[1]Точность устьев скважин'!K677),#N/A,'[1]Точность устьев скважин'!K677)</f>
        <v>#N/A</v>
      </c>
      <c r="L675" s="63" t="e">
        <f t="shared" si="77"/>
        <v>#N/A</v>
      </c>
      <c r="O675" t="e">
        <f t="shared" si="71"/>
        <v>#N/A</v>
      </c>
      <c r="P675" t="e">
        <f t="shared" si="71"/>
        <v>#N/A</v>
      </c>
      <c r="Q675" t="e">
        <f t="shared" si="72"/>
        <v>#N/A</v>
      </c>
      <c r="R675" t="e">
        <f t="shared" si="72"/>
        <v>#N/A</v>
      </c>
      <c r="S675" t="e">
        <f t="shared" si="73"/>
        <v>#N/A</v>
      </c>
      <c r="T675" t="e">
        <f t="shared" si="73"/>
        <v>#N/A</v>
      </c>
      <c r="U675" t="e">
        <f t="shared" si="74"/>
        <v>#N/A</v>
      </c>
      <c r="V675" t="e">
        <f t="shared" si="74"/>
        <v>#N/A</v>
      </c>
      <c r="W675" t="e">
        <f t="shared" si="75"/>
        <v>#N/A</v>
      </c>
      <c r="X675" t="e">
        <f t="shared" si="75"/>
        <v>#N/A</v>
      </c>
      <c r="Y675" t="e">
        <f t="shared" si="76"/>
        <v>#N/A</v>
      </c>
      <c r="Z675" t="e">
        <f t="shared" si="76"/>
        <v>#N/A</v>
      </c>
    </row>
    <row r="676" spans="1:26">
      <c r="A676" t="e">
        <f>IF(ISBLANK('[1]Точность устьев скважин'!A678),#N/A,'[1]Точность устьев скважин'!A678)</f>
        <v>#N/A</v>
      </c>
      <c r="B676" t="e">
        <f>IF(ISBLANK('[1]Точность устьев скважин'!B678),#N/A,'[1]Точность устьев скважин'!B678)</f>
        <v>#N/A</v>
      </c>
      <c r="C676" t="e">
        <f>IF(ISBLANK('[1]Точность устьев скважин'!C678),#N/A,'[1]Точность устьев скважин'!C678)</f>
        <v>#N/A</v>
      </c>
      <c r="D676" t="e">
        <f>IF(ISBLANK('[1]Точность устьев скважин'!D678),#N/A,'[1]Точность устьев скважин'!D678)</f>
        <v>#N/A</v>
      </c>
      <c r="G676" t="e">
        <f>IF(ISBLANK('[1]Точность устьев скважин'!H678),#N/A,'[1]Точность устьев скважин'!H678)</f>
        <v>#N/A</v>
      </c>
      <c r="H676" t="e">
        <f>IF(ISBLANK('[1]Точность устьев скважин'!I678),#N/A,'[1]Точность устьев скважин'!I678)</f>
        <v>#N/A</v>
      </c>
      <c r="I676" t="e">
        <f>IF(ISBLANK('[1]Точность устьев скважин'!J678),#N/A,'[1]Точность устьев скважин'!J678)</f>
        <v>#N/A</v>
      </c>
      <c r="J676" t="e">
        <f>IF(ISBLANK('[1]Точность устьев скважин'!K678),#N/A,'[1]Точность устьев скважин'!K678)</f>
        <v>#N/A</v>
      </c>
      <c r="L676" s="63" t="e">
        <f t="shared" si="77"/>
        <v>#N/A</v>
      </c>
      <c r="O676" t="e">
        <f t="shared" si="71"/>
        <v>#N/A</v>
      </c>
      <c r="P676" t="e">
        <f t="shared" si="71"/>
        <v>#N/A</v>
      </c>
      <c r="Q676" t="e">
        <f t="shared" si="72"/>
        <v>#N/A</v>
      </c>
      <c r="R676" t="e">
        <f t="shared" si="72"/>
        <v>#N/A</v>
      </c>
      <c r="S676" t="e">
        <f t="shared" si="73"/>
        <v>#N/A</v>
      </c>
      <c r="T676" t="e">
        <f t="shared" si="73"/>
        <v>#N/A</v>
      </c>
      <c r="U676" t="e">
        <f t="shared" si="74"/>
        <v>#N/A</v>
      </c>
      <c r="V676" t="e">
        <f t="shared" si="74"/>
        <v>#N/A</v>
      </c>
      <c r="W676" t="e">
        <f t="shared" si="75"/>
        <v>#N/A</v>
      </c>
      <c r="X676" t="e">
        <f t="shared" si="75"/>
        <v>#N/A</v>
      </c>
      <c r="Y676" t="e">
        <f t="shared" si="76"/>
        <v>#N/A</v>
      </c>
      <c r="Z676" t="e">
        <f t="shared" si="76"/>
        <v>#N/A</v>
      </c>
    </row>
    <row r="677" spans="1:26">
      <c r="A677" t="e">
        <f>IF(ISBLANK('[1]Точность устьев скважин'!A679),#N/A,'[1]Точность устьев скважин'!A679)</f>
        <v>#N/A</v>
      </c>
      <c r="B677" t="e">
        <f>IF(ISBLANK('[1]Точность устьев скважин'!B679),#N/A,'[1]Точность устьев скважин'!B679)</f>
        <v>#N/A</v>
      </c>
      <c r="C677" t="e">
        <f>IF(ISBLANK('[1]Точность устьев скважин'!C679),#N/A,'[1]Точность устьев скважин'!C679)</f>
        <v>#N/A</v>
      </c>
      <c r="D677" t="e">
        <f>IF(ISBLANK('[1]Точность устьев скважин'!D679),#N/A,'[1]Точность устьев скважин'!D679)</f>
        <v>#N/A</v>
      </c>
      <c r="G677" t="e">
        <f>IF(ISBLANK('[1]Точность устьев скважин'!H679),#N/A,'[1]Точность устьев скважин'!H679)</f>
        <v>#N/A</v>
      </c>
      <c r="H677" t="e">
        <f>IF(ISBLANK('[1]Точность устьев скважин'!I679),#N/A,'[1]Точность устьев скважин'!I679)</f>
        <v>#N/A</v>
      </c>
      <c r="I677" t="e">
        <f>IF(ISBLANK('[1]Точность устьев скважин'!J679),#N/A,'[1]Точность устьев скважин'!J679)</f>
        <v>#N/A</v>
      </c>
      <c r="J677" t="e">
        <f>IF(ISBLANK('[1]Точность устьев скважин'!K679),#N/A,'[1]Точность устьев скважин'!K679)</f>
        <v>#N/A</v>
      </c>
      <c r="L677" s="63" t="e">
        <f t="shared" si="77"/>
        <v>#N/A</v>
      </c>
      <c r="O677" t="e">
        <f t="shared" si="71"/>
        <v>#N/A</v>
      </c>
      <c r="P677" t="e">
        <f t="shared" si="71"/>
        <v>#N/A</v>
      </c>
      <c r="Q677" t="e">
        <f t="shared" si="72"/>
        <v>#N/A</v>
      </c>
      <c r="R677" t="e">
        <f t="shared" si="72"/>
        <v>#N/A</v>
      </c>
      <c r="S677" t="e">
        <f t="shared" si="73"/>
        <v>#N/A</v>
      </c>
      <c r="T677" t="e">
        <f t="shared" si="73"/>
        <v>#N/A</v>
      </c>
      <c r="U677" t="e">
        <f t="shared" si="74"/>
        <v>#N/A</v>
      </c>
      <c r="V677" t="e">
        <f t="shared" si="74"/>
        <v>#N/A</v>
      </c>
      <c r="W677" t="e">
        <f t="shared" si="75"/>
        <v>#N/A</v>
      </c>
      <c r="X677" t="e">
        <f t="shared" si="75"/>
        <v>#N/A</v>
      </c>
      <c r="Y677" t="e">
        <f t="shared" si="76"/>
        <v>#N/A</v>
      </c>
      <c r="Z677" t="e">
        <f t="shared" si="76"/>
        <v>#N/A</v>
      </c>
    </row>
    <row r="678" spans="1:26">
      <c r="A678" t="e">
        <f>IF(ISBLANK('[1]Точность устьев скважин'!A680),#N/A,'[1]Точность устьев скважин'!A680)</f>
        <v>#N/A</v>
      </c>
      <c r="B678" t="e">
        <f>IF(ISBLANK('[1]Точность устьев скважин'!B680),#N/A,'[1]Точность устьев скважин'!B680)</f>
        <v>#N/A</v>
      </c>
      <c r="C678" t="e">
        <f>IF(ISBLANK('[1]Точность устьев скважин'!C680),#N/A,'[1]Точность устьев скважин'!C680)</f>
        <v>#N/A</v>
      </c>
      <c r="D678" t="e">
        <f>IF(ISBLANK('[1]Точность устьев скважин'!D680),#N/A,'[1]Точность устьев скважин'!D680)</f>
        <v>#N/A</v>
      </c>
      <c r="G678" t="e">
        <f>IF(ISBLANK('[1]Точность устьев скважин'!H680),#N/A,'[1]Точность устьев скважин'!H680)</f>
        <v>#N/A</v>
      </c>
      <c r="H678" t="e">
        <f>IF(ISBLANK('[1]Точность устьев скважин'!I680),#N/A,'[1]Точность устьев скважин'!I680)</f>
        <v>#N/A</v>
      </c>
      <c r="I678" t="e">
        <f>IF(ISBLANK('[1]Точность устьев скважин'!J680),#N/A,'[1]Точность устьев скважин'!J680)</f>
        <v>#N/A</v>
      </c>
      <c r="J678" t="e">
        <f>IF(ISBLANK('[1]Точность устьев скважин'!K680),#N/A,'[1]Точность устьев скважин'!K680)</f>
        <v>#N/A</v>
      </c>
      <c r="L678" s="63" t="e">
        <f t="shared" si="77"/>
        <v>#N/A</v>
      </c>
      <c r="O678" t="e">
        <f t="shared" si="71"/>
        <v>#N/A</v>
      </c>
      <c r="P678" t="e">
        <f t="shared" si="71"/>
        <v>#N/A</v>
      </c>
      <c r="Q678" t="e">
        <f t="shared" si="72"/>
        <v>#N/A</v>
      </c>
      <c r="R678" t="e">
        <f t="shared" si="72"/>
        <v>#N/A</v>
      </c>
      <c r="S678" t="e">
        <f t="shared" si="73"/>
        <v>#N/A</v>
      </c>
      <c r="T678" t="e">
        <f t="shared" si="73"/>
        <v>#N/A</v>
      </c>
      <c r="U678" t="e">
        <f t="shared" si="74"/>
        <v>#N/A</v>
      </c>
      <c r="V678" t="e">
        <f t="shared" si="74"/>
        <v>#N/A</v>
      </c>
      <c r="W678" t="e">
        <f t="shared" si="75"/>
        <v>#N/A</v>
      </c>
      <c r="X678" t="e">
        <f t="shared" si="75"/>
        <v>#N/A</v>
      </c>
      <c r="Y678" t="e">
        <f t="shared" si="76"/>
        <v>#N/A</v>
      </c>
      <c r="Z678" t="e">
        <f t="shared" si="76"/>
        <v>#N/A</v>
      </c>
    </row>
    <row r="679" spans="1:26">
      <c r="A679" t="e">
        <f>IF(ISBLANK('[1]Точность устьев скважин'!A681),#N/A,'[1]Точность устьев скважин'!A681)</f>
        <v>#N/A</v>
      </c>
      <c r="B679" t="e">
        <f>IF(ISBLANK('[1]Точность устьев скважин'!B681),#N/A,'[1]Точность устьев скважин'!B681)</f>
        <v>#N/A</v>
      </c>
      <c r="C679" t="e">
        <f>IF(ISBLANK('[1]Точность устьев скважин'!C681),#N/A,'[1]Точность устьев скважин'!C681)</f>
        <v>#N/A</v>
      </c>
      <c r="D679" t="e">
        <f>IF(ISBLANK('[1]Точность устьев скважин'!D681),#N/A,'[1]Точность устьев скважин'!D681)</f>
        <v>#N/A</v>
      </c>
      <c r="G679" t="e">
        <f>IF(ISBLANK('[1]Точность устьев скважин'!H681),#N/A,'[1]Точность устьев скважин'!H681)</f>
        <v>#N/A</v>
      </c>
      <c r="H679" t="e">
        <f>IF(ISBLANK('[1]Точность устьев скважин'!I681),#N/A,'[1]Точность устьев скважин'!I681)</f>
        <v>#N/A</v>
      </c>
      <c r="I679" t="e">
        <f>IF(ISBLANK('[1]Точность устьев скважин'!J681),#N/A,'[1]Точность устьев скважин'!J681)</f>
        <v>#N/A</v>
      </c>
      <c r="J679" t="e">
        <f>IF(ISBLANK('[1]Точность устьев скважин'!K681),#N/A,'[1]Точность устьев скважин'!K681)</f>
        <v>#N/A</v>
      </c>
      <c r="L679" s="63" t="e">
        <f t="shared" si="77"/>
        <v>#N/A</v>
      </c>
      <c r="O679" t="e">
        <f t="shared" si="71"/>
        <v>#N/A</v>
      </c>
      <c r="P679" t="e">
        <f t="shared" si="71"/>
        <v>#N/A</v>
      </c>
      <c r="Q679" t="e">
        <f t="shared" si="72"/>
        <v>#N/A</v>
      </c>
      <c r="R679" t="e">
        <f t="shared" si="72"/>
        <v>#N/A</v>
      </c>
      <c r="S679" t="e">
        <f t="shared" si="73"/>
        <v>#N/A</v>
      </c>
      <c r="T679" t="e">
        <f t="shared" si="73"/>
        <v>#N/A</v>
      </c>
      <c r="U679" t="e">
        <f t="shared" si="74"/>
        <v>#N/A</v>
      </c>
      <c r="V679" t="e">
        <f t="shared" si="74"/>
        <v>#N/A</v>
      </c>
      <c r="W679" t="e">
        <f t="shared" si="75"/>
        <v>#N/A</v>
      </c>
      <c r="X679" t="e">
        <f t="shared" si="75"/>
        <v>#N/A</v>
      </c>
      <c r="Y679" t="e">
        <f t="shared" si="76"/>
        <v>#N/A</v>
      </c>
      <c r="Z679" t="e">
        <f t="shared" si="76"/>
        <v>#N/A</v>
      </c>
    </row>
    <row r="680" spans="1:26">
      <c r="A680" t="e">
        <f>IF(ISBLANK('[1]Точность устьев скважин'!A682),#N/A,'[1]Точность устьев скважин'!A682)</f>
        <v>#N/A</v>
      </c>
      <c r="B680" t="e">
        <f>IF(ISBLANK('[1]Точность устьев скважин'!B682),#N/A,'[1]Точность устьев скважин'!B682)</f>
        <v>#N/A</v>
      </c>
      <c r="C680" t="e">
        <f>IF(ISBLANK('[1]Точность устьев скважин'!C682),#N/A,'[1]Точность устьев скважин'!C682)</f>
        <v>#N/A</v>
      </c>
      <c r="D680" t="e">
        <f>IF(ISBLANK('[1]Точность устьев скважин'!D682),#N/A,'[1]Точность устьев скважин'!D682)</f>
        <v>#N/A</v>
      </c>
      <c r="G680" t="e">
        <f>IF(ISBLANK('[1]Точность устьев скважин'!H682),#N/A,'[1]Точность устьев скважин'!H682)</f>
        <v>#N/A</v>
      </c>
      <c r="H680" t="e">
        <f>IF(ISBLANK('[1]Точность устьев скважин'!I682),#N/A,'[1]Точность устьев скважин'!I682)</f>
        <v>#N/A</v>
      </c>
      <c r="I680" t="e">
        <f>IF(ISBLANK('[1]Точность устьев скважин'!J682),#N/A,'[1]Точность устьев скважин'!J682)</f>
        <v>#N/A</v>
      </c>
      <c r="J680" t="e">
        <f>IF(ISBLANK('[1]Точность устьев скважин'!K682),#N/A,'[1]Точность устьев скважин'!K682)</f>
        <v>#N/A</v>
      </c>
      <c r="L680" s="63" t="e">
        <f t="shared" si="77"/>
        <v>#N/A</v>
      </c>
      <c r="O680" t="e">
        <f t="shared" si="71"/>
        <v>#N/A</v>
      </c>
      <c r="P680" t="e">
        <f t="shared" si="71"/>
        <v>#N/A</v>
      </c>
      <c r="Q680" t="e">
        <f t="shared" si="72"/>
        <v>#N/A</v>
      </c>
      <c r="R680" t="e">
        <f t="shared" si="72"/>
        <v>#N/A</v>
      </c>
      <c r="S680" t="e">
        <f t="shared" si="73"/>
        <v>#N/A</v>
      </c>
      <c r="T680" t="e">
        <f t="shared" si="73"/>
        <v>#N/A</v>
      </c>
      <c r="U680" t="e">
        <f t="shared" si="74"/>
        <v>#N/A</v>
      </c>
      <c r="V680" t="e">
        <f t="shared" si="74"/>
        <v>#N/A</v>
      </c>
      <c r="W680" t="e">
        <f t="shared" si="75"/>
        <v>#N/A</v>
      </c>
      <c r="X680" t="e">
        <f t="shared" si="75"/>
        <v>#N/A</v>
      </c>
      <c r="Y680" t="e">
        <f t="shared" si="76"/>
        <v>#N/A</v>
      </c>
      <c r="Z680" t="e">
        <f t="shared" si="76"/>
        <v>#N/A</v>
      </c>
    </row>
    <row r="681" spans="1:26">
      <c r="A681" t="e">
        <f>IF(ISBLANK('[1]Точность устьев скважин'!A683),#N/A,'[1]Точность устьев скважин'!A683)</f>
        <v>#N/A</v>
      </c>
      <c r="B681" t="e">
        <f>IF(ISBLANK('[1]Точность устьев скважин'!B683),#N/A,'[1]Точность устьев скважин'!B683)</f>
        <v>#N/A</v>
      </c>
      <c r="C681" t="e">
        <f>IF(ISBLANK('[1]Точность устьев скважин'!C683),#N/A,'[1]Точность устьев скважин'!C683)</f>
        <v>#N/A</v>
      </c>
      <c r="D681" t="e">
        <f>IF(ISBLANK('[1]Точность устьев скважин'!D683),#N/A,'[1]Точность устьев скважин'!D683)</f>
        <v>#N/A</v>
      </c>
      <c r="G681" t="e">
        <f>IF(ISBLANK('[1]Точность устьев скважин'!H683),#N/A,'[1]Точность устьев скважин'!H683)</f>
        <v>#N/A</v>
      </c>
      <c r="H681" t="e">
        <f>IF(ISBLANK('[1]Точность устьев скважин'!I683),#N/A,'[1]Точность устьев скважин'!I683)</f>
        <v>#N/A</v>
      </c>
      <c r="I681" t="e">
        <f>IF(ISBLANK('[1]Точность устьев скважин'!J683),#N/A,'[1]Точность устьев скважин'!J683)</f>
        <v>#N/A</v>
      </c>
      <c r="J681" t="e">
        <f>IF(ISBLANK('[1]Точность устьев скважин'!K683),#N/A,'[1]Точность устьев скважин'!K683)</f>
        <v>#N/A</v>
      </c>
      <c r="L681" s="63" t="e">
        <f t="shared" si="77"/>
        <v>#N/A</v>
      </c>
      <c r="O681" t="e">
        <f t="shared" ref="O681:P744" si="78">IF($L$1=0.5,IF(AND($L681&gt;0,$L681&lt;0.1),H681,#N/A),"")</f>
        <v>#N/A</v>
      </c>
      <c r="P681" t="e">
        <f t="shared" si="78"/>
        <v>#N/A</v>
      </c>
      <c r="Q681" t="e">
        <f t="shared" ref="Q681:R744" si="79">IF($L$1=0.5,IF(AND($L681&gt;=0.1,$L681&lt;0.2),H681,#N/A),"")</f>
        <v>#N/A</v>
      </c>
      <c r="R681" t="e">
        <f t="shared" si="79"/>
        <v>#N/A</v>
      </c>
      <c r="S681" t="e">
        <f t="shared" ref="S681:T744" si="80">IF($L$1=0.5,IF(AND($L681&gt;=0.2,$L681&lt;0.3),H681,#N/A),"")</f>
        <v>#N/A</v>
      </c>
      <c r="T681" t="e">
        <f t="shared" si="80"/>
        <v>#N/A</v>
      </c>
      <c r="U681" t="e">
        <f t="shared" ref="U681:V744" si="81">IF($L$1=0.5,IF(AND($L681&gt;=0.3,$L681&lt;0.4),H681,#N/A),"")</f>
        <v>#N/A</v>
      </c>
      <c r="V681" t="e">
        <f t="shared" si="81"/>
        <v>#N/A</v>
      </c>
      <c r="W681" t="e">
        <f t="shared" ref="W681:X744" si="82">IF($L$1=0.5,IF(AND($L681&gt;=0.4,$L681&lt;0.5),H681,#N/A),"")</f>
        <v>#N/A</v>
      </c>
      <c r="X681" t="e">
        <f t="shared" si="82"/>
        <v>#N/A</v>
      </c>
      <c r="Y681" t="e">
        <f t="shared" si="76"/>
        <v>#N/A</v>
      </c>
      <c r="Z681" t="e">
        <f t="shared" si="76"/>
        <v>#N/A</v>
      </c>
    </row>
    <row r="682" spans="1:26">
      <c r="A682" t="e">
        <f>IF(ISBLANK('[1]Точность устьев скважин'!A684),#N/A,'[1]Точность устьев скважин'!A684)</f>
        <v>#N/A</v>
      </c>
      <c r="B682" t="e">
        <f>IF(ISBLANK('[1]Точность устьев скважин'!B684),#N/A,'[1]Точность устьев скважин'!B684)</f>
        <v>#N/A</v>
      </c>
      <c r="C682" t="e">
        <f>IF(ISBLANK('[1]Точность устьев скважин'!C684),#N/A,'[1]Точность устьев скважин'!C684)</f>
        <v>#N/A</v>
      </c>
      <c r="D682" t="e">
        <f>IF(ISBLANK('[1]Точность устьев скважин'!D684),#N/A,'[1]Точность устьев скважин'!D684)</f>
        <v>#N/A</v>
      </c>
      <c r="G682" t="e">
        <f>IF(ISBLANK('[1]Точность устьев скважин'!H684),#N/A,'[1]Точность устьев скважин'!H684)</f>
        <v>#N/A</v>
      </c>
      <c r="H682" t="e">
        <f>IF(ISBLANK('[1]Точность устьев скважин'!I684),#N/A,'[1]Точность устьев скважин'!I684)</f>
        <v>#N/A</v>
      </c>
      <c r="I682" t="e">
        <f>IF(ISBLANK('[1]Точность устьев скважин'!J684),#N/A,'[1]Точность устьев скважин'!J684)</f>
        <v>#N/A</v>
      </c>
      <c r="J682" t="e">
        <f>IF(ISBLANK('[1]Точность устьев скважин'!K684),#N/A,'[1]Точность устьев скважин'!K684)</f>
        <v>#N/A</v>
      </c>
      <c r="L682" s="63" t="e">
        <f t="shared" si="77"/>
        <v>#N/A</v>
      </c>
      <c r="O682" t="e">
        <f t="shared" si="78"/>
        <v>#N/A</v>
      </c>
      <c r="P682" t="e">
        <f t="shared" si="78"/>
        <v>#N/A</v>
      </c>
      <c r="Q682" t="e">
        <f t="shared" si="79"/>
        <v>#N/A</v>
      </c>
      <c r="R682" t="e">
        <f t="shared" si="79"/>
        <v>#N/A</v>
      </c>
      <c r="S682" t="e">
        <f t="shared" si="80"/>
        <v>#N/A</v>
      </c>
      <c r="T682" t="e">
        <f t="shared" si="80"/>
        <v>#N/A</v>
      </c>
      <c r="U682" t="e">
        <f t="shared" si="81"/>
        <v>#N/A</v>
      </c>
      <c r="V682" t="e">
        <f t="shared" si="81"/>
        <v>#N/A</v>
      </c>
      <c r="W682" t="e">
        <f t="shared" si="82"/>
        <v>#N/A</v>
      </c>
      <c r="X682" t="e">
        <f t="shared" si="82"/>
        <v>#N/A</v>
      </c>
      <c r="Y682" t="e">
        <f t="shared" si="76"/>
        <v>#N/A</v>
      </c>
      <c r="Z682" t="e">
        <f t="shared" si="76"/>
        <v>#N/A</v>
      </c>
    </row>
    <row r="683" spans="1:26">
      <c r="A683" t="e">
        <f>IF(ISBLANK('[1]Точность устьев скважин'!A685),#N/A,'[1]Точность устьев скважин'!A685)</f>
        <v>#N/A</v>
      </c>
      <c r="B683" t="e">
        <f>IF(ISBLANK('[1]Точность устьев скважин'!B685),#N/A,'[1]Точность устьев скважин'!B685)</f>
        <v>#N/A</v>
      </c>
      <c r="C683" t="e">
        <f>IF(ISBLANK('[1]Точность устьев скважин'!C685),#N/A,'[1]Точность устьев скважин'!C685)</f>
        <v>#N/A</v>
      </c>
      <c r="D683" t="e">
        <f>IF(ISBLANK('[1]Точность устьев скважин'!D685),#N/A,'[1]Точность устьев скважин'!D685)</f>
        <v>#N/A</v>
      </c>
      <c r="G683" t="e">
        <f>IF(ISBLANK('[1]Точность устьев скважин'!H685),#N/A,'[1]Точность устьев скважин'!H685)</f>
        <v>#N/A</v>
      </c>
      <c r="H683" t="e">
        <f>IF(ISBLANK('[1]Точность устьев скважин'!I685),#N/A,'[1]Точность устьев скважин'!I685)</f>
        <v>#N/A</v>
      </c>
      <c r="I683" t="e">
        <f>IF(ISBLANK('[1]Точность устьев скважин'!J685),#N/A,'[1]Точность устьев скважин'!J685)</f>
        <v>#N/A</v>
      </c>
      <c r="J683" t="e">
        <f>IF(ISBLANK('[1]Точность устьев скважин'!K685),#N/A,'[1]Точность устьев скважин'!K685)</f>
        <v>#N/A</v>
      </c>
      <c r="L683" s="63" t="e">
        <f t="shared" si="77"/>
        <v>#N/A</v>
      </c>
      <c r="O683" t="e">
        <f t="shared" si="78"/>
        <v>#N/A</v>
      </c>
      <c r="P683" t="e">
        <f t="shared" si="78"/>
        <v>#N/A</v>
      </c>
      <c r="Q683" t="e">
        <f t="shared" si="79"/>
        <v>#N/A</v>
      </c>
      <c r="R683" t="e">
        <f t="shared" si="79"/>
        <v>#N/A</v>
      </c>
      <c r="S683" t="e">
        <f t="shared" si="80"/>
        <v>#N/A</v>
      </c>
      <c r="T683" t="e">
        <f t="shared" si="80"/>
        <v>#N/A</v>
      </c>
      <c r="U683" t="e">
        <f t="shared" si="81"/>
        <v>#N/A</v>
      </c>
      <c r="V683" t="e">
        <f t="shared" si="81"/>
        <v>#N/A</v>
      </c>
      <c r="W683" t="e">
        <f t="shared" si="82"/>
        <v>#N/A</v>
      </c>
      <c r="X683" t="e">
        <f t="shared" si="82"/>
        <v>#N/A</v>
      </c>
      <c r="Y683" t="e">
        <f t="shared" si="76"/>
        <v>#N/A</v>
      </c>
      <c r="Z683" t="e">
        <f t="shared" si="76"/>
        <v>#N/A</v>
      </c>
    </row>
    <row r="684" spans="1:26">
      <c r="A684" t="e">
        <f>IF(ISBLANK('[1]Точность устьев скважин'!A686),#N/A,'[1]Точность устьев скважин'!A686)</f>
        <v>#N/A</v>
      </c>
      <c r="B684" t="e">
        <f>IF(ISBLANK('[1]Точность устьев скважин'!B686),#N/A,'[1]Точность устьев скважин'!B686)</f>
        <v>#N/A</v>
      </c>
      <c r="C684" t="e">
        <f>IF(ISBLANK('[1]Точность устьев скважин'!C686),#N/A,'[1]Точность устьев скважин'!C686)</f>
        <v>#N/A</v>
      </c>
      <c r="D684" t="e">
        <f>IF(ISBLANK('[1]Точность устьев скважин'!D686),#N/A,'[1]Точность устьев скважин'!D686)</f>
        <v>#N/A</v>
      </c>
      <c r="G684" t="e">
        <f>IF(ISBLANK('[1]Точность устьев скважин'!H686),#N/A,'[1]Точность устьев скважин'!H686)</f>
        <v>#N/A</v>
      </c>
      <c r="H684" t="e">
        <f>IF(ISBLANK('[1]Точность устьев скважин'!I686),#N/A,'[1]Точность устьев скважин'!I686)</f>
        <v>#N/A</v>
      </c>
      <c r="I684" t="e">
        <f>IF(ISBLANK('[1]Точность устьев скважин'!J686),#N/A,'[1]Точность устьев скважин'!J686)</f>
        <v>#N/A</v>
      </c>
      <c r="J684" t="e">
        <f>IF(ISBLANK('[1]Точность устьев скважин'!K686),#N/A,'[1]Точность устьев скважин'!K686)</f>
        <v>#N/A</v>
      </c>
      <c r="L684" s="63" t="e">
        <f t="shared" si="77"/>
        <v>#N/A</v>
      </c>
      <c r="O684" t="e">
        <f t="shared" si="78"/>
        <v>#N/A</v>
      </c>
      <c r="P684" t="e">
        <f t="shared" si="78"/>
        <v>#N/A</v>
      </c>
      <c r="Q684" t="e">
        <f t="shared" si="79"/>
        <v>#N/A</v>
      </c>
      <c r="R684" t="e">
        <f t="shared" si="79"/>
        <v>#N/A</v>
      </c>
      <c r="S684" t="e">
        <f t="shared" si="80"/>
        <v>#N/A</v>
      </c>
      <c r="T684" t="e">
        <f t="shared" si="80"/>
        <v>#N/A</v>
      </c>
      <c r="U684" t="e">
        <f t="shared" si="81"/>
        <v>#N/A</v>
      </c>
      <c r="V684" t="e">
        <f t="shared" si="81"/>
        <v>#N/A</v>
      </c>
      <c r="W684" t="e">
        <f t="shared" si="82"/>
        <v>#N/A</v>
      </c>
      <c r="X684" t="e">
        <f t="shared" si="82"/>
        <v>#N/A</v>
      </c>
      <c r="Y684" t="e">
        <f t="shared" si="76"/>
        <v>#N/A</v>
      </c>
      <c r="Z684" t="e">
        <f t="shared" si="76"/>
        <v>#N/A</v>
      </c>
    </row>
    <row r="685" spans="1:26">
      <c r="A685" t="e">
        <f>IF(ISBLANK('[1]Точность устьев скважин'!A687),#N/A,'[1]Точность устьев скважин'!A687)</f>
        <v>#N/A</v>
      </c>
      <c r="B685" t="e">
        <f>IF(ISBLANK('[1]Точность устьев скважин'!B687),#N/A,'[1]Точность устьев скважин'!B687)</f>
        <v>#N/A</v>
      </c>
      <c r="C685" t="e">
        <f>IF(ISBLANK('[1]Точность устьев скважин'!C687),#N/A,'[1]Точность устьев скважин'!C687)</f>
        <v>#N/A</v>
      </c>
      <c r="D685" t="e">
        <f>IF(ISBLANK('[1]Точность устьев скважин'!D687),#N/A,'[1]Точность устьев скважин'!D687)</f>
        <v>#N/A</v>
      </c>
      <c r="G685" t="e">
        <f>IF(ISBLANK('[1]Точность устьев скважин'!H687),#N/A,'[1]Точность устьев скважин'!H687)</f>
        <v>#N/A</v>
      </c>
      <c r="H685" t="e">
        <f>IF(ISBLANK('[1]Точность устьев скважин'!I687),#N/A,'[1]Точность устьев скважин'!I687)</f>
        <v>#N/A</v>
      </c>
      <c r="I685" t="e">
        <f>IF(ISBLANK('[1]Точность устьев скважин'!J687),#N/A,'[1]Точность устьев скважин'!J687)</f>
        <v>#N/A</v>
      </c>
      <c r="J685" t="e">
        <f>IF(ISBLANK('[1]Точность устьев скважин'!K687),#N/A,'[1]Точность устьев скважин'!K687)</f>
        <v>#N/A</v>
      </c>
      <c r="L685" s="63" t="e">
        <f t="shared" si="77"/>
        <v>#N/A</v>
      </c>
      <c r="O685" t="e">
        <f t="shared" si="78"/>
        <v>#N/A</v>
      </c>
      <c r="P685" t="e">
        <f t="shared" si="78"/>
        <v>#N/A</v>
      </c>
      <c r="Q685" t="e">
        <f t="shared" si="79"/>
        <v>#N/A</v>
      </c>
      <c r="R685" t="e">
        <f t="shared" si="79"/>
        <v>#N/A</v>
      </c>
      <c r="S685" t="e">
        <f t="shared" si="80"/>
        <v>#N/A</v>
      </c>
      <c r="T685" t="e">
        <f t="shared" si="80"/>
        <v>#N/A</v>
      </c>
      <c r="U685" t="e">
        <f t="shared" si="81"/>
        <v>#N/A</v>
      </c>
      <c r="V685" t="e">
        <f t="shared" si="81"/>
        <v>#N/A</v>
      </c>
      <c r="W685" t="e">
        <f t="shared" si="82"/>
        <v>#N/A</v>
      </c>
      <c r="X685" t="e">
        <f t="shared" si="82"/>
        <v>#N/A</v>
      </c>
      <c r="Y685" t="e">
        <f t="shared" si="76"/>
        <v>#N/A</v>
      </c>
      <c r="Z685" t="e">
        <f t="shared" si="76"/>
        <v>#N/A</v>
      </c>
    </row>
    <row r="686" spans="1:26">
      <c r="A686" t="e">
        <f>IF(ISBLANK('[1]Точность устьев скважин'!A688),#N/A,'[1]Точность устьев скважин'!A688)</f>
        <v>#N/A</v>
      </c>
      <c r="B686" t="e">
        <f>IF(ISBLANK('[1]Точность устьев скважин'!B688),#N/A,'[1]Точность устьев скважин'!B688)</f>
        <v>#N/A</v>
      </c>
      <c r="C686" t="e">
        <f>IF(ISBLANK('[1]Точность устьев скважин'!C688),#N/A,'[1]Точность устьев скважин'!C688)</f>
        <v>#N/A</v>
      </c>
      <c r="D686" t="e">
        <f>IF(ISBLANK('[1]Точность устьев скважин'!D688),#N/A,'[1]Точность устьев скважин'!D688)</f>
        <v>#N/A</v>
      </c>
      <c r="G686" t="e">
        <f>IF(ISBLANK('[1]Точность устьев скважин'!H688),#N/A,'[1]Точность устьев скважин'!H688)</f>
        <v>#N/A</v>
      </c>
      <c r="H686" t="e">
        <f>IF(ISBLANK('[1]Точность устьев скважин'!I688),#N/A,'[1]Точность устьев скважин'!I688)</f>
        <v>#N/A</v>
      </c>
      <c r="I686" t="e">
        <f>IF(ISBLANK('[1]Точность устьев скважин'!J688),#N/A,'[1]Точность устьев скважин'!J688)</f>
        <v>#N/A</v>
      </c>
      <c r="J686" t="e">
        <f>IF(ISBLANK('[1]Точность устьев скважин'!K688),#N/A,'[1]Точность устьев скважин'!K688)</f>
        <v>#N/A</v>
      </c>
      <c r="L686" s="63" t="e">
        <f t="shared" si="77"/>
        <v>#N/A</v>
      </c>
      <c r="O686" t="e">
        <f t="shared" si="78"/>
        <v>#N/A</v>
      </c>
      <c r="P686" t="e">
        <f t="shared" si="78"/>
        <v>#N/A</v>
      </c>
      <c r="Q686" t="e">
        <f t="shared" si="79"/>
        <v>#N/A</v>
      </c>
      <c r="R686" t="e">
        <f t="shared" si="79"/>
        <v>#N/A</v>
      </c>
      <c r="S686" t="e">
        <f t="shared" si="80"/>
        <v>#N/A</v>
      </c>
      <c r="T686" t="e">
        <f t="shared" si="80"/>
        <v>#N/A</v>
      </c>
      <c r="U686" t="e">
        <f t="shared" si="81"/>
        <v>#N/A</v>
      </c>
      <c r="V686" t="e">
        <f t="shared" si="81"/>
        <v>#N/A</v>
      </c>
      <c r="W686" t="e">
        <f t="shared" si="82"/>
        <v>#N/A</v>
      </c>
      <c r="X686" t="e">
        <f t="shared" si="82"/>
        <v>#N/A</v>
      </c>
      <c r="Y686" t="e">
        <f t="shared" si="76"/>
        <v>#N/A</v>
      </c>
      <c r="Z686" t="e">
        <f t="shared" si="76"/>
        <v>#N/A</v>
      </c>
    </row>
    <row r="687" spans="1:26">
      <c r="A687" t="e">
        <f>IF(ISBLANK('[1]Точность устьев скважин'!A689),#N/A,'[1]Точность устьев скважин'!A689)</f>
        <v>#N/A</v>
      </c>
      <c r="B687" t="e">
        <f>IF(ISBLANK('[1]Точность устьев скважин'!B689),#N/A,'[1]Точность устьев скважин'!B689)</f>
        <v>#N/A</v>
      </c>
      <c r="C687" t="e">
        <f>IF(ISBLANK('[1]Точность устьев скважин'!C689),#N/A,'[1]Точность устьев скважин'!C689)</f>
        <v>#N/A</v>
      </c>
      <c r="D687" t="e">
        <f>IF(ISBLANK('[1]Точность устьев скважин'!D689),#N/A,'[1]Точность устьев скважин'!D689)</f>
        <v>#N/A</v>
      </c>
      <c r="G687" t="e">
        <f>IF(ISBLANK('[1]Точность устьев скважин'!H689),#N/A,'[1]Точность устьев скважин'!H689)</f>
        <v>#N/A</v>
      </c>
      <c r="H687" t="e">
        <f>IF(ISBLANK('[1]Точность устьев скважин'!I689),#N/A,'[1]Точность устьев скважин'!I689)</f>
        <v>#N/A</v>
      </c>
      <c r="I687" t="e">
        <f>IF(ISBLANK('[1]Точность устьев скважин'!J689),#N/A,'[1]Точность устьев скважин'!J689)</f>
        <v>#N/A</v>
      </c>
      <c r="J687" t="e">
        <f>IF(ISBLANK('[1]Точность устьев скважин'!K689),#N/A,'[1]Точность устьев скважин'!K689)</f>
        <v>#N/A</v>
      </c>
      <c r="L687" s="63" t="e">
        <f t="shared" si="77"/>
        <v>#N/A</v>
      </c>
      <c r="O687" t="e">
        <f t="shared" si="78"/>
        <v>#N/A</v>
      </c>
      <c r="P687" t="e">
        <f t="shared" si="78"/>
        <v>#N/A</v>
      </c>
      <c r="Q687" t="e">
        <f t="shared" si="79"/>
        <v>#N/A</v>
      </c>
      <c r="R687" t="e">
        <f t="shared" si="79"/>
        <v>#N/A</v>
      </c>
      <c r="S687" t="e">
        <f t="shared" si="80"/>
        <v>#N/A</v>
      </c>
      <c r="T687" t="e">
        <f t="shared" si="80"/>
        <v>#N/A</v>
      </c>
      <c r="U687" t="e">
        <f t="shared" si="81"/>
        <v>#N/A</v>
      </c>
      <c r="V687" t="e">
        <f t="shared" si="81"/>
        <v>#N/A</v>
      </c>
      <c r="W687" t="e">
        <f t="shared" si="82"/>
        <v>#N/A</v>
      </c>
      <c r="X687" t="e">
        <f t="shared" si="82"/>
        <v>#N/A</v>
      </c>
      <c r="Y687" t="e">
        <f t="shared" si="76"/>
        <v>#N/A</v>
      </c>
      <c r="Z687" t="e">
        <f t="shared" si="76"/>
        <v>#N/A</v>
      </c>
    </row>
    <row r="688" spans="1:26">
      <c r="A688" t="e">
        <f>IF(ISBLANK('[1]Точность устьев скважин'!A690),#N/A,'[1]Точность устьев скважин'!A690)</f>
        <v>#N/A</v>
      </c>
      <c r="B688" t="e">
        <f>IF(ISBLANK('[1]Точность устьев скважин'!B690),#N/A,'[1]Точность устьев скважин'!B690)</f>
        <v>#N/A</v>
      </c>
      <c r="C688" t="e">
        <f>IF(ISBLANK('[1]Точность устьев скважин'!C690),#N/A,'[1]Точность устьев скважин'!C690)</f>
        <v>#N/A</v>
      </c>
      <c r="D688" t="e">
        <f>IF(ISBLANK('[1]Точность устьев скважин'!D690),#N/A,'[1]Точность устьев скважин'!D690)</f>
        <v>#N/A</v>
      </c>
      <c r="G688" t="e">
        <f>IF(ISBLANK('[1]Точность устьев скважин'!H690),#N/A,'[1]Точность устьев скважин'!H690)</f>
        <v>#N/A</v>
      </c>
      <c r="H688" t="e">
        <f>IF(ISBLANK('[1]Точность устьев скважин'!I690),#N/A,'[1]Точность устьев скважин'!I690)</f>
        <v>#N/A</v>
      </c>
      <c r="I688" t="e">
        <f>IF(ISBLANK('[1]Точность устьев скважин'!J690),#N/A,'[1]Точность устьев скважин'!J690)</f>
        <v>#N/A</v>
      </c>
      <c r="J688" t="e">
        <f>IF(ISBLANK('[1]Точность устьев скважин'!K690),#N/A,'[1]Точность устьев скважин'!K690)</f>
        <v>#N/A</v>
      </c>
      <c r="L688" s="63" t="e">
        <f t="shared" si="77"/>
        <v>#N/A</v>
      </c>
      <c r="O688" t="e">
        <f t="shared" si="78"/>
        <v>#N/A</v>
      </c>
      <c r="P688" t="e">
        <f t="shared" si="78"/>
        <v>#N/A</v>
      </c>
      <c r="Q688" t="e">
        <f t="shared" si="79"/>
        <v>#N/A</v>
      </c>
      <c r="R688" t="e">
        <f t="shared" si="79"/>
        <v>#N/A</v>
      </c>
      <c r="S688" t="e">
        <f t="shared" si="80"/>
        <v>#N/A</v>
      </c>
      <c r="T688" t="e">
        <f t="shared" si="80"/>
        <v>#N/A</v>
      </c>
      <c r="U688" t="e">
        <f t="shared" si="81"/>
        <v>#N/A</v>
      </c>
      <c r="V688" t="e">
        <f t="shared" si="81"/>
        <v>#N/A</v>
      </c>
      <c r="W688" t="e">
        <f t="shared" si="82"/>
        <v>#N/A</v>
      </c>
      <c r="X688" t="e">
        <f t="shared" si="82"/>
        <v>#N/A</v>
      </c>
      <c r="Y688" t="e">
        <f t="shared" si="76"/>
        <v>#N/A</v>
      </c>
      <c r="Z688" t="e">
        <f t="shared" si="76"/>
        <v>#N/A</v>
      </c>
    </row>
    <row r="689" spans="1:26">
      <c r="A689" t="e">
        <f>IF(ISBLANK('[1]Точность устьев скважин'!A691),#N/A,'[1]Точность устьев скважин'!A691)</f>
        <v>#N/A</v>
      </c>
      <c r="B689" t="e">
        <f>IF(ISBLANK('[1]Точность устьев скважин'!B691),#N/A,'[1]Точность устьев скважин'!B691)</f>
        <v>#N/A</v>
      </c>
      <c r="C689" t="e">
        <f>IF(ISBLANK('[1]Точность устьев скважин'!C691),#N/A,'[1]Точность устьев скважин'!C691)</f>
        <v>#N/A</v>
      </c>
      <c r="D689" t="e">
        <f>IF(ISBLANK('[1]Точность устьев скважин'!D691),#N/A,'[1]Точность устьев скважин'!D691)</f>
        <v>#N/A</v>
      </c>
      <c r="G689" t="e">
        <f>IF(ISBLANK('[1]Точность устьев скважин'!H691),#N/A,'[1]Точность устьев скважин'!H691)</f>
        <v>#N/A</v>
      </c>
      <c r="H689" t="e">
        <f>IF(ISBLANK('[1]Точность устьев скважин'!I691),#N/A,'[1]Точность устьев скважин'!I691)</f>
        <v>#N/A</v>
      </c>
      <c r="I689" t="e">
        <f>IF(ISBLANK('[1]Точность устьев скважин'!J691),#N/A,'[1]Точность устьев скважин'!J691)</f>
        <v>#N/A</v>
      </c>
      <c r="J689" t="e">
        <f>IF(ISBLANK('[1]Точность устьев скважин'!K691),#N/A,'[1]Точность устьев скважин'!K691)</f>
        <v>#N/A</v>
      </c>
      <c r="L689" s="63" t="e">
        <f t="shared" si="77"/>
        <v>#N/A</v>
      </c>
      <c r="O689" t="e">
        <f t="shared" si="78"/>
        <v>#N/A</v>
      </c>
      <c r="P689" t="e">
        <f t="shared" si="78"/>
        <v>#N/A</v>
      </c>
      <c r="Q689" t="e">
        <f t="shared" si="79"/>
        <v>#N/A</v>
      </c>
      <c r="R689" t="e">
        <f t="shared" si="79"/>
        <v>#N/A</v>
      </c>
      <c r="S689" t="e">
        <f t="shared" si="80"/>
        <v>#N/A</v>
      </c>
      <c r="T689" t="e">
        <f t="shared" si="80"/>
        <v>#N/A</v>
      </c>
      <c r="U689" t="e">
        <f t="shared" si="81"/>
        <v>#N/A</v>
      </c>
      <c r="V689" t="e">
        <f t="shared" si="81"/>
        <v>#N/A</v>
      </c>
      <c r="W689" t="e">
        <f t="shared" si="82"/>
        <v>#N/A</v>
      </c>
      <c r="X689" t="e">
        <f t="shared" si="82"/>
        <v>#N/A</v>
      </c>
      <c r="Y689" t="e">
        <f t="shared" si="76"/>
        <v>#N/A</v>
      </c>
      <c r="Z689" t="e">
        <f t="shared" si="76"/>
        <v>#N/A</v>
      </c>
    </row>
    <row r="690" spans="1:26">
      <c r="A690" t="e">
        <f>IF(ISBLANK('[1]Точность устьев скважин'!A692),#N/A,'[1]Точность устьев скважин'!A692)</f>
        <v>#N/A</v>
      </c>
      <c r="B690" t="e">
        <f>IF(ISBLANK('[1]Точность устьев скважин'!B692),#N/A,'[1]Точность устьев скважин'!B692)</f>
        <v>#N/A</v>
      </c>
      <c r="C690" t="e">
        <f>IF(ISBLANK('[1]Точность устьев скважин'!C692),#N/A,'[1]Точность устьев скважин'!C692)</f>
        <v>#N/A</v>
      </c>
      <c r="D690" t="e">
        <f>IF(ISBLANK('[1]Точность устьев скважин'!D692),#N/A,'[1]Точность устьев скважин'!D692)</f>
        <v>#N/A</v>
      </c>
      <c r="G690" t="e">
        <f>IF(ISBLANK('[1]Точность устьев скважин'!H692),#N/A,'[1]Точность устьев скважин'!H692)</f>
        <v>#N/A</v>
      </c>
      <c r="H690" t="e">
        <f>IF(ISBLANK('[1]Точность устьев скважин'!I692),#N/A,'[1]Точность устьев скважин'!I692)</f>
        <v>#N/A</v>
      </c>
      <c r="I690" t="e">
        <f>IF(ISBLANK('[1]Точность устьев скважин'!J692),#N/A,'[1]Точность устьев скважин'!J692)</f>
        <v>#N/A</v>
      </c>
      <c r="J690" t="e">
        <f>IF(ISBLANK('[1]Точность устьев скважин'!K692),#N/A,'[1]Точность устьев скважин'!K692)</f>
        <v>#N/A</v>
      </c>
      <c r="L690" s="63" t="e">
        <f t="shared" si="77"/>
        <v>#N/A</v>
      </c>
      <c r="O690" t="e">
        <f t="shared" si="78"/>
        <v>#N/A</v>
      </c>
      <c r="P690" t="e">
        <f t="shared" si="78"/>
        <v>#N/A</v>
      </c>
      <c r="Q690" t="e">
        <f t="shared" si="79"/>
        <v>#N/A</v>
      </c>
      <c r="R690" t="e">
        <f t="shared" si="79"/>
        <v>#N/A</v>
      </c>
      <c r="S690" t="e">
        <f t="shared" si="80"/>
        <v>#N/A</v>
      </c>
      <c r="T690" t="e">
        <f t="shared" si="80"/>
        <v>#N/A</v>
      </c>
      <c r="U690" t="e">
        <f t="shared" si="81"/>
        <v>#N/A</v>
      </c>
      <c r="V690" t="e">
        <f t="shared" si="81"/>
        <v>#N/A</v>
      </c>
      <c r="W690" t="e">
        <f t="shared" si="82"/>
        <v>#N/A</v>
      </c>
      <c r="X690" t="e">
        <f t="shared" si="82"/>
        <v>#N/A</v>
      </c>
      <c r="Y690" t="e">
        <f t="shared" si="76"/>
        <v>#N/A</v>
      </c>
      <c r="Z690" t="e">
        <f t="shared" si="76"/>
        <v>#N/A</v>
      </c>
    </row>
    <row r="691" spans="1:26">
      <c r="A691" t="e">
        <f>IF(ISBLANK('[1]Точность устьев скважин'!A693),#N/A,'[1]Точность устьев скважин'!A693)</f>
        <v>#N/A</v>
      </c>
      <c r="B691" t="e">
        <f>IF(ISBLANK('[1]Точность устьев скважин'!B693),#N/A,'[1]Точность устьев скважин'!B693)</f>
        <v>#N/A</v>
      </c>
      <c r="C691" t="e">
        <f>IF(ISBLANK('[1]Точность устьев скважин'!C693),#N/A,'[1]Точность устьев скважин'!C693)</f>
        <v>#N/A</v>
      </c>
      <c r="D691" t="e">
        <f>IF(ISBLANK('[1]Точность устьев скважин'!D693),#N/A,'[1]Точность устьев скважин'!D693)</f>
        <v>#N/A</v>
      </c>
      <c r="G691" t="e">
        <f>IF(ISBLANK('[1]Точность устьев скважин'!H693),#N/A,'[1]Точность устьев скважин'!H693)</f>
        <v>#N/A</v>
      </c>
      <c r="H691" t="e">
        <f>IF(ISBLANK('[1]Точность устьев скважин'!I693),#N/A,'[1]Точность устьев скважин'!I693)</f>
        <v>#N/A</v>
      </c>
      <c r="I691" t="e">
        <f>IF(ISBLANK('[1]Точность устьев скважин'!J693),#N/A,'[1]Точность устьев скважин'!J693)</f>
        <v>#N/A</v>
      </c>
      <c r="J691" t="e">
        <f>IF(ISBLANK('[1]Точность устьев скважин'!K693),#N/A,'[1]Точность устьев скважин'!K693)</f>
        <v>#N/A</v>
      </c>
      <c r="L691" s="63" t="e">
        <f t="shared" si="77"/>
        <v>#N/A</v>
      </c>
      <c r="O691" t="e">
        <f t="shared" si="78"/>
        <v>#N/A</v>
      </c>
      <c r="P691" t="e">
        <f t="shared" si="78"/>
        <v>#N/A</v>
      </c>
      <c r="Q691" t="e">
        <f t="shared" si="79"/>
        <v>#N/A</v>
      </c>
      <c r="R691" t="e">
        <f t="shared" si="79"/>
        <v>#N/A</v>
      </c>
      <c r="S691" t="e">
        <f t="shared" si="80"/>
        <v>#N/A</v>
      </c>
      <c r="T691" t="e">
        <f t="shared" si="80"/>
        <v>#N/A</v>
      </c>
      <c r="U691" t="e">
        <f t="shared" si="81"/>
        <v>#N/A</v>
      </c>
      <c r="V691" t="e">
        <f t="shared" si="81"/>
        <v>#N/A</v>
      </c>
      <c r="W691" t="e">
        <f t="shared" si="82"/>
        <v>#N/A</v>
      </c>
      <c r="X691" t="e">
        <f t="shared" si="82"/>
        <v>#N/A</v>
      </c>
      <c r="Y691" t="e">
        <f t="shared" si="76"/>
        <v>#N/A</v>
      </c>
      <c r="Z691" t="e">
        <f t="shared" si="76"/>
        <v>#N/A</v>
      </c>
    </row>
    <row r="692" spans="1:26">
      <c r="A692" t="e">
        <f>IF(ISBLANK('[1]Точность устьев скважин'!A694),#N/A,'[1]Точность устьев скважин'!A694)</f>
        <v>#N/A</v>
      </c>
      <c r="B692" t="e">
        <f>IF(ISBLANK('[1]Точность устьев скважин'!B694),#N/A,'[1]Точность устьев скважин'!B694)</f>
        <v>#N/A</v>
      </c>
      <c r="C692" t="e">
        <f>IF(ISBLANK('[1]Точность устьев скважин'!C694),#N/A,'[1]Точность устьев скважин'!C694)</f>
        <v>#N/A</v>
      </c>
      <c r="D692" t="e">
        <f>IF(ISBLANK('[1]Точность устьев скважин'!D694),#N/A,'[1]Точность устьев скважин'!D694)</f>
        <v>#N/A</v>
      </c>
      <c r="G692" t="e">
        <f>IF(ISBLANK('[1]Точность устьев скважин'!H694),#N/A,'[1]Точность устьев скважин'!H694)</f>
        <v>#N/A</v>
      </c>
      <c r="H692" t="e">
        <f>IF(ISBLANK('[1]Точность устьев скважин'!I694),#N/A,'[1]Точность устьев скважин'!I694)</f>
        <v>#N/A</v>
      </c>
      <c r="I692" t="e">
        <f>IF(ISBLANK('[1]Точность устьев скважин'!J694),#N/A,'[1]Точность устьев скважин'!J694)</f>
        <v>#N/A</v>
      </c>
      <c r="J692" t="e">
        <f>IF(ISBLANK('[1]Точность устьев скважин'!K694),#N/A,'[1]Точность устьев скважин'!K694)</f>
        <v>#N/A</v>
      </c>
      <c r="L692" s="63" t="e">
        <f t="shared" si="77"/>
        <v>#N/A</v>
      </c>
      <c r="O692" t="e">
        <f t="shared" si="78"/>
        <v>#N/A</v>
      </c>
      <c r="P692" t="e">
        <f t="shared" si="78"/>
        <v>#N/A</v>
      </c>
      <c r="Q692" t="e">
        <f t="shared" si="79"/>
        <v>#N/A</v>
      </c>
      <c r="R692" t="e">
        <f t="shared" si="79"/>
        <v>#N/A</v>
      </c>
      <c r="S692" t="e">
        <f t="shared" si="80"/>
        <v>#N/A</v>
      </c>
      <c r="T692" t="e">
        <f t="shared" si="80"/>
        <v>#N/A</v>
      </c>
      <c r="U692" t="e">
        <f t="shared" si="81"/>
        <v>#N/A</v>
      </c>
      <c r="V692" t="e">
        <f t="shared" si="81"/>
        <v>#N/A</v>
      </c>
      <c r="W692" t="e">
        <f t="shared" si="82"/>
        <v>#N/A</v>
      </c>
      <c r="X692" t="e">
        <f t="shared" si="82"/>
        <v>#N/A</v>
      </c>
      <c r="Y692" t="e">
        <f t="shared" si="76"/>
        <v>#N/A</v>
      </c>
      <c r="Z692" t="e">
        <f t="shared" si="76"/>
        <v>#N/A</v>
      </c>
    </row>
    <row r="693" spans="1:26">
      <c r="A693" t="e">
        <f>IF(ISBLANK('[1]Точность устьев скважин'!A695),#N/A,'[1]Точность устьев скважин'!A695)</f>
        <v>#N/A</v>
      </c>
      <c r="B693" t="e">
        <f>IF(ISBLANK('[1]Точность устьев скважин'!B695),#N/A,'[1]Точность устьев скважин'!B695)</f>
        <v>#N/A</v>
      </c>
      <c r="C693" t="e">
        <f>IF(ISBLANK('[1]Точность устьев скважин'!C695),#N/A,'[1]Точность устьев скважин'!C695)</f>
        <v>#N/A</v>
      </c>
      <c r="D693" t="e">
        <f>IF(ISBLANK('[1]Точность устьев скважин'!D695),#N/A,'[1]Точность устьев скважин'!D695)</f>
        <v>#N/A</v>
      </c>
      <c r="G693" t="e">
        <f>IF(ISBLANK('[1]Точность устьев скважин'!H695),#N/A,'[1]Точность устьев скважин'!H695)</f>
        <v>#N/A</v>
      </c>
      <c r="H693" t="e">
        <f>IF(ISBLANK('[1]Точность устьев скважин'!I695),#N/A,'[1]Точность устьев скважин'!I695)</f>
        <v>#N/A</v>
      </c>
      <c r="I693" t="e">
        <f>IF(ISBLANK('[1]Точность устьев скважин'!J695),#N/A,'[1]Точность устьев скважин'!J695)</f>
        <v>#N/A</v>
      </c>
      <c r="J693" t="e">
        <f>IF(ISBLANK('[1]Точность устьев скважин'!K695),#N/A,'[1]Точность устьев скважин'!K695)</f>
        <v>#N/A</v>
      </c>
      <c r="L693" s="63" t="e">
        <f t="shared" si="77"/>
        <v>#N/A</v>
      </c>
      <c r="O693" t="e">
        <f t="shared" si="78"/>
        <v>#N/A</v>
      </c>
      <c r="P693" t="e">
        <f t="shared" si="78"/>
        <v>#N/A</v>
      </c>
      <c r="Q693" t="e">
        <f t="shared" si="79"/>
        <v>#N/A</v>
      </c>
      <c r="R693" t="e">
        <f t="shared" si="79"/>
        <v>#N/A</v>
      </c>
      <c r="S693" t="e">
        <f t="shared" si="80"/>
        <v>#N/A</v>
      </c>
      <c r="T693" t="e">
        <f t="shared" si="80"/>
        <v>#N/A</v>
      </c>
      <c r="U693" t="e">
        <f t="shared" si="81"/>
        <v>#N/A</v>
      </c>
      <c r="V693" t="e">
        <f t="shared" si="81"/>
        <v>#N/A</v>
      </c>
      <c r="W693" t="e">
        <f t="shared" si="82"/>
        <v>#N/A</v>
      </c>
      <c r="X693" t="e">
        <f t="shared" si="82"/>
        <v>#N/A</v>
      </c>
      <c r="Y693" t="e">
        <f t="shared" si="76"/>
        <v>#N/A</v>
      </c>
      <c r="Z693" t="e">
        <f t="shared" si="76"/>
        <v>#N/A</v>
      </c>
    </row>
    <row r="694" spans="1:26">
      <c r="A694" t="e">
        <f>IF(ISBLANK('[1]Точность устьев скважин'!A696),#N/A,'[1]Точность устьев скважин'!A696)</f>
        <v>#N/A</v>
      </c>
      <c r="B694" t="e">
        <f>IF(ISBLANK('[1]Точность устьев скважин'!B696),#N/A,'[1]Точность устьев скважин'!B696)</f>
        <v>#N/A</v>
      </c>
      <c r="C694" t="e">
        <f>IF(ISBLANK('[1]Точность устьев скважин'!C696),#N/A,'[1]Точность устьев скважин'!C696)</f>
        <v>#N/A</v>
      </c>
      <c r="D694" t="e">
        <f>IF(ISBLANK('[1]Точность устьев скважин'!D696),#N/A,'[1]Точность устьев скважин'!D696)</f>
        <v>#N/A</v>
      </c>
      <c r="G694" t="e">
        <f>IF(ISBLANK('[1]Точность устьев скважин'!H696),#N/A,'[1]Точность устьев скважин'!H696)</f>
        <v>#N/A</v>
      </c>
      <c r="H694" t="e">
        <f>IF(ISBLANK('[1]Точность устьев скважин'!I696),#N/A,'[1]Точность устьев скважин'!I696)</f>
        <v>#N/A</v>
      </c>
      <c r="I694" t="e">
        <f>IF(ISBLANK('[1]Точность устьев скважин'!J696),#N/A,'[1]Точность устьев скважин'!J696)</f>
        <v>#N/A</v>
      </c>
      <c r="J694" t="e">
        <f>IF(ISBLANK('[1]Точность устьев скважин'!K696),#N/A,'[1]Точность устьев скважин'!K696)</f>
        <v>#N/A</v>
      </c>
      <c r="L694" s="63" t="e">
        <f t="shared" si="77"/>
        <v>#N/A</v>
      </c>
      <c r="O694" t="e">
        <f t="shared" si="78"/>
        <v>#N/A</v>
      </c>
      <c r="P694" t="e">
        <f t="shared" si="78"/>
        <v>#N/A</v>
      </c>
      <c r="Q694" t="e">
        <f t="shared" si="79"/>
        <v>#N/A</v>
      </c>
      <c r="R694" t="e">
        <f t="shared" si="79"/>
        <v>#N/A</v>
      </c>
      <c r="S694" t="e">
        <f t="shared" si="80"/>
        <v>#N/A</v>
      </c>
      <c r="T694" t="e">
        <f t="shared" si="80"/>
        <v>#N/A</v>
      </c>
      <c r="U694" t="e">
        <f t="shared" si="81"/>
        <v>#N/A</v>
      </c>
      <c r="V694" t="e">
        <f t="shared" si="81"/>
        <v>#N/A</v>
      </c>
      <c r="W694" t="e">
        <f t="shared" si="82"/>
        <v>#N/A</v>
      </c>
      <c r="X694" t="e">
        <f t="shared" si="82"/>
        <v>#N/A</v>
      </c>
      <c r="Y694" t="e">
        <f t="shared" ref="Y694:Z757" si="83">IF($L$1=0.5,IF($L694&gt;=0.5,H694,#N/A),"")</f>
        <v>#N/A</v>
      </c>
      <c r="Z694" t="e">
        <f t="shared" si="83"/>
        <v>#N/A</v>
      </c>
    </row>
    <row r="695" spans="1:26">
      <c r="A695" t="e">
        <f>IF(ISBLANK('[1]Точность устьев скважин'!A697),#N/A,'[1]Точность устьев скважин'!A697)</f>
        <v>#N/A</v>
      </c>
      <c r="B695" t="e">
        <f>IF(ISBLANK('[1]Точность устьев скважин'!B697),#N/A,'[1]Точность устьев скважин'!B697)</f>
        <v>#N/A</v>
      </c>
      <c r="C695" t="e">
        <f>IF(ISBLANK('[1]Точность устьев скважин'!C697),#N/A,'[1]Точность устьев скважин'!C697)</f>
        <v>#N/A</v>
      </c>
      <c r="D695" t="e">
        <f>IF(ISBLANK('[1]Точность устьев скважин'!D697),#N/A,'[1]Точность устьев скважин'!D697)</f>
        <v>#N/A</v>
      </c>
      <c r="G695" t="e">
        <f>IF(ISBLANK('[1]Точность устьев скважин'!H697),#N/A,'[1]Точность устьев скважин'!H697)</f>
        <v>#N/A</v>
      </c>
      <c r="H695" t="e">
        <f>IF(ISBLANK('[1]Точность устьев скважин'!I697),#N/A,'[1]Точность устьев скважин'!I697)</f>
        <v>#N/A</v>
      </c>
      <c r="I695" t="e">
        <f>IF(ISBLANK('[1]Точность устьев скважин'!J697),#N/A,'[1]Точность устьев скважин'!J697)</f>
        <v>#N/A</v>
      </c>
      <c r="J695" t="e">
        <f>IF(ISBLANK('[1]Точность устьев скважин'!K697),#N/A,'[1]Точность устьев скважин'!K697)</f>
        <v>#N/A</v>
      </c>
      <c r="L695" s="63" t="e">
        <f t="shared" si="77"/>
        <v>#N/A</v>
      </c>
      <c r="O695" t="e">
        <f t="shared" si="78"/>
        <v>#N/A</v>
      </c>
      <c r="P695" t="e">
        <f t="shared" si="78"/>
        <v>#N/A</v>
      </c>
      <c r="Q695" t="e">
        <f t="shared" si="79"/>
        <v>#N/A</v>
      </c>
      <c r="R695" t="e">
        <f t="shared" si="79"/>
        <v>#N/A</v>
      </c>
      <c r="S695" t="e">
        <f t="shared" si="80"/>
        <v>#N/A</v>
      </c>
      <c r="T695" t="e">
        <f t="shared" si="80"/>
        <v>#N/A</v>
      </c>
      <c r="U695" t="e">
        <f t="shared" si="81"/>
        <v>#N/A</v>
      </c>
      <c r="V695" t="e">
        <f t="shared" si="81"/>
        <v>#N/A</v>
      </c>
      <c r="W695" t="e">
        <f t="shared" si="82"/>
        <v>#N/A</v>
      </c>
      <c r="X695" t="e">
        <f t="shared" si="82"/>
        <v>#N/A</v>
      </c>
      <c r="Y695" t="e">
        <f t="shared" si="83"/>
        <v>#N/A</v>
      </c>
      <c r="Z695" t="e">
        <f t="shared" si="83"/>
        <v>#N/A</v>
      </c>
    </row>
    <row r="696" spans="1:26">
      <c r="A696" t="e">
        <f>IF(ISBLANK('[1]Точность устьев скважин'!A698),#N/A,'[1]Точность устьев скважин'!A698)</f>
        <v>#N/A</v>
      </c>
      <c r="B696" t="e">
        <f>IF(ISBLANK('[1]Точность устьев скважин'!B698),#N/A,'[1]Точность устьев скважин'!B698)</f>
        <v>#N/A</v>
      </c>
      <c r="C696" t="e">
        <f>IF(ISBLANK('[1]Точность устьев скважин'!C698),#N/A,'[1]Точность устьев скважин'!C698)</f>
        <v>#N/A</v>
      </c>
      <c r="D696" t="e">
        <f>IF(ISBLANK('[1]Точность устьев скважин'!D698),#N/A,'[1]Точность устьев скважин'!D698)</f>
        <v>#N/A</v>
      </c>
      <c r="G696" t="e">
        <f>IF(ISBLANK('[1]Точность устьев скважин'!H698),#N/A,'[1]Точность устьев скважин'!H698)</f>
        <v>#N/A</v>
      </c>
      <c r="H696" t="e">
        <f>IF(ISBLANK('[1]Точность устьев скважин'!I698),#N/A,'[1]Точность устьев скважин'!I698)</f>
        <v>#N/A</v>
      </c>
      <c r="I696" t="e">
        <f>IF(ISBLANK('[1]Точность устьев скважин'!J698),#N/A,'[1]Точность устьев скважин'!J698)</f>
        <v>#N/A</v>
      </c>
      <c r="J696" t="e">
        <f>IF(ISBLANK('[1]Точность устьев скважин'!K698),#N/A,'[1]Точность устьев скважин'!K698)</f>
        <v>#N/A</v>
      </c>
      <c r="L696" s="63" t="e">
        <f t="shared" si="77"/>
        <v>#N/A</v>
      </c>
      <c r="O696" t="e">
        <f t="shared" si="78"/>
        <v>#N/A</v>
      </c>
      <c r="P696" t="e">
        <f t="shared" si="78"/>
        <v>#N/A</v>
      </c>
      <c r="Q696" t="e">
        <f t="shared" si="79"/>
        <v>#N/A</v>
      </c>
      <c r="R696" t="e">
        <f t="shared" si="79"/>
        <v>#N/A</v>
      </c>
      <c r="S696" t="e">
        <f t="shared" si="80"/>
        <v>#N/A</v>
      </c>
      <c r="T696" t="e">
        <f t="shared" si="80"/>
        <v>#N/A</v>
      </c>
      <c r="U696" t="e">
        <f t="shared" si="81"/>
        <v>#N/A</v>
      </c>
      <c r="V696" t="e">
        <f t="shared" si="81"/>
        <v>#N/A</v>
      </c>
      <c r="W696" t="e">
        <f t="shared" si="82"/>
        <v>#N/A</v>
      </c>
      <c r="X696" t="e">
        <f t="shared" si="82"/>
        <v>#N/A</v>
      </c>
      <c r="Y696" t="e">
        <f t="shared" si="83"/>
        <v>#N/A</v>
      </c>
      <c r="Z696" t="e">
        <f t="shared" si="83"/>
        <v>#N/A</v>
      </c>
    </row>
    <row r="697" spans="1:26">
      <c r="A697" t="e">
        <f>IF(ISBLANK('[1]Точность устьев скважин'!A699),#N/A,'[1]Точность устьев скважин'!A699)</f>
        <v>#N/A</v>
      </c>
      <c r="B697" t="e">
        <f>IF(ISBLANK('[1]Точность устьев скважин'!B699),#N/A,'[1]Точность устьев скважин'!B699)</f>
        <v>#N/A</v>
      </c>
      <c r="C697" t="e">
        <f>IF(ISBLANK('[1]Точность устьев скважин'!C699),#N/A,'[1]Точность устьев скважин'!C699)</f>
        <v>#N/A</v>
      </c>
      <c r="D697" t="e">
        <f>IF(ISBLANK('[1]Точность устьев скважин'!D699),#N/A,'[1]Точность устьев скважин'!D699)</f>
        <v>#N/A</v>
      </c>
      <c r="G697" t="e">
        <f>IF(ISBLANK('[1]Точность устьев скважин'!H699),#N/A,'[1]Точность устьев скважин'!H699)</f>
        <v>#N/A</v>
      </c>
      <c r="H697" t="e">
        <f>IF(ISBLANK('[1]Точность устьев скважин'!I699),#N/A,'[1]Точность устьев скважин'!I699)</f>
        <v>#N/A</v>
      </c>
      <c r="I697" t="e">
        <f>IF(ISBLANK('[1]Точность устьев скважин'!J699),#N/A,'[1]Точность устьев скважин'!J699)</f>
        <v>#N/A</v>
      </c>
      <c r="J697" t="e">
        <f>IF(ISBLANK('[1]Точность устьев скважин'!K699),#N/A,'[1]Точность устьев скважин'!K699)</f>
        <v>#N/A</v>
      </c>
      <c r="L697" s="63" t="e">
        <f t="shared" si="77"/>
        <v>#N/A</v>
      </c>
      <c r="O697" t="e">
        <f t="shared" si="78"/>
        <v>#N/A</v>
      </c>
      <c r="P697" t="e">
        <f t="shared" si="78"/>
        <v>#N/A</v>
      </c>
      <c r="Q697" t="e">
        <f t="shared" si="79"/>
        <v>#N/A</v>
      </c>
      <c r="R697" t="e">
        <f t="shared" si="79"/>
        <v>#N/A</v>
      </c>
      <c r="S697" t="e">
        <f t="shared" si="80"/>
        <v>#N/A</v>
      </c>
      <c r="T697" t="e">
        <f t="shared" si="80"/>
        <v>#N/A</v>
      </c>
      <c r="U697" t="e">
        <f t="shared" si="81"/>
        <v>#N/A</v>
      </c>
      <c r="V697" t="e">
        <f t="shared" si="81"/>
        <v>#N/A</v>
      </c>
      <c r="W697" t="e">
        <f t="shared" si="82"/>
        <v>#N/A</v>
      </c>
      <c r="X697" t="e">
        <f t="shared" si="82"/>
        <v>#N/A</v>
      </c>
      <c r="Y697" t="e">
        <f t="shared" si="83"/>
        <v>#N/A</v>
      </c>
      <c r="Z697" t="e">
        <f t="shared" si="83"/>
        <v>#N/A</v>
      </c>
    </row>
    <row r="698" spans="1:26">
      <c r="A698" t="e">
        <f>IF(ISBLANK('[1]Точность устьев скважин'!A700),#N/A,'[1]Точность устьев скважин'!A700)</f>
        <v>#N/A</v>
      </c>
      <c r="B698" t="e">
        <f>IF(ISBLANK('[1]Точность устьев скважин'!B700),#N/A,'[1]Точность устьев скважин'!B700)</f>
        <v>#N/A</v>
      </c>
      <c r="C698" t="e">
        <f>IF(ISBLANK('[1]Точность устьев скважин'!C700),#N/A,'[1]Точность устьев скважин'!C700)</f>
        <v>#N/A</v>
      </c>
      <c r="D698" t="e">
        <f>IF(ISBLANK('[1]Точность устьев скважин'!D700),#N/A,'[1]Точность устьев скважин'!D700)</f>
        <v>#N/A</v>
      </c>
      <c r="G698" t="e">
        <f>IF(ISBLANK('[1]Точность устьев скважин'!H700),#N/A,'[1]Точность устьев скважин'!H700)</f>
        <v>#N/A</v>
      </c>
      <c r="H698" t="e">
        <f>IF(ISBLANK('[1]Точность устьев скважин'!I700),#N/A,'[1]Точность устьев скважин'!I700)</f>
        <v>#N/A</v>
      </c>
      <c r="I698" t="e">
        <f>IF(ISBLANK('[1]Точность устьев скважин'!J700),#N/A,'[1]Точность устьев скважин'!J700)</f>
        <v>#N/A</v>
      </c>
      <c r="J698" t="e">
        <f>IF(ISBLANK('[1]Точность устьев скважин'!K700),#N/A,'[1]Точность устьев скважин'!K700)</f>
        <v>#N/A</v>
      </c>
      <c r="L698" s="63" t="e">
        <f t="shared" si="77"/>
        <v>#N/A</v>
      </c>
      <c r="O698" t="e">
        <f t="shared" si="78"/>
        <v>#N/A</v>
      </c>
      <c r="P698" t="e">
        <f t="shared" si="78"/>
        <v>#N/A</v>
      </c>
      <c r="Q698" t="e">
        <f t="shared" si="79"/>
        <v>#N/A</v>
      </c>
      <c r="R698" t="e">
        <f t="shared" si="79"/>
        <v>#N/A</v>
      </c>
      <c r="S698" t="e">
        <f t="shared" si="80"/>
        <v>#N/A</v>
      </c>
      <c r="T698" t="e">
        <f t="shared" si="80"/>
        <v>#N/A</v>
      </c>
      <c r="U698" t="e">
        <f t="shared" si="81"/>
        <v>#N/A</v>
      </c>
      <c r="V698" t="e">
        <f t="shared" si="81"/>
        <v>#N/A</v>
      </c>
      <c r="W698" t="e">
        <f t="shared" si="82"/>
        <v>#N/A</v>
      </c>
      <c r="X698" t="e">
        <f t="shared" si="82"/>
        <v>#N/A</v>
      </c>
      <c r="Y698" t="e">
        <f t="shared" si="83"/>
        <v>#N/A</v>
      </c>
      <c r="Z698" t="e">
        <f t="shared" si="83"/>
        <v>#N/A</v>
      </c>
    </row>
    <row r="699" spans="1:26">
      <c r="A699" t="e">
        <f>IF(ISBLANK('[1]Точность устьев скважин'!A701),#N/A,'[1]Точность устьев скважин'!A701)</f>
        <v>#N/A</v>
      </c>
      <c r="B699" t="e">
        <f>IF(ISBLANK('[1]Точность устьев скважин'!B701),#N/A,'[1]Точность устьев скважин'!B701)</f>
        <v>#N/A</v>
      </c>
      <c r="C699" t="e">
        <f>IF(ISBLANK('[1]Точность устьев скважин'!C701),#N/A,'[1]Точность устьев скважин'!C701)</f>
        <v>#N/A</v>
      </c>
      <c r="D699" t="e">
        <f>IF(ISBLANK('[1]Точность устьев скважин'!D701),#N/A,'[1]Точность устьев скважин'!D701)</f>
        <v>#N/A</v>
      </c>
      <c r="G699" t="e">
        <f>IF(ISBLANK('[1]Точность устьев скважин'!H701),#N/A,'[1]Точность устьев скважин'!H701)</f>
        <v>#N/A</v>
      </c>
      <c r="H699" t="e">
        <f>IF(ISBLANK('[1]Точность устьев скважин'!I701),#N/A,'[1]Точность устьев скважин'!I701)</f>
        <v>#N/A</v>
      </c>
      <c r="I699" t="e">
        <f>IF(ISBLANK('[1]Точность устьев скважин'!J701),#N/A,'[1]Точность устьев скважин'!J701)</f>
        <v>#N/A</v>
      </c>
      <c r="J699" t="e">
        <f>IF(ISBLANK('[1]Точность устьев скважин'!K701),#N/A,'[1]Точность устьев скважин'!K701)</f>
        <v>#N/A</v>
      </c>
      <c r="L699" s="63" t="e">
        <f t="shared" si="77"/>
        <v>#N/A</v>
      </c>
      <c r="O699" t="e">
        <f t="shared" si="78"/>
        <v>#N/A</v>
      </c>
      <c r="P699" t="e">
        <f t="shared" si="78"/>
        <v>#N/A</v>
      </c>
      <c r="Q699" t="e">
        <f t="shared" si="79"/>
        <v>#N/A</v>
      </c>
      <c r="R699" t="e">
        <f t="shared" si="79"/>
        <v>#N/A</v>
      </c>
      <c r="S699" t="e">
        <f t="shared" si="80"/>
        <v>#N/A</v>
      </c>
      <c r="T699" t="e">
        <f t="shared" si="80"/>
        <v>#N/A</v>
      </c>
      <c r="U699" t="e">
        <f t="shared" si="81"/>
        <v>#N/A</v>
      </c>
      <c r="V699" t="e">
        <f t="shared" si="81"/>
        <v>#N/A</v>
      </c>
      <c r="W699" t="e">
        <f t="shared" si="82"/>
        <v>#N/A</v>
      </c>
      <c r="X699" t="e">
        <f t="shared" si="82"/>
        <v>#N/A</v>
      </c>
      <c r="Y699" t="e">
        <f t="shared" si="83"/>
        <v>#N/A</v>
      </c>
      <c r="Z699" t="e">
        <f t="shared" si="83"/>
        <v>#N/A</v>
      </c>
    </row>
    <row r="700" spans="1:26">
      <c r="A700" t="e">
        <f>IF(ISBLANK('[1]Точность устьев скважин'!A702),#N/A,'[1]Точность устьев скважин'!A702)</f>
        <v>#N/A</v>
      </c>
      <c r="B700" t="e">
        <f>IF(ISBLANK('[1]Точность устьев скважин'!B702),#N/A,'[1]Точность устьев скважин'!B702)</f>
        <v>#N/A</v>
      </c>
      <c r="C700" t="e">
        <f>IF(ISBLANK('[1]Точность устьев скважин'!C702),#N/A,'[1]Точность устьев скважин'!C702)</f>
        <v>#N/A</v>
      </c>
      <c r="D700" t="e">
        <f>IF(ISBLANK('[1]Точность устьев скважин'!D702),#N/A,'[1]Точность устьев скважин'!D702)</f>
        <v>#N/A</v>
      </c>
      <c r="G700" t="e">
        <f>IF(ISBLANK('[1]Точность устьев скважин'!H702),#N/A,'[1]Точность устьев скважин'!H702)</f>
        <v>#N/A</v>
      </c>
      <c r="H700" t="e">
        <f>IF(ISBLANK('[1]Точность устьев скважин'!I702),#N/A,'[1]Точность устьев скважин'!I702)</f>
        <v>#N/A</v>
      </c>
      <c r="I700" t="e">
        <f>IF(ISBLANK('[1]Точность устьев скважин'!J702),#N/A,'[1]Точность устьев скважин'!J702)</f>
        <v>#N/A</v>
      </c>
      <c r="J700" t="e">
        <f>IF(ISBLANK('[1]Точность устьев скважин'!K702),#N/A,'[1]Точность устьев скважин'!K702)</f>
        <v>#N/A</v>
      </c>
      <c r="L700" s="63" t="e">
        <f t="shared" si="77"/>
        <v>#N/A</v>
      </c>
      <c r="O700" t="e">
        <f t="shared" si="78"/>
        <v>#N/A</v>
      </c>
      <c r="P700" t="e">
        <f t="shared" si="78"/>
        <v>#N/A</v>
      </c>
      <c r="Q700" t="e">
        <f t="shared" si="79"/>
        <v>#N/A</v>
      </c>
      <c r="R700" t="e">
        <f t="shared" si="79"/>
        <v>#N/A</v>
      </c>
      <c r="S700" t="e">
        <f t="shared" si="80"/>
        <v>#N/A</v>
      </c>
      <c r="T700" t="e">
        <f t="shared" si="80"/>
        <v>#N/A</v>
      </c>
      <c r="U700" t="e">
        <f t="shared" si="81"/>
        <v>#N/A</v>
      </c>
      <c r="V700" t="e">
        <f t="shared" si="81"/>
        <v>#N/A</v>
      </c>
      <c r="W700" t="e">
        <f t="shared" si="82"/>
        <v>#N/A</v>
      </c>
      <c r="X700" t="e">
        <f t="shared" si="82"/>
        <v>#N/A</v>
      </c>
      <c r="Y700" t="e">
        <f t="shared" si="83"/>
        <v>#N/A</v>
      </c>
      <c r="Z700" t="e">
        <f t="shared" si="83"/>
        <v>#N/A</v>
      </c>
    </row>
    <row r="701" spans="1:26">
      <c r="A701" t="e">
        <f>IF(ISBLANK('[1]Точность устьев скважин'!A703),#N/A,'[1]Точность устьев скважин'!A703)</f>
        <v>#N/A</v>
      </c>
      <c r="B701" t="e">
        <f>IF(ISBLANK('[1]Точность устьев скважин'!B703),#N/A,'[1]Точность устьев скважин'!B703)</f>
        <v>#N/A</v>
      </c>
      <c r="C701" t="e">
        <f>IF(ISBLANK('[1]Точность устьев скважин'!C703),#N/A,'[1]Точность устьев скважин'!C703)</f>
        <v>#N/A</v>
      </c>
      <c r="D701" t="e">
        <f>IF(ISBLANK('[1]Точность устьев скважин'!D703),#N/A,'[1]Точность устьев скважин'!D703)</f>
        <v>#N/A</v>
      </c>
      <c r="G701" t="e">
        <f>IF(ISBLANK('[1]Точность устьев скважин'!H703),#N/A,'[1]Точность устьев скважин'!H703)</f>
        <v>#N/A</v>
      </c>
      <c r="H701" t="e">
        <f>IF(ISBLANK('[1]Точность устьев скважин'!I703),#N/A,'[1]Точность устьев скважин'!I703)</f>
        <v>#N/A</v>
      </c>
      <c r="I701" t="e">
        <f>IF(ISBLANK('[1]Точность устьев скважин'!J703),#N/A,'[1]Точность устьев скважин'!J703)</f>
        <v>#N/A</v>
      </c>
      <c r="J701" t="e">
        <f>IF(ISBLANK('[1]Точность устьев скважин'!K703),#N/A,'[1]Точность устьев скважин'!K703)</f>
        <v>#N/A</v>
      </c>
      <c r="L701" s="63" t="e">
        <f t="shared" si="77"/>
        <v>#N/A</v>
      </c>
      <c r="O701" t="e">
        <f t="shared" si="78"/>
        <v>#N/A</v>
      </c>
      <c r="P701" t="e">
        <f t="shared" si="78"/>
        <v>#N/A</v>
      </c>
      <c r="Q701" t="e">
        <f t="shared" si="79"/>
        <v>#N/A</v>
      </c>
      <c r="R701" t="e">
        <f t="shared" si="79"/>
        <v>#N/A</v>
      </c>
      <c r="S701" t="e">
        <f t="shared" si="80"/>
        <v>#N/A</v>
      </c>
      <c r="T701" t="e">
        <f t="shared" si="80"/>
        <v>#N/A</v>
      </c>
      <c r="U701" t="e">
        <f t="shared" si="81"/>
        <v>#N/A</v>
      </c>
      <c r="V701" t="e">
        <f t="shared" si="81"/>
        <v>#N/A</v>
      </c>
      <c r="W701" t="e">
        <f t="shared" si="82"/>
        <v>#N/A</v>
      </c>
      <c r="X701" t="e">
        <f t="shared" si="82"/>
        <v>#N/A</v>
      </c>
      <c r="Y701" t="e">
        <f t="shared" si="83"/>
        <v>#N/A</v>
      </c>
      <c r="Z701" t="e">
        <f t="shared" si="83"/>
        <v>#N/A</v>
      </c>
    </row>
    <row r="702" spans="1:26">
      <c r="A702" t="e">
        <f>IF(ISBLANK('[1]Точность устьев скважин'!A704),#N/A,'[1]Точность устьев скважин'!A704)</f>
        <v>#N/A</v>
      </c>
      <c r="B702" t="e">
        <f>IF(ISBLANK('[1]Точность устьев скважин'!B704),#N/A,'[1]Точность устьев скважин'!B704)</f>
        <v>#N/A</v>
      </c>
      <c r="C702" t="e">
        <f>IF(ISBLANK('[1]Точность устьев скважин'!C704),#N/A,'[1]Точность устьев скважин'!C704)</f>
        <v>#N/A</v>
      </c>
      <c r="D702" t="e">
        <f>IF(ISBLANK('[1]Точность устьев скважин'!D704),#N/A,'[1]Точность устьев скважин'!D704)</f>
        <v>#N/A</v>
      </c>
      <c r="G702" t="e">
        <f>IF(ISBLANK('[1]Точность устьев скважин'!H704),#N/A,'[1]Точность устьев скважин'!H704)</f>
        <v>#N/A</v>
      </c>
      <c r="H702" t="e">
        <f>IF(ISBLANK('[1]Точность устьев скважин'!I704),#N/A,'[1]Точность устьев скважин'!I704)</f>
        <v>#N/A</v>
      </c>
      <c r="I702" t="e">
        <f>IF(ISBLANK('[1]Точность устьев скважин'!J704),#N/A,'[1]Точность устьев скважин'!J704)</f>
        <v>#N/A</v>
      </c>
      <c r="J702" t="e">
        <f>IF(ISBLANK('[1]Точность устьев скважин'!K704),#N/A,'[1]Точность устьев скважин'!K704)</f>
        <v>#N/A</v>
      </c>
      <c r="L702" s="63" t="e">
        <f t="shared" si="77"/>
        <v>#N/A</v>
      </c>
      <c r="O702" t="e">
        <f t="shared" si="78"/>
        <v>#N/A</v>
      </c>
      <c r="P702" t="e">
        <f t="shared" si="78"/>
        <v>#N/A</v>
      </c>
      <c r="Q702" t="e">
        <f t="shared" si="79"/>
        <v>#N/A</v>
      </c>
      <c r="R702" t="e">
        <f t="shared" si="79"/>
        <v>#N/A</v>
      </c>
      <c r="S702" t="e">
        <f t="shared" si="80"/>
        <v>#N/A</v>
      </c>
      <c r="T702" t="e">
        <f t="shared" si="80"/>
        <v>#N/A</v>
      </c>
      <c r="U702" t="e">
        <f t="shared" si="81"/>
        <v>#N/A</v>
      </c>
      <c r="V702" t="e">
        <f t="shared" si="81"/>
        <v>#N/A</v>
      </c>
      <c r="W702" t="e">
        <f t="shared" si="82"/>
        <v>#N/A</v>
      </c>
      <c r="X702" t="e">
        <f t="shared" si="82"/>
        <v>#N/A</v>
      </c>
      <c r="Y702" t="e">
        <f t="shared" si="83"/>
        <v>#N/A</v>
      </c>
      <c r="Z702" t="e">
        <f t="shared" si="83"/>
        <v>#N/A</v>
      </c>
    </row>
    <row r="703" spans="1:26">
      <c r="A703" t="e">
        <f>IF(ISBLANK('[1]Точность устьев скважин'!A705),#N/A,'[1]Точность устьев скважин'!A705)</f>
        <v>#N/A</v>
      </c>
      <c r="B703" t="e">
        <f>IF(ISBLANK('[1]Точность устьев скважин'!B705),#N/A,'[1]Точность устьев скважин'!B705)</f>
        <v>#N/A</v>
      </c>
      <c r="C703" t="e">
        <f>IF(ISBLANK('[1]Точность устьев скважин'!C705),#N/A,'[1]Точность устьев скважин'!C705)</f>
        <v>#N/A</v>
      </c>
      <c r="D703" t="e">
        <f>IF(ISBLANK('[1]Точность устьев скважин'!D705),#N/A,'[1]Точность устьев скважин'!D705)</f>
        <v>#N/A</v>
      </c>
      <c r="G703" t="e">
        <f>IF(ISBLANK('[1]Точность устьев скважин'!H705),#N/A,'[1]Точность устьев скважин'!H705)</f>
        <v>#N/A</v>
      </c>
      <c r="H703" t="e">
        <f>IF(ISBLANK('[1]Точность устьев скважин'!I705),#N/A,'[1]Точность устьев скважин'!I705)</f>
        <v>#N/A</v>
      </c>
      <c r="I703" t="e">
        <f>IF(ISBLANK('[1]Точность устьев скважин'!J705),#N/A,'[1]Точность устьев скважин'!J705)</f>
        <v>#N/A</v>
      </c>
      <c r="J703" t="e">
        <f>IF(ISBLANK('[1]Точность устьев скважин'!K705),#N/A,'[1]Точность устьев скважин'!K705)</f>
        <v>#N/A</v>
      </c>
      <c r="L703" s="63" t="e">
        <f t="shared" si="77"/>
        <v>#N/A</v>
      </c>
      <c r="O703" t="e">
        <f t="shared" si="78"/>
        <v>#N/A</v>
      </c>
      <c r="P703" t="e">
        <f t="shared" si="78"/>
        <v>#N/A</v>
      </c>
      <c r="Q703" t="e">
        <f t="shared" si="79"/>
        <v>#N/A</v>
      </c>
      <c r="R703" t="e">
        <f t="shared" si="79"/>
        <v>#N/A</v>
      </c>
      <c r="S703" t="e">
        <f t="shared" si="80"/>
        <v>#N/A</v>
      </c>
      <c r="T703" t="e">
        <f t="shared" si="80"/>
        <v>#N/A</v>
      </c>
      <c r="U703" t="e">
        <f t="shared" si="81"/>
        <v>#N/A</v>
      </c>
      <c r="V703" t="e">
        <f t="shared" si="81"/>
        <v>#N/A</v>
      </c>
      <c r="W703" t="e">
        <f t="shared" si="82"/>
        <v>#N/A</v>
      </c>
      <c r="X703" t="e">
        <f t="shared" si="82"/>
        <v>#N/A</v>
      </c>
      <c r="Y703" t="e">
        <f t="shared" si="83"/>
        <v>#N/A</v>
      </c>
      <c r="Z703" t="e">
        <f t="shared" si="83"/>
        <v>#N/A</v>
      </c>
    </row>
    <row r="704" spans="1:26">
      <c r="A704" t="e">
        <f>IF(ISBLANK('[1]Точность устьев скважин'!A706),#N/A,'[1]Точность устьев скважин'!A706)</f>
        <v>#N/A</v>
      </c>
      <c r="B704" t="e">
        <f>IF(ISBLANK('[1]Точность устьев скважин'!B706),#N/A,'[1]Точность устьев скважин'!B706)</f>
        <v>#N/A</v>
      </c>
      <c r="C704" t="e">
        <f>IF(ISBLANK('[1]Точность устьев скважин'!C706),#N/A,'[1]Точность устьев скважин'!C706)</f>
        <v>#N/A</v>
      </c>
      <c r="D704" t="e">
        <f>IF(ISBLANK('[1]Точность устьев скважин'!D706),#N/A,'[1]Точность устьев скважин'!D706)</f>
        <v>#N/A</v>
      </c>
      <c r="G704" t="e">
        <f>IF(ISBLANK('[1]Точность устьев скважин'!H706),#N/A,'[1]Точность устьев скважин'!H706)</f>
        <v>#N/A</v>
      </c>
      <c r="H704" t="e">
        <f>IF(ISBLANK('[1]Точность устьев скважин'!I706),#N/A,'[1]Точность устьев скважин'!I706)</f>
        <v>#N/A</v>
      </c>
      <c r="I704" t="e">
        <f>IF(ISBLANK('[1]Точность устьев скважин'!J706),#N/A,'[1]Точность устьев скважин'!J706)</f>
        <v>#N/A</v>
      </c>
      <c r="J704" t="e">
        <f>IF(ISBLANK('[1]Точность устьев скважин'!K706),#N/A,'[1]Точность устьев скважин'!K706)</f>
        <v>#N/A</v>
      </c>
      <c r="L704" s="63" t="e">
        <f t="shared" si="77"/>
        <v>#N/A</v>
      </c>
      <c r="O704" t="e">
        <f t="shared" si="78"/>
        <v>#N/A</v>
      </c>
      <c r="P704" t="e">
        <f t="shared" si="78"/>
        <v>#N/A</v>
      </c>
      <c r="Q704" t="e">
        <f t="shared" si="79"/>
        <v>#N/A</v>
      </c>
      <c r="R704" t="e">
        <f t="shared" si="79"/>
        <v>#N/A</v>
      </c>
      <c r="S704" t="e">
        <f t="shared" si="80"/>
        <v>#N/A</v>
      </c>
      <c r="T704" t="e">
        <f t="shared" si="80"/>
        <v>#N/A</v>
      </c>
      <c r="U704" t="e">
        <f t="shared" si="81"/>
        <v>#N/A</v>
      </c>
      <c r="V704" t="e">
        <f t="shared" si="81"/>
        <v>#N/A</v>
      </c>
      <c r="W704" t="e">
        <f t="shared" si="82"/>
        <v>#N/A</v>
      </c>
      <c r="X704" t="e">
        <f t="shared" si="82"/>
        <v>#N/A</v>
      </c>
      <c r="Y704" t="e">
        <f t="shared" si="83"/>
        <v>#N/A</v>
      </c>
      <c r="Z704" t="e">
        <f t="shared" si="83"/>
        <v>#N/A</v>
      </c>
    </row>
    <row r="705" spans="1:26">
      <c r="A705" t="e">
        <f>IF(ISBLANK('[1]Точность устьев скважин'!A707),#N/A,'[1]Точность устьев скважин'!A707)</f>
        <v>#N/A</v>
      </c>
      <c r="B705" t="e">
        <f>IF(ISBLANK('[1]Точность устьев скважин'!B707),#N/A,'[1]Точность устьев скважин'!B707)</f>
        <v>#N/A</v>
      </c>
      <c r="C705" t="e">
        <f>IF(ISBLANK('[1]Точность устьев скважин'!C707),#N/A,'[1]Точность устьев скважин'!C707)</f>
        <v>#N/A</v>
      </c>
      <c r="D705" t="e">
        <f>IF(ISBLANK('[1]Точность устьев скважин'!D707),#N/A,'[1]Точность устьев скважин'!D707)</f>
        <v>#N/A</v>
      </c>
      <c r="G705" t="e">
        <f>IF(ISBLANK('[1]Точность устьев скважин'!H707),#N/A,'[1]Точность устьев скважин'!H707)</f>
        <v>#N/A</v>
      </c>
      <c r="H705" t="e">
        <f>IF(ISBLANK('[1]Точность устьев скважин'!I707),#N/A,'[1]Точность устьев скважин'!I707)</f>
        <v>#N/A</v>
      </c>
      <c r="I705" t="e">
        <f>IF(ISBLANK('[1]Точность устьев скважин'!J707),#N/A,'[1]Точность устьев скважин'!J707)</f>
        <v>#N/A</v>
      </c>
      <c r="J705" t="e">
        <f>IF(ISBLANK('[1]Точность устьев скважин'!K707),#N/A,'[1]Точность устьев скважин'!K707)</f>
        <v>#N/A</v>
      </c>
      <c r="L705" s="63" t="e">
        <f t="shared" si="77"/>
        <v>#N/A</v>
      </c>
      <c r="O705" t="e">
        <f t="shared" si="78"/>
        <v>#N/A</v>
      </c>
      <c r="P705" t="e">
        <f t="shared" si="78"/>
        <v>#N/A</v>
      </c>
      <c r="Q705" t="e">
        <f t="shared" si="79"/>
        <v>#N/A</v>
      </c>
      <c r="R705" t="e">
        <f t="shared" si="79"/>
        <v>#N/A</v>
      </c>
      <c r="S705" t="e">
        <f t="shared" si="80"/>
        <v>#N/A</v>
      </c>
      <c r="T705" t="e">
        <f t="shared" si="80"/>
        <v>#N/A</v>
      </c>
      <c r="U705" t="e">
        <f t="shared" si="81"/>
        <v>#N/A</v>
      </c>
      <c r="V705" t="e">
        <f t="shared" si="81"/>
        <v>#N/A</v>
      </c>
      <c r="W705" t="e">
        <f t="shared" si="82"/>
        <v>#N/A</v>
      </c>
      <c r="X705" t="e">
        <f t="shared" si="82"/>
        <v>#N/A</v>
      </c>
      <c r="Y705" t="e">
        <f t="shared" si="83"/>
        <v>#N/A</v>
      </c>
      <c r="Z705" t="e">
        <f t="shared" si="83"/>
        <v>#N/A</v>
      </c>
    </row>
    <row r="706" spans="1:26">
      <c r="A706" t="e">
        <f>IF(ISBLANK('[1]Точность устьев скважин'!A708),#N/A,'[1]Точность устьев скважин'!A708)</f>
        <v>#N/A</v>
      </c>
      <c r="B706" t="e">
        <f>IF(ISBLANK('[1]Точность устьев скважин'!B708),#N/A,'[1]Точность устьев скважин'!B708)</f>
        <v>#N/A</v>
      </c>
      <c r="C706" t="e">
        <f>IF(ISBLANK('[1]Точность устьев скважин'!C708),#N/A,'[1]Точность устьев скважин'!C708)</f>
        <v>#N/A</v>
      </c>
      <c r="D706" t="e">
        <f>IF(ISBLANK('[1]Точность устьев скважин'!D708),#N/A,'[1]Точность устьев скважин'!D708)</f>
        <v>#N/A</v>
      </c>
      <c r="G706" t="e">
        <f>IF(ISBLANK('[1]Точность устьев скважин'!H708),#N/A,'[1]Точность устьев скважин'!H708)</f>
        <v>#N/A</v>
      </c>
      <c r="H706" t="e">
        <f>IF(ISBLANK('[1]Точность устьев скважин'!I708),#N/A,'[1]Точность устьев скважин'!I708)</f>
        <v>#N/A</v>
      </c>
      <c r="I706" t="e">
        <f>IF(ISBLANK('[1]Точность устьев скважин'!J708),#N/A,'[1]Точность устьев скважин'!J708)</f>
        <v>#N/A</v>
      </c>
      <c r="J706" t="e">
        <f>IF(ISBLANK('[1]Точность устьев скважин'!K708),#N/A,'[1]Точность устьев скважин'!K708)</f>
        <v>#N/A</v>
      </c>
      <c r="L706" s="63" t="e">
        <f t="shared" si="77"/>
        <v>#N/A</v>
      </c>
      <c r="O706" t="e">
        <f t="shared" si="78"/>
        <v>#N/A</v>
      </c>
      <c r="P706" t="e">
        <f t="shared" si="78"/>
        <v>#N/A</v>
      </c>
      <c r="Q706" t="e">
        <f t="shared" si="79"/>
        <v>#N/A</v>
      </c>
      <c r="R706" t="e">
        <f t="shared" si="79"/>
        <v>#N/A</v>
      </c>
      <c r="S706" t="e">
        <f t="shared" si="80"/>
        <v>#N/A</v>
      </c>
      <c r="T706" t="e">
        <f t="shared" si="80"/>
        <v>#N/A</v>
      </c>
      <c r="U706" t="e">
        <f t="shared" si="81"/>
        <v>#N/A</v>
      </c>
      <c r="V706" t="e">
        <f t="shared" si="81"/>
        <v>#N/A</v>
      </c>
      <c r="W706" t="e">
        <f t="shared" si="82"/>
        <v>#N/A</v>
      </c>
      <c r="X706" t="e">
        <f t="shared" si="82"/>
        <v>#N/A</v>
      </c>
      <c r="Y706" t="e">
        <f t="shared" si="83"/>
        <v>#N/A</v>
      </c>
      <c r="Z706" t="e">
        <f t="shared" si="83"/>
        <v>#N/A</v>
      </c>
    </row>
    <row r="707" spans="1:26">
      <c r="A707" t="e">
        <f>IF(ISBLANK('[1]Точность устьев скважин'!A709),#N/A,'[1]Точность устьев скважин'!A709)</f>
        <v>#N/A</v>
      </c>
      <c r="B707" t="e">
        <f>IF(ISBLANK('[1]Точность устьев скважин'!B709),#N/A,'[1]Точность устьев скважин'!B709)</f>
        <v>#N/A</v>
      </c>
      <c r="C707" t="e">
        <f>IF(ISBLANK('[1]Точность устьев скважин'!C709),#N/A,'[1]Точность устьев скважин'!C709)</f>
        <v>#N/A</v>
      </c>
      <c r="D707" t="e">
        <f>IF(ISBLANK('[1]Точность устьев скважин'!D709),#N/A,'[1]Точность устьев скважин'!D709)</f>
        <v>#N/A</v>
      </c>
      <c r="G707" t="e">
        <f>IF(ISBLANK('[1]Точность устьев скважин'!H709),#N/A,'[1]Точность устьев скважин'!H709)</f>
        <v>#N/A</v>
      </c>
      <c r="H707" t="e">
        <f>IF(ISBLANK('[1]Точность устьев скважин'!I709),#N/A,'[1]Точность устьев скважин'!I709)</f>
        <v>#N/A</v>
      </c>
      <c r="I707" t="e">
        <f>IF(ISBLANK('[1]Точность устьев скважин'!J709),#N/A,'[1]Точность устьев скважин'!J709)</f>
        <v>#N/A</v>
      </c>
      <c r="J707" t="e">
        <f>IF(ISBLANK('[1]Точность устьев скважин'!K709),#N/A,'[1]Точность устьев скважин'!K709)</f>
        <v>#N/A</v>
      </c>
      <c r="L707" s="63" t="e">
        <f t="shared" si="77"/>
        <v>#N/A</v>
      </c>
      <c r="O707" t="e">
        <f t="shared" si="78"/>
        <v>#N/A</v>
      </c>
      <c r="P707" t="e">
        <f t="shared" si="78"/>
        <v>#N/A</v>
      </c>
      <c r="Q707" t="e">
        <f t="shared" si="79"/>
        <v>#N/A</v>
      </c>
      <c r="R707" t="e">
        <f t="shared" si="79"/>
        <v>#N/A</v>
      </c>
      <c r="S707" t="e">
        <f t="shared" si="80"/>
        <v>#N/A</v>
      </c>
      <c r="T707" t="e">
        <f t="shared" si="80"/>
        <v>#N/A</v>
      </c>
      <c r="U707" t="e">
        <f t="shared" si="81"/>
        <v>#N/A</v>
      </c>
      <c r="V707" t="e">
        <f t="shared" si="81"/>
        <v>#N/A</v>
      </c>
      <c r="W707" t="e">
        <f t="shared" si="82"/>
        <v>#N/A</v>
      </c>
      <c r="X707" t="e">
        <f t="shared" si="82"/>
        <v>#N/A</v>
      </c>
      <c r="Y707" t="e">
        <f t="shared" si="83"/>
        <v>#N/A</v>
      </c>
      <c r="Z707" t="e">
        <f t="shared" si="83"/>
        <v>#N/A</v>
      </c>
    </row>
    <row r="708" spans="1:26">
      <c r="A708" t="e">
        <f>IF(ISBLANK('[1]Точность устьев скважин'!A710),#N/A,'[1]Точность устьев скважин'!A710)</f>
        <v>#N/A</v>
      </c>
      <c r="B708" t="e">
        <f>IF(ISBLANK('[1]Точность устьев скважин'!B710),#N/A,'[1]Точность устьев скважин'!B710)</f>
        <v>#N/A</v>
      </c>
      <c r="C708" t="e">
        <f>IF(ISBLANK('[1]Точность устьев скважин'!C710),#N/A,'[1]Точность устьев скважин'!C710)</f>
        <v>#N/A</v>
      </c>
      <c r="D708" t="e">
        <f>IF(ISBLANK('[1]Точность устьев скважин'!D710),#N/A,'[1]Точность устьев скважин'!D710)</f>
        <v>#N/A</v>
      </c>
      <c r="G708" t="e">
        <f>IF(ISBLANK('[1]Точность устьев скважин'!H710),#N/A,'[1]Точность устьев скважин'!H710)</f>
        <v>#N/A</v>
      </c>
      <c r="H708" t="e">
        <f>IF(ISBLANK('[1]Точность устьев скважин'!I710),#N/A,'[1]Точность устьев скважин'!I710)</f>
        <v>#N/A</v>
      </c>
      <c r="I708" t="e">
        <f>IF(ISBLANK('[1]Точность устьев скважин'!J710),#N/A,'[1]Точность устьев скважин'!J710)</f>
        <v>#N/A</v>
      </c>
      <c r="J708" t="e">
        <f>IF(ISBLANK('[1]Точность устьев скважин'!K710),#N/A,'[1]Точность устьев скважин'!K710)</f>
        <v>#N/A</v>
      </c>
      <c r="L708" s="63" t="e">
        <f t="shared" ref="L708:L771" si="84">IF(B708="","",(SQRT((H708-B708)^2+(I708-C708)^2)))</f>
        <v>#N/A</v>
      </c>
      <c r="O708" t="e">
        <f t="shared" si="78"/>
        <v>#N/A</v>
      </c>
      <c r="P708" t="e">
        <f t="shared" si="78"/>
        <v>#N/A</v>
      </c>
      <c r="Q708" t="e">
        <f t="shared" si="79"/>
        <v>#N/A</v>
      </c>
      <c r="R708" t="e">
        <f t="shared" si="79"/>
        <v>#N/A</v>
      </c>
      <c r="S708" t="e">
        <f t="shared" si="80"/>
        <v>#N/A</v>
      </c>
      <c r="T708" t="e">
        <f t="shared" si="80"/>
        <v>#N/A</v>
      </c>
      <c r="U708" t="e">
        <f t="shared" si="81"/>
        <v>#N/A</v>
      </c>
      <c r="V708" t="e">
        <f t="shared" si="81"/>
        <v>#N/A</v>
      </c>
      <c r="W708" t="e">
        <f t="shared" si="82"/>
        <v>#N/A</v>
      </c>
      <c r="X708" t="e">
        <f t="shared" si="82"/>
        <v>#N/A</v>
      </c>
      <c r="Y708" t="e">
        <f t="shared" si="83"/>
        <v>#N/A</v>
      </c>
      <c r="Z708" t="e">
        <f t="shared" si="83"/>
        <v>#N/A</v>
      </c>
    </row>
    <row r="709" spans="1:26">
      <c r="A709" t="e">
        <f>IF(ISBLANK('[1]Точность устьев скважин'!A711),#N/A,'[1]Точность устьев скважин'!A711)</f>
        <v>#N/A</v>
      </c>
      <c r="B709" t="e">
        <f>IF(ISBLANK('[1]Точность устьев скважин'!B711),#N/A,'[1]Точность устьев скважин'!B711)</f>
        <v>#N/A</v>
      </c>
      <c r="C709" t="e">
        <f>IF(ISBLANK('[1]Точность устьев скважин'!C711),#N/A,'[1]Точность устьев скважин'!C711)</f>
        <v>#N/A</v>
      </c>
      <c r="D709" t="e">
        <f>IF(ISBLANK('[1]Точность устьев скважин'!D711),#N/A,'[1]Точность устьев скважин'!D711)</f>
        <v>#N/A</v>
      </c>
      <c r="G709" t="e">
        <f>IF(ISBLANK('[1]Точность устьев скважин'!H711),#N/A,'[1]Точность устьев скважин'!H711)</f>
        <v>#N/A</v>
      </c>
      <c r="H709" t="e">
        <f>IF(ISBLANK('[1]Точность устьев скважин'!I711),#N/A,'[1]Точность устьев скважин'!I711)</f>
        <v>#N/A</v>
      </c>
      <c r="I709" t="e">
        <f>IF(ISBLANK('[1]Точность устьев скважин'!J711),#N/A,'[1]Точность устьев скважин'!J711)</f>
        <v>#N/A</v>
      </c>
      <c r="J709" t="e">
        <f>IF(ISBLANK('[1]Точность устьев скважин'!K711),#N/A,'[1]Точность устьев скважин'!K711)</f>
        <v>#N/A</v>
      </c>
      <c r="L709" s="63" t="e">
        <f t="shared" si="84"/>
        <v>#N/A</v>
      </c>
      <c r="O709" t="e">
        <f t="shared" si="78"/>
        <v>#N/A</v>
      </c>
      <c r="P709" t="e">
        <f t="shared" si="78"/>
        <v>#N/A</v>
      </c>
      <c r="Q709" t="e">
        <f t="shared" si="79"/>
        <v>#N/A</v>
      </c>
      <c r="R709" t="e">
        <f t="shared" si="79"/>
        <v>#N/A</v>
      </c>
      <c r="S709" t="e">
        <f t="shared" si="80"/>
        <v>#N/A</v>
      </c>
      <c r="T709" t="e">
        <f t="shared" si="80"/>
        <v>#N/A</v>
      </c>
      <c r="U709" t="e">
        <f t="shared" si="81"/>
        <v>#N/A</v>
      </c>
      <c r="V709" t="e">
        <f t="shared" si="81"/>
        <v>#N/A</v>
      </c>
      <c r="W709" t="e">
        <f t="shared" si="82"/>
        <v>#N/A</v>
      </c>
      <c r="X709" t="e">
        <f t="shared" si="82"/>
        <v>#N/A</v>
      </c>
      <c r="Y709" t="e">
        <f t="shared" si="83"/>
        <v>#N/A</v>
      </c>
      <c r="Z709" t="e">
        <f t="shared" si="83"/>
        <v>#N/A</v>
      </c>
    </row>
    <row r="710" spans="1:26">
      <c r="A710" t="e">
        <f>IF(ISBLANK('[1]Точность устьев скважин'!A712),#N/A,'[1]Точность устьев скважин'!A712)</f>
        <v>#N/A</v>
      </c>
      <c r="B710" t="e">
        <f>IF(ISBLANK('[1]Точность устьев скважин'!B712),#N/A,'[1]Точность устьев скважин'!B712)</f>
        <v>#N/A</v>
      </c>
      <c r="C710" t="e">
        <f>IF(ISBLANK('[1]Точность устьев скважин'!C712),#N/A,'[1]Точность устьев скважин'!C712)</f>
        <v>#N/A</v>
      </c>
      <c r="D710" t="e">
        <f>IF(ISBLANK('[1]Точность устьев скважин'!D712),#N/A,'[1]Точность устьев скважин'!D712)</f>
        <v>#N/A</v>
      </c>
      <c r="G710" t="e">
        <f>IF(ISBLANK('[1]Точность устьев скважин'!H712),#N/A,'[1]Точность устьев скважин'!H712)</f>
        <v>#N/A</v>
      </c>
      <c r="H710" t="e">
        <f>IF(ISBLANK('[1]Точность устьев скважин'!I712),#N/A,'[1]Точность устьев скважин'!I712)</f>
        <v>#N/A</v>
      </c>
      <c r="I710" t="e">
        <f>IF(ISBLANK('[1]Точность устьев скважин'!J712),#N/A,'[1]Точность устьев скважин'!J712)</f>
        <v>#N/A</v>
      </c>
      <c r="J710" t="e">
        <f>IF(ISBLANK('[1]Точность устьев скважин'!K712),#N/A,'[1]Точность устьев скважин'!K712)</f>
        <v>#N/A</v>
      </c>
      <c r="L710" s="63" t="e">
        <f t="shared" si="84"/>
        <v>#N/A</v>
      </c>
      <c r="O710" t="e">
        <f t="shared" si="78"/>
        <v>#N/A</v>
      </c>
      <c r="P710" t="e">
        <f t="shared" si="78"/>
        <v>#N/A</v>
      </c>
      <c r="Q710" t="e">
        <f t="shared" si="79"/>
        <v>#N/A</v>
      </c>
      <c r="R710" t="e">
        <f t="shared" si="79"/>
        <v>#N/A</v>
      </c>
      <c r="S710" t="e">
        <f t="shared" si="80"/>
        <v>#N/A</v>
      </c>
      <c r="T710" t="e">
        <f t="shared" si="80"/>
        <v>#N/A</v>
      </c>
      <c r="U710" t="e">
        <f t="shared" si="81"/>
        <v>#N/A</v>
      </c>
      <c r="V710" t="e">
        <f t="shared" si="81"/>
        <v>#N/A</v>
      </c>
      <c r="W710" t="e">
        <f t="shared" si="82"/>
        <v>#N/A</v>
      </c>
      <c r="X710" t="e">
        <f t="shared" si="82"/>
        <v>#N/A</v>
      </c>
      <c r="Y710" t="e">
        <f t="shared" si="83"/>
        <v>#N/A</v>
      </c>
      <c r="Z710" t="e">
        <f t="shared" si="83"/>
        <v>#N/A</v>
      </c>
    </row>
    <row r="711" spans="1:26">
      <c r="A711" t="e">
        <f>IF(ISBLANK('[1]Точность устьев скважин'!A713),#N/A,'[1]Точность устьев скважин'!A713)</f>
        <v>#N/A</v>
      </c>
      <c r="B711" t="e">
        <f>IF(ISBLANK('[1]Точность устьев скважин'!B713),#N/A,'[1]Точность устьев скважин'!B713)</f>
        <v>#N/A</v>
      </c>
      <c r="C711" t="e">
        <f>IF(ISBLANK('[1]Точность устьев скважин'!C713),#N/A,'[1]Точность устьев скважин'!C713)</f>
        <v>#N/A</v>
      </c>
      <c r="D711" t="e">
        <f>IF(ISBLANK('[1]Точность устьев скважин'!D713),#N/A,'[1]Точность устьев скважин'!D713)</f>
        <v>#N/A</v>
      </c>
      <c r="G711" t="e">
        <f>IF(ISBLANK('[1]Точность устьев скважин'!H713),#N/A,'[1]Точность устьев скважин'!H713)</f>
        <v>#N/A</v>
      </c>
      <c r="H711" t="e">
        <f>IF(ISBLANK('[1]Точность устьев скважин'!I713),#N/A,'[1]Точность устьев скважин'!I713)</f>
        <v>#N/A</v>
      </c>
      <c r="I711" t="e">
        <f>IF(ISBLANK('[1]Точность устьев скважин'!J713),#N/A,'[1]Точность устьев скважин'!J713)</f>
        <v>#N/A</v>
      </c>
      <c r="J711" t="e">
        <f>IF(ISBLANK('[1]Точность устьев скважин'!K713),#N/A,'[1]Точность устьев скважин'!K713)</f>
        <v>#N/A</v>
      </c>
      <c r="L711" s="63" t="e">
        <f t="shared" si="84"/>
        <v>#N/A</v>
      </c>
      <c r="O711" t="e">
        <f t="shared" si="78"/>
        <v>#N/A</v>
      </c>
      <c r="P711" t="e">
        <f t="shared" si="78"/>
        <v>#N/A</v>
      </c>
      <c r="Q711" t="e">
        <f t="shared" si="79"/>
        <v>#N/A</v>
      </c>
      <c r="R711" t="e">
        <f t="shared" si="79"/>
        <v>#N/A</v>
      </c>
      <c r="S711" t="e">
        <f t="shared" si="80"/>
        <v>#N/A</v>
      </c>
      <c r="T711" t="e">
        <f t="shared" si="80"/>
        <v>#N/A</v>
      </c>
      <c r="U711" t="e">
        <f t="shared" si="81"/>
        <v>#N/A</v>
      </c>
      <c r="V711" t="e">
        <f t="shared" si="81"/>
        <v>#N/A</v>
      </c>
      <c r="W711" t="e">
        <f t="shared" si="82"/>
        <v>#N/A</v>
      </c>
      <c r="X711" t="e">
        <f t="shared" si="82"/>
        <v>#N/A</v>
      </c>
      <c r="Y711" t="e">
        <f t="shared" si="83"/>
        <v>#N/A</v>
      </c>
      <c r="Z711" t="e">
        <f t="shared" si="83"/>
        <v>#N/A</v>
      </c>
    </row>
    <row r="712" spans="1:26">
      <c r="A712" t="e">
        <f>IF(ISBLANK('[1]Точность устьев скважин'!A714),#N/A,'[1]Точность устьев скважин'!A714)</f>
        <v>#N/A</v>
      </c>
      <c r="B712" t="e">
        <f>IF(ISBLANK('[1]Точность устьев скважин'!B714),#N/A,'[1]Точность устьев скважин'!B714)</f>
        <v>#N/A</v>
      </c>
      <c r="C712" t="e">
        <f>IF(ISBLANK('[1]Точность устьев скважин'!C714),#N/A,'[1]Точность устьев скважин'!C714)</f>
        <v>#N/A</v>
      </c>
      <c r="D712" t="e">
        <f>IF(ISBLANK('[1]Точность устьев скважин'!D714),#N/A,'[1]Точность устьев скважин'!D714)</f>
        <v>#N/A</v>
      </c>
      <c r="G712" t="e">
        <f>IF(ISBLANK('[1]Точность устьев скважин'!H714),#N/A,'[1]Точность устьев скважин'!H714)</f>
        <v>#N/A</v>
      </c>
      <c r="H712" t="e">
        <f>IF(ISBLANK('[1]Точность устьев скважин'!I714),#N/A,'[1]Точность устьев скважин'!I714)</f>
        <v>#N/A</v>
      </c>
      <c r="I712" t="e">
        <f>IF(ISBLANK('[1]Точность устьев скважин'!J714),#N/A,'[1]Точность устьев скважин'!J714)</f>
        <v>#N/A</v>
      </c>
      <c r="J712" t="e">
        <f>IF(ISBLANK('[1]Точность устьев скважин'!K714),#N/A,'[1]Точность устьев скважин'!K714)</f>
        <v>#N/A</v>
      </c>
      <c r="L712" s="63" t="e">
        <f t="shared" si="84"/>
        <v>#N/A</v>
      </c>
      <c r="O712" t="e">
        <f t="shared" si="78"/>
        <v>#N/A</v>
      </c>
      <c r="P712" t="e">
        <f t="shared" si="78"/>
        <v>#N/A</v>
      </c>
      <c r="Q712" t="e">
        <f t="shared" si="79"/>
        <v>#N/A</v>
      </c>
      <c r="R712" t="e">
        <f t="shared" si="79"/>
        <v>#N/A</v>
      </c>
      <c r="S712" t="e">
        <f t="shared" si="80"/>
        <v>#N/A</v>
      </c>
      <c r="T712" t="e">
        <f t="shared" si="80"/>
        <v>#N/A</v>
      </c>
      <c r="U712" t="e">
        <f t="shared" si="81"/>
        <v>#N/A</v>
      </c>
      <c r="V712" t="e">
        <f t="shared" si="81"/>
        <v>#N/A</v>
      </c>
      <c r="W712" t="e">
        <f t="shared" si="82"/>
        <v>#N/A</v>
      </c>
      <c r="X712" t="e">
        <f t="shared" si="82"/>
        <v>#N/A</v>
      </c>
      <c r="Y712" t="e">
        <f t="shared" si="83"/>
        <v>#N/A</v>
      </c>
      <c r="Z712" t="e">
        <f t="shared" si="83"/>
        <v>#N/A</v>
      </c>
    </row>
    <row r="713" spans="1:26">
      <c r="A713" t="e">
        <f>IF(ISBLANK('[1]Точность устьев скважин'!A715),#N/A,'[1]Точность устьев скважин'!A715)</f>
        <v>#N/A</v>
      </c>
      <c r="B713" t="e">
        <f>IF(ISBLANK('[1]Точность устьев скважин'!B715),#N/A,'[1]Точность устьев скважин'!B715)</f>
        <v>#N/A</v>
      </c>
      <c r="C713" t="e">
        <f>IF(ISBLANK('[1]Точность устьев скважин'!C715),#N/A,'[1]Точность устьев скважин'!C715)</f>
        <v>#N/A</v>
      </c>
      <c r="D713" t="e">
        <f>IF(ISBLANK('[1]Точность устьев скважин'!D715),#N/A,'[1]Точность устьев скважин'!D715)</f>
        <v>#N/A</v>
      </c>
      <c r="G713" t="e">
        <f>IF(ISBLANK('[1]Точность устьев скважин'!H715),#N/A,'[1]Точность устьев скважин'!H715)</f>
        <v>#N/A</v>
      </c>
      <c r="H713" t="e">
        <f>IF(ISBLANK('[1]Точность устьев скважин'!I715),#N/A,'[1]Точность устьев скважин'!I715)</f>
        <v>#N/A</v>
      </c>
      <c r="I713" t="e">
        <f>IF(ISBLANK('[1]Точность устьев скважин'!J715),#N/A,'[1]Точность устьев скважин'!J715)</f>
        <v>#N/A</v>
      </c>
      <c r="J713" t="e">
        <f>IF(ISBLANK('[1]Точность устьев скважин'!K715),#N/A,'[1]Точность устьев скважин'!K715)</f>
        <v>#N/A</v>
      </c>
      <c r="L713" s="63" t="e">
        <f t="shared" si="84"/>
        <v>#N/A</v>
      </c>
      <c r="O713" t="e">
        <f t="shared" si="78"/>
        <v>#N/A</v>
      </c>
      <c r="P713" t="e">
        <f t="shared" si="78"/>
        <v>#N/A</v>
      </c>
      <c r="Q713" t="e">
        <f t="shared" si="79"/>
        <v>#N/A</v>
      </c>
      <c r="R713" t="e">
        <f t="shared" si="79"/>
        <v>#N/A</v>
      </c>
      <c r="S713" t="e">
        <f t="shared" si="80"/>
        <v>#N/A</v>
      </c>
      <c r="T713" t="e">
        <f t="shared" si="80"/>
        <v>#N/A</v>
      </c>
      <c r="U713" t="e">
        <f t="shared" si="81"/>
        <v>#N/A</v>
      </c>
      <c r="V713" t="e">
        <f t="shared" si="81"/>
        <v>#N/A</v>
      </c>
      <c r="W713" t="e">
        <f t="shared" si="82"/>
        <v>#N/A</v>
      </c>
      <c r="X713" t="e">
        <f t="shared" si="82"/>
        <v>#N/A</v>
      </c>
      <c r="Y713" t="e">
        <f t="shared" si="83"/>
        <v>#N/A</v>
      </c>
      <c r="Z713" t="e">
        <f t="shared" si="83"/>
        <v>#N/A</v>
      </c>
    </row>
    <row r="714" spans="1:26">
      <c r="A714" t="e">
        <f>IF(ISBLANK('[1]Точность устьев скважин'!A716),#N/A,'[1]Точность устьев скважин'!A716)</f>
        <v>#N/A</v>
      </c>
      <c r="B714" t="e">
        <f>IF(ISBLANK('[1]Точность устьев скважин'!B716),#N/A,'[1]Точность устьев скважин'!B716)</f>
        <v>#N/A</v>
      </c>
      <c r="C714" t="e">
        <f>IF(ISBLANK('[1]Точность устьев скважин'!C716),#N/A,'[1]Точность устьев скважин'!C716)</f>
        <v>#N/A</v>
      </c>
      <c r="D714" t="e">
        <f>IF(ISBLANK('[1]Точность устьев скважин'!D716),#N/A,'[1]Точность устьев скважин'!D716)</f>
        <v>#N/A</v>
      </c>
      <c r="G714" t="e">
        <f>IF(ISBLANK('[1]Точность устьев скважин'!H716),#N/A,'[1]Точность устьев скважин'!H716)</f>
        <v>#N/A</v>
      </c>
      <c r="H714" t="e">
        <f>IF(ISBLANK('[1]Точность устьев скважин'!I716),#N/A,'[1]Точность устьев скважин'!I716)</f>
        <v>#N/A</v>
      </c>
      <c r="I714" t="e">
        <f>IF(ISBLANK('[1]Точность устьев скважин'!J716),#N/A,'[1]Точность устьев скважин'!J716)</f>
        <v>#N/A</v>
      </c>
      <c r="J714" t="e">
        <f>IF(ISBLANK('[1]Точность устьев скважин'!K716),#N/A,'[1]Точность устьев скважин'!K716)</f>
        <v>#N/A</v>
      </c>
      <c r="L714" s="63" t="e">
        <f t="shared" si="84"/>
        <v>#N/A</v>
      </c>
      <c r="O714" t="e">
        <f t="shared" si="78"/>
        <v>#N/A</v>
      </c>
      <c r="P714" t="e">
        <f t="shared" si="78"/>
        <v>#N/A</v>
      </c>
      <c r="Q714" t="e">
        <f t="shared" si="79"/>
        <v>#N/A</v>
      </c>
      <c r="R714" t="e">
        <f t="shared" si="79"/>
        <v>#N/A</v>
      </c>
      <c r="S714" t="e">
        <f t="shared" si="80"/>
        <v>#N/A</v>
      </c>
      <c r="T714" t="e">
        <f t="shared" si="80"/>
        <v>#N/A</v>
      </c>
      <c r="U714" t="e">
        <f t="shared" si="81"/>
        <v>#N/A</v>
      </c>
      <c r="V714" t="e">
        <f t="shared" si="81"/>
        <v>#N/A</v>
      </c>
      <c r="W714" t="e">
        <f t="shared" si="82"/>
        <v>#N/A</v>
      </c>
      <c r="X714" t="e">
        <f t="shared" si="82"/>
        <v>#N/A</v>
      </c>
      <c r="Y714" t="e">
        <f t="shared" si="83"/>
        <v>#N/A</v>
      </c>
      <c r="Z714" t="e">
        <f t="shared" si="83"/>
        <v>#N/A</v>
      </c>
    </row>
    <row r="715" spans="1:26">
      <c r="A715" t="e">
        <f>IF(ISBLANK('[1]Точность устьев скважин'!A717),#N/A,'[1]Точность устьев скважин'!A717)</f>
        <v>#N/A</v>
      </c>
      <c r="B715" t="e">
        <f>IF(ISBLANK('[1]Точность устьев скважин'!B717),#N/A,'[1]Точность устьев скважин'!B717)</f>
        <v>#N/A</v>
      </c>
      <c r="C715" t="e">
        <f>IF(ISBLANK('[1]Точность устьев скважин'!C717),#N/A,'[1]Точность устьев скважин'!C717)</f>
        <v>#N/A</v>
      </c>
      <c r="D715" t="e">
        <f>IF(ISBLANK('[1]Точность устьев скважин'!D717),#N/A,'[1]Точность устьев скважин'!D717)</f>
        <v>#N/A</v>
      </c>
      <c r="G715" t="e">
        <f>IF(ISBLANK('[1]Точность устьев скважин'!H717),#N/A,'[1]Точность устьев скважин'!H717)</f>
        <v>#N/A</v>
      </c>
      <c r="H715" t="e">
        <f>IF(ISBLANK('[1]Точность устьев скважин'!I717),#N/A,'[1]Точность устьев скважин'!I717)</f>
        <v>#N/A</v>
      </c>
      <c r="I715" t="e">
        <f>IF(ISBLANK('[1]Точность устьев скважин'!J717),#N/A,'[1]Точность устьев скважин'!J717)</f>
        <v>#N/A</v>
      </c>
      <c r="J715" t="e">
        <f>IF(ISBLANK('[1]Точность устьев скважин'!K717),#N/A,'[1]Точность устьев скважин'!K717)</f>
        <v>#N/A</v>
      </c>
      <c r="L715" s="63" t="e">
        <f t="shared" si="84"/>
        <v>#N/A</v>
      </c>
      <c r="O715" t="e">
        <f t="shared" si="78"/>
        <v>#N/A</v>
      </c>
      <c r="P715" t="e">
        <f t="shared" si="78"/>
        <v>#N/A</v>
      </c>
      <c r="Q715" t="e">
        <f t="shared" si="79"/>
        <v>#N/A</v>
      </c>
      <c r="R715" t="e">
        <f t="shared" si="79"/>
        <v>#N/A</v>
      </c>
      <c r="S715" t="e">
        <f t="shared" si="80"/>
        <v>#N/A</v>
      </c>
      <c r="T715" t="e">
        <f t="shared" si="80"/>
        <v>#N/A</v>
      </c>
      <c r="U715" t="e">
        <f t="shared" si="81"/>
        <v>#N/A</v>
      </c>
      <c r="V715" t="e">
        <f t="shared" si="81"/>
        <v>#N/A</v>
      </c>
      <c r="W715" t="e">
        <f t="shared" si="82"/>
        <v>#N/A</v>
      </c>
      <c r="X715" t="e">
        <f t="shared" si="82"/>
        <v>#N/A</v>
      </c>
      <c r="Y715" t="e">
        <f t="shared" si="83"/>
        <v>#N/A</v>
      </c>
      <c r="Z715" t="e">
        <f t="shared" si="83"/>
        <v>#N/A</v>
      </c>
    </row>
    <row r="716" spans="1:26">
      <c r="A716" t="e">
        <f>IF(ISBLANK('[1]Точность устьев скважин'!A718),#N/A,'[1]Точность устьев скважин'!A718)</f>
        <v>#N/A</v>
      </c>
      <c r="B716" t="e">
        <f>IF(ISBLANK('[1]Точность устьев скважин'!B718),#N/A,'[1]Точность устьев скважин'!B718)</f>
        <v>#N/A</v>
      </c>
      <c r="C716" t="e">
        <f>IF(ISBLANK('[1]Точность устьев скважин'!C718),#N/A,'[1]Точность устьев скважин'!C718)</f>
        <v>#N/A</v>
      </c>
      <c r="D716" t="e">
        <f>IF(ISBLANK('[1]Точность устьев скважин'!D718),#N/A,'[1]Точность устьев скважин'!D718)</f>
        <v>#N/A</v>
      </c>
      <c r="G716" t="e">
        <f>IF(ISBLANK('[1]Точность устьев скважин'!H718),#N/A,'[1]Точность устьев скважин'!H718)</f>
        <v>#N/A</v>
      </c>
      <c r="H716" t="e">
        <f>IF(ISBLANK('[1]Точность устьев скважин'!I718),#N/A,'[1]Точность устьев скважин'!I718)</f>
        <v>#N/A</v>
      </c>
      <c r="I716" t="e">
        <f>IF(ISBLANK('[1]Точность устьев скважин'!J718),#N/A,'[1]Точность устьев скважин'!J718)</f>
        <v>#N/A</v>
      </c>
      <c r="J716" t="e">
        <f>IF(ISBLANK('[1]Точность устьев скважин'!K718),#N/A,'[1]Точность устьев скважин'!K718)</f>
        <v>#N/A</v>
      </c>
      <c r="L716" s="63" t="e">
        <f t="shared" si="84"/>
        <v>#N/A</v>
      </c>
      <c r="O716" t="e">
        <f t="shared" si="78"/>
        <v>#N/A</v>
      </c>
      <c r="P716" t="e">
        <f t="shared" si="78"/>
        <v>#N/A</v>
      </c>
      <c r="Q716" t="e">
        <f t="shared" si="79"/>
        <v>#N/A</v>
      </c>
      <c r="R716" t="e">
        <f t="shared" si="79"/>
        <v>#N/A</v>
      </c>
      <c r="S716" t="e">
        <f t="shared" si="80"/>
        <v>#N/A</v>
      </c>
      <c r="T716" t="e">
        <f t="shared" si="80"/>
        <v>#N/A</v>
      </c>
      <c r="U716" t="e">
        <f t="shared" si="81"/>
        <v>#N/A</v>
      </c>
      <c r="V716" t="e">
        <f t="shared" si="81"/>
        <v>#N/A</v>
      </c>
      <c r="W716" t="e">
        <f t="shared" si="82"/>
        <v>#N/A</v>
      </c>
      <c r="X716" t="e">
        <f t="shared" si="82"/>
        <v>#N/A</v>
      </c>
      <c r="Y716" t="e">
        <f t="shared" si="83"/>
        <v>#N/A</v>
      </c>
      <c r="Z716" t="e">
        <f t="shared" si="83"/>
        <v>#N/A</v>
      </c>
    </row>
    <row r="717" spans="1:26">
      <c r="A717" t="e">
        <f>IF(ISBLANK('[1]Точность устьев скважин'!A719),#N/A,'[1]Точность устьев скважин'!A719)</f>
        <v>#N/A</v>
      </c>
      <c r="B717" t="e">
        <f>IF(ISBLANK('[1]Точность устьев скважин'!B719),#N/A,'[1]Точность устьев скважин'!B719)</f>
        <v>#N/A</v>
      </c>
      <c r="C717" t="e">
        <f>IF(ISBLANK('[1]Точность устьев скважин'!C719),#N/A,'[1]Точность устьев скважин'!C719)</f>
        <v>#N/A</v>
      </c>
      <c r="D717" t="e">
        <f>IF(ISBLANK('[1]Точность устьев скважин'!D719),#N/A,'[1]Точность устьев скважин'!D719)</f>
        <v>#N/A</v>
      </c>
      <c r="G717" t="e">
        <f>IF(ISBLANK('[1]Точность устьев скважин'!H719),#N/A,'[1]Точность устьев скважин'!H719)</f>
        <v>#N/A</v>
      </c>
      <c r="H717" t="e">
        <f>IF(ISBLANK('[1]Точность устьев скважин'!I719),#N/A,'[1]Точность устьев скважин'!I719)</f>
        <v>#N/A</v>
      </c>
      <c r="I717" t="e">
        <f>IF(ISBLANK('[1]Точность устьев скважин'!J719),#N/A,'[1]Точность устьев скважин'!J719)</f>
        <v>#N/A</v>
      </c>
      <c r="J717" t="e">
        <f>IF(ISBLANK('[1]Точность устьев скважин'!K719),#N/A,'[1]Точность устьев скважин'!K719)</f>
        <v>#N/A</v>
      </c>
      <c r="L717" s="63" t="e">
        <f t="shared" si="84"/>
        <v>#N/A</v>
      </c>
      <c r="O717" t="e">
        <f t="shared" si="78"/>
        <v>#N/A</v>
      </c>
      <c r="P717" t="e">
        <f t="shared" si="78"/>
        <v>#N/A</v>
      </c>
      <c r="Q717" t="e">
        <f t="shared" si="79"/>
        <v>#N/A</v>
      </c>
      <c r="R717" t="e">
        <f t="shared" si="79"/>
        <v>#N/A</v>
      </c>
      <c r="S717" t="e">
        <f t="shared" si="80"/>
        <v>#N/A</v>
      </c>
      <c r="T717" t="e">
        <f t="shared" si="80"/>
        <v>#N/A</v>
      </c>
      <c r="U717" t="e">
        <f t="shared" si="81"/>
        <v>#N/A</v>
      </c>
      <c r="V717" t="e">
        <f t="shared" si="81"/>
        <v>#N/A</v>
      </c>
      <c r="W717" t="e">
        <f t="shared" si="82"/>
        <v>#N/A</v>
      </c>
      <c r="X717" t="e">
        <f t="shared" si="82"/>
        <v>#N/A</v>
      </c>
      <c r="Y717" t="e">
        <f t="shared" si="83"/>
        <v>#N/A</v>
      </c>
      <c r="Z717" t="e">
        <f t="shared" si="83"/>
        <v>#N/A</v>
      </c>
    </row>
    <row r="718" spans="1:26">
      <c r="A718" t="e">
        <f>IF(ISBLANK('[1]Точность устьев скважин'!A720),#N/A,'[1]Точность устьев скважин'!A720)</f>
        <v>#N/A</v>
      </c>
      <c r="B718" t="e">
        <f>IF(ISBLANK('[1]Точность устьев скважин'!B720),#N/A,'[1]Точность устьев скважин'!B720)</f>
        <v>#N/A</v>
      </c>
      <c r="C718" t="e">
        <f>IF(ISBLANK('[1]Точность устьев скважин'!C720),#N/A,'[1]Точность устьев скважин'!C720)</f>
        <v>#N/A</v>
      </c>
      <c r="D718" t="e">
        <f>IF(ISBLANK('[1]Точность устьев скважин'!D720),#N/A,'[1]Точность устьев скважин'!D720)</f>
        <v>#N/A</v>
      </c>
      <c r="G718" t="e">
        <f>IF(ISBLANK('[1]Точность устьев скважин'!H720),#N/A,'[1]Точность устьев скважин'!H720)</f>
        <v>#N/A</v>
      </c>
      <c r="H718" t="e">
        <f>IF(ISBLANK('[1]Точность устьев скважин'!I720),#N/A,'[1]Точность устьев скважин'!I720)</f>
        <v>#N/A</v>
      </c>
      <c r="I718" t="e">
        <f>IF(ISBLANK('[1]Точность устьев скважин'!J720),#N/A,'[1]Точность устьев скважин'!J720)</f>
        <v>#N/A</v>
      </c>
      <c r="J718" t="e">
        <f>IF(ISBLANK('[1]Точность устьев скважин'!K720),#N/A,'[1]Точность устьев скважин'!K720)</f>
        <v>#N/A</v>
      </c>
      <c r="L718" s="63" t="e">
        <f t="shared" si="84"/>
        <v>#N/A</v>
      </c>
      <c r="O718" t="e">
        <f t="shared" si="78"/>
        <v>#N/A</v>
      </c>
      <c r="P718" t="e">
        <f t="shared" si="78"/>
        <v>#N/A</v>
      </c>
      <c r="Q718" t="e">
        <f t="shared" si="79"/>
        <v>#N/A</v>
      </c>
      <c r="R718" t="e">
        <f t="shared" si="79"/>
        <v>#N/A</v>
      </c>
      <c r="S718" t="e">
        <f t="shared" si="80"/>
        <v>#N/A</v>
      </c>
      <c r="T718" t="e">
        <f t="shared" si="80"/>
        <v>#N/A</v>
      </c>
      <c r="U718" t="e">
        <f t="shared" si="81"/>
        <v>#N/A</v>
      </c>
      <c r="V718" t="e">
        <f t="shared" si="81"/>
        <v>#N/A</v>
      </c>
      <c r="W718" t="e">
        <f t="shared" si="82"/>
        <v>#N/A</v>
      </c>
      <c r="X718" t="e">
        <f t="shared" si="82"/>
        <v>#N/A</v>
      </c>
      <c r="Y718" t="e">
        <f t="shared" si="83"/>
        <v>#N/A</v>
      </c>
      <c r="Z718" t="e">
        <f t="shared" si="83"/>
        <v>#N/A</v>
      </c>
    </row>
    <row r="719" spans="1:26">
      <c r="A719" t="e">
        <f>IF(ISBLANK('[1]Точность устьев скважин'!A721),#N/A,'[1]Точность устьев скважин'!A721)</f>
        <v>#N/A</v>
      </c>
      <c r="B719" t="e">
        <f>IF(ISBLANK('[1]Точность устьев скважин'!B721),#N/A,'[1]Точность устьев скважин'!B721)</f>
        <v>#N/A</v>
      </c>
      <c r="C719" t="e">
        <f>IF(ISBLANK('[1]Точность устьев скважин'!C721),#N/A,'[1]Точность устьев скважин'!C721)</f>
        <v>#N/A</v>
      </c>
      <c r="D719" t="e">
        <f>IF(ISBLANK('[1]Точность устьев скважин'!D721),#N/A,'[1]Точность устьев скважин'!D721)</f>
        <v>#N/A</v>
      </c>
      <c r="G719" t="e">
        <f>IF(ISBLANK('[1]Точность устьев скважин'!H721),#N/A,'[1]Точность устьев скважин'!H721)</f>
        <v>#N/A</v>
      </c>
      <c r="H719" t="e">
        <f>IF(ISBLANK('[1]Точность устьев скважин'!I721),#N/A,'[1]Точность устьев скважин'!I721)</f>
        <v>#N/A</v>
      </c>
      <c r="I719" t="e">
        <f>IF(ISBLANK('[1]Точность устьев скважин'!J721),#N/A,'[1]Точность устьев скважин'!J721)</f>
        <v>#N/A</v>
      </c>
      <c r="J719" t="e">
        <f>IF(ISBLANK('[1]Точность устьев скважин'!K721),#N/A,'[1]Точность устьев скважин'!K721)</f>
        <v>#N/A</v>
      </c>
      <c r="L719" s="63" t="e">
        <f t="shared" si="84"/>
        <v>#N/A</v>
      </c>
      <c r="O719" t="e">
        <f t="shared" si="78"/>
        <v>#N/A</v>
      </c>
      <c r="P719" t="e">
        <f t="shared" si="78"/>
        <v>#N/A</v>
      </c>
      <c r="Q719" t="e">
        <f t="shared" si="79"/>
        <v>#N/A</v>
      </c>
      <c r="R719" t="e">
        <f t="shared" si="79"/>
        <v>#N/A</v>
      </c>
      <c r="S719" t="e">
        <f t="shared" si="80"/>
        <v>#N/A</v>
      </c>
      <c r="T719" t="e">
        <f t="shared" si="80"/>
        <v>#N/A</v>
      </c>
      <c r="U719" t="e">
        <f t="shared" si="81"/>
        <v>#N/A</v>
      </c>
      <c r="V719" t="e">
        <f t="shared" si="81"/>
        <v>#N/A</v>
      </c>
      <c r="W719" t="e">
        <f t="shared" si="82"/>
        <v>#N/A</v>
      </c>
      <c r="X719" t="e">
        <f t="shared" si="82"/>
        <v>#N/A</v>
      </c>
      <c r="Y719" t="e">
        <f t="shared" si="83"/>
        <v>#N/A</v>
      </c>
      <c r="Z719" t="e">
        <f t="shared" si="83"/>
        <v>#N/A</v>
      </c>
    </row>
    <row r="720" spans="1:26">
      <c r="A720" t="e">
        <f>IF(ISBLANK('[1]Точность устьев скважин'!A722),#N/A,'[1]Точность устьев скважин'!A722)</f>
        <v>#N/A</v>
      </c>
      <c r="B720" t="e">
        <f>IF(ISBLANK('[1]Точность устьев скважин'!B722),#N/A,'[1]Точность устьев скважин'!B722)</f>
        <v>#N/A</v>
      </c>
      <c r="C720" t="e">
        <f>IF(ISBLANK('[1]Точность устьев скважин'!C722),#N/A,'[1]Точность устьев скважин'!C722)</f>
        <v>#N/A</v>
      </c>
      <c r="D720" t="e">
        <f>IF(ISBLANK('[1]Точность устьев скважин'!D722),#N/A,'[1]Точность устьев скважин'!D722)</f>
        <v>#N/A</v>
      </c>
      <c r="G720" t="e">
        <f>IF(ISBLANK('[1]Точность устьев скважин'!H722),#N/A,'[1]Точность устьев скважин'!H722)</f>
        <v>#N/A</v>
      </c>
      <c r="H720" t="e">
        <f>IF(ISBLANK('[1]Точность устьев скважин'!I722),#N/A,'[1]Точность устьев скважин'!I722)</f>
        <v>#N/A</v>
      </c>
      <c r="I720" t="e">
        <f>IF(ISBLANK('[1]Точность устьев скважин'!J722),#N/A,'[1]Точность устьев скважин'!J722)</f>
        <v>#N/A</v>
      </c>
      <c r="J720" t="e">
        <f>IF(ISBLANK('[1]Точность устьев скважин'!K722),#N/A,'[1]Точность устьев скважин'!K722)</f>
        <v>#N/A</v>
      </c>
      <c r="L720" s="63" t="e">
        <f t="shared" si="84"/>
        <v>#N/A</v>
      </c>
      <c r="O720" t="e">
        <f t="shared" si="78"/>
        <v>#N/A</v>
      </c>
      <c r="P720" t="e">
        <f t="shared" si="78"/>
        <v>#N/A</v>
      </c>
      <c r="Q720" t="e">
        <f t="shared" si="79"/>
        <v>#N/A</v>
      </c>
      <c r="R720" t="e">
        <f t="shared" si="79"/>
        <v>#N/A</v>
      </c>
      <c r="S720" t="e">
        <f t="shared" si="80"/>
        <v>#N/A</v>
      </c>
      <c r="T720" t="e">
        <f t="shared" si="80"/>
        <v>#N/A</v>
      </c>
      <c r="U720" t="e">
        <f t="shared" si="81"/>
        <v>#N/A</v>
      </c>
      <c r="V720" t="e">
        <f t="shared" si="81"/>
        <v>#N/A</v>
      </c>
      <c r="W720" t="e">
        <f t="shared" si="82"/>
        <v>#N/A</v>
      </c>
      <c r="X720" t="e">
        <f t="shared" si="82"/>
        <v>#N/A</v>
      </c>
      <c r="Y720" t="e">
        <f t="shared" si="83"/>
        <v>#N/A</v>
      </c>
      <c r="Z720" t="e">
        <f t="shared" si="83"/>
        <v>#N/A</v>
      </c>
    </row>
    <row r="721" spans="1:26">
      <c r="A721" t="e">
        <f>IF(ISBLANK('[1]Точность устьев скважин'!A723),#N/A,'[1]Точность устьев скважин'!A723)</f>
        <v>#N/A</v>
      </c>
      <c r="B721" t="e">
        <f>IF(ISBLANK('[1]Точность устьев скважин'!B723),#N/A,'[1]Точность устьев скважин'!B723)</f>
        <v>#N/A</v>
      </c>
      <c r="C721" t="e">
        <f>IF(ISBLANK('[1]Точность устьев скважин'!C723),#N/A,'[1]Точность устьев скважин'!C723)</f>
        <v>#N/A</v>
      </c>
      <c r="D721" t="e">
        <f>IF(ISBLANK('[1]Точность устьев скважин'!D723),#N/A,'[1]Точность устьев скважин'!D723)</f>
        <v>#N/A</v>
      </c>
      <c r="G721" t="e">
        <f>IF(ISBLANK('[1]Точность устьев скважин'!H723),#N/A,'[1]Точность устьев скважин'!H723)</f>
        <v>#N/A</v>
      </c>
      <c r="H721" t="e">
        <f>IF(ISBLANK('[1]Точность устьев скважин'!I723),#N/A,'[1]Точность устьев скважин'!I723)</f>
        <v>#N/A</v>
      </c>
      <c r="I721" t="e">
        <f>IF(ISBLANK('[1]Точность устьев скважин'!J723),#N/A,'[1]Точность устьев скважин'!J723)</f>
        <v>#N/A</v>
      </c>
      <c r="J721" t="e">
        <f>IF(ISBLANK('[1]Точность устьев скважин'!K723),#N/A,'[1]Точность устьев скважин'!K723)</f>
        <v>#N/A</v>
      </c>
      <c r="L721" s="63" t="e">
        <f t="shared" si="84"/>
        <v>#N/A</v>
      </c>
      <c r="O721" t="e">
        <f t="shared" si="78"/>
        <v>#N/A</v>
      </c>
      <c r="P721" t="e">
        <f t="shared" si="78"/>
        <v>#N/A</v>
      </c>
      <c r="Q721" t="e">
        <f t="shared" si="79"/>
        <v>#N/A</v>
      </c>
      <c r="R721" t="e">
        <f t="shared" si="79"/>
        <v>#N/A</v>
      </c>
      <c r="S721" t="e">
        <f t="shared" si="80"/>
        <v>#N/A</v>
      </c>
      <c r="T721" t="e">
        <f t="shared" si="80"/>
        <v>#N/A</v>
      </c>
      <c r="U721" t="e">
        <f t="shared" si="81"/>
        <v>#N/A</v>
      </c>
      <c r="V721" t="e">
        <f t="shared" si="81"/>
        <v>#N/A</v>
      </c>
      <c r="W721" t="e">
        <f t="shared" si="82"/>
        <v>#N/A</v>
      </c>
      <c r="X721" t="e">
        <f t="shared" si="82"/>
        <v>#N/A</v>
      </c>
      <c r="Y721" t="e">
        <f t="shared" si="83"/>
        <v>#N/A</v>
      </c>
      <c r="Z721" t="e">
        <f t="shared" si="83"/>
        <v>#N/A</v>
      </c>
    </row>
    <row r="722" spans="1:26">
      <c r="A722" t="e">
        <f>IF(ISBLANK('[1]Точность устьев скважин'!A724),#N/A,'[1]Точность устьев скважин'!A724)</f>
        <v>#N/A</v>
      </c>
      <c r="B722" t="e">
        <f>IF(ISBLANK('[1]Точность устьев скважин'!B724),#N/A,'[1]Точность устьев скважин'!B724)</f>
        <v>#N/A</v>
      </c>
      <c r="C722" t="e">
        <f>IF(ISBLANK('[1]Точность устьев скважин'!C724),#N/A,'[1]Точность устьев скважин'!C724)</f>
        <v>#N/A</v>
      </c>
      <c r="D722" t="e">
        <f>IF(ISBLANK('[1]Точность устьев скважин'!D724),#N/A,'[1]Точность устьев скважин'!D724)</f>
        <v>#N/A</v>
      </c>
      <c r="G722" t="e">
        <f>IF(ISBLANK('[1]Точность устьев скважин'!H724),#N/A,'[1]Точность устьев скважин'!H724)</f>
        <v>#N/A</v>
      </c>
      <c r="H722" t="e">
        <f>IF(ISBLANK('[1]Точность устьев скважин'!I724),#N/A,'[1]Точность устьев скважин'!I724)</f>
        <v>#N/A</v>
      </c>
      <c r="I722" t="e">
        <f>IF(ISBLANK('[1]Точность устьев скважин'!J724),#N/A,'[1]Точность устьев скважин'!J724)</f>
        <v>#N/A</v>
      </c>
      <c r="J722" t="e">
        <f>IF(ISBLANK('[1]Точность устьев скважин'!K724),#N/A,'[1]Точность устьев скважин'!K724)</f>
        <v>#N/A</v>
      </c>
      <c r="L722" s="63" t="e">
        <f t="shared" si="84"/>
        <v>#N/A</v>
      </c>
      <c r="O722" t="e">
        <f t="shared" si="78"/>
        <v>#N/A</v>
      </c>
      <c r="P722" t="e">
        <f t="shared" si="78"/>
        <v>#N/A</v>
      </c>
      <c r="Q722" t="e">
        <f t="shared" si="79"/>
        <v>#N/A</v>
      </c>
      <c r="R722" t="e">
        <f t="shared" si="79"/>
        <v>#N/A</v>
      </c>
      <c r="S722" t="e">
        <f t="shared" si="80"/>
        <v>#N/A</v>
      </c>
      <c r="T722" t="e">
        <f t="shared" si="80"/>
        <v>#N/A</v>
      </c>
      <c r="U722" t="e">
        <f t="shared" si="81"/>
        <v>#N/A</v>
      </c>
      <c r="V722" t="e">
        <f t="shared" si="81"/>
        <v>#N/A</v>
      </c>
      <c r="W722" t="e">
        <f t="shared" si="82"/>
        <v>#N/A</v>
      </c>
      <c r="X722" t="e">
        <f t="shared" si="82"/>
        <v>#N/A</v>
      </c>
      <c r="Y722" t="e">
        <f t="shared" si="83"/>
        <v>#N/A</v>
      </c>
      <c r="Z722" t="e">
        <f t="shared" si="83"/>
        <v>#N/A</v>
      </c>
    </row>
    <row r="723" spans="1:26">
      <c r="A723" t="e">
        <f>IF(ISBLANK('[1]Точность устьев скважин'!A725),#N/A,'[1]Точность устьев скважин'!A725)</f>
        <v>#N/A</v>
      </c>
      <c r="B723" t="e">
        <f>IF(ISBLANK('[1]Точность устьев скважин'!B725),#N/A,'[1]Точность устьев скважин'!B725)</f>
        <v>#N/A</v>
      </c>
      <c r="C723" t="e">
        <f>IF(ISBLANK('[1]Точность устьев скважин'!C725),#N/A,'[1]Точность устьев скважин'!C725)</f>
        <v>#N/A</v>
      </c>
      <c r="D723" t="e">
        <f>IF(ISBLANK('[1]Точность устьев скважин'!D725),#N/A,'[1]Точность устьев скважин'!D725)</f>
        <v>#N/A</v>
      </c>
      <c r="G723" t="e">
        <f>IF(ISBLANK('[1]Точность устьев скважин'!H725),#N/A,'[1]Точность устьев скважин'!H725)</f>
        <v>#N/A</v>
      </c>
      <c r="H723" t="e">
        <f>IF(ISBLANK('[1]Точность устьев скважин'!I725),#N/A,'[1]Точность устьев скважин'!I725)</f>
        <v>#N/A</v>
      </c>
      <c r="I723" t="e">
        <f>IF(ISBLANK('[1]Точность устьев скважин'!J725),#N/A,'[1]Точность устьев скважин'!J725)</f>
        <v>#N/A</v>
      </c>
      <c r="J723" t="e">
        <f>IF(ISBLANK('[1]Точность устьев скважин'!K725),#N/A,'[1]Точность устьев скважин'!K725)</f>
        <v>#N/A</v>
      </c>
      <c r="L723" s="63" t="e">
        <f t="shared" si="84"/>
        <v>#N/A</v>
      </c>
      <c r="O723" t="e">
        <f t="shared" si="78"/>
        <v>#N/A</v>
      </c>
      <c r="P723" t="e">
        <f t="shared" si="78"/>
        <v>#N/A</v>
      </c>
      <c r="Q723" t="e">
        <f t="shared" si="79"/>
        <v>#N/A</v>
      </c>
      <c r="R723" t="e">
        <f t="shared" si="79"/>
        <v>#N/A</v>
      </c>
      <c r="S723" t="e">
        <f t="shared" si="80"/>
        <v>#N/A</v>
      </c>
      <c r="T723" t="e">
        <f t="shared" si="80"/>
        <v>#N/A</v>
      </c>
      <c r="U723" t="e">
        <f t="shared" si="81"/>
        <v>#N/A</v>
      </c>
      <c r="V723" t="e">
        <f t="shared" si="81"/>
        <v>#N/A</v>
      </c>
      <c r="W723" t="e">
        <f t="shared" si="82"/>
        <v>#N/A</v>
      </c>
      <c r="X723" t="e">
        <f t="shared" si="82"/>
        <v>#N/A</v>
      </c>
      <c r="Y723" t="e">
        <f t="shared" si="83"/>
        <v>#N/A</v>
      </c>
      <c r="Z723" t="e">
        <f t="shared" si="83"/>
        <v>#N/A</v>
      </c>
    </row>
    <row r="724" spans="1:26">
      <c r="A724" t="e">
        <f>IF(ISBLANK('[1]Точность устьев скважин'!A726),#N/A,'[1]Точность устьев скважин'!A726)</f>
        <v>#N/A</v>
      </c>
      <c r="B724" t="e">
        <f>IF(ISBLANK('[1]Точность устьев скважин'!B726),#N/A,'[1]Точность устьев скважин'!B726)</f>
        <v>#N/A</v>
      </c>
      <c r="C724" t="e">
        <f>IF(ISBLANK('[1]Точность устьев скважин'!C726),#N/A,'[1]Точность устьев скважин'!C726)</f>
        <v>#N/A</v>
      </c>
      <c r="D724" t="e">
        <f>IF(ISBLANK('[1]Точность устьев скважин'!D726),#N/A,'[1]Точность устьев скважин'!D726)</f>
        <v>#N/A</v>
      </c>
      <c r="G724" t="e">
        <f>IF(ISBLANK('[1]Точность устьев скважин'!H726),#N/A,'[1]Точность устьев скважин'!H726)</f>
        <v>#N/A</v>
      </c>
      <c r="H724" t="e">
        <f>IF(ISBLANK('[1]Точность устьев скважин'!I726),#N/A,'[1]Точность устьев скважин'!I726)</f>
        <v>#N/A</v>
      </c>
      <c r="I724" t="e">
        <f>IF(ISBLANK('[1]Точность устьев скважин'!J726),#N/A,'[1]Точность устьев скважин'!J726)</f>
        <v>#N/A</v>
      </c>
      <c r="J724" t="e">
        <f>IF(ISBLANK('[1]Точность устьев скважин'!K726),#N/A,'[1]Точность устьев скважин'!K726)</f>
        <v>#N/A</v>
      </c>
      <c r="L724" s="63" t="e">
        <f t="shared" si="84"/>
        <v>#N/A</v>
      </c>
      <c r="O724" t="e">
        <f t="shared" si="78"/>
        <v>#N/A</v>
      </c>
      <c r="P724" t="e">
        <f t="shared" si="78"/>
        <v>#N/A</v>
      </c>
      <c r="Q724" t="e">
        <f t="shared" si="79"/>
        <v>#N/A</v>
      </c>
      <c r="R724" t="e">
        <f t="shared" si="79"/>
        <v>#N/A</v>
      </c>
      <c r="S724" t="e">
        <f t="shared" si="80"/>
        <v>#N/A</v>
      </c>
      <c r="T724" t="e">
        <f t="shared" si="80"/>
        <v>#N/A</v>
      </c>
      <c r="U724" t="e">
        <f t="shared" si="81"/>
        <v>#N/A</v>
      </c>
      <c r="V724" t="e">
        <f t="shared" si="81"/>
        <v>#N/A</v>
      </c>
      <c r="W724" t="e">
        <f t="shared" si="82"/>
        <v>#N/A</v>
      </c>
      <c r="X724" t="e">
        <f t="shared" si="82"/>
        <v>#N/A</v>
      </c>
      <c r="Y724" t="e">
        <f t="shared" si="83"/>
        <v>#N/A</v>
      </c>
      <c r="Z724" t="e">
        <f t="shared" si="83"/>
        <v>#N/A</v>
      </c>
    </row>
    <row r="725" spans="1:26">
      <c r="A725" t="e">
        <f>IF(ISBLANK('[1]Точность устьев скважин'!A727),#N/A,'[1]Точность устьев скважин'!A727)</f>
        <v>#N/A</v>
      </c>
      <c r="B725" t="e">
        <f>IF(ISBLANK('[1]Точность устьев скважин'!B727),#N/A,'[1]Точность устьев скважин'!B727)</f>
        <v>#N/A</v>
      </c>
      <c r="C725" t="e">
        <f>IF(ISBLANK('[1]Точность устьев скважин'!C727),#N/A,'[1]Точность устьев скважин'!C727)</f>
        <v>#N/A</v>
      </c>
      <c r="D725" t="e">
        <f>IF(ISBLANK('[1]Точность устьев скважин'!D727),#N/A,'[1]Точность устьев скважин'!D727)</f>
        <v>#N/A</v>
      </c>
      <c r="G725" t="e">
        <f>IF(ISBLANK('[1]Точность устьев скважин'!H727),#N/A,'[1]Точность устьев скважин'!H727)</f>
        <v>#N/A</v>
      </c>
      <c r="H725" t="e">
        <f>IF(ISBLANK('[1]Точность устьев скважин'!I727),#N/A,'[1]Точность устьев скважин'!I727)</f>
        <v>#N/A</v>
      </c>
      <c r="I725" t="e">
        <f>IF(ISBLANK('[1]Точность устьев скважин'!J727),#N/A,'[1]Точность устьев скважин'!J727)</f>
        <v>#N/A</v>
      </c>
      <c r="J725" t="e">
        <f>IF(ISBLANK('[1]Точность устьев скважин'!K727),#N/A,'[1]Точность устьев скважин'!K727)</f>
        <v>#N/A</v>
      </c>
      <c r="L725" s="63" t="e">
        <f t="shared" si="84"/>
        <v>#N/A</v>
      </c>
      <c r="O725" t="e">
        <f t="shared" si="78"/>
        <v>#N/A</v>
      </c>
      <c r="P725" t="e">
        <f t="shared" si="78"/>
        <v>#N/A</v>
      </c>
      <c r="Q725" t="e">
        <f t="shared" si="79"/>
        <v>#N/A</v>
      </c>
      <c r="R725" t="e">
        <f t="shared" si="79"/>
        <v>#N/A</v>
      </c>
      <c r="S725" t="e">
        <f t="shared" si="80"/>
        <v>#N/A</v>
      </c>
      <c r="T725" t="e">
        <f t="shared" si="80"/>
        <v>#N/A</v>
      </c>
      <c r="U725" t="e">
        <f t="shared" si="81"/>
        <v>#N/A</v>
      </c>
      <c r="V725" t="e">
        <f t="shared" si="81"/>
        <v>#N/A</v>
      </c>
      <c r="W725" t="e">
        <f t="shared" si="82"/>
        <v>#N/A</v>
      </c>
      <c r="X725" t="e">
        <f t="shared" si="82"/>
        <v>#N/A</v>
      </c>
      <c r="Y725" t="e">
        <f t="shared" si="83"/>
        <v>#N/A</v>
      </c>
      <c r="Z725" t="e">
        <f t="shared" si="83"/>
        <v>#N/A</v>
      </c>
    </row>
    <row r="726" spans="1:26">
      <c r="A726" t="e">
        <f>IF(ISBLANK('[1]Точность устьев скважин'!A728),#N/A,'[1]Точность устьев скважин'!A728)</f>
        <v>#N/A</v>
      </c>
      <c r="B726" t="e">
        <f>IF(ISBLANK('[1]Точность устьев скважин'!B728),#N/A,'[1]Точность устьев скважин'!B728)</f>
        <v>#N/A</v>
      </c>
      <c r="C726" t="e">
        <f>IF(ISBLANK('[1]Точность устьев скважин'!C728),#N/A,'[1]Точность устьев скважин'!C728)</f>
        <v>#N/A</v>
      </c>
      <c r="D726" t="e">
        <f>IF(ISBLANK('[1]Точность устьев скважин'!D728),#N/A,'[1]Точность устьев скважин'!D728)</f>
        <v>#N/A</v>
      </c>
      <c r="G726" t="e">
        <f>IF(ISBLANK('[1]Точность устьев скважин'!H728),#N/A,'[1]Точность устьев скважин'!H728)</f>
        <v>#N/A</v>
      </c>
      <c r="H726" t="e">
        <f>IF(ISBLANK('[1]Точность устьев скважин'!I728),#N/A,'[1]Точность устьев скважин'!I728)</f>
        <v>#N/A</v>
      </c>
      <c r="I726" t="e">
        <f>IF(ISBLANK('[1]Точность устьев скважин'!J728),#N/A,'[1]Точность устьев скважин'!J728)</f>
        <v>#N/A</v>
      </c>
      <c r="J726" t="e">
        <f>IF(ISBLANK('[1]Точность устьев скважин'!K728),#N/A,'[1]Точность устьев скважин'!K728)</f>
        <v>#N/A</v>
      </c>
      <c r="L726" s="63" t="e">
        <f t="shared" si="84"/>
        <v>#N/A</v>
      </c>
      <c r="O726" t="e">
        <f t="shared" si="78"/>
        <v>#N/A</v>
      </c>
      <c r="P726" t="e">
        <f t="shared" si="78"/>
        <v>#N/A</v>
      </c>
      <c r="Q726" t="e">
        <f t="shared" si="79"/>
        <v>#N/A</v>
      </c>
      <c r="R726" t="e">
        <f t="shared" si="79"/>
        <v>#N/A</v>
      </c>
      <c r="S726" t="e">
        <f t="shared" si="80"/>
        <v>#N/A</v>
      </c>
      <c r="T726" t="e">
        <f t="shared" si="80"/>
        <v>#N/A</v>
      </c>
      <c r="U726" t="e">
        <f t="shared" si="81"/>
        <v>#N/A</v>
      </c>
      <c r="V726" t="e">
        <f t="shared" si="81"/>
        <v>#N/A</v>
      </c>
      <c r="W726" t="e">
        <f t="shared" si="82"/>
        <v>#N/A</v>
      </c>
      <c r="X726" t="e">
        <f t="shared" si="82"/>
        <v>#N/A</v>
      </c>
      <c r="Y726" t="e">
        <f t="shared" si="83"/>
        <v>#N/A</v>
      </c>
      <c r="Z726" t="e">
        <f t="shared" si="83"/>
        <v>#N/A</v>
      </c>
    </row>
    <row r="727" spans="1:26">
      <c r="A727" t="e">
        <f>IF(ISBLANK('[1]Точность устьев скважин'!A729),#N/A,'[1]Точность устьев скважин'!A729)</f>
        <v>#N/A</v>
      </c>
      <c r="B727" t="e">
        <f>IF(ISBLANK('[1]Точность устьев скважин'!B729),#N/A,'[1]Точность устьев скважин'!B729)</f>
        <v>#N/A</v>
      </c>
      <c r="C727" t="e">
        <f>IF(ISBLANK('[1]Точность устьев скважин'!C729),#N/A,'[1]Точность устьев скважин'!C729)</f>
        <v>#N/A</v>
      </c>
      <c r="D727" t="e">
        <f>IF(ISBLANK('[1]Точность устьев скважин'!D729),#N/A,'[1]Точность устьев скважин'!D729)</f>
        <v>#N/A</v>
      </c>
      <c r="G727" t="e">
        <f>IF(ISBLANK('[1]Точность устьев скважин'!H729),#N/A,'[1]Точность устьев скважин'!H729)</f>
        <v>#N/A</v>
      </c>
      <c r="H727" t="e">
        <f>IF(ISBLANK('[1]Точность устьев скважин'!I729),#N/A,'[1]Точность устьев скважин'!I729)</f>
        <v>#N/A</v>
      </c>
      <c r="I727" t="e">
        <f>IF(ISBLANK('[1]Точность устьев скважин'!J729),#N/A,'[1]Точность устьев скважин'!J729)</f>
        <v>#N/A</v>
      </c>
      <c r="J727" t="e">
        <f>IF(ISBLANK('[1]Точность устьев скважин'!K729),#N/A,'[1]Точность устьев скважин'!K729)</f>
        <v>#N/A</v>
      </c>
      <c r="L727" s="63" t="e">
        <f t="shared" si="84"/>
        <v>#N/A</v>
      </c>
      <c r="O727" t="e">
        <f t="shared" si="78"/>
        <v>#N/A</v>
      </c>
      <c r="P727" t="e">
        <f t="shared" si="78"/>
        <v>#N/A</v>
      </c>
      <c r="Q727" t="e">
        <f t="shared" si="79"/>
        <v>#N/A</v>
      </c>
      <c r="R727" t="e">
        <f t="shared" si="79"/>
        <v>#N/A</v>
      </c>
      <c r="S727" t="e">
        <f t="shared" si="80"/>
        <v>#N/A</v>
      </c>
      <c r="T727" t="e">
        <f t="shared" si="80"/>
        <v>#N/A</v>
      </c>
      <c r="U727" t="e">
        <f t="shared" si="81"/>
        <v>#N/A</v>
      </c>
      <c r="V727" t="e">
        <f t="shared" si="81"/>
        <v>#N/A</v>
      </c>
      <c r="W727" t="e">
        <f t="shared" si="82"/>
        <v>#N/A</v>
      </c>
      <c r="X727" t="e">
        <f t="shared" si="82"/>
        <v>#N/A</v>
      </c>
      <c r="Y727" t="e">
        <f t="shared" si="83"/>
        <v>#N/A</v>
      </c>
      <c r="Z727" t="e">
        <f t="shared" si="83"/>
        <v>#N/A</v>
      </c>
    </row>
    <row r="728" spans="1:26">
      <c r="A728" t="e">
        <f>IF(ISBLANK('[1]Точность устьев скважин'!A730),#N/A,'[1]Точность устьев скважин'!A730)</f>
        <v>#N/A</v>
      </c>
      <c r="B728" t="e">
        <f>IF(ISBLANK('[1]Точность устьев скважин'!B730),#N/A,'[1]Точность устьев скважин'!B730)</f>
        <v>#N/A</v>
      </c>
      <c r="C728" t="e">
        <f>IF(ISBLANK('[1]Точность устьев скважин'!C730),#N/A,'[1]Точность устьев скважин'!C730)</f>
        <v>#N/A</v>
      </c>
      <c r="D728" t="e">
        <f>IF(ISBLANK('[1]Точность устьев скважин'!D730),#N/A,'[1]Точность устьев скважин'!D730)</f>
        <v>#N/A</v>
      </c>
      <c r="G728" t="e">
        <f>IF(ISBLANK('[1]Точность устьев скважин'!H730),#N/A,'[1]Точность устьев скважин'!H730)</f>
        <v>#N/A</v>
      </c>
      <c r="H728" t="e">
        <f>IF(ISBLANK('[1]Точность устьев скважин'!I730),#N/A,'[1]Точность устьев скважин'!I730)</f>
        <v>#N/A</v>
      </c>
      <c r="I728" t="e">
        <f>IF(ISBLANK('[1]Точность устьев скважин'!J730),#N/A,'[1]Точность устьев скважин'!J730)</f>
        <v>#N/A</v>
      </c>
      <c r="J728" t="e">
        <f>IF(ISBLANK('[1]Точность устьев скважин'!K730),#N/A,'[1]Точность устьев скважин'!K730)</f>
        <v>#N/A</v>
      </c>
      <c r="L728" s="63" t="e">
        <f t="shared" si="84"/>
        <v>#N/A</v>
      </c>
      <c r="O728" t="e">
        <f t="shared" si="78"/>
        <v>#N/A</v>
      </c>
      <c r="P728" t="e">
        <f t="shared" si="78"/>
        <v>#N/A</v>
      </c>
      <c r="Q728" t="e">
        <f t="shared" si="79"/>
        <v>#N/A</v>
      </c>
      <c r="R728" t="e">
        <f t="shared" si="79"/>
        <v>#N/A</v>
      </c>
      <c r="S728" t="e">
        <f t="shared" si="80"/>
        <v>#N/A</v>
      </c>
      <c r="T728" t="e">
        <f t="shared" si="80"/>
        <v>#N/A</v>
      </c>
      <c r="U728" t="e">
        <f t="shared" si="81"/>
        <v>#N/A</v>
      </c>
      <c r="V728" t="e">
        <f t="shared" si="81"/>
        <v>#N/A</v>
      </c>
      <c r="W728" t="e">
        <f t="shared" si="82"/>
        <v>#N/A</v>
      </c>
      <c r="X728" t="e">
        <f t="shared" si="82"/>
        <v>#N/A</v>
      </c>
      <c r="Y728" t="e">
        <f t="shared" si="83"/>
        <v>#N/A</v>
      </c>
      <c r="Z728" t="e">
        <f t="shared" si="83"/>
        <v>#N/A</v>
      </c>
    </row>
    <row r="729" spans="1:26">
      <c r="A729" t="e">
        <f>IF(ISBLANK('[1]Точность устьев скважин'!A731),#N/A,'[1]Точность устьев скважин'!A731)</f>
        <v>#N/A</v>
      </c>
      <c r="B729" t="e">
        <f>IF(ISBLANK('[1]Точность устьев скважин'!B731),#N/A,'[1]Точность устьев скважин'!B731)</f>
        <v>#N/A</v>
      </c>
      <c r="C729" t="e">
        <f>IF(ISBLANK('[1]Точность устьев скважин'!C731),#N/A,'[1]Точность устьев скважин'!C731)</f>
        <v>#N/A</v>
      </c>
      <c r="D729" t="e">
        <f>IF(ISBLANK('[1]Точность устьев скважин'!D731),#N/A,'[1]Точность устьев скважин'!D731)</f>
        <v>#N/A</v>
      </c>
      <c r="G729" t="e">
        <f>IF(ISBLANK('[1]Точность устьев скважин'!H731),#N/A,'[1]Точность устьев скважин'!H731)</f>
        <v>#N/A</v>
      </c>
      <c r="H729" t="e">
        <f>IF(ISBLANK('[1]Точность устьев скважин'!I731),#N/A,'[1]Точность устьев скважин'!I731)</f>
        <v>#N/A</v>
      </c>
      <c r="I729" t="e">
        <f>IF(ISBLANK('[1]Точность устьев скважин'!J731),#N/A,'[1]Точность устьев скважин'!J731)</f>
        <v>#N/A</v>
      </c>
      <c r="J729" t="e">
        <f>IF(ISBLANK('[1]Точность устьев скважин'!K731),#N/A,'[1]Точность устьев скважин'!K731)</f>
        <v>#N/A</v>
      </c>
      <c r="L729" s="63" t="e">
        <f t="shared" si="84"/>
        <v>#N/A</v>
      </c>
      <c r="O729" t="e">
        <f t="shared" si="78"/>
        <v>#N/A</v>
      </c>
      <c r="P729" t="e">
        <f t="shared" si="78"/>
        <v>#N/A</v>
      </c>
      <c r="Q729" t="e">
        <f t="shared" si="79"/>
        <v>#N/A</v>
      </c>
      <c r="R729" t="e">
        <f t="shared" si="79"/>
        <v>#N/A</v>
      </c>
      <c r="S729" t="e">
        <f t="shared" si="80"/>
        <v>#N/A</v>
      </c>
      <c r="T729" t="e">
        <f t="shared" si="80"/>
        <v>#N/A</v>
      </c>
      <c r="U729" t="e">
        <f t="shared" si="81"/>
        <v>#N/A</v>
      </c>
      <c r="V729" t="e">
        <f t="shared" si="81"/>
        <v>#N/A</v>
      </c>
      <c r="W729" t="e">
        <f t="shared" si="82"/>
        <v>#N/A</v>
      </c>
      <c r="X729" t="e">
        <f t="shared" si="82"/>
        <v>#N/A</v>
      </c>
      <c r="Y729" t="e">
        <f t="shared" si="83"/>
        <v>#N/A</v>
      </c>
      <c r="Z729" t="e">
        <f t="shared" si="83"/>
        <v>#N/A</v>
      </c>
    </row>
    <row r="730" spans="1:26">
      <c r="A730" t="e">
        <f>IF(ISBLANK('[1]Точность устьев скважин'!A732),#N/A,'[1]Точность устьев скважин'!A732)</f>
        <v>#N/A</v>
      </c>
      <c r="B730" t="e">
        <f>IF(ISBLANK('[1]Точность устьев скважин'!B732),#N/A,'[1]Точность устьев скважин'!B732)</f>
        <v>#N/A</v>
      </c>
      <c r="C730" t="e">
        <f>IF(ISBLANK('[1]Точность устьев скважин'!C732),#N/A,'[1]Точность устьев скважин'!C732)</f>
        <v>#N/A</v>
      </c>
      <c r="D730" t="e">
        <f>IF(ISBLANK('[1]Точность устьев скважин'!D732),#N/A,'[1]Точность устьев скважин'!D732)</f>
        <v>#N/A</v>
      </c>
      <c r="G730" t="e">
        <f>IF(ISBLANK('[1]Точность устьев скважин'!H732),#N/A,'[1]Точность устьев скважин'!H732)</f>
        <v>#N/A</v>
      </c>
      <c r="H730" t="e">
        <f>IF(ISBLANK('[1]Точность устьев скважин'!I732),#N/A,'[1]Точность устьев скважин'!I732)</f>
        <v>#N/A</v>
      </c>
      <c r="I730" t="e">
        <f>IF(ISBLANK('[1]Точность устьев скважин'!J732),#N/A,'[1]Точность устьев скважин'!J732)</f>
        <v>#N/A</v>
      </c>
      <c r="J730" t="e">
        <f>IF(ISBLANK('[1]Точность устьев скважин'!K732),#N/A,'[1]Точность устьев скважин'!K732)</f>
        <v>#N/A</v>
      </c>
      <c r="L730" s="63" t="e">
        <f t="shared" si="84"/>
        <v>#N/A</v>
      </c>
      <c r="O730" t="e">
        <f t="shared" si="78"/>
        <v>#N/A</v>
      </c>
      <c r="P730" t="e">
        <f t="shared" si="78"/>
        <v>#N/A</v>
      </c>
      <c r="Q730" t="e">
        <f t="shared" si="79"/>
        <v>#N/A</v>
      </c>
      <c r="R730" t="e">
        <f t="shared" si="79"/>
        <v>#N/A</v>
      </c>
      <c r="S730" t="e">
        <f t="shared" si="80"/>
        <v>#N/A</v>
      </c>
      <c r="T730" t="e">
        <f t="shared" si="80"/>
        <v>#N/A</v>
      </c>
      <c r="U730" t="e">
        <f t="shared" si="81"/>
        <v>#N/A</v>
      </c>
      <c r="V730" t="e">
        <f t="shared" si="81"/>
        <v>#N/A</v>
      </c>
      <c r="W730" t="e">
        <f t="shared" si="82"/>
        <v>#N/A</v>
      </c>
      <c r="X730" t="e">
        <f t="shared" si="82"/>
        <v>#N/A</v>
      </c>
      <c r="Y730" t="e">
        <f t="shared" si="83"/>
        <v>#N/A</v>
      </c>
      <c r="Z730" t="e">
        <f t="shared" si="83"/>
        <v>#N/A</v>
      </c>
    </row>
    <row r="731" spans="1:26">
      <c r="A731" t="e">
        <f>IF(ISBLANK('[1]Точность устьев скважин'!A733),#N/A,'[1]Точность устьев скважин'!A733)</f>
        <v>#N/A</v>
      </c>
      <c r="B731" t="e">
        <f>IF(ISBLANK('[1]Точность устьев скважин'!B733),#N/A,'[1]Точность устьев скважин'!B733)</f>
        <v>#N/A</v>
      </c>
      <c r="C731" t="e">
        <f>IF(ISBLANK('[1]Точность устьев скважин'!C733),#N/A,'[1]Точность устьев скважин'!C733)</f>
        <v>#N/A</v>
      </c>
      <c r="D731" t="e">
        <f>IF(ISBLANK('[1]Точность устьев скважин'!D733),#N/A,'[1]Точность устьев скважин'!D733)</f>
        <v>#N/A</v>
      </c>
      <c r="G731" t="e">
        <f>IF(ISBLANK('[1]Точность устьев скважин'!H733),#N/A,'[1]Точность устьев скважин'!H733)</f>
        <v>#N/A</v>
      </c>
      <c r="H731" t="e">
        <f>IF(ISBLANK('[1]Точность устьев скважин'!I733),#N/A,'[1]Точность устьев скважин'!I733)</f>
        <v>#N/A</v>
      </c>
      <c r="I731" t="e">
        <f>IF(ISBLANK('[1]Точность устьев скважин'!J733),#N/A,'[1]Точность устьев скважин'!J733)</f>
        <v>#N/A</v>
      </c>
      <c r="J731" t="e">
        <f>IF(ISBLANK('[1]Точность устьев скважин'!K733),#N/A,'[1]Точность устьев скважин'!K733)</f>
        <v>#N/A</v>
      </c>
      <c r="L731" s="63" t="e">
        <f t="shared" si="84"/>
        <v>#N/A</v>
      </c>
      <c r="O731" t="e">
        <f t="shared" si="78"/>
        <v>#N/A</v>
      </c>
      <c r="P731" t="e">
        <f t="shared" si="78"/>
        <v>#N/A</v>
      </c>
      <c r="Q731" t="e">
        <f t="shared" si="79"/>
        <v>#N/A</v>
      </c>
      <c r="R731" t="e">
        <f t="shared" si="79"/>
        <v>#N/A</v>
      </c>
      <c r="S731" t="e">
        <f t="shared" si="80"/>
        <v>#N/A</v>
      </c>
      <c r="T731" t="e">
        <f t="shared" si="80"/>
        <v>#N/A</v>
      </c>
      <c r="U731" t="e">
        <f t="shared" si="81"/>
        <v>#N/A</v>
      </c>
      <c r="V731" t="e">
        <f t="shared" si="81"/>
        <v>#N/A</v>
      </c>
      <c r="W731" t="e">
        <f t="shared" si="82"/>
        <v>#N/A</v>
      </c>
      <c r="X731" t="e">
        <f t="shared" si="82"/>
        <v>#N/A</v>
      </c>
      <c r="Y731" t="e">
        <f t="shared" si="83"/>
        <v>#N/A</v>
      </c>
      <c r="Z731" t="e">
        <f t="shared" si="83"/>
        <v>#N/A</v>
      </c>
    </row>
    <row r="732" spans="1:26">
      <c r="A732" t="e">
        <f>IF(ISBLANK('[1]Точность устьев скважин'!A734),#N/A,'[1]Точность устьев скважин'!A734)</f>
        <v>#N/A</v>
      </c>
      <c r="B732" t="e">
        <f>IF(ISBLANK('[1]Точность устьев скважин'!B734),#N/A,'[1]Точность устьев скважин'!B734)</f>
        <v>#N/A</v>
      </c>
      <c r="C732" t="e">
        <f>IF(ISBLANK('[1]Точность устьев скважин'!C734),#N/A,'[1]Точность устьев скважин'!C734)</f>
        <v>#N/A</v>
      </c>
      <c r="D732" t="e">
        <f>IF(ISBLANK('[1]Точность устьев скважин'!D734),#N/A,'[1]Точность устьев скважин'!D734)</f>
        <v>#N/A</v>
      </c>
      <c r="G732" t="e">
        <f>IF(ISBLANK('[1]Точность устьев скважин'!H734),#N/A,'[1]Точность устьев скважин'!H734)</f>
        <v>#N/A</v>
      </c>
      <c r="H732" t="e">
        <f>IF(ISBLANK('[1]Точность устьев скважин'!I734),#N/A,'[1]Точность устьев скважин'!I734)</f>
        <v>#N/A</v>
      </c>
      <c r="I732" t="e">
        <f>IF(ISBLANK('[1]Точность устьев скважин'!J734),#N/A,'[1]Точность устьев скважин'!J734)</f>
        <v>#N/A</v>
      </c>
      <c r="J732" t="e">
        <f>IF(ISBLANK('[1]Точность устьев скважин'!K734),#N/A,'[1]Точность устьев скважин'!K734)</f>
        <v>#N/A</v>
      </c>
      <c r="L732" s="63" t="e">
        <f t="shared" si="84"/>
        <v>#N/A</v>
      </c>
      <c r="O732" t="e">
        <f t="shared" si="78"/>
        <v>#N/A</v>
      </c>
      <c r="P732" t="e">
        <f t="shared" si="78"/>
        <v>#N/A</v>
      </c>
      <c r="Q732" t="e">
        <f t="shared" si="79"/>
        <v>#N/A</v>
      </c>
      <c r="R732" t="e">
        <f t="shared" si="79"/>
        <v>#N/A</v>
      </c>
      <c r="S732" t="e">
        <f t="shared" si="80"/>
        <v>#N/A</v>
      </c>
      <c r="T732" t="e">
        <f t="shared" si="80"/>
        <v>#N/A</v>
      </c>
      <c r="U732" t="e">
        <f t="shared" si="81"/>
        <v>#N/A</v>
      </c>
      <c r="V732" t="e">
        <f t="shared" si="81"/>
        <v>#N/A</v>
      </c>
      <c r="W732" t="e">
        <f t="shared" si="82"/>
        <v>#N/A</v>
      </c>
      <c r="X732" t="e">
        <f t="shared" si="82"/>
        <v>#N/A</v>
      </c>
      <c r="Y732" t="e">
        <f t="shared" si="83"/>
        <v>#N/A</v>
      </c>
      <c r="Z732" t="e">
        <f t="shared" si="83"/>
        <v>#N/A</v>
      </c>
    </row>
    <row r="733" spans="1:26">
      <c r="A733" t="e">
        <f>IF(ISBLANK('[1]Точность устьев скважин'!A735),#N/A,'[1]Точность устьев скважин'!A735)</f>
        <v>#N/A</v>
      </c>
      <c r="B733" t="e">
        <f>IF(ISBLANK('[1]Точность устьев скважин'!B735),#N/A,'[1]Точность устьев скважин'!B735)</f>
        <v>#N/A</v>
      </c>
      <c r="C733" t="e">
        <f>IF(ISBLANK('[1]Точность устьев скважин'!C735),#N/A,'[1]Точность устьев скважин'!C735)</f>
        <v>#N/A</v>
      </c>
      <c r="D733" t="e">
        <f>IF(ISBLANK('[1]Точность устьев скважин'!D735),#N/A,'[1]Точность устьев скважин'!D735)</f>
        <v>#N/A</v>
      </c>
      <c r="G733" t="e">
        <f>IF(ISBLANK('[1]Точность устьев скважин'!H735),#N/A,'[1]Точность устьев скважин'!H735)</f>
        <v>#N/A</v>
      </c>
      <c r="H733" t="e">
        <f>IF(ISBLANK('[1]Точность устьев скважин'!I735),#N/A,'[1]Точность устьев скважин'!I735)</f>
        <v>#N/A</v>
      </c>
      <c r="I733" t="e">
        <f>IF(ISBLANK('[1]Точность устьев скважин'!J735),#N/A,'[1]Точность устьев скважин'!J735)</f>
        <v>#N/A</v>
      </c>
      <c r="J733" t="e">
        <f>IF(ISBLANK('[1]Точность устьев скважин'!K735),#N/A,'[1]Точность устьев скважин'!K735)</f>
        <v>#N/A</v>
      </c>
      <c r="L733" s="63" t="e">
        <f t="shared" si="84"/>
        <v>#N/A</v>
      </c>
      <c r="O733" t="e">
        <f t="shared" si="78"/>
        <v>#N/A</v>
      </c>
      <c r="P733" t="e">
        <f t="shared" si="78"/>
        <v>#N/A</v>
      </c>
      <c r="Q733" t="e">
        <f t="shared" si="79"/>
        <v>#N/A</v>
      </c>
      <c r="R733" t="e">
        <f t="shared" si="79"/>
        <v>#N/A</v>
      </c>
      <c r="S733" t="e">
        <f t="shared" si="80"/>
        <v>#N/A</v>
      </c>
      <c r="T733" t="e">
        <f t="shared" si="80"/>
        <v>#N/A</v>
      </c>
      <c r="U733" t="e">
        <f t="shared" si="81"/>
        <v>#N/A</v>
      </c>
      <c r="V733" t="e">
        <f t="shared" si="81"/>
        <v>#N/A</v>
      </c>
      <c r="W733" t="e">
        <f t="shared" si="82"/>
        <v>#N/A</v>
      </c>
      <c r="X733" t="e">
        <f t="shared" si="82"/>
        <v>#N/A</v>
      </c>
      <c r="Y733" t="e">
        <f t="shared" si="83"/>
        <v>#N/A</v>
      </c>
      <c r="Z733" t="e">
        <f t="shared" si="83"/>
        <v>#N/A</v>
      </c>
    </row>
    <row r="734" spans="1:26">
      <c r="A734" t="e">
        <f>IF(ISBLANK('[1]Точность устьев скважин'!A736),#N/A,'[1]Точность устьев скважин'!A736)</f>
        <v>#N/A</v>
      </c>
      <c r="B734" t="e">
        <f>IF(ISBLANK('[1]Точность устьев скважин'!B736),#N/A,'[1]Точность устьев скважин'!B736)</f>
        <v>#N/A</v>
      </c>
      <c r="C734" t="e">
        <f>IF(ISBLANK('[1]Точность устьев скважин'!C736),#N/A,'[1]Точность устьев скважин'!C736)</f>
        <v>#N/A</v>
      </c>
      <c r="D734" t="e">
        <f>IF(ISBLANK('[1]Точность устьев скважин'!D736),#N/A,'[1]Точность устьев скважин'!D736)</f>
        <v>#N/A</v>
      </c>
      <c r="G734" t="e">
        <f>IF(ISBLANK('[1]Точность устьев скважин'!H736),#N/A,'[1]Точность устьев скважин'!H736)</f>
        <v>#N/A</v>
      </c>
      <c r="H734" t="e">
        <f>IF(ISBLANK('[1]Точность устьев скважин'!I736),#N/A,'[1]Точность устьев скважин'!I736)</f>
        <v>#N/A</v>
      </c>
      <c r="I734" t="e">
        <f>IF(ISBLANK('[1]Точность устьев скважин'!J736),#N/A,'[1]Точность устьев скважин'!J736)</f>
        <v>#N/A</v>
      </c>
      <c r="J734" t="e">
        <f>IF(ISBLANK('[1]Точность устьев скважин'!K736),#N/A,'[1]Точность устьев скважин'!K736)</f>
        <v>#N/A</v>
      </c>
      <c r="L734" s="63" t="e">
        <f t="shared" si="84"/>
        <v>#N/A</v>
      </c>
      <c r="O734" t="e">
        <f t="shared" si="78"/>
        <v>#N/A</v>
      </c>
      <c r="P734" t="e">
        <f t="shared" si="78"/>
        <v>#N/A</v>
      </c>
      <c r="Q734" t="e">
        <f t="shared" si="79"/>
        <v>#N/A</v>
      </c>
      <c r="R734" t="e">
        <f t="shared" si="79"/>
        <v>#N/A</v>
      </c>
      <c r="S734" t="e">
        <f t="shared" si="80"/>
        <v>#N/A</v>
      </c>
      <c r="T734" t="e">
        <f t="shared" si="80"/>
        <v>#N/A</v>
      </c>
      <c r="U734" t="e">
        <f t="shared" si="81"/>
        <v>#N/A</v>
      </c>
      <c r="V734" t="e">
        <f t="shared" si="81"/>
        <v>#N/A</v>
      </c>
      <c r="W734" t="e">
        <f t="shared" si="82"/>
        <v>#N/A</v>
      </c>
      <c r="X734" t="e">
        <f t="shared" si="82"/>
        <v>#N/A</v>
      </c>
      <c r="Y734" t="e">
        <f t="shared" si="83"/>
        <v>#N/A</v>
      </c>
      <c r="Z734" t="e">
        <f t="shared" si="83"/>
        <v>#N/A</v>
      </c>
    </row>
    <row r="735" spans="1:26">
      <c r="A735" t="e">
        <f>IF(ISBLANK('[1]Точность устьев скважин'!A737),#N/A,'[1]Точность устьев скважин'!A737)</f>
        <v>#N/A</v>
      </c>
      <c r="B735" t="e">
        <f>IF(ISBLANK('[1]Точность устьев скважин'!B737),#N/A,'[1]Точность устьев скважин'!B737)</f>
        <v>#N/A</v>
      </c>
      <c r="C735" t="e">
        <f>IF(ISBLANK('[1]Точность устьев скважин'!C737),#N/A,'[1]Точность устьев скважин'!C737)</f>
        <v>#N/A</v>
      </c>
      <c r="D735" t="e">
        <f>IF(ISBLANK('[1]Точность устьев скважин'!D737),#N/A,'[1]Точность устьев скважин'!D737)</f>
        <v>#N/A</v>
      </c>
      <c r="G735" t="e">
        <f>IF(ISBLANK('[1]Точность устьев скважин'!H737),#N/A,'[1]Точность устьев скважин'!H737)</f>
        <v>#N/A</v>
      </c>
      <c r="H735" t="e">
        <f>IF(ISBLANK('[1]Точность устьев скважин'!I737),#N/A,'[1]Точность устьев скважин'!I737)</f>
        <v>#N/A</v>
      </c>
      <c r="I735" t="e">
        <f>IF(ISBLANK('[1]Точность устьев скважин'!J737),#N/A,'[1]Точность устьев скважин'!J737)</f>
        <v>#N/A</v>
      </c>
      <c r="J735" t="e">
        <f>IF(ISBLANK('[1]Точность устьев скважин'!K737),#N/A,'[1]Точность устьев скважин'!K737)</f>
        <v>#N/A</v>
      </c>
      <c r="L735" s="63" t="e">
        <f t="shared" si="84"/>
        <v>#N/A</v>
      </c>
      <c r="O735" t="e">
        <f t="shared" si="78"/>
        <v>#N/A</v>
      </c>
      <c r="P735" t="e">
        <f t="shared" si="78"/>
        <v>#N/A</v>
      </c>
      <c r="Q735" t="e">
        <f t="shared" si="79"/>
        <v>#N/A</v>
      </c>
      <c r="R735" t="e">
        <f t="shared" si="79"/>
        <v>#N/A</v>
      </c>
      <c r="S735" t="e">
        <f t="shared" si="80"/>
        <v>#N/A</v>
      </c>
      <c r="T735" t="e">
        <f t="shared" si="80"/>
        <v>#N/A</v>
      </c>
      <c r="U735" t="e">
        <f t="shared" si="81"/>
        <v>#N/A</v>
      </c>
      <c r="V735" t="e">
        <f t="shared" si="81"/>
        <v>#N/A</v>
      </c>
      <c r="W735" t="e">
        <f t="shared" si="82"/>
        <v>#N/A</v>
      </c>
      <c r="X735" t="e">
        <f t="shared" si="82"/>
        <v>#N/A</v>
      </c>
      <c r="Y735" t="e">
        <f t="shared" si="83"/>
        <v>#N/A</v>
      </c>
      <c r="Z735" t="e">
        <f t="shared" si="83"/>
        <v>#N/A</v>
      </c>
    </row>
    <row r="736" spans="1:26">
      <c r="A736" t="e">
        <f>IF(ISBLANK('[1]Точность устьев скважин'!A738),#N/A,'[1]Точность устьев скважин'!A738)</f>
        <v>#N/A</v>
      </c>
      <c r="B736" t="e">
        <f>IF(ISBLANK('[1]Точность устьев скважин'!B738),#N/A,'[1]Точность устьев скважин'!B738)</f>
        <v>#N/A</v>
      </c>
      <c r="C736" t="e">
        <f>IF(ISBLANK('[1]Точность устьев скважин'!C738),#N/A,'[1]Точность устьев скважин'!C738)</f>
        <v>#N/A</v>
      </c>
      <c r="D736" t="e">
        <f>IF(ISBLANK('[1]Точность устьев скважин'!D738),#N/A,'[1]Точность устьев скважин'!D738)</f>
        <v>#N/A</v>
      </c>
      <c r="G736" t="e">
        <f>IF(ISBLANK('[1]Точность устьев скважин'!H738),#N/A,'[1]Точность устьев скважин'!H738)</f>
        <v>#N/A</v>
      </c>
      <c r="H736" t="e">
        <f>IF(ISBLANK('[1]Точность устьев скважин'!I738),#N/A,'[1]Точность устьев скважин'!I738)</f>
        <v>#N/A</v>
      </c>
      <c r="I736" t="e">
        <f>IF(ISBLANK('[1]Точность устьев скважин'!J738),#N/A,'[1]Точность устьев скважин'!J738)</f>
        <v>#N/A</v>
      </c>
      <c r="J736" t="e">
        <f>IF(ISBLANK('[1]Точность устьев скважин'!K738),#N/A,'[1]Точность устьев скважин'!K738)</f>
        <v>#N/A</v>
      </c>
      <c r="L736" s="63" t="e">
        <f t="shared" si="84"/>
        <v>#N/A</v>
      </c>
      <c r="O736" t="e">
        <f t="shared" si="78"/>
        <v>#N/A</v>
      </c>
      <c r="P736" t="e">
        <f t="shared" si="78"/>
        <v>#N/A</v>
      </c>
      <c r="Q736" t="e">
        <f t="shared" si="79"/>
        <v>#N/A</v>
      </c>
      <c r="R736" t="e">
        <f t="shared" si="79"/>
        <v>#N/A</v>
      </c>
      <c r="S736" t="e">
        <f t="shared" si="80"/>
        <v>#N/A</v>
      </c>
      <c r="T736" t="e">
        <f t="shared" si="80"/>
        <v>#N/A</v>
      </c>
      <c r="U736" t="e">
        <f t="shared" si="81"/>
        <v>#N/A</v>
      </c>
      <c r="V736" t="e">
        <f t="shared" si="81"/>
        <v>#N/A</v>
      </c>
      <c r="W736" t="e">
        <f t="shared" si="82"/>
        <v>#N/A</v>
      </c>
      <c r="X736" t="e">
        <f t="shared" si="82"/>
        <v>#N/A</v>
      </c>
      <c r="Y736" t="e">
        <f t="shared" si="83"/>
        <v>#N/A</v>
      </c>
      <c r="Z736" t="e">
        <f t="shared" si="83"/>
        <v>#N/A</v>
      </c>
    </row>
    <row r="737" spans="1:26">
      <c r="A737" t="e">
        <f>IF(ISBLANK('[1]Точность устьев скважин'!A739),#N/A,'[1]Точность устьев скважин'!A739)</f>
        <v>#N/A</v>
      </c>
      <c r="B737" t="e">
        <f>IF(ISBLANK('[1]Точность устьев скважин'!B739),#N/A,'[1]Точность устьев скважин'!B739)</f>
        <v>#N/A</v>
      </c>
      <c r="C737" t="e">
        <f>IF(ISBLANK('[1]Точность устьев скважин'!C739),#N/A,'[1]Точность устьев скважин'!C739)</f>
        <v>#N/A</v>
      </c>
      <c r="D737" t="e">
        <f>IF(ISBLANK('[1]Точность устьев скважин'!D739),#N/A,'[1]Точность устьев скважин'!D739)</f>
        <v>#N/A</v>
      </c>
      <c r="G737" t="e">
        <f>IF(ISBLANK('[1]Точность устьев скважин'!H739),#N/A,'[1]Точность устьев скважин'!H739)</f>
        <v>#N/A</v>
      </c>
      <c r="H737" t="e">
        <f>IF(ISBLANK('[1]Точность устьев скважин'!I739),#N/A,'[1]Точность устьев скважин'!I739)</f>
        <v>#N/A</v>
      </c>
      <c r="I737" t="e">
        <f>IF(ISBLANK('[1]Точность устьев скважин'!J739),#N/A,'[1]Точность устьев скважин'!J739)</f>
        <v>#N/A</v>
      </c>
      <c r="J737" t="e">
        <f>IF(ISBLANK('[1]Точность устьев скважин'!K739),#N/A,'[1]Точность устьев скважин'!K739)</f>
        <v>#N/A</v>
      </c>
      <c r="L737" s="63" t="e">
        <f t="shared" si="84"/>
        <v>#N/A</v>
      </c>
      <c r="O737" t="e">
        <f t="shared" si="78"/>
        <v>#N/A</v>
      </c>
      <c r="P737" t="e">
        <f t="shared" si="78"/>
        <v>#N/A</v>
      </c>
      <c r="Q737" t="e">
        <f t="shared" si="79"/>
        <v>#N/A</v>
      </c>
      <c r="R737" t="e">
        <f t="shared" si="79"/>
        <v>#N/A</v>
      </c>
      <c r="S737" t="e">
        <f t="shared" si="80"/>
        <v>#N/A</v>
      </c>
      <c r="T737" t="e">
        <f t="shared" si="80"/>
        <v>#N/A</v>
      </c>
      <c r="U737" t="e">
        <f t="shared" si="81"/>
        <v>#N/A</v>
      </c>
      <c r="V737" t="e">
        <f t="shared" si="81"/>
        <v>#N/A</v>
      </c>
      <c r="W737" t="e">
        <f t="shared" si="82"/>
        <v>#N/A</v>
      </c>
      <c r="X737" t="e">
        <f t="shared" si="82"/>
        <v>#N/A</v>
      </c>
      <c r="Y737" t="e">
        <f t="shared" si="83"/>
        <v>#N/A</v>
      </c>
      <c r="Z737" t="e">
        <f t="shared" si="83"/>
        <v>#N/A</v>
      </c>
    </row>
    <row r="738" spans="1:26">
      <c r="A738" t="e">
        <f>IF(ISBLANK('[1]Точность устьев скважин'!A740),#N/A,'[1]Точность устьев скважин'!A740)</f>
        <v>#N/A</v>
      </c>
      <c r="B738" t="e">
        <f>IF(ISBLANK('[1]Точность устьев скважин'!B740),#N/A,'[1]Точность устьев скважин'!B740)</f>
        <v>#N/A</v>
      </c>
      <c r="C738" t="e">
        <f>IF(ISBLANK('[1]Точность устьев скважин'!C740),#N/A,'[1]Точность устьев скважин'!C740)</f>
        <v>#N/A</v>
      </c>
      <c r="D738" t="e">
        <f>IF(ISBLANK('[1]Точность устьев скважин'!D740),#N/A,'[1]Точность устьев скважин'!D740)</f>
        <v>#N/A</v>
      </c>
      <c r="G738" t="e">
        <f>IF(ISBLANK('[1]Точность устьев скважин'!H740),#N/A,'[1]Точность устьев скважин'!H740)</f>
        <v>#N/A</v>
      </c>
      <c r="H738" t="e">
        <f>IF(ISBLANK('[1]Точность устьев скважин'!I740),#N/A,'[1]Точность устьев скважин'!I740)</f>
        <v>#N/A</v>
      </c>
      <c r="I738" t="e">
        <f>IF(ISBLANK('[1]Точность устьев скважин'!J740),#N/A,'[1]Точность устьев скважин'!J740)</f>
        <v>#N/A</v>
      </c>
      <c r="J738" t="e">
        <f>IF(ISBLANK('[1]Точность устьев скважин'!K740),#N/A,'[1]Точность устьев скважин'!K740)</f>
        <v>#N/A</v>
      </c>
      <c r="L738" s="63" t="e">
        <f t="shared" si="84"/>
        <v>#N/A</v>
      </c>
      <c r="O738" t="e">
        <f t="shared" si="78"/>
        <v>#N/A</v>
      </c>
      <c r="P738" t="e">
        <f t="shared" si="78"/>
        <v>#N/A</v>
      </c>
      <c r="Q738" t="e">
        <f t="shared" si="79"/>
        <v>#N/A</v>
      </c>
      <c r="R738" t="e">
        <f t="shared" si="79"/>
        <v>#N/A</v>
      </c>
      <c r="S738" t="e">
        <f t="shared" si="80"/>
        <v>#N/A</v>
      </c>
      <c r="T738" t="e">
        <f t="shared" si="80"/>
        <v>#N/A</v>
      </c>
      <c r="U738" t="e">
        <f t="shared" si="81"/>
        <v>#N/A</v>
      </c>
      <c r="V738" t="e">
        <f t="shared" si="81"/>
        <v>#N/A</v>
      </c>
      <c r="W738" t="e">
        <f t="shared" si="82"/>
        <v>#N/A</v>
      </c>
      <c r="X738" t="e">
        <f t="shared" si="82"/>
        <v>#N/A</v>
      </c>
      <c r="Y738" t="e">
        <f t="shared" si="83"/>
        <v>#N/A</v>
      </c>
      <c r="Z738" t="e">
        <f t="shared" si="83"/>
        <v>#N/A</v>
      </c>
    </row>
    <row r="739" spans="1:26">
      <c r="A739" t="e">
        <f>IF(ISBLANK('[1]Точность устьев скважин'!A741),#N/A,'[1]Точность устьев скважин'!A741)</f>
        <v>#N/A</v>
      </c>
      <c r="B739" t="e">
        <f>IF(ISBLANK('[1]Точность устьев скважин'!B741),#N/A,'[1]Точность устьев скважин'!B741)</f>
        <v>#N/A</v>
      </c>
      <c r="C739" t="e">
        <f>IF(ISBLANK('[1]Точность устьев скважин'!C741),#N/A,'[1]Точность устьев скважин'!C741)</f>
        <v>#N/A</v>
      </c>
      <c r="D739" t="e">
        <f>IF(ISBLANK('[1]Точность устьев скважин'!D741),#N/A,'[1]Точность устьев скважин'!D741)</f>
        <v>#N/A</v>
      </c>
      <c r="G739" t="e">
        <f>IF(ISBLANK('[1]Точность устьев скважин'!H741),#N/A,'[1]Точность устьев скважин'!H741)</f>
        <v>#N/A</v>
      </c>
      <c r="H739" t="e">
        <f>IF(ISBLANK('[1]Точность устьев скважин'!I741),#N/A,'[1]Точность устьев скважин'!I741)</f>
        <v>#N/A</v>
      </c>
      <c r="I739" t="e">
        <f>IF(ISBLANK('[1]Точность устьев скважин'!J741),#N/A,'[1]Точность устьев скважин'!J741)</f>
        <v>#N/A</v>
      </c>
      <c r="J739" t="e">
        <f>IF(ISBLANK('[1]Точность устьев скважин'!K741),#N/A,'[1]Точность устьев скважин'!K741)</f>
        <v>#N/A</v>
      </c>
      <c r="L739" s="63" t="e">
        <f t="shared" si="84"/>
        <v>#N/A</v>
      </c>
      <c r="O739" t="e">
        <f t="shared" si="78"/>
        <v>#N/A</v>
      </c>
      <c r="P739" t="e">
        <f t="shared" si="78"/>
        <v>#N/A</v>
      </c>
      <c r="Q739" t="e">
        <f t="shared" si="79"/>
        <v>#N/A</v>
      </c>
      <c r="R739" t="e">
        <f t="shared" si="79"/>
        <v>#N/A</v>
      </c>
      <c r="S739" t="e">
        <f t="shared" si="80"/>
        <v>#N/A</v>
      </c>
      <c r="T739" t="e">
        <f t="shared" si="80"/>
        <v>#N/A</v>
      </c>
      <c r="U739" t="e">
        <f t="shared" si="81"/>
        <v>#N/A</v>
      </c>
      <c r="V739" t="e">
        <f t="shared" si="81"/>
        <v>#N/A</v>
      </c>
      <c r="W739" t="e">
        <f t="shared" si="82"/>
        <v>#N/A</v>
      </c>
      <c r="X739" t="e">
        <f t="shared" si="82"/>
        <v>#N/A</v>
      </c>
      <c r="Y739" t="e">
        <f t="shared" si="83"/>
        <v>#N/A</v>
      </c>
      <c r="Z739" t="e">
        <f t="shared" si="83"/>
        <v>#N/A</v>
      </c>
    </row>
    <row r="740" spans="1:26">
      <c r="A740" t="e">
        <f>IF(ISBLANK('[1]Точность устьев скважин'!A742),#N/A,'[1]Точность устьев скважин'!A742)</f>
        <v>#N/A</v>
      </c>
      <c r="B740" t="e">
        <f>IF(ISBLANK('[1]Точность устьев скважин'!B742),#N/A,'[1]Точность устьев скважин'!B742)</f>
        <v>#N/A</v>
      </c>
      <c r="C740" t="e">
        <f>IF(ISBLANK('[1]Точность устьев скважин'!C742),#N/A,'[1]Точность устьев скважин'!C742)</f>
        <v>#N/A</v>
      </c>
      <c r="D740" t="e">
        <f>IF(ISBLANK('[1]Точность устьев скважин'!D742),#N/A,'[1]Точность устьев скважин'!D742)</f>
        <v>#N/A</v>
      </c>
      <c r="G740" t="e">
        <f>IF(ISBLANK('[1]Точность устьев скважин'!H742),#N/A,'[1]Точность устьев скважин'!H742)</f>
        <v>#N/A</v>
      </c>
      <c r="H740" t="e">
        <f>IF(ISBLANK('[1]Точность устьев скважин'!I742),#N/A,'[1]Точность устьев скважин'!I742)</f>
        <v>#N/A</v>
      </c>
      <c r="I740" t="e">
        <f>IF(ISBLANK('[1]Точность устьев скважин'!J742),#N/A,'[1]Точность устьев скважин'!J742)</f>
        <v>#N/A</v>
      </c>
      <c r="J740" t="e">
        <f>IF(ISBLANK('[1]Точность устьев скважин'!K742),#N/A,'[1]Точность устьев скважин'!K742)</f>
        <v>#N/A</v>
      </c>
      <c r="L740" s="63" t="e">
        <f t="shared" si="84"/>
        <v>#N/A</v>
      </c>
      <c r="O740" t="e">
        <f t="shared" si="78"/>
        <v>#N/A</v>
      </c>
      <c r="P740" t="e">
        <f t="shared" si="78"/>
        <v>#N/A</v>
      </c>
      <c r="Q740" t="e">
        <f t="shared" si="79"/>
        <v>#N/A</v>
      </c>
      <c r="R740" t="e">
        <f t="shared" si="79"/>
        <v>#N/A</v>
      </c>
      <c r="S740" t="e">
        <f t="shared" si="80"/>
        <v>#N/A</v>
      </c>
      <c r="T740" t="e">
        <f t="shared" si="80"/>
        <v>#N/A</v>
      </c>
      <c r="U740" t="e">
        <f t="shared" si="81"/>
        <v>#N/A</v>
      </c>
      <c r="V740" t="e">
        <f t="shared" si="81"/>
        <v>#N/A</v>
      </c>
      <c r="W740" t="e">
        <f t="shared" si="82"/>
        <v>#N/A</v>
      </c>
      <c r="X740" t="e">
        <f t="shared" si="82"/>
        <v>#N/A</v>
      </c>
      <c r="Y740" t="e">
        <f t="shared" si="83"/>
        <v>#N/A</v>
      </c>
      <c r="Z740" t="e">
        <f t="shared" si="83"/>
        <v>#N/A</v>
      </c>
    </row>
    <row r="741" spans="1:26">
      <c r="A741" t="e">
        <f>IF(ISBLANK('[1]Точность устьев скважин'!A743),#N/A,'[1]Точность устьев скважин'!A743)</f>
        <v>#N/A</v>
      </c>
      <c r="B741" t="e">
        <f>IF(ISBLANK('[1]Точность устьев скважин'!B743),#N/A,'[1]Точность устьев скважин'!B743)</f>
        <v>#N/A</v>
      </c>
      <c r="C741" t="e">
        <f>IF(ISBLANK('[1]Точность устьев скважин'!C743),#N/A,'[1]Точность устьев скважин'!C743)</f>
        <v>#N/A</v>
      </c>
      <c r="D741" t="e">
        <f>IF(ISBLANK('[1]Точность устьев скважин'!D743),#N/A,'[1]Точность устьев скважин'!D743)</f>
        <v>#N/A</v>
      </c>
      <c r="G741" t="e">
        <f>IF(ISBLANK('[1]Точность устьев скважин'!H743),#N/A,'[1]Точность устьев скважин'!H743)</f>
        <v>#N/A</v>
      </c>
      <c r="H741" t="e">
        <f>IF(ISBLANK('[1]Точность устьев скважин'!I743),#N/A,'[1]Точность устьев скважин'!I743)</f>
        <v>#N/A</v>
      </c>
      <c r="I741" t="e">
        <f>IF(ISBLANK('[1]Точность устьев скважин'!J743),#N/A,'[1]Точность устьев скважин'!J743)</f>
        <v>#N/A</v>
      </c>
      <c r="J741" t="e">
        <f>IF(ISBLANK('[1]Точность устьев скважин'!K743),#N/A,'[1]Точность устьев скважин'!K743)</f>
        <v>#N/A</v>
      </c>
      <c r="L741" s="63" t="e">
        <f t="shared" si="84"/>
        <v>#N/A</v>
      </c>
      <c r="O741" t="e">
        <f t="shared" si="78"/>
        <v>#N/A</v>
      </c>
      <c r="P741" t="e">
        <f t="shared" si="78"/>
        <v>#N/A</v>
      </c>
      <c r="Q741" t="e">
        <f t="shared" si="79"/>
        <v>#N/A</v>
      </c>
      <c r="R741" t="e">
        <f t="shared" si="79"/>
        <v>#N/A</v>
      </c>
      <c r="S741" t="e">
        <f t="shared" si="80"/>
        <v>#N/A</v>
      </c>
      <c r="T741" t="e">
        <f t="shared" si="80"/>
        <v>#N/A</v>
      </c>
      <c r="U741" t="e">
        <f t="shared" si="81"/>
        <v>#N/A</v>
      </c>
      <c r="V741" t="e">
        <f t="shared" si="81"/>
        <v>#N/A</v>
      </c>
      <c r="W741" t="e">
        <f t="shared" si="82"/>
        <v>#N/A</v>
      </c>
      <c r="X741" t="e">
        <f t="shared" si="82"/>
        <v>#N/A</v>
      </c>
      <c r="Y741" t="e">
        <f t="shared" si="83"/>
        <v>#N/A</v>
      </c>
      <c r="Z741" t="e">
        <f t="shared" si="83"/>
        <v>#N/A</v>
      </c>
    </row>
    <row r="742" spans="1:26">
      <c r="A742" t="e">
        <f>IF(ISBLANK('[1]Точность устьев скважин'!A744),#N/A,'[1]Точность устьев скважин'!A744)</f>
        <v>#N/A</v>
      </c>
      <c r="B742" t="e">
        <f>IF(ISBLANK('[1]Точность устьев скважин'!B744),#N/A,'[1]Точность устьев скважин'!B744)</f>
        <v>#N/A</v>
      </c>
      <c r="C742" t="e">
        <f>IF(ISBLANK('[1]Точность устьев скважин'!C744),#N/A,'[1]Точность устьев скважин'!C744)</f>
        <v>#N/A</v>
      </c>
      <c r="D742" t="e">
        <f>IF(ISBLANK('[1]Точность устьев скважин'!D744),#N/A,'[1]Точность устьев скважин'!D744)</f>
        <v>#N/A</v>
      </c>
      <c r="G742" t="e">
        <f>IF(ISBLANK('[1]Точность устьев скважин'!H744),#N/A,'[1]Точность устьев скважин'!H744)</f>
        <v>#N/A</v>
      </c>
      <c r="H742" t="e">
        <f>IF(ISBLANK('[1]Точность устьев скважин'!I744),#N/A,'[1]Точность устьев скважин'!I744)</f>
        <v>#N/A</v>
      </c>
      <c r="I742" t="e">
        <f>IF(ISBLANK('[1]Точность устьев скважин'!J744),#N/A,'[1]Точность устьев скважин'!J744)</f>
        <v>#N/A</v>
      </c>
      <c r="J742" t="e">
        <f>IF(ISBLANK('[1]Точность устьев скважин'!K744),#N/A,'[1]Точность устьев скважин'!K744)</f>
        <v>#N/A</v>
      </c>
      <c r="L742" s="63" t="e">
        <f t="shared" si="84"/>
        <v>#N/A</v>
      </c>
      <c r="O742" t="e">
        <f t="shared" si="78"/>
        <v>#N/A</v>
      </c>
      <c r="P742" t="e">
        <f t="shared" si="78"/>
        <v>#N/A</v>
      </c>
      <c r="Q742" t="e">
        <f t="shared" si="79"/>
        <v>#N/A</v>
      </c>
      <c r="R742" t="e">
        <f t="shared" si="79"/>
        <v>#N/A</v>
      </c>
      <c r="S742" t="e">
        <f t="shared" si="80"/>
        <v>#N/A</v>
      </c>
      <c r="T742" t="e">
        <f t="shared" si="80"/>
        <v>#N/A</v>
      </c>
      <c r="U742" t="e">
        <f t="shared" si="81"/>
        <v>#N/A</v>
      </c>
      <c r="V742" t="e">
        <f t="shared" si="81"/>
        <v>#N/A</v>
      </c>
      <c r="W742" t="e">
        <f t="shared" si="82"/>
        <v>#N/A</v>
      </c>
      <c r="X742" t="e">
        <f t="shared" si="82"/>
        <v>#N/A</v>
      </c>
      <c r="Y742" t="e">
        <f t="shared" si="83"/>
        <v>#N/A</v>
      </c>
      <c r="Z742" t="e">
        <f t="shared" si="83"/>
        <v>#N/A</v>
      </c>
    </row>
    <row r="743" spans="1:26">
      <c r="A743" t="e">
        <f>IF(ISBLANK('[1]Точность устьев скважин'!A745),#N/A,'[1]Точность устьев скважин'!A745)</f>
        <v>#N/A</v>
      </c>
      <c r="B743" t="e">
        <f>IF(ISBLANK('[1]Точность устьев скважин'!B745),#N/A,'[1]Точность устьев скважин'!B745)</f>
        <v>#N/A</v>
      </c>
      <c r="C743" t="e">
        <f>IF(ISBLANK('[1]Точность устьев скважин'!C745),#N/A,'[1]Точность устьев скважин'!C745)</f>
        <v>#N/A</v>
      </c>
      <c r="D743" t="e">
        <f>IF(ISBLANK('[1]Точность устьев скважин'!D745),#N/A,'[1]Точность устьев скважин'!D745)</f>
        <v>#N/A</v>
      </c>
      <c r="G743" t="e">
        <f>IF(ISBLANK('[1]Точность устьев скважин'!H745),#N/A,'[1]Точность устьев скважин'!H745)</f>
        <v>#N/A</v>
      </c>
      <c r="H743" t="e">
        <f>IF(ISBLANK('[1]Точность устьев скважин'!I745),#N/A,'[1]Точность устьев скважин'!I745)</f>
        <v>#N/A</v>
      </c>
      <c r="I743" t="e">
        <f>IF(ISBLANK('[1]Точность устьев скважин'!J745),#N/A,'[1]Точность устьев скважин'!J745)</f>
        <v>#N/A</v>
      </c>
      <c r="J743" t="e">
        <f>IF(ISBLANK('[1]Точность устьев скважин'!K745),#N/A,'[1]Точность устьев скважин'!K745)</f>
        <v>#N/A</v>
      </c>
      <c r="L743" s="63" t="e">
        <f t="shared" si="84"/>
        <v>#N/A</v>
      </c>
      <c r="O743" t="e">
        <f t="shared" si="78"/>
        <v>#N/A</v>
      </c>
      <c r="P743" t="e">
        <f t="shared" si="78"/>
        <v>#N/A</v>
      </c>
      <c r="Q743" t="e">
        <f t="shared" si="79"/>
        <v>#N/A</v>
      </c>
      <c r="R743" t="e">
        <f t="shared" si="79"/>
        <v>#N/A</v>
      </c>
      <c r="S743" t="e">
        <f t="shared" si="80"/>
        <v>#N/A</v>
      </c>
      <c r="T743" t="e">
        <f t="shared" si="80"/>
        <v>#N/A</v>
      </c>
      <c r="U743" t="e">
        <f t="shared" si="81"/>
        <v>#N/A</v>
      </c>
      <c r="V743" t="e">
        <f t="shared" si="81"/>
        <v>#N/A</v>
      </c>
      <c r="W743" t="e">
        <f t="shared" si="82"/>
        <v>#N/A</v>
      </c>
      <c r="X743" t="e">
        <f t="shared" si="82"/>
        <v>#N/A</v>
      </c>
      <c r="Y743" t="e">
        <f t="shared" si="83"/>
        <v>#N/A</v>
      </c>
      <c r="Z743" t="e">
        <f t="shared" si="83"/>
        <v>#N/A</v>
      </c>
    </row>
    <row r="744" spans="1:26">
      <c r="A744" t="e">
        <f>IF(ISBLANK('[1]Точность устьев скважин'!A746),#N/A,'[1]Точность устьев скважин'!A746)</f>
        <v>#N/A</v>
      </c>
      <c r="B744" t="e">
        <f>IF(ISBLANK('[1]Точность устьев скважин'!B746),#N/A,'[1]Точность устьев скважин'!B746)</f>
        <v>#N/A</v>
      </c>
      <c r="C744" t="e">
        <f>IF(ISBLANK('[1]Точность устьев скважин'!C746),#N/A,'[1]Точность устьев скважин'!C746)</f>
        <v>#N/A</v>
      </c>
      <c r="D744" t="e">
        <f>IF(ISBLANK('[1]Точность устьев скважин'!D746),#N/A,'[1]Точность устьев скважин'!D746)</f>
        <v>#N/A</v>
      </c>
      <c r="G744" t="e">
        <f>IF(ISBLANK('[1]Точность устьев скважин'!H746),#N/A,'[1]Точность устьев скважин'!H746)</f>
        <v>#N/A</v>
      </c>
      <c r="H744" t="e">
        <f>IF(ISBLANK('[1]Точность устьев скважин'!I746),#N/A,'[1]Точность устьев скважин'!I746)</f>
        <v>#N/A</v>
      </c>
      <c r="I744" t="e">
        <f>IF(ISBLANK('[1]Точность устьев скважин'!J746),#N/A,'[1]Точность устьев скважин'!J746)</f>
        <v>#N/A</v>
      </c>
      <c r="J744" t="e">
        <f>IF(ISBLANK('[1]Точность устьев скважин'!K746),#N/A,'[1]Точность устьев скважин'!K746)</f>
        <v>#N/A</v>
      </c>
      <c r="L744" s="63" t="e">
        <f t="shared" si="84"/>
        <v>#N/A</v>
      </c>
      <c r="O744" t="e">
        <f t="shared" si="78"/>
        <v>#N/A</v>
      </c>
      <c r="P744" t="e">
        <f t="shared" si="78"/>
        <v>#N/A</v>
      </c>
      <c r="Q744" t="e">
        <f t="shared" si="79"/>
        <v>#N/A</v>
      </c>
      <c r="R744" t="e">
        <f t="shared" si="79"/>
        <v>#N/A</v>
      </c>
      <c r="S744" t="e">
        <f t="shared" si="80"/>
        <v>#N/A</v>
      </c>
      <c r="T744" t="e">
        <f t="shared" si="80"/>
        <v>#N/A</v>
      </c>
      <c r="U744" t="e">
        <f t="shared" si="81"/>
        <v>#N/A</v>
      </c>
      <c r="V744" t="e">
        <f t="shared" si="81"/>
        <v>#N/A</v>
      </c>
      <c r="W744" t="e">
        <f t="shared" si="82"/>
        <v>#N/A</v>
      </c>
      <c r="X744" t="e">
        <f t="shared" si="82"/>
        <v>#N/A</v>
      </c>
      <c r="Y744" t="e">
        <f t="shared" si="83"/>
        <v>#N/A</v>
      </c>
      <c r="Z744" t="e">
        <f t="shared" si="83"/>
        <v>#N/A</v>
      </c>
    </row>
    <row r="745" spans="1:26">
      <c r="A745" t="e">
        <f>IF(ISBLANK('[1]Точность устьев скважин'!A747),#N/A,'[1]Точность устьев скважин'!A747)</f>
        <v>#N/A</v>
      </c>
      <c r="B745" t="e">
        <f>IF(ISBLANK('[1]Точность устьев скважин'!B747),#N/A,'[1]Точность устьев скважин'!B747)</f>
        <v>#N/A</v>
      </c>
      <c r="C745" t="e">
        <f>IF(ISBLANK('[1]Точность устьев скважин'!C747),#N/A,'[1]Точность устьев скважин'!C747)</f>
        <v>#N/A</v>
      </c>
      <c r="D745" t="e">
        <f>IF(ISBLANK('[1]Точность устьев скважин'!D747),#N/A,'[1]Точность устьев скважин'!D747)</f>
        <v>#N/A</v>
      </c>
      <c r="G745" t="e">
        <f>IF(ISBLANK('[1]Точность устьев скважин'!H747),#N/A,'[1]Точность устьев скважин'!H747)</f>
        <v>#N/A</v>
      </c>
      <c r="H745" t="e">
        <f>IF(ISBLANK('[1]Точность устьев скважин'!I747),#N/A,'[1]Точность устьев скважин'!I747)</f>
        <v>#N/A</v>
      </c>
      <c r="I745" t="e">
        <f>IF(ISBLANK('[1]Точность устьев скважин'!J747),#N/A,'[1]Точность устьев скважин'!J747)</f>
        <v>#N/A</v>
      </c>
      <c r="J745" t="e">
        <f>IF(ISBLANK('[1]Точность устьев скважин'!K747),#N/A,'[1]Точность устьев скважин'!K747)</f>
        <v>#N/A</v>
      </c>
      <c r="L745" s="63" t="e">
        <f t="shared" si="84"/>
        <v>#N/A</v>
      </c>
      <c r="O745" t="e">
        <f t="shared" ref="O745:P808" si="85">IF($L$1=0.5,IF(AND($L745&gt;0,$L745&lt;0.1),H745,#N/A),"")</f>
        <v>#N/A</v>
      </c>
      <c r="P745" t="e">
        <f t="shared" si="85"/>
        <v>#N/A</v>
      </c>
      <c r="Q745" t="e">
        <f t="shared" ref="Q745:R808" si="86">IF($L$1=0.5,IF(AND($L745&gt;=0.1,$L745&lt;0.2),H745,#N/A),"")</f>
        <v>#N/A</v>
      </c>
      <c r="R745" t="e">
        <f t="shared" si="86"/>
        <v>#N/A</v>
      </c>
      <c r="S745" t="e">
        <f t="shared" ref="S745:T808" si="87">IF($L$1=0.5,IF(AND($L745&gt;=0.2,$L745&lt;0.3),H745,#N/A),"")</f>
        <v>#N/A</v>
      </c>
      <c r="T745" t="e">
        <f t="shared" si="87"/>
        <v>#N/A</v>
      </c>
      <c r="U745" t="e">
        <f t="shared" ref="U745:V808" si="88">IF($L$1=0.5,IF(AND($L745&gt;=0.3,$L745&lt;0.4),H745,#N/A),"")</f>
        <v>#N/A</v>
      </c>
      <c r="V745" t="e">
        <f t="shared" si="88"/>
        <v>#N/A</v>
      </c>
      <c r="W745" t="e">
        <f t="shared" ref="W745:X808" si="89">IF($L$1=0.5,IF(AND($L745&gt;=0.4,$L745&lt;0.5),H745,#N/A),"")</f>
        <v>#N/A</v>
      </c>
      <c r="X745" t="e">
        <f t="shared" si="89"/>
        <v>#N/A</v>
      </c>
      <c r="Y745" t="e">
        <f t="shared" si="83"/>
        <v>#N/A</v>
      </c>
      <c r="Z745" t="e">
        <f t="shared" si="83"/>
        <v>#N/A</v>
      </c>
    </row>
    <row r="746" spans="1:26">
      <c r="A746" t="e">
        <f>IF(ISBLANK('[1]Точность устьев скважин'!A748),#N/A,'[1]Точность устьев скважин'!A748)</f>
        <v>#N/A</v>
      </c>
      <c r="B746" t="e">
        <f>IF(ISBLANK('[1]Точность устьев скважин'!B748),#N/A,'[1]Точность устьев скважин'!B748)</f>
        <v>#N/A</v>
      </c>
      <c r="C746" t="e">
        <f>IF(ISBLANK('[1]Точность устьев скважин'!C748),#N/A,'[1]Точность устьев скважин'!C748)</f>
        <v>#N/A</v>
      </c>
      <c r="D746" t="e">
        <f>IF(ISBLANK('[1]Точность устьев скважин'!D748),#N/A,'[1]Точность устьев скважин'!D748)</f>
        <v>#N/A</v>
      </c>
      <c r="G746" t="e">
        <f>IF(ISBLANK('[1]Точность устьев скважин'!H748),#N/A,'[1]Точность устьев скважин'!H748)</f>
        <v>#N/A</v>
      </c>
      <c r="H746" t="e">
        <f>IF(ISBLANK('[1]Точность устьев скважин'!I748),#N/A,'[1]Точность устьев скважин'!I748)</f>
        <v>#N/A</v>
      </c>
      <c r="I746" t="e">
        <f>IF(ISBLANK('[1]Точность устьев скважин'!J748),#N/A,'[1]Точность устьев скважин'!J748)</f>
        <v>#N/A</v>
      </c>
      <c r="J746" t="e">
        <f>IF(ISBLANK('[1]Точность устьев скважин'!K748),#N/A,'[1]Точность устьев скважин'!K748)</f>
        <v>#N/A</v>
      </c>
      <c r="L746" s="63" t="e">
        <f t="shared" si="84"/>
        <v>#N/A</v>
      </c>
      <c r="O746" t="e">
        <f t="shared" si="85"/>
        <v>#N/A</v>
      </c>
      <c r="P746" t="e">
        <f t="shared" si="85"/>
        <v>#N/A</v>
      </c>
      <c r="Q746" t="e">
        <f t="shared" si="86"/>
        <v>#N/A</v>
      </c>
      <c r="R746" t="e">
        <f t="shared" si="86"/>
        <v>#N/A</v>
      </c>
      <c r="S746" t="e">
        <f t="shared" si="87"/>
        <v>#N/A</v>
      </c>
      <c r="T746" t="e">
        <f t="shared" si="87"/>
        <v>#N/A</v>
      </c>
      <c r="U746" t="e">
        <f t="shared" si="88"/>
        <v>#N/A</v>
      </c>
      <c r="V746" t="e">
        <f t="shared" si="88"/>
        <v>#N/A</v>
      </c>
      <c r="W746" t="e">
        <f t="shared" si="89"/>
        <v>#N/A</v>
      </c>
      <c r="X746" t="e">
        <f t="shared" si="89"/>
        <v>#N/A</v>
      </c>
      <c r="Y746" t="e">
        <f t="shared" si="83"/>
        <v>#N/A</v>
      </c>
      <c r="Z746" t="e">
        <f t="shared" si="83"/>
        <v>#N/A</v>
      </c>
    </row>
    <row r="747" spans="1:26">
      <c r="A747" t="e">
        <f>IF(ISBLANK('[1]Точность устьев скважин'!A749),#N/A,'[1]Точность устьев скважин'!A749)</f>
        <v>#N/A</v>
      </c>
      <c r="B747" t="e">
        <f>IF(ISBLANK('[1]Точность устьев скважин'!B749),#N/A,'[1]Точность устьев скважин'!B749)</f>
        <v>#N/A</v>
      </c>
      <c r="C747" t="e">
        <f>IF(ISBLANK('[1]Точность устьев скважин'!C749),#N/A,'[1]Точность устьев скважин'!C749)</f>
        <v>#N/A</v>
      </c>
      <c r="D747" t="e">
        <f>IF(ISBLANK('[1]Точность устьев скважин'!D749),#N/A,'[1]Точность устьев скважин'!D749)</f>
        <v>#N/A</v>
      </c>
      <c r="G747" t="e">
        <f>IF(ISBLANK('[1]Точность устьев скважин'!H749),#N/A,'[1]Точность устьев скважин'!H749)</f>
        <v>#N/A</v>
      </c>
      <c r="H747" t="e">
        <f>IF(ISBLANK('[1]Точность устьев скважин'!I749),#N/A,'[1]Точность устьев скважин'!I749)</f>
        <v>#N/A</v>
      </c>
      <c r="I747" t="e">
        <f>IF(ISBLANK('[1]Точность устьев скважин'!J749),#N/A,'[1]Точность устьев скважин'!J749)</f>
        <v>#N/A</v>
      </c>
      <c r="J747" t="e">
        <f>IF(ISBLANK('[1]Точность устьев скважин'!K749),#N/A,'[1]Точность устьев скважин'!K749)</f>
        <v>#N/A</v>
      </c>
      <c r="L747" s="63" t="e">
        <f t="shared" si="84"/>
        <v>#N/A</v>
      </c>
      <c r="O747" t="e">
        <f t="shared" si="85"/>
        <v>#N/A</v>
      </c>
      <c r="P747" t="e">
        <f t="shared" si="85"/>
        <v>#N/A</v>
      </c>
      <c r="Q747" t="e">
        <f t="shared" si="86"/>
        <v>#N/A</v>
      </c>
      <c r="R747" t="e">
        <f t="shared" si="86"/>
        <v>#N/A</v>
      </c>
      <c r="S747" t="e">
        <f t="shared" si="87"/>
        <v>#N/A</v>
      </c>
      <c r="T747" t="e">
        <f t="shared" si="87"/>
        <v>#N/A</v>
      </c>
      <c r="U747" t="e">
        <f t="shared" si="88"/>
        <v>#N/A</v>
      </c>
      <c r="V747" t="e">
        <f t="shared" si="88"/>
        <v>#N/A</v>
      </c>
      <c r="W747" t="e">
        <f t="shared" si="89"/>
        <v>#N/A</v>
      </c>
      <c r="X747" t="e">
        <f t="shared" si="89"/>
        <v>#N/A</v>
      </c>
      <c r="Y747" t="e">
        <f t="shared" si="83"/>
        <v>#N/A</v>
      </c>
      <c r="Z747" t="e">
        <f t="shared" si="83"/>
        <v>#N/A</v>
      </c>
    </row>
    <row r="748" spans="1:26">
      <c r="A748" t="e">
        <f>IF(ISBLANK('[1]Точность устьев скважин'!A750),#N/A,'[1]Точность устьев скважин'!A750)</f>
        <v>#N/A</v>
      </c>
      <c r="B748" t="e">
        <f>IF(ISBLANK('[1]Точность устьев скважин'!B750),#N/A,'[1]Точность устьев скважин'!B750)</f>
        <v>#N/A</v>
      </c>
      <c r="C748" t="e">
        <f>IF(ISBLANK('[1]Точность устьев скважин'!C750),#N/A,'[1]Точность устьев скважин'!C750)</f>
        <v>#N/A</v>
      </c>
      <c r="D748" t="e">
        <f>IF(ISBLANK('[1]Точность устьев скважин'!D750),#N/A,'[1]Точность устьев скважин'!D750)</f>
        <v>#N/A</v>
      </c>
      <c r="G748" t="e">
        <f>IF(ISBLANK('[1]Точность устьев скважин'!H750),#N/A,'[1]Точность устьев скважин'!H750)</f>
        <v>#N/A</v>
      </c>
      <c r="H748" t="e">
        <f>IF(ISBLANK('[1]Точность устьев скважин'!I750),#N/A,'[1]Точность устьев скважин'!I750)</f>
        <v>#N/A</v>
      </c>
      <c r="I748" t="e">
        <f>IF(ISBLANK('[1]Точность устьев скважин'!J750),#N/A,'[1]Точность устьев скважин'!J750)</f>
        <v>#N/A</v>
      </c>
      <c r="J748" t="e">
        <f>IF(ISBLANK('[1]Точность устьев скважин'!K750),#N/A,'[1]Точность устьев скважин'!K750)</f>
        <v>#N/A</v>
      </c>
      <c r="L748" s="63" t="e">
        <f t="shared" si="84"/>
        <v>#N/A</v>
      </c>
      <c r="O748" t="e">
        <f t="shared" si="85"/>
        <v>#N/A</v>
      </c>
      <c r="P748" t="e">
        <f t="shared" si="85"/>
        <v>#N/A</v>
      </c>
      <c r="Q748" t="e">
        <f t="shared" si="86"/>
        <v>#N/A</v>
      </c>
      <c r="R748" t="e">
        <f t="shared" si="86"/>
        <v>#N/A</v>
      </c>
      <c r="S748" t="e">
        <f t="shared" si="87"/>
        <v>#N/A</v>
      </c>
      <c r="T748" t="e">
        <f t="shared" si="87"/>
        <v>#N/A</v>
      </c>
      <c r="U748" t="e">
        <f t="shared" si="88"/>
        <v>#N/A</v>
      </c>
      <c r="V748" t="e">
        <f t="shared" si="88"/>
        <v>#N/A</v>
      </c>
      <c r="W748" t="e">
        <f t="shared" si="89"/>
        <v>#N/A</v>
      </c>
      <c r="X748" t="e">
        <f t="shared" si="89"/>
        <v>#N/A</v>
      </c>
      <c r="Y748" t="e">
        <f t="shared" si="83"/>
        <v>#N/A</v>
      </c>
      <c r="Z748" t="e">
        <f t="shared" si="83"/>
        <v>#N/A</v>
      </c>
    </row>
    <row r="749" spans="1:26">
      <c r="A749" t="e">
        <f>IF(ISBLANK('[1]Точность устьев скважин'!A751),#N/A,'[1]Точность устьев скважин'!A751)</f>
        <v>#N/A</v>
      </c>
      <c r="B749" t="e">
        <f>IF(ISBLANK('[1]Точность устьев скважин'!B751),#N/A,'[1]Точность устьев скважин'!B751)</f>
        <v>#N/A</v>
      </c>
      <c r="C749" t="e">
        <f>IF(ISBLANK('[1]Точность устьев скважин'!C751),#N/A,'[1]Точность устьев скважин'!C751)</f>
        <v>#N/A</v>
      </c>
      <c r="D749" t="e">
        <f>IF(ISBLANK('[1]Точность устьев скважин'!D751),#N/A,'[1]Точность устьев скважин'!D751)</f>
        <v>#N/A</v>
      </c>
      <c r="G749" t="e">
        <f>IF(ISBLANK('[1]Точность устьев скважин'!H751),#N/A,'[1]Точность устьев скважин'!H751)</f>
        <v>#N/A</v>
      </c>
      <c r="H749" t="e">
        <f>IF(ISBLANK('[1]Точность устьев скважин'!I751),#N/A,'[1]Точность устьев скважин'!I751)</f>
        <v>#N/A</v>
      </c>
      <c r="I749" t="e">
        <f>IF(ISBLANK('[1]Точность устьев скважин'!J751),#N/A,'[1]Точность устьев скважин'!J751)</f>
        <v>#N/A</v>
      </c>
      <c r="J749" t="e">
        <f>IF(ISBLANK('[1]Точность устьев скважин'!K751),#N/A,'[1]Точность устьев скважин'!K751)</f>
        <v>#N/A</v>
      </c>
      <c r="L749" s="63" t="e">
        <f t="shared" si="84"/>
        <v>#N/A</v>
      </c>
      <c r="O749" t="e">
        <f t="shared" si="85"/>
        <v>#N/A</v>
      </c>
      <c r="P749" t="e">
        <f t="shared" si="85"/>
        <v>#N/A</v>
      </c>
      <c r="Q749" t="e">
        <f t="shared" si="86"/>
        <v>#N/A</v>
      </c>
      <c r="R749" t="e">
        <f t="shared" si="86"/>
        <v>#N/A</v>
      </c>
      <c r="S749" t="e">
        <f t="shared" si="87"/>
        <v>#N/A</v>
      </c>
      <c r="T749" t="e">
        <f t="shared" si="87"/>
        <v>#N/A</v>
      </c>
      <c r="U749" t="e">
        <f t="shared" si="88"/>
        <v>#N/A</v>
      </c>
      <c r="V749" t="e">
        <f t="shared" si="88"/>
        <v>#N/A</v>
      </c>
      <c r="W749" t="e">
        <f t="shared" si="89"/>
        <v>#N/A</v>
      </c>
      <c r="X749" t="e">
        <f t="shared" si="89"/>
        <v>#N/A</v>
      </c>
      <c r="Y749" t="e">
        <f t="shared" si="83"/>
        <v>#N/A</v>
      </c>
      <c r="Z749" t="e">
        <f t="shared" si="83"/>
        <v>#N/A</v>
      </c>
    </row>
    <row r="750" spans="1:26">
      <c r="A750" t="e">
        <f>IF(ISBLANK('[1]Точность устьев скважин'!A752),#N/A,'[1]Точность устьев скважин'!A752)</f>
        <v>#N/A</v>
      </c>
      <c r="B750" t="e">
        <f>IF(ISBLANK('[1]Точность устьев скважин'!B752),#N/A,'[1]Точность устьев скважин'!B752)</f>
        <v>#N/A</v>
      </c>
      <c r="C750" t="e">
        <f>IF(ISBLANK('[1]Точность устьев скважин'!C752),#N/A,'[1]Точность устьев скважин'!C752)</f>
        <v>#N/A</v>
      </c>
      <c r="D750" t="e">
        <f>IF(ISBLANK('[1]Точность устьев скважин'!D752),#N/A,'[1]Точность устьев скважин'!D752)</f>
        <v>#N/A</v>
      </c>
      <c r="G750" t="e">
        <f>IF(ISBLANK('[1]Точность устьев скважин'!H752),#N/A,'[1]Точность устьев скважин'!H752)</f>
        <v>#N/A</v>
      </c>
      <c r="H750" t="e">
        <f>IF(ISBLANK('[1]Точность устьев скважин'!I752),#N/A,'[1]Точность устьев скважин'!I752)</f>
        <v>#N/A</v>
      </c>
      <c r="I750" t="e">
        <f>IF(ISBLANK('[1]Точность устьев скважин'!J752),#N/A,'[1]Точность устьев скважин'!J752)</f>
        <v>#N/A</v>
      </c>
      <c r="J750" t="e">
        <f>IF(ISBLANK('[1]Точность устьев скважин'!K752),#N/A,'[1]Точность устьев скважин'!K752)</f>
        <v>#N/A</v>
      </c>
      <c r="L750" s="63" t="e">
        <f t="shared" si="84"/>
        <v>#N/A</v>
      </c>
      <c r="O750" t="e">
        <f t="shared" si="85"/>
        <v>#N/A</v>
      </c>
      <c r="P750" t="e">
        <f t="shared" si="85"/>
        <v>#N/A</v>
      </c>
      <c r="Q750" t="e">
        <f t="shared" si="86"/>
        <v>#N/A</v>
      </c>
      <c r="R750" t="e">
        <f t="shared" si="86"/>
        <v>#N/A</v>
      </c>
      <c r="S750" t="e">
        <f t="shared" si="87"/>
        <v>#N/A</v>
      </c>
      <c r="T750" t="e">
        <f t="shared" si="87"/>
        <v>#N/A</v>
      </c>
      <c r="U750" t="e">
        <f t="shared" si="88"/>
        <v>#N/A</v>
      </c>
      <c r="V750" t="e">
        <f t="shared" si="88"/>
        <v>#N/A</v>
      </c>
      <c r="W750" t="e">
        <f t="shared" si="89"/>
        <v>#N/A</v>
      </c>
      <c r="X750" t="e">
        <f t="shared" si="89"/>
        <v>#N/A</v>
      </c>
      <c r="Y750" t="e">
        <f t="shared" si="83"/>
        <v>#N/A</v>
      </c>
      <c r="Z750" t="e">
        <f t="shared" si="83"/>
        <v>#N/A</v>
      </c>
    </row>
    <row r="751" spans="1:26">
      <c r="A751" t="e">
        <f>IF(ISBLANK('[1]Точность устьев скважин'!A753),#N/A,'[1]Точность устьев скважин'!A753)</f>
        <v>#N/A</v>
      </c>
      <c r="B751" t="e">
        <f>IF(ISBLANK('[1]Точность устьев скважин'!B753),#N/A,'[1]Точность устьев скважин'!B753)</f>
        <v>#N/A</v>
      </c>
      <c r="C751" t="e">
        <f>IF(ISBLANK('[1]Точность устьев скважин'!C753),#N/A,'[1]Точность устьев скважин'!C753)</f>
        <v>#N/A</v>
      </c>
      <c r="D751" t="e">
        <f>IF(ISBLANK('[1]Точность устьев скважин'!D753),#N/A,'[1]Точность устьев скважин'!D753)</f>
        <v>#N/A</v>
      </c>
      <c r="G751" t="e">
        <f>IF(ISBLANK('[1]Точность устьев скважин'!H753),#N/A,'[1]Точность устьев скважин'!H753)</f>
        <v>#N/A</v>
      </c>
      <c r="H751" t="e">
        <f>IF(ISBLANK('[1]Точность устьев скважин'!I753),#N/A,'[1]Точность устьев скважин'!I753)</f>
        <v>#N/A</v>
      </c>
      <c r="I751" t="e">
        <f>IF(ISBLANK('[1]Точность устьев скважин'!J753),#N/A,'[1]Точность устьев скважин'!J753)</f>
        <v>#N/A</v>
      </c>
      <c r="J751" t="e">
        <f>IF(ISBLANK('[1]Точность устьев скважин'!K753),#N/A,'[1]Точность устьев скважин'!K753)</f>
        <v>#N/A</v>
      </c>
      <c r="L751" s="63" t="e">
        <f t="shared" si="84"/>
        <v>#N/A</v>
      </c>
      <c r="O751" t="e">
        <f t="shared" si="85"/>
        <v>#N/A</v>
      </c>
      <c r="P751" t="e">
        <f t="shared" si="85"/>
        <v>#N/A</v>
      </c>
      <c r="Q751" t="e">
        <f t="shared" si="86"/>
        <v>#N/A</v>
      </c>
      <c r="R751" t="e">
        <f t="shared" si="86"/>
        <v>#N/A</v>
      </c>
      <c r="S751" t="e">
        <f t="shared" si="87"/>
        <v>#N/A</v>
      </c>
      <c r="T751" t="e">
        <f t="shared" si="87"/>
        <v>#N/A</v>
      </c>
      <c r="U751" t="e">
        <f t="shared" si="88"/>
        <v>#N/A</v>
      </c>
      <c r="V751" t="e">
        <f t="shared" si="88"/>
        <v>#N/A</v>
      </c>
      <c r="W751" t="e">
        <f t="shared" si="89"/>
        <v>#N/A</v>
      </c>
      <c r="X751" t="e">
        <f t="shared" si="89"/>
        <v>#N/A</v>
      </c>
      <c r="Y751" t="e">
        <f t="shared" si="83"/>
        <v>#N/A</v>
      </c>
      <c r="Z751" t="e">
        <f t="shared" si="83"/>
        <v>#N/A</v>
      </c>
    </row>
    <row r="752" spans="1:26">
      <c r="A752" t="e">
        <f>IF(ISBLANK('[1]Точность устьев скважин'!A754),#N/A,'[1]Точность устьев скважин'!A754)</f>
        <v>#N/A</v>
      </c>
      <c r="B752" t="e">
        <f>IF(ISBLANK('[1]Точность устьев скважин'!B754),#N/A,'[1]Точность устьев скважин'!B754)</f>
        <v>#N/A</v>
      </c>
      <c r="C752" t="e">
        <f>IF(ISBLANK('[1]Точность устьев скважин'!C754),#N/A,'[1]Точность устьев скважин'!C754)</f>
        <v>#N/A</v>
      </c>
      <c r="D752" t="e">
        <f>IF(ISBLANK('[1]Точность устьев скважин'!D754),#N/A,'[1]Точность устьев скважин'!D754)</f>
        <v>#N/A</v>
      </c>
      <c r="G752" t="e">
        <f>IF(ISBLANK('[1]Точность устьев скважин'!H754),#N/A,'[1]Точность устьев скважин'!H754)</f>
        <v>#N/A</v>
      </c>
      <c r="H752" t="e">
        <f>IF(ISBLANK('[1]Точность устьев скважин'!I754),#N/A,'[1]Точность устьев скважин'!I754)</f>
        <v>#N/A</v>
      </c>
      <c r="I752" t="e">
        <f>IF(ISBLANK('[1]Точность устьев скважин'!J754),#N/A,'[1]Точность устьев скважин'!J754)</f>
        <v>#N/A</v>
      </c>
      <c r="J752" t="e">
        <f>IF(ISBLANK('[1]Точность устьев скважин'!K754),#N/A,'[1]Точность устьев скважин'!K754)</f>
        <v>#N/A</v>
      </c>
      <c r="L752" s="63" t="e">
        <f t="shared" si="84"/>
        <v>#N/A</v>
      </c>
      <c r="O752" t="e">
        <f t="shared" si="85"/>
        <v>#N/A</v>
      </c>
      <c r="P752" t="e">
        <f t="shared" si="85"/>
        <v>#N/A</v>
      </c>
      <c r="Q752" t="e">
        <f t="shared" si="86"/>
        <v>#N/A</v>
      </c>
      <c r="R752" t="e">
        <f t="shared" si="86"/>
        <v>#N/A</v>
      </c>
      <c r="S752" t="e">
        <f t="shared" si="87"/>
        <v>#N/A</v>
      </c>
      <c r="T752" t="e">
        <f t="shared" si="87"/>
        <v>#N/A</v>
      </c>
      <c r="U752" t="e">
        <f t="shared" si="88"/>
        <v>#N/A</v>
      </c>
      <c r="V752" t="e">
        <f t="shared" si="88"/>
        <v>#N/A</v>
      </c>
      <c r="W752" t="e">
        <f t="shared" si="89"/>
        <v>#N/A</v>
      </c>
      <c r="X752" t="e">
        <f t="shared" si="89"/>
        <v>#N/A</v>
      </c>
      <c r="Y752" t="e">
        <f t="shared" si="83"/>
        <v>#N/A</v>
      </c>
      <c r="Z752" t="e">
        <f t="shared" si="83"/>
        <v>#N/A</v>
      </c>
    </row>
    <row r="753" spans="1:26">
      <c r="A753" t="e">
        <f>IF(ISBLANK('[1]Точность устьев скважин'!A755),#N/A,'[1]Точность устьев скважин'!A755)</f>
        <v>#N/A</v>
      </c>
      <c r="B753" t="e">
        <f>IF(ISBLANK('[1]Точность устьев скважин'!B755),#N/A,'[1]Точность устьев скважин'!B755)</f>
        <v>#N/A</v>
      </c>
      <c r="C753" t="e">
        <f>IF(ISBLANK('[1]Точность устьев скважин'!C755),#N/A,'[1]Точность устьев скважин'!C755)</f>
        <v>#N/A</v>
      </c>
      <c r="D753" t="e">
        <f>IF(ISBLANK('[1]Точность устьев скважин'!D755),#N/A,'[1]Точность устьев скважин'!D755)</f>
        <v>#N/A</v>
      </c>
      <c r="G753" t="e">
        <f>IF(ISBLANK('[1]Точность устьев скважин'!H755),#N/A,'[1]Точность устьев скважин'!H755)</f>
        <v>#N/A</v>
      </c>
      <c r="H753" t="e">
        <f>IF(ISBLANK('[1]Точность устьев скважин'!I755),#N/A,'[1]Точность устьев скважин'!I755)</f>
        <v>#N/A</v>
      </c>
      <c r="I753" t="e">
        <f>IF(ISBLANK('[1]Точность устьев скважин'!J755),#N/A,'[1]Точность устьев скважин'!J755)</f>
        <v>#N/A</v>
      </c>
      <c r="J753" t="e">
        <f>IF(ISBLANK('[1]Точность устьев скважин'!K755),#N/A,'[1]Точность устьев скважин'!K755)</f>
        <v>#N/A</v>
      </c>
      <c r="L753" s="63" t="e">
        <f t="shared" si="84"/>
        <v>#N/A</v>
      </c>
      <c r="O753" t="e">
        <f t="shared" si="85"/>
        <v>#N/A</v>
      </c>
      <c r="P753" t="e">
        <f t="shared" si="85"/>
        <v>#N/A</v>
      </c>
      <c r="Q753" t="e">
        <f t="shared" si="86"/>
        <v>#N/A</v>
      </c>
      <c r="R753" t="e">
        <f t="shared" si="86"/>
        <v>#N/A</v>
      </c>
      <c r="S753" t="e">
        <f t="shared" si="87"/>
        <v>#N/A</v>
      </c>
      <c r="T753" t="e">
        <f t="shared" si="87"/>
        <v>#N/A</v>
      </c>
      <c r="U753" t="e">
        <f t="shared" si="88"/>
        <v>#N/A</v>
      </c>
      <c r="V753" t="e">
        <f t="shared" si="88"/>
        <v>#N/A</v>
      </c>
      <c r="W753" t="e">
        <f t="shared" si="89"/>
        <v>#N/A</v>
      </c>
      <c r="X753" t="e">
        <f t="shared" si="89"/>
        <v>#N/A</v>
      </c>
      <c r="Y753" t="e">
        <f t="shared" si="83"/>
        <v>#N/A</v>
      </c>
      <c r="Z753" t="e">
        <f t="shared" si="83"/>
        <v>#N/A</v>
      </c>
    </row>
    <row r="754" spans="1:26">
      <c r="A754" t="e">
        <f>IF(ISBLANK('[1]Точность устьев скважин'!A756),#N/A,'[1]Точность устьев скважин'!A756)</f>
        <v>#N/A</v>
      </c>
      <c r="B754" t="e">
        <f>IF(ISBLANK('[1]Точность устьев скважин'!B756),#N/A,'[1]Точность устьев скважин'!B756)</f>
        <v>#N/A</v>
      </c>
      <c r="C754" t="e">
        <f>IF(ISBLANK('[1]Точность устьев скважин'!C756),#N/A,'[1]Точность устьев скважин'!C756)</f>
        <v>#N/A</v>
      </c>
      <c r="D754" t="e">
        <f>IF(ISBLANK('[1]Точность устьев скважин'!D756),#N/A,'[1]Точность устьев скважин'!D756)</f>
        <v>#N/A</v>
      </c>
      <c r="G754" t="e">
        <f>IF(ISBLANK('[1]Точность устьев скважин'!H756),#N/A,'[1]Точность устьев скважин'!H756)</f>
        <v>#N/A</v>
      </c>
      <c r="H754" t="e">
        <f>IF(ISBLANK('[1]Точность устьев скважин'!I756),#N/A,'[1]Точность устьев скважин'!I756)</f>
        <v>#N/A</v>
      </c>
      <c r="I754" t="e">
        <f>IF(ISBLANK('[1]Точность устьев скважин'!J756),#N/A,'[1]Точность устьев скважин'!J756)</f>
        <v>#N/A</v>
      </c>
      <c r="J754" t="e">
        <f>IF(ISBLANK('[1]Точность устьев скважин'!K756),#N/A,'[1]Точность устьев скважин'!K756)</f>
        <v>#N/A</v>
      </c>
      <c r="L754" s="63" t="e">
        <f t="shared" si="84"/>
        <v>#N/A</v>
      </c>
      <c r="O754" t="e">
        <f t="shared" si="85"/>
        <v>#N/A</v>
      </c>
      <c r="P754" t="e">
        <f t="shared" si="85"/>
        <v>#N/A</v>
      </c>
      <c r="Q754" t="e">
        <f t="shared" si="86"/>
        <v>#N/A</v>
      </c>
      <c r="R754" t="e">
        <f t="shared" si="86"/>
        <v>#N/A</v>
      </c>
      <c r="S754" t="e">
        <f t="shared" si="87"/>
        <v>#N/A</v>
      </c>
      <c r="T754" t="e">
        <f t="shared" si="87"/>
        <v>#N/A</v>
      </c>
      <c r="U754" t="e">
        <f t="shared" si="88"/>
        <v>#N/A</v>
      </c>
      <c r="V754" t="e">
        <f t="shared" si="88"/>
        <v>#N/A</v>
      </c>
      <c r="W754" t="e">
        <f t="shared" si="89"/>
        <v>#N/A</v>
      </c>
      <c r="X754" t="e">
        <f t="shared" si="89"/>
        <v>#N/A</v>
      </c>
      <c r="Y754" t="e">
        <f t="shared" si="83"/>
        <v>#N/A</v>
      </c>
      <c r="Z754" t="e">
        <f t="shared" si="83"/>
        <v>#N/A</v>
      </c>
    </row>
    <row r="755" spans="1:26">
      <c r="A755" t="e">
        <f>IF(ISBLANK('[1]Точность устьев скважин'!A757),#N/A,'[1]Точность устьев скважин'!A757)</f>
        <v>#N/A</v>
      </c>
      <c r="B755" t="e">
        <f>IF(ISBLANK('[1]Точность устьев скважин'!B757),#N/A,'[1]Точность устьев скважин'!B757)</f>
        <v>#N/A</v>
      </c>
      <c r="C755" t="e">
        <f>IF(ISBLANK('[1]Точность устьев скважин'!C757),#N/A,'[1]Точность устьев скважин'!C757)</f>
        <v>#N/A</v>
      </c>
      <c r="D755" t="e">
        <f>IF(ISBLANK('[1]Точность устьев скважин'!D757),#N/A,'[1]Точность устьев скважин'!D757)</f>
        <v>#N/A</v>
      </c>
      <c r="G755" t="e">
        <f>IF(ISBLANK('[1]Точность устьев скважин'!H757),#N/A,'[1]Точность устьев скважин'!H757)</f>
        <v>#N/A</v>
      </c>
      <c r="H755" t="e">
        <f>IF(ISBLANK('[1]Точность устьев скважин'!I757),#N/A,'[1]Точность устьев скважин'!I757)</f>
        <v>#N/A</v>
      </c>
      <c r="I755" t="e">
        <f>IF(ISBLANK('[1]Точность устьев скважин'!J757),#N/A,'[1]Точность устьев скважин'!J757)</f>
        <v>#N/A</v>
      </c>
      <c r="J755" t="e">
        <f>IF(ISBLANK('[1]Точность устьев скважин'!K757),#N/A,'[1]Точность устьев скважин'!K757)</f>
        <v>#N/A</v>
      </c>
      <c r="L755" s="63" t="e">
        <f t="shared" si="84"/>
        <v>#N/A</v>
      </c>
      <c r="O755" t="e">
        <f t="shared" si="85"/>
        <v>#N/A</v>
      </c>
      <c r="P755" t="e">
        <f t="shared" si="85"/>
        <v>#N/A</v>
      </c>
      <c r="Q755" t="e">
        <f t="shared" si="86"/>
        <v>#N/A</v>
      </c>
      <c r="R755" t="e">
        <f t="shared" si="86"/>
        <v>#N/A</v>
      </c>
      <c r="S755" t="e">
        <f t="shared" si="87"/>
        <v>#N/A</v>
      </c>
      <c r="T755" t="e">
        <f t="shared" si="87"/>
        <v>#N/A</v>
      </c>
      <c r="U755" t="e">
        <f t="shared" si="88"/>
        <v>#N/A</v>
      </c>
      <c r="V755" t="e">
        <f t="shared" si="88"/>
        <v>#N/A</v>
      </c>
      <c r="W755" t="e">
        <f t="shared" si="89"/>
        <v>#N/A</v>
      </c>
      <c r="X755" t="e">
        <f t="shared" si="89"/>
        <v>#N/A</v>
      </c>
      <c r="Y755" t="e">
        <f t="shared" si="83"/>
        <v>#N/A</v>
      </c>
      <c r="Z755" t="e">
        <f t="shared" si="83"/>
        <v>#N/A</v>
      </c>
    </row>
    <row r="756" spans="1:26">
      <c r="A756" t="e">
        <f>IF(ISBLANK('[1]Точность устьев скважин'!A758),#N/A,'[1]Точность устьев скважин'!A758)</f>
        <v>#N/A</v>
      </c>
      <c r="B756" t="e">
        <f>IF(ISBLANK('[1]Точность устьев скважин'!B758),#N/A,'[1]Точность устьев скважин'!B758)</f>
        <v>#N/A</v>
      </c>
      <c r="C756" t="e">
        <f>IF(ISBLANK('[1]Точность устьев скважин'!C758),#N/A,'[1]Точность устьев скважин'!C758)</f>
        <v>#N/A</v>
      </c>
      <c r="D756" t="e">
        <f>IF(ISBLANK('[1]Точность устьев скважин'!D758),#N/A,'[1]Точность устьев скважин'!D758)</f>
        <v>#N/A</v>
      </c>
      <c r="G756" t="e">
        <f>IF(ISBLANK('[1]Точность устьев скважин'!H758),#N/A,'[1]Точность устьев скважин'!H758)</f>
        <v>#N/A</v>
      </c>
      <c r="H756" t="e">
        <f>IF(ISBLANK('[1]Точность устьев скважин'!I758),#N/A,'[1]Точность устьев скважин'!I758)</f>
        <v>#N/A</v>
      </c>
      <c r="I756" t="e">
        <f>IF(ISBLANK('[1]Точность устьев скважин'!J758),#N/A,'[1]Точность устьев скважин'!J758)</f>
        <v>#N/A</v>
      </c>
      <c r="J756" t="e">
        <f>IF(ISBLANK('[1]Точность устьев скважин'!K758),#N/A,'[1]Точность устьев скважин'!K758)</f>
        <v>#N/A</v>
      </c>
      <c r="L756" s="63" t="e">
        <f t="shared" si="84"/>
        <v>#N/A</v>
      </c>
      <c r="O756" t="e">
        <f t="shared" si="85"/>
        <v>#N/A</v>
      </c>
      <c r="P756" t="e">
        <f t="shared" si="85"/>
        <v>#N/A</v>
      </c>
      <c r="Q756" t="e">
        <f t="shared" si="86"/>
        <v>#N/A</v>
      </c>
      <c r="R756" t="e">
        <f t="shared" si="86"/>
        <v>#N/A</v>
      </c>
      <c r="S756" t="e">
        <f t="shared" si="87"/>
        <v>#N/A</v>
      </c>
      <c r="T756" t="e">
        <f t="shared" si="87"/>
        <v>#N/A</v>
      </c>
      <c r="U756" t="e">
        <f t="shared" si="88"/>
        <v>#N/A</v>
      </c>
      <c r="V756" t="e">
        <f t="shared" si="88"/>
        <v>#N/A</v>
      </c>
      <c r="W756" t="e">
        <f t="shared" si="89"/>
        <v>#N/A</v>
      </c>
      <c r="X756" t="e">
        <f t="shared" si="89"/>
        <v>#N/A</v>
      </c>
      <c r="Y756" t="e">
        <f t="shared" si="83"/>
        <v>#N/A</v>
      </c>
      <c r="Z756" t="e">
        <f t="shared" si="83"/>
        <v>#N/A</v>
      </c>
    </row>
    <row r="757" spans="1:26">
      <c r="A757" t="e">
        <f>IF(ISBLANK('[1]Точность устьев скважин'!A759),#N/A,'[1]Точность устьев скважин'!A759)</f>
        <v>#N/A</v>
      </c>
      <c r="B757" t="e">
        <f>IF(ISBLANK('[1]Точность устьев скважин'!B759),#N/A,'[1]Точность устьев скважин'!B759)</f>
        <v>#N/A</v>
      </c>
      <c r="C757" t="e">
        <f>IF(ISBLANK('[1]Точность устьев скважин'!C759),#N/A,'[1]Точность устьев скважин'!C759)</f>
        <v>#N/A</v>
      </c>
      <c r="D757" t="e">
        <f>IF(ISBLANK('[1]Точность устьев скважин'!D759),#N/A,'[1]Точность устьев скважин'!D759)</f>
        <v>#N/A</v>
      </c>
      <c r="G757" t="e">
        <f>IF(ISBLANK('[1]Точность устьев скважин'!H759),#N/A,'[1]Точность устьев скважин'!H759)</f>
        <v>#N/A</v>
      </c>
      <c r="H757" t="e">
        <f>IF(ISBLANK('[1]Точность устьев скважин'!I759),#N/A,'[1]Точность устьев скважин'!I759)</f>
        <v>#N/A</v>
      </c>
      <c r="I757" t="e">
        <f>IF(ISBLANK('[1]Точность устьев скважин'!J759),#N/A,'[1]Точность устьев скважин'!J759)</f>
        <v>#N/A</v>
      </c>
      <c r="J757" t="e">
        <f>IF(ISBLANK('[1]Точность устьев скважин'!K759),#N/A,'[1]Точность устьев скважин'!K759)</f>
        <v>#N/A</v>
      </c>
      <c r="L757" s="63" t="e">
        <f t="shared" si="84"/>
        <v>#N/A</v>
      </c>
      <c r="O757" t="e">
        <f t="shared" si="85"/>
        <v>#N/A</v>
      </c>
      <c r="P757" t="e">
        <f t="shared" si="85"/>
        <v>#N/A</v>
      </c>
      <c r="Q757" t="e">
        <f t="shared" si="86"/>
        <v>#N/A</v>
      </c>
      <c r="R757" t="e">
        <f t="shared" si="86"/>
        <v>#N/A</v>
      </c>
      <c r="S757" t="e">
        <f t="shared" si="87"/>
        <v>#N/A</v>
      </c>
      <c r="T757" t="e">
        <f t="shared" si="87"/>
        <v>#N/A</v>
      </c>
      <c r="U757" t="e">
        <f t="shared" si="88"/>
        <v>#N/A</v>
      </c>
      <c r="V757" t="e">
        <f t="shared" si="88"/>
        <v>#N/A</v>
      </c>
      <c r="W757" t="e">
        <f t="shared" si="89"/>
        <v>#N/A</v>
      </c>
      <c r="X757" t="e">
        <f t="shared" si="89"/>
        <v>#N/A</v>
      </c>
      <c r="Y757" t="e">
        <f t="shared" si="83"/>
        <v>#N/A</v>
      </c>
      <c r="Z757" t="e">
        <f t="shared" si="83"/>
        <v>#N/A</v>
      </c>
    </row>
    <row r="758" spans="1:26">
      <c r="A758" t="e">
        <f>IF(ISBLANK('[1]Точность устьев скважин'!A760),#N/A,'[1]Точность устьев скважин'!A760)</f>
        <v>#N/A</v>
      </c>
      <c r="B758" t="e">
        <f>IF(ISBLANK('[1]Точность устьев скважин'!B760),#N/A,'[1]Точность устьев скважин'!B760)</f>
        <v>#N/A</v>
      </c>
      <c r="C758" t="e">
        <f>IF(ISBLANK('[1]Точность устьев скважин'!C760),#N/A,'[1]Точность устьев скважин'!C760)</f>
        <v>#N/A</v>
      </c>
      <c r="D758" t="e">
        <f>IF(ISBLANK('[1]Точность устьев скважин'!D760),#N/A,'[1]Точность устьев скважин'!D760)</f>
        <v>#N/A</v>
      </c>
      <c r="G758" t="e">
        <f>IF(ISBLANK('[1]Точность устьев скважин'!H760),#N/A,'[1]Точность устьев скважин'!H760)</f>
        <v>#N/A</v>
      </c>
      <c r="H758" t="e">
        <f>IF(ISBLANK('[1]Точность устьев скважин'!I760),#N/A,'[1]Точность устьев скважин'!I760)</f>
        <v>#N/A</v>
      </c>
      <c r="I758" t="e">
        <f>IF(ISBLANK('[1]Точность устьев скважин'!J760),#N/A,'[1]Точность устьев скважин'!J760)</f>
        <v>#N/A</v>
      </c>
      <c r="J758" t="e">
        <f>IF(ISBLANK('[1]Точность устьев скважин'!K760),#N/A,'[1]Точность устьев скважин'!K760)</f>
        <v>#N/A</v>
      </c>
      <c r="L758" s="63" t="e">
        <f t="shared" si="84"/>
        <v>#N/A</v>
      </c>
      <c r="O758" t="e">
        <f t="shared" si="85"/>
        <v>#N/A</v>
      </c>
      <c r="P758" t="e">
        <f t="shared" si="85"/>
        <v>#N/A</v>
      </c>
      <c r="Q758" t="e">
        <f t="shared" si="86"/>
        <v>#N/A</v>
      </c>
      <c r="R758" t="e">
        <f t="shared" si="86"/>
        <v>#N/A</v>
      </c>
      <c r="S758" t="e">
        <f t="shared" si="87"/>
        <v>#N/A</v>
      </c>
      <c r="T758" t="e">
        <f t="shared" si="87"/>
        <v>#N/A</v>
      </c>
      <c r="U758" t="e">
        <f t="shared" si="88"/>
        <v>#N/A</v>
      </c>
      <c r="V758" t="e">
        <f t="shared" si="88"/>
        <v>#N/A</v>
      </c>
      <c r="W758" t="e">
        <f t="shared" si="89"/>
        <v>#N/A</v>
      </c>
      <c r="X758" t="e">
        <f t="shared" si="89"/>
        <v>#N/A</v>
      </c>
      <c r="Y758" t="e">
        <f t="shared" ref="Y758:Z821" si="90">IF($L$1=0.5,IF($L758&gt;=0.5,H758,#N/A),"")</f>
        <v>#N/A</v>
      </c>
      <c r="Z758" t="e">
        <f t="shared" si="90"/>
        <v>#N/A</v>
      </c>
    </row>
    <row r="759" spans="1:26">
      <c r="A759" t="e">
        <f>IF(ISBLANK('[1]Точность устьев скважин'!A761),#N/A,'[1]Точность устьев скважин'!A761)</f>
        <v>#N/A</v>
      </c>
      <c r="B759" t="e">
        <f>IF(ISBLANK('[1]Точность устьев скважин'!B761),#N/A,'[1]Точность устьев скважин'!B761)</f>
        <v>#N/A</v>
      </c>
      <c r="C759" t="e">
        <f>IF(ISBLANK('[1]Точность устьев скважин'!C761),#N/A,'[1]Точность устьев скважин'!C761)</f>
        <v>#N/A</v>
      </c>
      <c r="D759" t="e">
        <f>IF(ISBLANK('[1]Точность устьев скважин'!D761),#N/A,'[1]Точность устьев скважин'!D761)</f>
        <v>#N/A</v>
      </c>
      <c r="G759" t="e">
        <f>IF(ISBLANK('[1]Точность устьев скважин'!H761),#N/A,'[1]Точность устьев скважин'!H761)</f>
        <v>#N/A</v>
      </c>
      <c r="H759" t="e">
        <f>IF(ISBLANK('[1]Точность устьев скважин'!I761),#N/A,'[1]Точность устьев скважин'!I761)</f>
        <v>#N/A</v>
      </c>
      <c r="I759" t="e">
        <f>IF(ISBLANK('[1]Точность устьев скважин'!J761),#N/A,'[1]Точность устьев скважин'!J761)</f>
        <v>#N/A</v>
      </c>
      <c r="J759" t="e">
        <f>IF(ISBLANK('[1]Точность устьев скважин'!K761),#N/A,'[1]Точность устьев скважин'!K761)</f>
        <v>#N/A</v>
      </c>
      <c r="L759" s="63" t="e">
        <f t="shared" si="84"/>
        <v>#N/A</v>
      </c>
      <c r="O759" t="e">
        <f t="shared" si="85"/>
        <v>#N/A</v>
      </c>
      <c r="P759" t="e">
        <f t="shared" si="85"/>
        <v>#N/A</v>
      </c>
      <c r="Q759" t="e">
        <f t="shared" si="86"/>
        <v>#N/A</v>
      </c>
      <c r="R759" t="e">
        <f t="shared" si="86"/>
        <v>#N/A</v>
      </c>
      <c r="S759" t="e">
        <f t="shared" si="87"/>
        <v>#N/A</v>
      </c>
      <c r="T759" t="e">
        <f t="shared" si="87"/>
        <v>#N/A</v>
      </c>
      <c r="U759" t="e">
        <f t="shared" si="88"/>
        <v>#N/A</v>
      </c>
      <c r="V759" t="e">
        <f t="shared" si="88"/>
        <v>#N/A</v>
      </c>
      <c r="W759" t="e">
        <f t="shared" si="89"/>
        <v>#N/A</v>
      </c>
      <c r="X759" t="e">
        <f t="shared" si="89"/>
        <v>#N/A</v>
      </c>
      <c r="Y759" t="e">
        <f t="shared" si="90"/>
        <v>#N/A</v>
      </c>
      <c r="Z759" t="e">
        <f t="shared" si="90"/>
        <v>#N/A</v>
      </c>
    </row>
    <row r="760" spans="1:26">
      <c r="A760" t="e">
        <f>IF(ISBLANK('[1]Точность устьев скважин'!A762),#N/A,'[1]Точность устьев скважин'!A762)</f>
        <v>#N/A</v>
      </c>
      <c r="B760" t="e">
        <f>IF(ISBLANK('[1]Точность устьев скважин'!B762),#N/A,'[1]Точность устьев скважин'!B762)</f>
        <v>#N/A</v>
      </c>
      <c r="C760" t="e">
        <f>IF(ISBLANK('[1]Точность устьев скважин'!C762),#N/A,'[1]Точность устьев скважин'!C762)</f>
        <v>#N/A</v>
      </c>
      <c r="D760" t="e">
        <f>IF(ISBLANK('[1]Точность устьев скважин'!D762),#N/A,'[1]Точность устьев скважин'!D762)</f>
        <v>#N/A</v>
      </c>
      <c r="G760" t="e">
        <f>IF(ISBLANK('[1]Точность устьев скважин'!H762),#N/A,'[1]Точность устьев скважин'!H762)</f>
        <v>#N/A</v>
      </c>
      <c r="H760" t="e">
        <f>IF(ISBLANK('[1]Точность устьев скважин'!I762),#N/A,'[1]Точность устьев скважин'!I762)</f>
        <v>#N/A</v>
      </c>
      <c r="I760" t="e">
        <f>IF(ISBLANK('[1]Точность устьев скважин'!J762),#N/A,'[1]Точность устьев скважин'!J762)</f>
        <v>#N/A</v>
      </c>
      <c r="J760" t="e">
        <f>IF(ISBLANK('[1]Точность устьев скважин'!K762),#N/A,'[1]Точность устьев скважин'!K762)</f>
        <v>#N/A</v>
      </c>
      <c r="L760" s="63" t="e">
        <f t="shared" si="84"/>
        <v>#N/A</v>
      </c>
      <c r="O760" t="e">
        <f t="shared" si="85"/>
        <v>#N/A</v>
      </c>
      <c r="P760" t="e">
        <f t="shared" si="85"/>
        <v>#N/A</v>
      </c>
      <c r="Q760" t="e">
        <f t="shared" si="86"/>
        <v>#N/A</v>
      </c>
      <c r="R760" t="e">
        <f t="shared" si="86"/>
        <v>#N/A</v>
      </c>
      <c r="S760" t="e">
        <f t="shared" si="87"/>
        <v>#N/A</v>
      </c>
      <c r="T760" t="e">
        <f t="shared" si="87"/>
        <v>#N/A</v>
      </c>
      <c r="U760" t="e">
        <f t="shared" si="88"/>
        <v>#N/A</v>
      </c>
      <c r="V760" t="e">
        <f t="shared" si="88"/>
        <v>#N/A</v>
      </c>
      <c r="W760" t="e">
        <f t="shared" si="89"/>
        <v>#N/A</v>
      </c>
      <c r="X760" t="e">
        <f t="shared" si="89"/>
        <v>#N/A</v>
      </c>
      <c r="Y760" t="e">
        <f t="shared" si="90"/>
        <v>#N/A</v>
      </c>
      <c r="Z760" t="e">
        <f t="shared" si="90"/>
        <v>#N/A</v>
      </c>
    </row>
    <row r="761" spans="1:26">
      <c r="A761" t="e">
        <f>IF(ISBLANK('[1]Точность устьев скважин'!A763),#N/A,'[1]Точность устьев скважин'!A763)</f>
        <v>#N/A</v>
      </c>
      <c r="B761" t="e">
        <f>IF(ISBLANK('[1]Точность устьев скважин'!B763),#N/A,'[1]Точность устьев скважин'!B763)</f>
        <v>#N/A</v>
      </c>
      <c r="C761" t="e">
        <f>IF(ISBLANK('[1]Точность устьев скважин'!C763),#N/A,'[1]Точность устьев скважин'!C763)</f>
        <v>#N/A</v>
      </c>
      <c r="D761" t="e">
        <f>IF(ISBLANK('[1]Точность устьев скважин'!D763),#N/A,'[1]Точность устьев скважин'!D763)</f>
        <v>#N/A</v>
      </c>
      <c r="G761" t="e">
        <f>IF(ISBLANK('[1]Точность устьев скважин'!H763),#N/A,'[1]Точность устьев скважин'!H763)</f>
        <v>#N/A</v>
      </c>
      <c r="H761" t="e">
        <f>IF(ISBLANK('[1]Точность устьев скважин'!I763),#N/A,'[1]Точность устьев скважин'!I763)</f>
        <v>#N/A</v>
      </c>
      <c r="I761" t="e">
        <f>IF(ISBLANK('[1]Точность устьев скважин'!J763),#N/A,'[1]Точность устьев скважин'!J763)</f>
        <v>#N/A</v>
      </c>
      <c r="J761" t="e">
        <f>IF(ISBLANK('[1]Точность устьев скважин'!K763),#N/A,'[1]Точность устьев скважин'!K763)</f>
        <v>#N/A</v>
      </c>
      <c r="L761" s="63" t="e">
        <f t="shared" si="84"/>
        <v>#N/A</v>
      </c>
      <c r="O761" t="e">
        <f t="shared" si="85"/>
        <v>#N/A</v>
      </c>
      <c r="P761" t="e">
        <f t="shared" si="85"/>
        <v>#N/A</v>
      </c>
      <c r="Q761" t="e">
        <f t="shared" si="86"/>
        <v>#N/A</v>
      </c>
      <c r="R761" t="e">
        <f t="shared" si="86"/>
        <v>#N/A</v>
      </c>
      <c r="S761" t="e">
        <f t="shared" si="87"/>
        <v>#N/A</v>
      </c>
      <c r="T761" t="e">
        <f t="shared" si="87"/>
        <v>#N/A</v>
      </c>
      <c r="U761" t="e">
        <f t="shared" si="88"/>
        <v>#N/A</v>
      </c>
      <c r="V761" t="e">
        <f t="shared" si="88"/>
        <v>#N/A</v>
      </c>
      <c r="W761" t="e">
        <f t="shared" si="89"/>
        <v>#N/A</v>
      </c>
      <c r="X761" t="e">
        <f t="shared" si="89"/>
        <v>#N/A</v>
      </c>
      <c r="Y761" t="e">
        <f t="shared" si="90"/>
        <v>#N/A</v>
      </c>
      <c r="Z761" t="e">
        <f t="shared" si="90"/>
        <v>#N/A</v>
      </c>
    </row>
    <row r="762" spans="1:26">
      <c r="A762" t="e">
        <f>IF(ISBLANK('[1]Точность устьев скважин'!A764),#N/A,'[1]Точность устьев скважин'!A764)</f>
        <v>#N/A</v>
      </c>
      <c r="B762" t="e">
        <f>IF(ISBLANK('[1]Точность устьев скважин'!B764),#N/A,'[1]Точность устьев скважин'!B764)</f>
        <v>#N/A</v>
      </c>
      <c r="C762" t="e">
        <f>IF(ISBLANK('[1]Точность устьев скважин'!C764),#N/A,'[1]Точность устьев скважин'!C764)</f>
        <v>#N/A</v>
      </c>
      <c r="D762" t="e">
        <f>IF(ISBLANK('[1]Точность устьев скважин'!D764),#N/A,'[1]Точность устьев скважин'!D764)</f>
        <v>#N/A</v>
      </c>
      <c r="G762" t="e">
        <f>IF(ISBLANK('[1]Точность устьев скважин'!H764),#N/A,'[1]Точность устьев скважин'!H764)</f>
        <v>#N/A</v>
      </c>
      <c r="H762" t="e">
        <f>IF(ISBLANK('[1]Точность устьев скважин'!I764),#N/A,'[1]Точность устьев скважин'!I764)</f>
        <v>#N/A</v>
      </c>
      <c r="I762" t="e">
        <f>IF(ISBLANK('[1]Точность устьев скважин'!J764),#N/A,'[1]Точность устьев скважин'!J764)</f>
        <v>#N/A</v>
      </c>
      <c r="J762" t="e">
        <f>IF(ISBLANK('[1]Точность устьев скважин'!K764),#N/A,'[1]Точность устьев скважин'!K764)</f>
        <v>#N/A</v>
      </c>
      <c r="L762" s="63" t="e">
        <f t="shared" si="84"/>
        <v>#N/A</v>
      </c>
      <c r="O762" t="e">
        <f t="shared" si="85"/>
        <v>#N/A</v>
      </c>
      <c r="P762" t="e">
        <f t="shared" si="85"/>
        <v>#N/A</v>
      </c>
      <c r="Q762" t="e">
        <f t="shared" si="86"/>
        <v>#N/A</v>
      </c>
      <c r="R762" t="e">
        <f t="shared" si="86"/>
        <v>#N/A</v>
      </c>
      <c r="S762" t="e">
        <f t="shared" si="87"/>
        <v>#N/A</v>
      </c>
      <c r="T762" t="e">
        <f t="shared" si="87"/>
        <v>#N/A</v>
      </c>
      <c r="U762" t="e">
        <f t="shared" si="88"/>
        <v>#N/A</v>
      </c>
      <c r="V762" t="e">
        <f t="shared" si="88"/>
        <v>#N/A</v>
      </c>
      <c r="W762" t="e">
        <f t="shared" si="89"/>
        <v>#N/A</v>
      </c>
      <c r="X762" t="e">
        <f t="shared" si="89"/>
        <v>#N/A</v>
      </c>
      <c r="Y762" t="e">
        <f t="shared" si="90"/>
        <v>#N/A</v>
      </c>
      <c r="Z762" t="e">
        <f t="shared" si="90"/>
        <v>#N/A</v>
      </c>
    </row>
    <row r="763" spans="1:26">
      <c r="A763" t="e">
        <f>IF(ISBLANK('[1]Точность устьев скважин'!A765),#N/A,'[1]Точность устьев скважин'!A765)</f>
        <v>#N/A</v>
      </c>
      <c r="B763" t="e">
        <f>IF(ISBLANK('[1]Точность устьев скважин'!B765),#N/A,'[1]Точность устьев скважин'!B765)</f>
        <v>#N/A</v>
      </c>
      <c r="C763" t="e">
        <f>IF(ISBLANK('[1]Точность устьев скважин'!C765),#N/A,'[1]Точность устьев скважин'!C765)</f>
        <v>#N/A</v>
      </c>
      <c r="D763" t="e">
        <f>IF(ISBLANK('[1]Точность устьев скважин'!D765),#N/A,'[1]Точность устьев скважин'!D765)</f>
        <v>#N/A</v>
      </c>
      <c r="G763" t="e">
        <f>IF(ISBLANK('[1]Точность устьев скважин'!H765),#N/A,'[1]Точность устьев скважин'!H765)</f>
        <v>#N/A</v>
      </c>
      <c r="H763" t="e">
        <f>IF(ISBLANK('[1]Точность устьев скважин'!I765),#N/A,'[1]Точность устьев скважин'!I765)</f>
        <v>#N/A</v>
      </c>
      <c r="I763" t="e">
        <f>IF(ISBLANK('[1]Точность устьев скважин'!J765),#N/A,'[1]Точность устьев скважин'!J765)</f>
        <v>#N/A</v>
      </c>
      <c r="J763" t="e">
        <f>IF(ISBLANK('[1]Точность устьев скважин'!K765),#N/A,'[1]Точность устьев скважин'!K765)</f>
        <v>#N/A</v>
      </c>
      <c r="L763" s="63" t="e">
        <f t="shared" si="84"/>
        <v>#N/A</v>
      </c>
      <c r="O763" t="e">
        <f t="shared" si="85"/>
        <v>#N/A</v>
      </c>
      <c r="P763" t="e">
        <f t="shared" si="85"/>
        <v>#N/A</v>
      </c>
      <c r="Q763" t="e">
        <f t="shared" si="86"/>
        <v>#N/A</v>
      </c>
      <c r="R763" t="e">
        <f t="shared" si="86"/>
        <v>#N/A</v>
      </c>
      <c r="S763" t="e">
        <f t="shared" si="87"/>
        <v>#N/A</v>
      </c>
      <c r="T763" t="e">
        <f t="shared" si="87"/>
        <v>#N/A</v>
      </c>
      <c r="U763" t="e">
        <f t="shared" si="88"/>
        <v>#N/A</v>
      </c>
      <c r="V763" t="e">
        <f t="shared" si="88"/>
        <v>#N/A</v>
      </c>
      <c r="W763" t="e">
        <f t="shared" si="89"/>
        <v>#N/A</v>
      </c>
      <c r="X763" t="e">
        <f t="shared" si="89"/>
        <v>#N/A</v>
      </c>
      <c r="Y763" t="e">
        <f t="shared" si="90"/>
        <v>#N/A</v>
      </c>
      <c r="Z763" t="e">
        <f t="shared" si="90"/>
        <v>#N/A</v>
      </c>
    </row>
    <row r="764" spans="1:26">
      <c r="A764" t="e">
        <f>IF(ISBLANK('[1]Точность устьев скважин'!A766),#N/A,'[1]Точность устьев скважин'!A766)</f>
        <v>#N/A</v>
      </c>
      <c r="B764" t="e">
        <f>IF(ISBLANK('[1]Точность устьев скважин'!B766),#N/A,'[1]Точность устьев скважин'!B766)</f>
        <v>#N/A</v>
      </c>
      <c r="C764" t="e">
        <f>IF(ISBLANK('[1]Точность устьев скважин'!C766),#N/A,'[1]Точность устьев скважин'!C766)</f>
        <v>#N/A</v>
      </c>
      <c r="D764" t="e">
        <f>IF(ISBLANK('[1]Точность устьев скважин'!D766),#N/A,'[1]Точность устьев скважин'!D766)</f>
        <v>#N/A</v>
      </c>
      <c r="G764" t="e">
        <f>IF(ISBLANK('[1]Точность устьев скважин'!H766),#N/A,'[1]Точность устьев скважин'!H766)</f>
        <v>#N/A</v>
      </c>
      <c r="H764" t="e">
        <f>IF(ISBLANK('[1]Точность устьев скважин'!I766),#N/A,'[1]Точность устьев скважин'!I766)</f>
        <v>#N/A</v>
      </c>
      <c r="I764" t="e">
        <f>IF(ISBLANK('[1]Точность устьев скважин'!J766),#N/A,'[1]Точность устьев скважин'!J766)</f>
        <v>#N/A</v>
      </c>
      <c r="J764" t="e">
        <f>IF(ISBLANK('[1]Точность устьев скважин'!K766),#N/A,'[1]Точность устьев скважин'!K766)</f>
        <v>#N/A</v>
      </c>
      <c r="L764" s="63" t="e">
        <f t="shared" si="84"/>
        <v>#N/A</v>
      </c>
      <c r="O764" t="e">
        <f t="shared" si="85"/>
        <v>#N/A</v>
      </c>
      <c r="P764" t="e">
        <f t="shared" si="85"/>
        <v>#N/A</v>
      </c>
      <c r="Q764" t="e">
        <f t="shared" si="86"/>
        <v>#N/A</v>
      </c>
      <c r="R764" t="e">
        <f t="shared" si="86"/>
        <v>#N/A</v>
      </c>
      <c r="S764" t="e">
        <f t="shared" si="87"/>
        <v>#N/A</v>
      </c>
      <c r="T764" t="e">
        <f t="shared" si="87"/>
        <v>#N/A</v>
      </c>
      <c r="U764" t="e">
        <f t="shared" si="88"/>
        <v>#N/A</v>
      </c>
      <c r="V764" t="e">
        <f t="shared" si="88"/>
        <v>#N/A</v>
      </c>
      <c r="W764" t="e">
        <f t="shared" si="89"/>
        <v>#N/A</v>
      </c>
      <c r="X764" t="e">
        <f t="shared" si="89"/>
        <v>#N/A</v>
      </c>
      <c r="Y764" t="e">
        <f t="shared" si="90"/>
        <v>#N/A</v>
      </c>
      <c r="Z764" t="e">
        <f t="shared" si="90"/>
        <v>#N/A</v>
      </c>
    </row>
    <row r="765" spans="1:26">
      <c r="A765" t="e">
        <f>IF(ISBLANK('[1]Точность устьев скважин'!A767),#N/A,'[1]Точность устьев скважин'!A767)</f>
        <v>#N/A</v>
      </c>
      <c r="B765" t="e">
        <f>IF(ISBLANK('[1]Точность устьев скважин'!B767),#N/A,'[1]Точность устьев скважин'!B767)</f>
        <v>#N/A</v>
      </c>
      <c r="C765" t="e">
        <f>IF(ISBLANK('[1]Точность устьев скважин'!C767),#N/A,'[1]Точность устьев скважин'!C767)</f>
        <v>#N/A</v>
      </c>
      <c r="D765" t="e">
        <f>IF(ISBLANK('[1]Точность устьев скважин'!D767),#N/A,'[1]Точность устьев скважин'!D767)</f>
        <v>#N/A</v>
      </c>
      <c r="G765" t="e">
        <f>IF(ISBLANK('[1]Точность устьев скважин'!H767),#N/A,'[1]Точность устьев скважин'!H767)</f>
        <v>#N/A</v>
      </c>
      <c r="H765" t="e">
        <f>IF(ISBLANK('[1]Точность устьев скважин'!I767),#N/A,'[1]Точность устьев скважин'!I767)</f>
        <v>#N/A</v>
      </c>
      <c r="I765" t="e">
        <f>IF(ISBLANK('[1]Точность устьев скважин'!J767),#N/A,'[1]Точность устьев скважин'!J767)</f>
        <v>#N/A</v>
      </c>
      <c r="J765" t="e">
        <f>IF(ISBLANK('[1]Точность устьев скважин'!K767),#N/A,'[1]Точность устьев скважин'!K767)</f>
        <v>#N/A</v>
      </c>
      <c r="L765" s="63" t="e">
        <f t="shared" si="84"/>
        <v>#N/A</v>
      </c>
      <c r="O765" t="e">
        <f t="shared" si="85"/>
        <v>#N/A</v>
      </c>
      <c r="P765" t="e">
        <f t="shared" si="85"/>
        <v>#N/A</v>
      </c>
      <c r="Q765" t="e">
        <f t="shared" si="86"/>
        <v>#N/A</v>
      </c>
      <c r="R765" t="e">
        <f t="shared" si="86"/>
        <v>#N/A</v>
      </c>
      <c r="S765" t="e">
        <f t="shared" si="87"/>
        <v>#N/A</v>
      </c>
      <c r="T765" t="e">
        <f t="shared" si="87"/>
        <v>#N/A</v>
      </c>
      <c r="U765" t="e">
        <f t="shared" si="88"/>
        <v>#N/A</v>
      </c>
      <c r="V765" t="e">
        <f t="shared" si="88"/>
        <v>#N/A</v>
      </c>
      <c r="W765" t="e">
        <f t="shared" si="89"/>
        <v>#N/A</v>
      </c>
      <c r="X765" t="e">
        <f t="shared" si="89"/>
        <v>#N/A</v>
      </c>
      <c r="Y765" t="e">
        <f t="shared" si="90"/>
        <v>#N/A</v>
      </c>
      <c r="Z765" t="e">
        <f t="shared" si="90"/>
        <v>#N/A</v>
      </c>
    </row>
    <row r="766" spans="1:26">
      <c r="A766" t="e">
        <f>IF(ISBLANK('[1]Точность устьев скважин'!A768),#N/A,'[1]Точность устьев скважин'!A768)</f>
        <v>#N/A</v>
      </c>
      <c r="B766" t="e">
        <f>IF(ISBLANK('[1]Точность устьев скважин'!B768),#N/A,'[1]Точность устьев скважин'!B768)</f>
        <v>#N/A</v>
      </c>
      <c r="C766" t="e">
        <f>IF(ISBLANK('[1]Точность устьев скважин'!C768),#N/A,'[1]Точность устьев скважин'!C768)</f>
        <v>#N/A</v>
      </c>
      <c r="D766" t="e">
        <f>IF(ISBLANK('[1]Точность устьев скважин'!D768),#N/A,'[1]Точность устьев скважин'!D768)</f>
        <v>#N/A</v>
      </c>
      <c r="G766" t="e">
        <f>IF(ISBLANK('[1]Точность устьев скважин'!H768),#N/A,'[1]Точность устьев скважин'!H768)</f>
        <v>#N/A</v>
      </c>
      <c r="H766" t="e">
        <f>IF(ISBLANK('[1]Точность устьев скважин'!I768),#N/A,'[1]Точность устьев скважин'!I768)</f>
        <v>#N/A</v>
      </c>
      <c r="I766" t="e">
        <f>IF(ISBLANK('[1]Точность устьев скважин'!J768),#N/A,'[1]Точность устьев скважин'!J768)</f>
        <v>#N/A</v>
      </c>
      <c r="J766" t="e">
        <f>IF(ISBLANK('[1]Точность устьев скважин'!K768),#N/A,'[1]Точность устьев скважин'!K768)</f>
        <v>#N/A</v>
      </c>
      <c r="L766" s="63" t="e">
        <f t="shared" si="84"/>
        <v>#N/A</v>
      </c>
      <c r="O766" t="e">
        <f t="shared" si="85"/>
        <v>#N/A</v>
      </c>
      <c r="P766" t="e">
        <f t="shared" si="85"/>
        <v>#N/A</v>
      </c>
      <c r="Q766" t="e">
        <f t="shared" si="86"/>
        <v>#N/A</v>
      </c>
      <c r="R766" t="e">
        <f t="shared" si="86"/>
        <v>#N/A</v>
      </c>
      <c r="S766" t="e">
        <f t="shared" si="87"/>
        <v>#N/A</v>
      </c>
      <c r="T766" t="e">
        <f t="shared" si="87"/>
        <v>#N/A</v>
      </c>
      <c r="U766" t="e">
        <f t="shared" si="88"/>
        <v>#N/A</v>
      </c>
      <c r="V766" t="e">
        <f t="shared" si="88"/>
        <v>#N/A</v>
      </c>
      <c r="W766" t="e">
        <f t="shared" si="89"/>
        <v>#N/A</v>
      </c>
      <c r="X766" t="e">
        <f t="shared" si="89"/>
        <v>#N/A</v>
      </c>
      <c r="Y766" t="e">
        <f t="shared" si="90"/>
        <v>#N/A</v>
      </c>
      <c r="Z766" t="e">
        <f t="shared" si="90"/>
        <v>#N/A</v>
      </c>
    </row>
    <row r="767" spans="1:26">
      <c r="A767" t="e">
        <f>IF(ISBLANK('[1]Точность устьев скважин'!A769),#N/A,'[1]Точность устьев скважин'!A769)</f>
        <v>#N/A</v>
      </c>
      <c r="B767" t="e">
        <f>IF(ISBLANK('[1]Точность устьев скважин'!B769),#N/A,'[1]Точность устьев скважин'!B769)</f>
        <v>#N/A</v>
      </c>
      <c r="C767" t="e">
        <f>IF(ISBLANK('[1]Точность устьев скважин'!C769),#N/A,'[1]Точность устьев скважин'!C769)</f>
        <v>#N/A</v>
      </c>
      <c r="D767" t="e">
        <f>IF(ISBLANK('[1]Точность устьев скважин'!D769),#N/A,'[1]Точность устьев скважин'!D769)</f>
        <v>#N/A</v>
      </c>
      <c r="G767" t="e">
        <f>IF(ISBLANK('[1]Точность устьев скважин'!H769),#N/A,'[1]Точность устьев скважин'!H769)</f>
        <v>#N/A</v>
      </c>
      <c r="H767" t="e">
        <f>IF(ISBLANK('[1]Точность устьев скважин'!I769),#N/A,'[1]Точность устьев скважин'!I769)</f>
        <v>#N/A</v>
      </c>
      <c r="I767" t="e">
        <f>IF(ISBLANK('[1]Точность устьев скважин'!J769),#N/A,'[1]Точность устьев скважин'!J769)</f>
        <v>#N/A</v>
      </c>
      <c r="J767" t="e">
        <f>IF(ISBLANK('[1]Точность устьев скважин'!K769),#N/A,'[1]Точность устьев скважин'!K769)</f>
        <v>#N/A</v>
      </c>
      <c r="L767" s="63" t="e">
        <f t="shared" si="84"/>
        <v>#N/A</v>
      </c>
      <c r="O767" t="e">
        <f t="shared" si="85"/>
        <v>#N/A</v>
      </c>
      <c r="P767" t="e">
        <f t="shared" si="85"/>
        <v>#N/A</v>
      </c>
      <c r="Q767" t="e">
        <f t="shared" si="86"/>
        <v>#N/A</v>
      </c>
      <c r="R767" t="e">
        <f t="shared" si="86"/>
        <v>#N/A</v>
      </c>
      <c r="S767" t="e">
        <f t="shared" si="87"/>
        <v>#N/A</v>
      </c>
      <c r="T767" t="e">
        <f t="shared" si="87"/>
        <v>#N/A</v>
      </c>
      <c r="U767" t="e">
        <f t="shared" si="88"/>
        <v>#N/A</v>
      </c>
      <c r="V767" t="e">
        <f t="shared" si="88"/>
        <v>#N/A</v>
      </c>
      <c r="W767" t="e">
        <f t="shared" si="89"/>
        <v>#N/A</v>
      </c>
      <c r="X767" t="e">
        <f t="shared" si="89"/>
        <v>#N/A</v>
      </c>
      <c r="Y767" t="e">
        <f t="shared" si="90"/>
        <v>#N/A</v>
      </c>
      <c r="Z767" t="e">
        <f t="shared" si="90"/>
        <v>#N/A</v>
      </c>
    </row>
    <row r="768" spans="1:26">
      <c r="A768" t="e">
        <f>IF(ISBLANK('[1]Точность устьев скважин'!A770),#N/A,'[1]Точность устьев скважин'!A770)</f>
        <v>#N/A</v>
      </c>
      <c r="B768" t="e">
        <f>IF(ISBLANK('[1]Точность устьев скважин'!B770),#N/A,'[1]Точность устьев скважин'!B770)</f>
        <v>#N/A</v>
      </c>
      <c r="C768" t="e">
        <f>IF(ISBLANK('[1]Точность устьев скважин'!C770),#N/A,'[1]Точность устьев скважин'!C770)</f>
        <v>#N/A</v>
      </c>
      <c r="D768" t="e">
        <f>IF(ISBLANK('[1]Точность устьев скважин'!D770),#N/A,'[1]Точность устьев скважин'!D770)</f>
        <v>#N/A</v>
      </c>
      <c r="G768" t="e">
        <f>IF(ISBLANK('[1]Точность устьев скважин'!H770),#N/A,'[1]Точность устьев скважин'!H770)</f>
        <v>#N/A</v>
      </c>
      <c r="H768" t="e">
        <f>IF(ISBLANK('[1]Точность устьев скважин'!I770),#N/A,'[1]Точность устьев скважин'!I770)</f>
        <v>#N/A</v>
      </c>
      <c r="I768" t="e">
        <f>IF(ISBLANK('[1]Точность устьев скважин'!J770),#N/A,'[1]Точность устьев скважин'!J770)</f>
        <v>#N/A</v>
      </c>
      <c r="J768" t="e">
        <f>IF(ISBLANK('[1]Точность устьев скважин'!K770),#N/A,'[1]Точность устьев скважин'!K770)</f>
        <v>#N/A</v>
      </c>
      <c r="L768" s="63" t="e">
        <f t="shared" si="84"/>
        <v>#N/A</v>
      </c>
      <c r="O768" t="e">
        <f t="shared" si="85"/>
        <v>#N/A</v>
      </c>
      <c r="P768" t="e">
        <f t="shared" si="85"/>
        <v>#N/A</v>
      </c>
      <c r="Q768" t="e">
        <f t="shared" si="86"/>
        <v>#N/A</v>
      </c>
      <c r="R768" t="e">
        <f t="shared" si="86"/>
        <v>#N/A</v>
      </c>
      <c r="S768" t="e">
        <f t="shared" si="87"/>
        <v>#N/A</v>
      </c>
      <c r="T768" t="e">
        <f t="shared" si="87"/>
        <v>#N/A</v>
      </c>
      <c r="U768" t="e">
        <f t="shared" si="88"/>
        <v>#N/A</v>
      </c>
      <c r="V768" t="e">
        <f t="shared" si="88"/>
        <v>#N/A</v>
      </c>
      <c r="W768" t="e">
        <f t="shared" si="89"/>
        <v>#N/A</v>
      </c>
      <c r="X768" t="e">
        <f t="shared" si="89"/>
        <v>#N/A</v>
      </c>
      <c r="Y768" t="e">
        <f t="shared" si="90"/>
        <v>#N/A</v>
      </c>
      <c r="Z768" t="e">
        <f t="shared" si="90"/>
        <v>#N/A</v>
      </c>
    </row>
    <row r="769" spans="1:26">
      <c r="A769" t="e">
        <f>IF(ISBLANK('[1]Точность устьев скважин'!A771),#N/A,'[1]Точность устьев скважин'!A771)</f>
        <v>#N/A</v>
      </c>
      <c r="B769" t="e">
        <f>IF(ISBLANK('[1]Точность устьев скважин'!B771),#N/A,'[1]Точность устьев скважин'!B771)</f>
        <v>#N/A</v>
      </c>
      <c r="C769" t="e">
        <f>IF(ISBLANK('[1]Точность устьев скважин'!C771),#N/A,'[1]Точность устьев скважин'!C771)</f>
        <v>#N/A</v>
      </c>
      <c r="D769" t="e">
        <f>IF(ISBLANK('[1]Точность устьев скважин'!D771),#N/A,'[1]Точность устьев скважин'!D771)</f>
        <v>#N/A</v>
      </c>
      <c r="G769" t="e">
        <f>IF(ISBLANK('[1]Точность устьев скважин'!H771),#N/A,'[1]Точность устьев скважин'!H771)</f>
        <v>#N/A</v>
      </c>
      <c r="H769" t="e">
        <f>IF(ISBLANK('[1]Точность устьев скважин'!I771),#N/A,'[1]Точность устьев скважин'!I771)</f>
        <v>#N/A</v>
      </c>
      <c r="I769" t="e">
        <f>IF(ISBLANK('[1]Точность устьев скважин'!J771),#N/A,'[1]Точность устьев скважин'!J771)</f>
        <v>#N/A</v>
      </c>
      <c r="J769" t="e">
        <f>IF(ISBLANK('[1]Точность устьев скважин'!K771),#N/A,'[1]Точность устьев скважин'!K771)</f>
        <v>#N/A</v>
      </c>
      <c r="L769" s="63" t="e">
        <f t="shared" si="84"/>
        <v>#N/A</v>
      </c>
      <c r="O769" t="e">
        <f t="shared" si="85"/>
        <v>#N/A</v>
      </c>
      <c r="P769" t="e">
        <f t="shared" si="85"/>
        <v>#N/A</v>
      </c>
      <c r="Q769" t="e">
        <f t="shared" si="86"/>
        <v>#N/A</v>
      </c>
      <c r="R769" t="e">
        <f t="shared" si="86"/>
        <v>#N/A</v>
      </c>
      <c r="S769" t="e">
        <f t="shared" si="87"/>
        <v>#N/A</v>
      </c>
      <c r="T769" t="e">
        <f t="shared" si="87"/>
        <v>#N/A</v>
      </c>
      <c r="U769" t="e">
        <f t="shared" si="88"/>
        <v>#N/A</v>
      </c>
      <c r="V769" t="e">
        <f t="shared" si="88"/>
        <v>#N/A</v>
      </c>
      <c r="W769" t="e">
        <f t="shared" si="89"/>
        <v>#N/A</v>
      </c>
      <c r="X769" t="e">
        <f t="shared" si="89"/>
        <v>#N/A</v>
      </c>
      <c r="Y769" t="e">
        <f t="shared" si="90"/>
        <v>#N/A</v>
      </c>
      <c r="Z769" t="e">
        <f t="shared" si="90"/>
        <v>#N/A</v>
      </c>
    </row>
    <row r="770" spans="1:26">
      <c r="A770" t="e">
        <f>IF(ISBLANK('[1]Точность устьев скважин'!A772),#N/A,'[1]Точность устьев скважин'!A772)</f>
        <v>#N/A</v>
      </c>
      <c r="B770" t="e">
        <f>IF(ISBLANK('[1]Точность устьев скважин'!B772),#N/A,'[1]Точность устьев скважин'!B772)</f>
        <v>#N/A</v>
      </c>
      <c r="C770" t="e">
        <f>IF(ISBLANK('[1]Точность устьев скважин'!C772),#N/A,'[1]Точность устьев скважин'!C772)</f>
        <v>#N/A</v>
      </c>
      <c r="D770" t="e">
        <f>IF(ISBLANK('[1]Точность устьев скважин'!D772),#N/A,'[1]Точность устьев скважин'!D772)</f>
        <v>#N/A</v>
      </c>
      <c r="G770" t="e">
        <f>IF(ISBLANK('[1]Точность устьев скважин'!H772),#N/A,'[1]Точность устьев скважин'!H772)</f>
        <v>#N/A</v>
      </c>
      <c r="H770" t="e">
        <f>IF(ISBLANK('[1]Точность устьев скважин'!I772),#N/A,'[1]Точность устьев скважин'!I772)</f>
        <v>#N/A</v>
      </c>
      <c r="I770" t="e">
        <f>IF(ISBLANK('[1]Точность устьев скважин'!J772),#N/A,'[1]Точность устьев скважин'!J772)</f>
        <v>#N/A</v>
      </c>
      <c r="J770" t="e">
        <f>IF(ISBLANK('[1]Точность устьев скважин'!K772),#N/A,'[1]Точность устьев скважин'!K772)</f>
        <v>#N/A</v>
      </c>
      <c r="L770" s="63" t="e">
        <f t="shared" si="84"/>
        <v>#N/A</v>
      </c>
      <c r="O770" t="e">
        <f t="shared" si="85"/>
        <v>#N/A</v>
      </c>
      <c r="P770" t="e">
        <f t="shared" si="85"/>
        <v>#N/A</v>
      </c>
      <c r="Q770" t="e">
        <f t="shared" si="86"/>
        <v>#N/A</v>
      </c>
      <c r="R770" t="e">
        <f t="shared" si="86"/>
        <v>#N/A</v>
      </c>
      <c r="S770" t="e">
        <f t="shared" si="87"/>
        <v>#N/A</v>
      </c>
      <c r="T770" t="e">
        <f t="shared" si="87"/>
        <v>#N/A</v>
      </c>
      <c r="U770" t="e">
        <f t="shared" si="88"/>
        <v>#N/A</v>
      </c>
      <c r="V770" t="e">
        <f t="shared" si="88"/>
        <v>#N/A</v>
      </c>
      <c r="W770" t="e">
        <f t="shared" si="89"/>
        <v>#N/A</v>
      </c>
      <c r="X770" t="e">
        <f t="shared" si="89"/>
        <v>#N/A</v>
      </c>
      <c r="Y770" t="e">
        <f t="shared" si="90"/>
        <v>#N/A</v>
      </c>
      <c r="Z770" t="e">
        <f t="shared" si="90"/>
        <v>#N/A</v>
      </c>
    </row>
    <row r="771" spans="1:26">
      <c r="A771" t="e">
        <f>IF(ISBLANK('[1]Точность устьев скважин'!A773),#N/A,'[1]Точность устьев скважин'!A773)</f>
        <v>#N/A</v>
      </c>
      <c r="B771" t="e">
        <f>IF(ISBLANK('[1]Точность устьев скважин'!B773),#N/A,'[1]Точность устьев скважин'!B773)</f>
        <v>#N/A</v>
      </c>
      <c r="C771" t="e">
        <f>IF(ISBLANK('[1]Точность устьев скважин'!C773),#N/A,'[1]Точность устьев скважин'!C773)</f>
        <v>#N/A</v>
      </c>
      <c r="D771" t="e">
        <f>IF(ISBLANK('[1]Точность устьев скважин'!D773),#N/A,'[1]Точность устьев скважин'!D773)</f>
        <v>#N/A</v>
      </c>
      <c r="G771" t="e">
        <f>IF(ISBLANK('[1]Точность устьев скважин'!H773),#N/A,'[1]Точность устьев скважин'!H773)</f>
        <v>#N/A</v>
      </c>
      <c r="H771" t="e">
        <f>IF(ISBLANK('[1]Точность устьев скважин'!I773),#N/A,'[1]Точность устьев скважин'!I773)</f>
        <v>#N/A</v>
      </c>
      <c r="I771" t="e">
        <f>IF(ISBLANK('[1]Точность устьев скважин'!J773),#N/A,'[1]Точность устьев скважин'!J773)</f>
        <v>#N/A</v>
      </c>
      <c r="J771" t="e">
        <f>IF(ISBLANK('[1]Точность устьев скважин'!K773),#N/A,'[1]Точность устьев скважин'!K773)</f>
        <v>#N/A</v>
      </c>
      <c r="L771" s="63" t="e">
        <f t="shared" si="84"/>
        <v>#N/A</v>
      </c>
      <c r="O771" t="e">
        <f t="shared" si="85"/>
        <v>#N/A</v>
      </c>
      <c r="P771" t="e">
        <f t="shared" si="85"/>
        <v>#N/A</v>
      </c>
      <c r="Q771" t="e">
        <f t="shared" si="86"/>
        <v>#N/A</v>
      </c>
      <c r="R771" t="e">
        <f t="shared" si="86"/>
        <v>#N/A</v>
      </c>
      <c r="S771" t="e">
        <f t="shared" si="87"/>
        <v>#N/A</v>
      </c>
      <c r="T771" t="e">
        <f t="shared" si="87"/>
        <v>#N/A</v>
      </c>
      <c r="U771" t="e">
        <f t="shared" si="88"/>
        <v>#N/A</v>
      </c>
      <c r="V771" t="e">
        <f t="shared" si="88"/>
        <v>#N/A</v>
      </c>
      <c r="W771" t="e">
        <f t="shared" si="89"/>
        <v>#N/A</v>
      </c>
      <c r="X771" t="e">
        <f t="shared" si="89"/>
        <v>#N/A</v>
      </c>
      <c r="Y771" t="e">
        <f t="shared" si="90"/>
        <v>#N/A</v>
      </c>
      <c r="Z771" t="e">
        <f t="shared" si="90"/>
        <v>#N/A</v>
      </c>
    </row>
    <row r="772" spans="1:26">
      <c r="A772" t="e">
        <f>IF(ISBLANK('[1]Точность устьев скважин'!A774),#N/A,'[1]Точность устьев скважин'!A774)</f>
        <v>#N/A</v>
      </c>
      <c r="B772" t="e">
        <f>IF(ISBLANK('[1]Точность устьев скважин'!B774),#N/A,'[1]Точность устьев скважин'!B774)</f>
        <v>#N/A</v>
      </c>
      <c r="C772" t="e">
        <f>IF(ISBLANK('[1]Точность устьев скважин'!C774),#N/A,'[1]Точность устьев скважин'!C774)</f>
        <v>#N/A</v>
      </c>
      <c r="D772" t="e">
        <f>IF(ISBLANK('[1]Точность устьев скважин'!D774),#N/A,'[1]Точность устьев скважин'!D774)</f>
        <v>#N/A</v>
      </c>
      <c r="G772" t="e">
        <f>IF(ISBLANK('[1]Точность устьев скважин'!H774),#N/A,'[1]Точность устьев скважин'!H774)</f>
        <v>#N/A</v>
      </c>
      <c r="H772" t="e">
        <f>IF(ISBLANK('[1]Точность устьев скважин'!I774),#N/A,'[1]Точность устьев скважин'!I774)</f>
        <v>#N/A</v>
      </c>
      <c r="I772" t="e">
        <f>IF(ISBLANK('[1]Точность устьев скважин'!J774),#N/A,'[1]Точность устьев скважин'!J774)</f>
        <v>#N/A</v>
      </c>
      <c r="J772" t="e">
        <f>IF(ISBLANK('[1]Точность устьев скважин'!K774),#N/A,'[1]Точность устьев скважин'!K774)</f>
        <v>#N/A</v>
      </c>
      <c r="L772" s="63" t="e">
        <f t="shared" ref="L772:L835" si="91">IF(B772="","",(SQRT((H772-B772)^2+(I772-C772)^2)))</f>
        <v>#N/A</v>
      </c>
      <c r="O772" t="e">
        <f t="shared" si="85"/>
        <v>#N/A</v>
      </c>
      <c r="P772" t="e">
        <f t="shared" si="85"/>
        <v>#N/A</v>
      </c>
      <c r="Q772" t="e">
        <f t="shared" si="86"/>
        <v>#N/A</v>
      </c>
      <c r="R772" t="e">
        <f t="shared" si="86"/>
        <v>#N/A</v>
      </c>
      <c r="S772" t="e">
        <f t="shared" si="87"/>
        <v>#N/A</v>
      </c>
      <c r="T772" t="e">
        <f t="shared" si="87"/>
        <v>#N/A</v>
      </c>
      <c r="U772" t="e">
        <f t="shared" si="88"/>
        <v>#N/A</v>
      </c>
      <c r="V772" t="e">
        <f t="shared" si="88"/>
        <v>#N/A</v>
      </c>
      <c r="W772" t="e">
        <f t="shared" si="89"/>
        <v>#N/A</v>
      </c>
      <c r="X772" t="e">
        <f t="shared" si="89"/>
        <v>#N/A</v>
      </c>
      <c r="Y772" t="e">
        <f t="shared" si="90"/>
        <v>#N/A</v>
      </c>
      <c r="Z772" t="e">
        <f t="shared" si="90"/>
        <v>#N/A</v>
      </c>
    </row>
    <row r="773" spans="1:26">
      <c r="A773" t="e">
        <f>IF(ISBLANK('[1]Точность устьев скважин'!A775),#N/A,'[1]Точность устьев скважин'!A775)</f>
        <v>#N/A</v>
      </c>
      <c r="B773" t="e">
        <f>IF(ISBLANK('[1]Точность устьев скважин'!B775),#N/A,'[1]Точность устьев скважин'!B775)</f>
        <v>#N/A</v>
      </c>
      <c r="C773" t="e">
        <f>IF(ISBLANK('[1]Точность устьев скважин'!C775),#N/A,'[1]Точность устьев скважин'!C775)</f>
        <v>#N/A</v>
      </c>
      <c r="D773" t="e">
        <f>IF(ISBLANK('[1]Точность устьев скважин'!D775),#N/A,'[1]Точность устьев скважин'!D775)</f>
        <v>#N/A</v>
      </c>
      <c r="G773" t="e">
        <f>IF(ISBLANK('[1]Точность устьев скважин'!H775),#N/A,'[1]Точность устьев скважин'!H775)</f>
        <v>#N/A</v>
      </c>
      <c r="H773" t="e">
        <f>IF(ISBLANK('[1]Точность устьев скважин'!I775),#N/A,'[1]Точность устьев скважин'!I775)</f>
        <v>#N/A</v>
      </c>
      <c r="I773" t="e">
        <f>IF(ISBLANK('[1]Точность устьев скважин'!J775),#N/A,'[1]Точность устьев скважин'!J775)</f>
        <v>#N/A</v>
      </c>
      <c r="J773" t="e">
        <f>IF(ISBLANK('[1]Точность устьев скважин'!K775),#N/A,'[1]Точность устьев скважин'!K775)</f>
        <v>#N/A</v>
      </c>
      <c r="L773" s="63" t="e">
        <f t="shared" si="91"/>
        <v>#N/A</v>
      </c>
      <c r="O773" t="e">
        <f t="shared" si="85"/>
        <v>#N/A</v>
      </c>
      <c r="P773" t="e">
        <f t="shared" si="85"/>
        <v>#N/A</v>
      </c>
      <c r="Q773" t="e">
        <f t="shared" si="86"/>
        <v>#N/A</v>
      </c>
      <c r="R773" t="e">
        <f t="shared" si="86"/>
        <v>#N/A</v>
      </c>
      <c r="S773" t="e">
        <f t="shared" si="87"/>
        <v>#N/A</v>
      </c>
      <c r="T773" t="e">
        <f t="shared" si="87"/>
        <v>#N/A</v>
      </c>
      <c r="U773" t="e">
        <f t="shared" si="88"/>
        <v>#N/A</v>
      </c>
      <c r="V773" t="e">
        <f t="shared" si="88"/>
        <v>#N/A</v>
      </c>
      <c r="W773" t="e">
        <f t="shared" si="89"/>
        <v>#N/A</v>
      </c>
      <c r="X773" t="e">
        <f t="shared" si="89"/>
        <v>#N/A</v>
      </c>
      <c r="Y773" t="e">
        <f t="shared" si="90"/>
        <v>#N/A</v>
      </c>
      <c r="Z773" t="e">
        <f t="shared" si="90"/>
        <v>#N/A</v>
      </c>
    </row>
    <row r="774" spans="1:26">
      <c r="A774" t="e">
        <f>IF(ISBLANK('[1]Точность устьев скважин'!A776),#N/A,'[1]Точность устьев скважин'!A776)</f>
        <v>#N/A</v>
      </c>
      <c r="B774" t="e">
        <f>IF(ISBLANK('[1]Точность устьев скважин'!B776),#N/A,'[1]Точность устьев скважин'!B776)</f>
        <v>#N/A</v>
      </c>
      <c r="C774" t="e">
        <f>IF(ISBLANK('[1]Точность устьев скважин'!C776),#N/A,'[1]Точность устьев скважин'!C776)</f>
        <v>#N/A</v>
      </c>
      <c r="D774" t="e">
        <f>IF(ISBLANK('[1]Точность устьев скважин'!D776),#N/A,'[1]Точность устьев скважин'!D776)</f>
        <v>#N/A</v>
      </c>
      <c r="G774" t="e">
        <f>IF(ISBLANK('[1]Точность устьев скважин'!H776),#N/A,'[1]Точность устьев скважин'!H776)</f>
        <v>#N/A</v>
      </c>
      <c r="H774" t="e">
        <f>IF(ISBLANK('[1]Точность устьев скважин'!I776),#N/A,'[1]Точность устьев скважин'!I776)</f>
        <v>#N/A</v>
      </c>
      <c r="I774" t="e">
        <f>IF(ISBLANK('[1]Точность устьев скважин'!J776),#N/A,'[1]Точность устьев скважин'!J776)</f>
        <v>#N/A</v>
      </c>
      <c r="J774" t="e">
        <f>IF(ISBLANK('[1]Точность устьев скважин'!K776),#N/A,'[1]Точность устьев скважин'!K776)</f>
        <v>#N/A</v>
      </c>
      <c r="L774" s="63" t="e">
        <f t="shared" si="91"/>
        <v>#N/A</v>
      </c>
      <c r="O774" t="e">
        <f t="shared" si="85"/>
        <v>#N/A</v>
      </c>
      <c r="P774" t="e">
        <f t="shared" si="85"/>
        <v>#N/A</v>
      </c>
      <c r="Q774" t="e">
        <f t="shared" si="86"/>
        <v>#N/A</v>
      </c>
      <c r="R774" t="e">
        <f t="shared" si="86"/>
        <v>#N/A</v>
      </c>
      <c r="S774" t="e">
        <f t="shared" si="87"/>
        <v>#N/A</v>
      </c>
      <c r="T774" t="e">
        <f t="shared" si="87"/>
        <v>#N/A</v>
      </c>
      <c r="U774" t="e">
        <f t="shared" si="88"/>
        <v>#N/A</v>
      </c>
      <c r="V774" t="e">
        <f t="shared" si="88"/>
        <v>#N/A</v>
      </c>
      <c r="W774" t="e">
        <f t="shared" si="89"/>
        <v>#N/A</v>
      </c>
      <c r="X774" t="e">
        <f t="shared" si="89"/>
        <v>#N/A</v>
      </c>
      <c r="Y774" t="e">
        <f t="shared" si="90"/>
        <v>#N/A</v>
      </c>
      <c r="Z774" t="e">
        <f t="shared" si="90"/>
        <v>#N/A</v>
      </c>
    </row>
    <row r="775" spans="1:26">
      <c r="A775" t="e">
        <f>IF(ISBLANK('[1]Точность устьев скважин'!A777),#N/A,'[1]Точность устьев скважин'!A777)</f>
        <v>#N/A</v>
      </c>
      <c r="B775" t="e">
        <f>IF(ISBLANK('[1]Точность устьев скважин'!B777),#N/A,'[1]Точность устьев скважин'!B777)</f>
        <v>#N/A</v>
      </c>
      <c r="C775" t="e">
        <f>IF(ISBLANK('[1]Точность устьев скважин'!C777),#N/A,'[1]Точность устьев скважин'!C777)</f>
        <v>#N/A</v>
      </c>
      <c r="D775" t="e">
        <f>IF(ISBLANK('[1]Точность устьев скважин'!D777),#N/A,'[1]Точность устьев скважин'!D777)</f>
        <v>#N/A</v>
      </c>
      <c r="G775" t="e">
        <f>IF(ISBLANK('[1]Точность устьев скважин'!H777),#N/A,'[1]Точность устьев скважин'!H777)</f>
        <v>#N/A</v>
      </c>
      <c r="H775" t="e">
        <f>IF(ISBLANK('[1]Точность устьев скважин'!I777),#N/A,'[1]Точность устьев скважин'!I777)</f>
        <v>#N/A</v>
      </c>
      <c r="I775" t="e">
        <f>IF(ISBLANK('[1]Точность устьев скважин'!J777),#N/A,'[1]Точность устьев скважин'!J777)</f>
        <v>#N/A</v>
      </c>
      <c r="J775" t="e">
        <f>IF(ISBLANK('[1]Точность устьев скважин'!K777),#N/A,'[1]Точность устьев скважин'!K777)</f>
        <v>#N/A</v>
      </c>
      <c r="L775" s="63" t="e">
        <f t="shared" si="91"/>
        <v>#N/A</v>
      </c>
      <c r="O775" t="e">
        <f t="shared" si="85"/>
        <v>#N/A</v>
      </c>
      <c r="P775" t="e">
        <f t="shared" si="85"/>
        <v>#N/A</v>
      </c>
      <c r="Q775" t="e">
        <f t="shared" si="86"/>
        <v>#N/A</v>
      </c>
      <c r="R775" t="e">
        <f t="shared" si="86"/>
        <v>#N/A</v>
      </c>
      <c r="S775" t="e">
        <f t="shared" si="87"/>
        <v>#N/A</v>
      </c>
      <c r="T775" t="e">
        <f t="shared" si="87"/>
        <v>#N/A</v>
      </c>
      <c r="U775" t="e">
        <f t="shared" si="88"/>
        <v>#N/A</v>
      </c>
      <c r="V775" t="e">
        <f t="shared" si="88"/>
        <v>#N/A</v>
      </c>
      <c r="W775" t="e">
        <f t="shared" si="89"/>
        <v>#N/A</v>
      </c>
      <c r="X775" t="e">
        <f t="shared" si="89"/>
        <v>#N/A</v>
      </c>
      <c r="Y775" t="e">
        <f t="shared" si="90"/>
        <v>#N/A</v>
      </c>
      <c r="Z775" t="e">
        <f t="shared" si="90"/>
        <v>#N/A</v>
      </c>
    </row>
    <row r="776" spans="1:26">
      <c r="A776" t="e">
        <f>IF(ISBLANK('[1]Точность устьев скважин'!A778),#N/A,'[1]Точность устьев скважин'!A778)</f>
        <v>#N/A</v>
      </c>
      <c r="B776" t="e">
        <f>IF(ISBLANK('[1]Точность устьев скважин'!B778),#N/A,'[1]Точность устьев скважин'!B778)</f>
        <v>#N/A</v>
      </c>
      <c r="C776" t="e">
        <f>IF(ISBLANK('[1]Точность устьев скважин'!C778),#N/A,'[1]Точность устьев скважин'!C778)</f>
        <v>#N/A</v>
      </c>
      <c r="D776" t="e">
        <f>IF(ISBLANK('[1]Точность устьев скважин'!D778),#N/A,'[1]Точность устьев скважин'!D778)</f>
        <v>#N/A</v>
      </c>
      <c r="G776" t="e">
        <f>IF(ISBLANK('[1]Точность устьев скважин'!H778),#N/A,'[1]Точность устьев скважин'!H778)</f>
        <v>#N/A</v>
      </c>
      <c r="H776" t="e">
        <f>IF(ISBLANK('[1]Точность устьев скважин'!I778),#N/A,'[1]Точность устьев скважин'!I778)</f>
        <v>#N/A</v>
      </c>
      <c r="I776" t="e">
        <f>IF(ISBLANK('[1]Точность устьев скважин'!J778),#N/A,'[1]Точность устьев скважин'!J778)</f>
        <v>#N/A</v>
      </c>
      <c r="J776" t="e">
        <f>IF(ISBLANK('[1]Точность устьев скважин'!K778),#N/A,'[1]Точность устьев скважин'!K778)</f>
        <v>#N/A</v>
      </c>
      <c r="L776" s="63" t="e">
        <f t="shared" si="91"/>
        <v>#N/A</v>
      </c>
      <c r="O776" t="e">
        <f t="shared" si="85"/>
        <v>#N/A</v>
      </c>
      <c r="P776" t="e">
        <f t="shared" si="85"/>
        <v>#N/A</v>
      </c>
      <c r="Q776" t="e">
        <f t="shared" si="86"/>
        <v>#N/A</v>
      </c>
      <c r="R776" t="e">
        <f t="shared" si="86"/>
        <v>#N/A</v>
      </c>
      <c r="S776" t="e">
        <f t="shared" si="87"/>
        <v>#N/A</v>
      </c>
      <c r="T776" t="e">
        <f t="shared" si="87"/>
        <v>#N/A</v>
      </c>
      <c r="U776" t="e">
        <f t="shared" si="88"/>
        <v>#N/A</v>
      </c>
      <c r="V776" t="e">
        <f t="shared" si="88"/>
        <v>#N/A</v>
      </c>
      <c r="W776" t="e">
        <f t="shared" si="89"/>
        <v>#N/A</v>
      </c>
      <c r="X776" t="e">
        <f t="shared" si="89"/>
        <v>#N/A</v>
      </c>
      <c r="Y776" t="e">
        <f t="shared" si="90"/>
        <v>#N/A</v>
      </c>
      <c r="Z776" t="e">
        <f t="shared" si="90"/>
        <v>#N/A</v>
      </c>
    </row>
    <row r="777" spans="1:26">
      <c r="A777" t="e">
        <f>IF(ISBLANK('[1]Точность устьев скважин'!A779),#N/A,'[1]Точность устьев скважин'!A779)</f>
        <v>#N/A</v>
      </c>
      <c r="B777" t="e">
        <f>IF(ISBLANK('[1]Точность устьев скважин'!B779),#N/A,'[1]Точность устьев скважин'!B779)</f>
        <v>#N/A</v>
      </c>
      <c r="C777" t="e">
        <f>IF(ISBLANK('[1]Точность устьев скважин'!C779),#N/A,'[1]Точность устьев скважин'!C779)</f>
        <v>#N/A</v>
      </c>
      <c r="D777" t="e">
        <f>IF(ISBLANK('[1]Точность устьев скважин'!D779),#N/A,'[1]Точность устьев скважин'!D779)</f>
        <v>#N/A</v>
      </c>
      <c r="G777" t="e">
        <f>IF(ISBLANK('[1]Точность устьев скважин'!H779),#N/A,'[1]Точность устьев скважин'!H779)</f>
        <v>#N/A</v>
      </c>
      <c r="H777" t="e">
        <f>IF(ISBLANK('[1]Точность устьев скважин'!I779),#N/A,'[1]Точность устьев скважин'!I779)</f>
        <v>#N/A</v>
      </c>
      <c r="I777" t="e">
        <f>IF(ISBLANK('[1]Точность устьев скважин'!J779),#N/A,'[1]Точность устьев скважин'!J779)</f>
        <v>#N/A</v>
      </c>
      <c r="J777" t="e">
        <f>IF(ISBLANK('[1]Точность устьев скважин'!K779),#N/A,'[1]Точность устьев скважин'!K779)</f>
        <v>#N/A</v>
      </c>
      <c r="L777" s="63" t="e">
        <f t="shared" si="91"/>
        <v>#N/A</v>
      </c>
      <c r="O777" t="e">
        <f t="shared" si="85"/>
        <v>#N/A</v>
      </c>
      <c r="P777" t="e">
        <f t="shared" si="85"/>
        <v>#N/A</v>
      </c>
      <c r="Q777" t="e">
        <f t="shared" si="86"/>
        <v>#N/A</v>
      </c>
      <c r="R777" t="e">
        <f t="shared" si="86"/>
        <v>#N/A</v>
      </c>
      <c r="S777" t="e">
        <f t="shared" si="87"/>
        <v>#N/A</v>
      </c>
      <c r="T777" t="e">
        <f t="shared" si="87"/>
        <v>#N/A</v>
      </c>
      <c r="U777" t="e">
        <f t="shared" si="88"/>
        <v>#N/A</v>
      </c>
      <c r="V777" t="e">
        <f t="shared" si="88"/>
        <v>#N/A</v>
      </c>
      <c r="W777" t="e">
        <f t="shared" si="89"/>
        <v>#N/A</v>
      </c>
      <c r="X777" t="e">
        <f t="shared" si="89"/>
        <v>#N/A</v>
      </c>
      <c r="Y777" t="e">
        <f t="shared" si="90"/>
        <v>#N/A</v>
      </c>
      <c r="Z777" t="e">
        <f t="shared" si="90"/>
        <v>#N/A</v>
      </c>
    </row>
    <row r="778" spans="1:26">
      <c r="A778" t="e">
        <f>IF(ISBLANK('[1]Точность устьев скважин'!A780),#N/A,'[1]Точность устьев скважин'!A780)</f>
        <v>#N/A</v>
      </c>
      <c r="B778" t="e">
        <f>IF(ISBLANK('[1]Точность устьев скважин'!B780),#N/A,'[1]Точность устьев скважин'!B780)</f>
        <v>#N/A</v>
      </c>
      <c r="C778" t="e">
        <f>IF(ISBLANK('[1]Точность устьев скважин'!C780),#N/A,'[1]Точность устьев скважин'!C780)</f>
        <v>#N/A</v>
      </c>
      <c r="D778" t="e">
        <f>IF(ISBLANK('[1]Точность устьев скважин'!D780),#N/A,'[1]Точность устьев скважин'!D780)</f>
        <v>#N/A</v>
      </c>
      <c r="G778" t="e">
        <f>IF(ISBLANK('[1]Точность устьев скважин'!H780),#N/A,'[1]Точность устьев скважин'!H780)</f>
        <v>#N/A</v>
      </c>
      <c r="H778" t="e">
        <f>IF(ISBLANK('[1]Точность устьев скважин'!I780),#N/A,'[1]Точность устьев скважин'!I780)</f>
        <v>#N/A</v>
      </c>
      <c r="I778" t="e">
        <f>IF(ISBLANK('[1]Точность устьев скважин'!J780),#N/A,'[1]Точность устьев скважин'!J780)</f>
        <v>#N/A</v>
      </c>
      <c r="J778" t="e">
        <f>IF(ISBLANK('[1]Точность устьев скважин'!K780),#N/A,'[1]Точность устьев скважин'!K780)</f>
        <v>#N/A</v>
      </c>
      <c r="L778" s="63" t="e">
        <f t="shared" si="91"/>
        <v>#N/A</v>
      </c>
      <c r="O778" t="e">
        <f t="shared" si="85"/>
        <v>#N/A</v>
      </c>
      <c r="P778" t="e">
        <f t="shared" si="85"/>
        <v>#N/A</v>
      </c>
      <c r="Q778" t="e">
        <f t="shared" si="86"/>
        <v>#N/A</v>
      </c>
      <c r="R778" t="e">
        <f t="shared" si="86"/>
        <v>#N/A</v>
      </c>
      <c r="S778" t="e">
        <f t="shared" si="87"/>
        <v>#N/A</v>
      </c>
      <c r="T778" t="e">
        <f t="shared" si="87"/>
        <v>#N/A</v>
      </c>
      <c r="U778" t="e">
        <f t="shared" si="88"/>
        <v>#N/A</v>
      </c>
      <c r="V778" t="e">
        <f t="shared" si="88"/>
        <v>#N/A</v>
      </c>
      <c r="W778" t="e">
        <f t="shared" si="89"/>
        <v>#N/A</v>
      </c>
      <c r="X778" t="e">
        <f t="shared" si="89"/>
        <v>#N/A</v>
      </c>
      <c r="Y778" t="e">
        <f t="shared" si="90"/>
        <v>#N/A</v>
      </c>
      <c r="Z778" t="e">
        <f t="shared" si="90"/>
        <v>#N/A</v>
      </c>
    </row>
    <row r="779" spans="1:26">
      <c r="A779" t="e">
        <f>IF(ISBLANK('[1]Точность устьев скважин'!A781),#N/A,'[1]Точность устьев скважин'!A781)</f>
        <v>#N/A</v>
      </c>
      <c r="B779" t="e">
        <f>IF(ISBLANK('[1]Точность устьев скважин'!B781),#N/A,'[1]Точность устьев скважин'!B781)</f>
        <v>#N/A</v>
      </c>
      <c r="C779" t="e">
        <f>IF(ISBLANK('[1]Точность устьев скважин'!C781),#N/A,'[1]Точность устьев скважин'!C781)</f>
        <v>#N/A</v>
      </c>
      <c r="D779" t="e">
        <f>IF(ISBLANK('[1]Точность устьев скважин'!D781),#N/A,'[1]Точность устьев скважин'!D781)</f>
        <v>#N/A</v>
      </c>
      <c r="G779" t="e">
        <f>IF(ISBLANK('[1]Точность устьев скважин'!H781),#N/A,'[1]Точность устьев скважин'!H781)</f>
        <v>#N/A</v>
      </c>
      <c r="H779" t="e">
        <f>IF(ISBLANK('[1]Точность устьев скважин'!I781),#N/A,'[1]Точность устьев скважин'!I781)</f>
        <v>#N/A</v>
      </c>
      <c r="I779" t="e">
        <f>IF(ISBLANK('[1]Точность устьев скважин'!J781),#N/A,'[1]Точность устьев скважин'!J781)</f>
        <v>#N/A</v>
      </c>
      <c r="J779" t="e">
        <f>IF(ISBLANK('[1]Точность устьев скважин'!K781),#N/A,'[1]Точность устьев скважин'!K781)</f>
        <v>#N/A</v>
      </c>
      <c r="L779" s="63" t="e">
        <f t="shared" si="91"/>
        <v>#N/A</v>
      </c>
      <c r="O779" t="e">
        <f t="shared" si="85"/>
        <v>#N/A</v>
      </c>
      <c r="P779" t="e">
        <f t="shared" si="85"/>
        <v>#N/A</v>
      </c>
      <c r="Q779" t="e">
        <f t="shared" si="86"/>
        <v>#N/A</v>
      </c>
      <c r="R779" t="e">
        <f t="shared" si="86"/>
        <v>#N/A</v>
      </c>
      <c r="S779" t="e">
        <f t="shared" si="87"/>
        <v>#N/A</v>
      </c>
      <c r="T779" t="e">
        <f t="shared" si="87"/>
        <v>#N/A</v>
      </c>
      <c r="U779" t="e">
        <f t="shared" si="88"/>
        <v>#N/A</v>
      </c>
      <c r="V779" t="e">
        <f t="shared" si="88"/>
        <v>#N/A</v>
      </c>
      <c r="W779" t="e">
        <f t="shared" si="89"/>
        <v>#N/A</v>
      </c>
      <c r="X779" t="e">
        <f t="shared" si="89"/>
        <v>#N/A</v>
      </c>
      <c r="Y779" t="e">
        <f t="shared" si="90"/>
        <v>#N/A</v>
      </c>
      <c r="Z779" t="e">
        <f t="shared" si="90"/>
        <v>#N/A</v>
      </c>
    </row>
    <row r="780" spans="1:26">
      <c r="A780" t="e">
        <f>IF(ISBLANK('[1]Точность устьев скважин'!A782),#N/A,'[1]Точность устьев скважин'!A782)</f>
        <v>#N/A</v>
      </c>
      <c r="B780" t="e">
        <f>IF(ISBLANK('[1]Точность устьев скважин'!B782),#N/A,'[1]Точность устьев скважин'!B782)</f>
        <v>#N/A</v>
      </c>
      <c r="C780" t="e">
        <f>IF(ISBLANK('[1]Точность устьев скважин'!C782),#N/A,'[1]Точность устьев скважин'!C782)</f>
        <v>#N/A</v>
      </c>
      <c r="D780" t="e">
        <f>IF(ISBLANK('[1]Точность устьев скважин'!D782),#N/A,'[1]Точность устьев скважин'!D782)</f>
        <v>#N/A</v>
      </c>
      <c r="G780" t="e">
        <f>IF(ISBLANK('[1]Точность устьев скважин'!H782),#N/A,'[1]Точность устьев скважин'!H782)</f>
        <v>#N/A</v>
      </c>
      <c r="H780" t="e">
        <f>IF(ISBLANK('[1]Точность устьев скважин'!I782),#N/A,'[1]Точность устьев скважин'!I782)</f>
        <v>#N/A</v>
      </c>
      <c r="I780" t="e">
        <f>IF(ISBLANK('[1]Точность устьев скважин'!J782),#N/A,'[1]Точность устьев скважин'!J782)</f>
        <v>#N/A</v>
      </c>
      <c r="J780" t="e">
        <f>IF(ISBLANK('[1]Точность устьев скважин'!K782),#N/A,'[1]Точность устьев скважин'!K782)</f>
        <v>#N/A</v>
      </c>
      <c r="L780" s="63" t="e">
        <f t="shared" si="91"/>
        <v>#N/A</v>
      </c>
      <c r="O780" t="e">
        <f t="shared" si="85"/>
        <v>#N/A</v>
      </c>
      <c r="P780" t="e">
        <f t="shared" si="85"/>
        <v>#N/A</v>
      </c>
      <c r="Q780" t="e">
        <f t="shared" si="86"/>
        <v>#N/A</v>
      </c>
      <c r="R780" t="e">
        <f t="shared" si="86"/>
        <v>#N/A</v>
      </c>
      <c r="S780" t="e">
        <f t="shared" si="87"/>
        <v>#N/A</v>
      </c>
      <c r="T780" t="e">
        <f t="shared" si="87"/>
        <v>#N/A</v>
      </c>
      <c r="U780" t="e">
        <f t="shared" si="88"/>
        <v>#N/A</v>
      </c>
      <c r="V780" t="e">
        <f t="shared" si="88"/>
        <v>#N/A</v>
      </c>
      <c r="W780" t="e">
        <f t="shared" si="89"/>
        <v>#N/A</v>
      </c>
      <c r="X780" t="e">
        <f t="shared" si="89"/>
        <v>#N/A</v>
      </c>
      <c r="Y780" t="e">
        <f t="shared" si="90"/>
        <v>#N/A</v>
      </c>
      <c r="Z780" t="e">
        <f t="shared" si="90"/>
        <v>#N/A</v>
      </c>
    </row>
    <row r="781" spans="1:26">
      <c r="A781" t="e">
        <f>IF(ISBLANK('[1]Точность устьев скважин'!A783),#N/A,'[1]Точность устьев скважин'!A783)</f>
        <v>#N/A</v>
      </c>
      <c r="B781" t="e">
        <f>IF(ISBLANK('[1]Точность устьев скважин'!B783),#N/A,'[1]Точность устьев скважин'!B783)</f>
        <v>#N/A</v>
      </c>
      <c r="C781" t="e">
        <f>IF(ISBLANK('[1]Точность устьев скважин'!C783),#N/A,'[1]Точность устьев скважин'!C783)</f>
        <v>#N/A</v>
      </c>
      <c r="D781" t="e">
        <f>IF(ISBLANK('[1]Точность устьев скважин'!D783),#N/A,'[1]Точность устьев скважин'!D783)</f>
        <v>#N/A</v>
      </c>
      <c r="G781" t="e">
        <f>IF(ISBLANK('[1]Точность устьев скважин'!H783),#N/A,'[1]Точность устьев скважин'!H783)</f>
        <v>#N/A</v>
      </c>
      <c r="H781" t="e">
        <f>IF(ISBLANK('[1]Точность устьев скважин'!I783),#N/A,'[1]Точность устьев скважин'!I783)</f>
        <v>#N/A</v>
      </c>
      <c r="I781" t="e">
        <f>IF(ISBLANK('[1]Точность устьев скважин'!J783),#N/A,'[1]Точность устьев скважин'!J783)</f>
        <v>#N/A</v>
      </c>
      <c r="J781" t="e">
        <f>IF(ISBLANK('[1]Точность устьев скважин'!K783),#N/A,'[1]Точность устьев скважин'!K783)</f>
        <v>#N/A</v>
      </c>
      <c r="L781" s="63" t="e">
        <f t="shared" si="91"/>
        <v>#N/A</v>
      </c>
      <c r="O781" t="e">
        <f t="shared" si="85"/>
        <v>#N/A</v>
      </c>
      <c r="P781" t="e">
        <f t="shared" si="85"/>
        <v>#N/A</v>
      </c>
      <c r="Q781" t="e">
        <f t="shared" si="86"/>
        <v>#N/A</v>
      </c>
      <c r="R781" t="e">
        <f t="shared" si="86"/>
        <v>#N/A</v>
      </c>
      <c r="S781" t="e">
        <f t="shared" si="87"/>
        <v>#N/A</v>
      </c>
      <c r="T781" t="e">
        <f t="shared" si="87"/>
        <v>#N/A</v>
      </c>
      <c r="U781" t="e">
        <f t="shared" si="88"/>
        <v>#N/A</v>
      </c>
      <c r="V781" t="e">
        <f t="shared" si="88"/>
        <v>#N/A</v>
      </c>
      <c r="W781" t="e">
        <f t="shared" si="89"/>
        <v>#N/A</v>
      </c>
      <c r="X781" t="e">
        <f t="shared" si="89"/>
        <v>#N/A</v>
      </c>
      <c r="Y781" t="e">
        <f t="shared" si="90"/>
        <v>#N/A</v>
      </c>
      <c r="Z781" t="e">
        <f t="shared" si="90"/>
        <v>#N/A</v>
      </c>
    </row>
    <row r="782" spans="1:26">
      <c r="A782" t="e">
        <f>IF(ISBLANK('[1]Точность устьев скважин'!A784),#N/A,'[1]Точность устьев скважин'!A784)</f>
        <v>#N/A</v>
      </c>
      <c r="B782" t="e">
        <f>IF(ISBLANK('[1]Точность устьев скважин'!B784),#N/A,'[1]Точность устьев скважин'!B784)</f>
        <v>#N/A</v>
      </c>
      <c r="C782" t="e">
        <f>IF(ISBLANK('[1]Точность устьев скважин'!C784),#N/A,'[1]Точность устьев скважин'!C784)</f>
        <v>#N/A</v>
      </c>
      <c r="D782" t="e">
        <f>IF(ISBLANK('[1]Точность устьев скважин'!D784),#N/A,'[1]Точность устьев скважин'!D784)</f>
        <v>#N/A</v>
      </c>
      <c r="G782" t="e">
        <f>IF(ISBLANK('[1]Точность устьев скважин'!H784),#N/A,'[1]Точность устьев скважин'!H784)</f>
        <v>#N/A</v>
      </c>
      <c r="H782" t="e">
        <f>IF(ISBLANK('[1]Точность устьев скважин'!I784),#N/A,'[1]Точность устьев скважин'!I784)</f>
        <v>#N/A</v>
      </c>
      <c r="I782" t="e">
        <f>IF(ISBLANK('[1]Точность устьев скважин'!J784),#N/A,'[1]Точность устьев скважин'!J784)</f>
        <v>#N/A</v>
      </c>
      <c r="J782" t="e">
        <f>IF(ISBLANK('[1]Точность устьев скважин'!K784),#N/A,'[1]Точность устьев скважин'!K784)</f>
        <v>#N/A</v>
      </c>
      <c r="L782" s="63" t="e">
        <f t="shared" si="91"/>
        <v>#N/A</v>
      </c>
      <c r="O782" t="e">
        <f t="shared" si="85"/>
        <v>#N/A</v>
      </c>
      <c r="P782" t="e">
        <f t="shared" si="85"/>
        <v>#N/A</v>
      </c>
      <c r="Q782" t="e">
        <f t="shared" si="86"/>
        <v>#N/A</v>
      </c>
      <c r="R782" t="e">
        <f t="shared" si="86"/>
        <v>#N/A</v>
      </c>
      <c r="S782" t="e">
        <f t="shared" si="87"/>
        <v>#N/A</v>
      </c>
      <c r="T782" t="e">
        <f t="shared" si="87"/>
        <v>#N/A</v>
      </c>
      <c r="U782" t="e">
        <f t="shared" si="88"/>
        <v>#N/A</v>
      </c>
      <c r="V782" t="e">
        <f t="shared" si="88"/>
        <v>#N/A</v>
      </c>
      <c r="W782" t="e">
        <f t="shared" si="89"/>
        <v>#N/A</v>
      </c>
      <c r="X782" t="e">
        <f t="shared" si="89"/>
        <v>#N/A</v>
      </c>
      <c r="Y782" t="e">
        <f t="shared" si="90"/>
        <v>#N/A</v>
      </c>
      <c r="Z782" t="e">
        <f t="shared" si="90"/>
        <v>#N/A</v>
      </c>
    </row>
    <row r="783" spans="1:26">
      <c r="A783" t="e">
        <f>IF(ISBLANK('[1]Точность устьев скважин'!A785),#N/A,'[1]Точность устьев скважин'!A785)</f>
        <v>#N/A</v>
      </c>
      <c r="B783" t="e">
        <f>IF(ISBLANK('[1]Точность устьев скважин'!B785),#N/A,'[1]Точность устьев скважин'!B785)</f>
        <v>#N/A</v>
      </c>
      <c r="C783" t="e">
        <f>IF(ISBLANK('[1]Точность устьев скважин'!C785),#N/A,'[1]Точность устьев скважин'!C785)</f>
        <v>#N/A</v>
      </c>
      <c r="D783" t="e">
        <f>IF(ISBLANK('[1]Точность устьев скважин'!D785),#N/A,'[1]Точность устьев скважин'!D785)</f>
        <v>#N/A</v>
      </c>
      <c r="G783" t="e">
        <f>IF(ISBLANK('[1]Точность устьев скважин'!H785),#N/A,'[1]Точность устьев скважин'!H785)</f>
        <v>#N/A</v>
      </c>
      <c r="H783" t="e">
        <f>IF(ISBLANK('[1]Точность устьев скважин'!I785),#N/A,'[1]Точность устьев скважин'!I785)</f>
        <v>#N/A</v>
      </c>
      <c r="I783" t="e">
        <f>IF(ISBLANK('[1]Точность устьев скважин'!J785),#N/A,'[1]Точность устьев скважин'!J785)</f>
        <v>#N/A</v>
      </c>
      <c r="J783" t="e">
        <f>IF(ISBLANK('[1]Точность устьев скважин'!K785),#N/A,'[1]Точность устьев скважин'!K785)</f>
        <v>#N/A</v>
      </c>
      <c r="L783" s="63" t="e">
        <f t="shared" si="91"/>
        <v>#N/A</v>
      </c>
      <c r="O783" t="e">
        <f t="shared" si="85"/>
        <v>#N/A</v>
      </c>
      <c r="P783" t="e">
        <f t="shared" si="85"/>
        <v>#N/A</v>
      </c>
      <c r="Q783" t="e">
        <f t="shared" si="86"/>
        <v>#N/A</v>
      </c>
      <c r="R783" t="e">
        <f t="shared" si="86"/>
        <v>#N/A</v>
      </c>
      <c r="S783" t="e">
        <f t="shared" si="87"/>
        <v>#N/A</v>
      </c>
      <c r="T783" t="e">
        <f t="shared" si="87"/>
        <v>#N/A</v>
      </c>
      <c r="U783" t="e">
        <f t="shared" si="88"/>
        <v>#N/A</v>
      </c>
      <c r="V783" t="e">
        <f t="shared" si="88"/>
        <v>#N/A</v>
      </c>
      <c r="W783" t="e">
        <f t="shared" si="89"/>
        <v>#N/A</v>
      </c>
      <c r="X783" t="e">
        <f t="shared" si="89"/>
        <v>#N/A</v>
      </c>
      <c r="Y783" t="e">
        <f t="shared" si="90"/>
        <v>#N/A</v>
      </c>
      <c r="Z783" t="e">
        <f t="shared" si="90"/>
        <v>#N/A</v>
      </c>
    </row>
    <row r="784" spans="1:26">
      <c r="A784" t="e">
        <f>IF(ISBLANK('[1]Точность устьев скважин'!A786),#N/A,'[1]Точность устьев скважин'!A786)</f>
        <v>#N/A</v>
      </c>
      <c r="B784" t="e">
        <f>IF(ISBLANK('[1]Точность устьев скважин'!B786),#N/A,'[1]Точность устьев скважин'!B786)</f>
        <v>#N/A</v>
      </c>
      <c r="C784" t="e">
        <f>IF(ISBLANK('[1]Точность устьев скважин'!C786),#N/A,'[1]Точность устьев скважин'!C786)</f>
        <v>#N/A</v>
      </c>
      <c r="D784" t="e">
        <f>IF(ISBLANK('[1]Точность устьев скважин'!D786),#N/A,'[1]Точность устьев скважин'!D786)</f>
        <v>#N/A</v>
      </c>
      <c r="G784" t="e">
        <f>IF(ISBLANK('[1]Точность устьев скважин'!H786),#N/A,'[1]Точность устьев скважин'!H786)</f>
        <v>#N/A</v>
      </c>
      <c r="H784" t="e">
        <f>IF(ISBLANK('[1]Точность устьев скважин'!I786),#N/A,'[1]Точность устьев скважин'!I786)</f>
        <v>#N/A</v>
      </c>
      <c r="I784" t="e">
        <f>IF(ISBLANK('[1]Точность устьев скважин'!J786),#N/A,'[1]Точность устьев скважин'!J786)</f>
        <v>#N/A</v>
      </c>
      <c r="J784" t="e">
        <f>IF(ISBLANK('[1]Точность устьев скважин'!K786),#N/A,'[1]Точность устьев скважин'!K786)</f>
        <v>#N/A</v>
      </c>
      <c r="L784" s="63" t="e">
        <f t="shared" si="91"/>
        <v>#N/A</v>
      </c>
      <c r="O784" t="e">
        <f t="shared" si="85"/>
        <v>#N/A</v>
      </c>
      <c r="P784" t="e">
        <f t="shared" si="85"/>
        <v>#N/A</v>
      </c>
      <c r="Q784" t="e">
        <f t="shared" si="86"/>
        <v>#N/A</v>
      </c>
      <c r="R784" t="e">
        <f t="shared" si="86"/>
        <v>#N/A</v>
      </c>
      <c r="S784" t="e">
        <f t="shared" si="87"/>
        <v>#N/A</v>
      </c>
      <c r="T784" t="e">
        <f t="shared" si="87"/>
        <v>#N/A</v>
      </c>
      <c r="U784" t="e">
        <f t="shared" si="88"/>
        <v>#N/A</v>
      </c>
      <c r="V784" t="e">
        <f t="shared" si="88"/>
        <v>#N/A</v>
      </c>
      <c r="W784" t="e">
        <f t="shared" si="89"/>
        <v>#N/A</v>
      </c>
      <c r="X784" t="e">
        <f t="shared" si="89"/>
        <v>#N/A</v>
      </c>
      <c r="Y784" t="e">
        <f t="shared" si="90"/>
        <v>#N/A</v>
      </c>
      <c r="Z784" t="e">
        <f t="shared" si="90"/>
        <v>#N/A</v>
      </c>
    </row>
    <row r="785" spans="1:26">
      <c r="A785" t="e">
        <f>IF(ISBLANK('[1]Точность устьев скважин'!A787),#N/A,'[1]Точность устьев скважин'!A787)</f>
        <v>#N/A</v>
      </c>
      <c r="B785" t="e">
        <f>IF(ISBLANK('[1]Точность устьев скважин'!B787),#N/A,'[1]Точность устьев скважин'!B787)</f>
        <v>#N/A</v>
      </c>
      <c r="C785" t="e">
        <f>IF(ISBLANK('[1]Точность устьев скважин'!C787),#N/A,'[1]Точность устьев скважин'!C787)</f>
        <v>#N/A</v>
      </c>
      <c r="D785" t="e">
        <f>IF(ISBLANK('[1]Точность устьев скважин'!D787),#N/A,'[1]Точность устьев скважин'!D787)</f>
        <v>#N/A</v>
      </c>
      <c r="G785" t="e">
        <f>IF(ISBLANK('[1]Точность устьев скважин'!H787),#N/A,'[1]Точность устьев скважин'!H787)</f>
        <v>#N/A</v>
      </c>
      <c r="H785" t="e">
        <f>IF(ISBLANK('[1]Точность устьев скважин'!I787),#N/A,'[1]Точность устьев скважин'!I787)</f>
        <v>#N/A</v>
      </c>
      <c r="I785" t="e">
        <f>IF(ISBLANK('[1]Точность устьев скважин'!J787),#N/A,'[1]Точность устьев скважин'!J787)</f>
        <v>#N/A</v>
      </c>
      <c r="J785" t="e">
        <f>IF(ISBLANK('[1]Точность устьев скважин'!K787),#N/A,'[1]Точность устьев скважин'!K787)</f>
        <v>#N/A</v>
      </c>
      <c r="L785" s="63" t="e">
        <f t="shared" si="91"/>
        <v>#N/A</v>
      </c>
      <c r="O785" t="e">
        <f t="shared" si="85"/>
        <v>#N/A</v>
      </c>
      <c r="P785" t="e">
        <f t="shared" si="85"/>
        <v>#N/A</v>
      </c>
      <c r="Q785" t="e">
        <f t="shared" si="86"/>
        <v>#N/A</v>
      </c>
      <c r="R785" t="e">
        <f t="shared" si="86"/>
        <v>#N/A</v>
      </c>
      <c r="S785" t="e">
        <f t="shared" si="87"/>
        <v>#N/A</v>
      </c>
      <c r="T785" t="e">
        <f t="shared" si="87"/>
        <v>#N/A</v>
      </c>
      <c r="U785" t="e">
        <f t="shared" si="88"/>
        <v>#N/A</v>
      </c>
      <c r="V785" t="e">
        <f t="shared" si="88"/>
        <v>#N/A</v>
      </c>
      <c r="W785" t="e">
        <f t="shared" si="89"/>
        <v>#N/A</v>
      </c>
      <c r="X785" t="e">
        <f t="shared" si="89"/>
        <v>#N/A</v>
      </c>
      <c r="Y785" t="e">
        <f t="shared" si="90"/>
        <v>#N/A</v>
      </c>
      <c r="Z785" t="e">
        <f t="shared" si="90"/>
        <v>#N/A</v>
      </c>
    </row>
    <row r="786" spans="1:26">
      <c r="A786" t="e">
        <f>IF(ISBLANK('[1]Точность устьев скважин'!A788),#N/A,'[1]Точность устьев скважин'!A788)</f>
        <v>#N/A</v>
      </c>
      <c r="B786" t="e">
        <f>IF(ISBLANK('[1]Точность устьев скважин'!B788),#N/A,'[1]Точность устьев скважин'!B788)</f>
        <v>#N/A</v>
      </c>
      <c r="C786" t="e">
        <f>IF(ISBLANK('[1]Точность устьев скважин'!C788),#N/A,'[1]Точность устьев скважин'!C788)</f>
        <v>#N/A</v>
      </c>
      <c r="D786" t="e">
        <f>IF(ISBLANK('[1]Точность устьев скважин'!D788),#N/A,'[1]Точность устьев скважин'!D788)</f>
        <v>#N/A</v>
      </c>
      <c r="G786" t="e">
        <f>IF(ISBLANK('[1]Точность устьев скважин'!H788),#N/A,'[1]Точность устьев скважин'!H788)</f>
        <v>#N/A</v>
      </c>
      <c r="H786" t="e">
        <f>IF(ISBLANK('[1]Точность устьев скважин'!I788),#N/A,'[1]Точность устьев скважин'!I788)</f>
        <v>#N/A</v>
      </c>
      <c r="I786" t="e">
        <f>IF(ISBLANK('[1]Точность устьев скважин'!J788),#N/A,'[1]Точность устьев скважин'!J788)</f>
        <v>#N/A</v>
      </c>
      <c r="J786" t="e">
        <f>IF(ISBLANK('[1]Точность устьев скважин'!K788),#N/A,'[1]Точность устьев скважин'!K788)</f>
        <v>#N/A</v>
      </c>
      <c r="L786" s="63" t="e">
        <f t="shared" si="91"/>
        <v>#N/A</v>
      </c>
      <c r="O786" t="e">
        <f t="shared" si="85"/>
        <v>#N/A</v>
      </c>
      <c r="P786" t="e">
        <f t="shared" si="85"/>
        <v>#N/A</v>
      </c>
      <c r="Q786" t="e">
        <f t="shared" si="86"/>
        <v>#N/A</v>
      </c>
      <c r="R786" t="e">
        <f t="shared" si="86"/>
        <v>#N/A</v>
      </c>
      <c r="S786" t="e">
        <f t="shared" si="87"/>
        <v>#N/A</v>
      </c>
      <c r="T786" t="e">
        <f t="shared" si="87"/>
        <v>#N/A</v>
      </c>
      <c r="U786" t="e">
        <f t="shared" si="88"/>
        <v>#N/A</v>
      </c>
      <c r="V786" t="e">
        <f t="shared" si="88"/>
        <v>#N/A</v>
      </c>
      <c r="W786" t="e">
        <f t="shared" si="89"/>
        <v>#N/A</v>
      </c>
      <c r="X786" t="e">
        <f t="shared" si="89"/>
        <v>#N/A</v>
      </c>
      <c r="Y786" t="e">
        <f t="shared" si="90"/>
        <v>#N/A</v>
      </c>
      <c r="Z786" t="e">
        <f t="shared" si="90"/>
        <v>#N/A</v>
      </c>
    </row>
    <row r="787" spans="1:26">
      <c r="A787" t="e">
        <f>IF(ISBLANK('[1]Точность устьев скважин'!A789),#N/A,'[1]Точность устьев скважин'!A789)</f>
        <v>#N/A</v>
      </c>
      <c r="B787" t="e">
        <f>IF(ISBLANK('[1]Точность устьев скважин'!B789),#N/A,'[1]Точность устьев скважин'!B789)</f>
        <v>#N/A</v>
      </c>
      <c r="C787" t="e">
        <f>IF(ISBLANK('[1]Точность устьев скважин'!C789),#N/A,'[1]Точность устьев скважин'!C789)</f>
        <v>#N/A</v>
      </c>
      <c r="D787" t="e">
        <f>IF(ISBLANK('[1]Точность устьев скважин'!D789),#N/A,'[1]Точность устьев скважин'!D789)</f>
        <v>#N/A</v>
      </c>
      <c r="G787" t="e">
        <f>IF(ISBLANK('[1]Точность устьев скважин'!H789),#N/A,'[1]Точность устьев скважин'!H789)</f>
        <v>#N/A</v>
      </c>
      <c r="H787" t="e">
        <f>IF(ISBLANK('[1]Точность устьев скважин'!I789),#N/A,'[1]Точность устьев скважин'!I789)</f>
        <v>#N/A</v>
      </c>
      <c r="I787" t="e">
        <f>IF(ISBLANK('[1]Точность устьев скважин'!J789),#N/A,'[1]Точность устьев скважин'!J789)</f>
        <v>#N/A</v>
      </c>
      <c r="J787" t="e">
        <f>IF(ISBLANK('[1]Точность устьев скважин'!K789),#N/A,'[1]Точность устьев скважин'!K789)</f>
        <v>#N/A</v>
      </c>
      <c r="L787" s="63" t="e">
        <f t="shared" si="91"/>
        <v>#N/A</v>
      </c>
      <c r="O787" t="e">
        <f t="shared" si="85"/>
        <v>#N/A</v>
      </c>
      <c r="P787" t="e">
        <f t="shared" si="85"/>
        <v>#N/A</v>
      </c>
      <c r="Q787" t="e">
        <f t="shared" si="86"/>
        <v>#N/A</v>
      </c>
      <c r="R787" t="e">
        <f t="shared" si="86"/>
        <v>#N/A</v>
      </c>
      <c r="S787" t="e">
        <f t="shared" si="87"/>
        <v>#N/A</v>
      </c>
      <c r="T787" t="e">
        <f t="shared" si="87"/>
        <v>#N/A</v>
      </c>
      <c r="U787" t="e">
        <f t="shared" si="88"/>
        <v>#N/A</v>
      </c>
      <c r="V787" t="e">
        <f t="shared" si="88"/>
        <v>#N/A</v>
      </c>
      <c r="W787" t="e">
        <f t="shared" si="89"/>
        <v>#N/A</v>
      </c>
      <c r="X787" t="e">
        <f t="shared" si="89"/>
        <v>#N/A</v>
      </c>
      <c r="Y787" t="e">
        <f t="shared" si="90"/>
        <v>#N/A</v>
      </c>
      <c r="Z787" t="e">
        <f t="shared" si="90"/>
        <v>#N/A</v>
      </c>
    </row>
    <row r="788" spans="1:26">
      <c r="A788" t="e">
        <f>IF(ISBLANK('[1]Точность устьев скважин'!A790),#N/A,'[1]Точность устьев скважин'!A790)</f>
        <v>#N/A</v>
      </c>
      <c r="B788" t="e">
        <f>IF(ISBLANK('[1]Точность устьев скважин'!B790),#N/A,'[1]Точность устьев скважин'!B790)</f>
        <v>#N/A</v>
      </c>
      <c r="C788" t="e">
        <f>IF(ISBLANK('[1]Точность устьев скважин'!C790),#N/A,'[1]Точность устьев скважин'!C790)</f>
        <v>#N/A</v>
      </c>
      <c r="D788" t="e">
        <f>IF(ISBLANK('[1]Точность устьев скважин'!D790),#N/A,'[1]Точность устьев скважин'!D790)</f>
        <v>#N/A</v>
      </c>
      <c r="G788" t="e">
        <f>IF(ISBLANK('[1]Точность устьев скважин'!H790),#N/A,'[1]Точность устьев скважин'!H790)</f>
        <v>#N/A</v>
      </c>
      <c r="H788" t="e">
        <f>IF(ISBLANK('[1]Точность устьев скважин'!I790),#N/A,'[1]Точность устьев скважин'!I790)</f>
        <v>#N/A</v>
      </c>
      <c r="I788" t="e">
        <f>IF(ISBLANK('[1]Точность устьев скважин'!J790),#N/A,'[1]Точность устьев скважин'!J790)</f>
        <v>#N/A</v>
      </c>
      <c r="J788" t="e">
        <f>IF(ISBLANK('[1]Точность устьев скважин'!K790),#N/A,'[1]Точность устьев скважин'!K790)</f>
        <v>#N/A</v>
      </c>
      <c r="L788" s="63" t="e">
        <f t="shared" si="91"/>
        <v>#N/A</v>
      </c>
      <c r="O788" t="e">
        <f t="shared" si="85"/>
        <v>#N/A</v>
      </c>
      <c r="P788" t="e">
        <f t="shared" si="85"/>
        <v>#N/A</v>
      </c>
      <c r="Q788" t="e">
        <f t="shared" si="86"/>
        <v>#N/A</v>
      </c>
      <c r="R788" t="e">
        <f t="shared" si="86"/>
        <v>#N/A</v>
      </c>
      <c r="S788" t="e">
        <f t="shared" si="87"/>
        <v>#N/A</v>
      </c>
      <c r="T788" t="e">
        <f t="shared" si="87"/>
        <v>#N/A</v>
      </c>
      <c r="U788" t="e">
        <f t="shared" si="88"/>
        <v>#N/A</v>
      </c>
      <c r="V788" t="e">
        <f t="shared" si="88"/>
        <v>#N/A</v>
      </c>
      <c r="W788" t="e">
        <f t="shared" si="89"/>
        <v>#N/A</v>
      </c>
      <c r="X788" t="e">
        <f t="shared" si="89"/>
        <v>#N/A</v>
      </c>
      <c r="Y788" t="e">
        <f t="shared" si="90"/>
        <v>#N/A</v>
      </c>
      <c r="Z788" t="e">
        <f t="shared" si="90"/>
        <v>#N/A</v>
      </c>
    </row>
    <row r="789" spans="1:26">
      <c r="A789" t="e">
        <f>IF(ISBLANK('[1]Точность устьев скважин'!A791),#N/A,'[1]Точность устьев скважин'!A791)</f>
        <v>#N/A</v>
      </c>
      <c r="B789" t="e">
        <f>IF(ISBLANK('[1]Точность устьев скважин'!B791),#N/A,'[1]Точность устьев скважин'!B791)</f>
        <v>#N/A</v>
      </c>
      <c r="C789" t="e">
        <f>IF(ISBLANK('[1]Точность устьев скважин'!C791),#N/A,'[1]Точность устьев скважин'!C791)</f>
        <v>#N/A</v>
      </c>
      <c r="D789" t="e">
        <f>IF(ISBLANK('[1]Точность устьев скважин'!D791),#N/A,'[1]Точность устьев скважин'!D791)</f>
        <v>#N/A</v>
      </c>
      <c r="G789" t="e">
        <f>IF(ISBLANK('[1]Точность устьев скважин'!H791),#N/A,'[1]Точность устьев скважин'!H791)</f>
        <v>#N/A</v>
      </c>
      <c r="H789" t="e">
        <f>IF(ISBLANK('[1]Точность устьев скважин'!I791),#N/A,'[1]Точность устьев скважин'!I791)</f>
        <v>#N/A</v>
      </c>
      <c r="I789" t="e">
        <f>IF(ISBLANK('[1]Точность устьев скважин'!J791),#N/A,'[1]Точность устьев скважин'!J791)</f>
        <v>#N/A</v>
      </c>
      <c r="J789" t="e">
        <f>IF(ISBLANK('[1]Точность устьев скважин'!K791),#N/A,'[1]Точность устьев скважин'!K791)</f>
        <v>#N/A</v>
      </c>
      <c r="L789" s="63" t="e">
        <f t="shared" si="91"/>
        <v>#N/A</v>
      </c>
      <c r="O789" t="e">
        <f t="shared" si="85"/>
        <v>#N/A</v>
      </c>
      <c r="P789" t="e">
        <f t="shared" si="85"/>
        <v>#N/A</v>
      </c>
      <c r="Q789" t="e">
        <f t="shared" si="86"/>
        <v>#N/A</v>
      </c>
      <c r="R789" t="e">
        <f t="shared" si="86"/>
        <v>#N/A</v>
      </c>
      <c r="S789" t="e">
        <f t="shared" si="87"/>
        <v>#N/A</v>
      </c>
      <c r="T789" t="e">
        <f t="shared" si="87"/>
        <v>#N/A</v>
      </c>
      <c r="U789" t="e">
        <f t="shared" si="88"/>
        <v>#N/A</v>
      </c>
      <c r="V789" t="e">
        <f t="shared" si="88"/>
        <v>#N/A</v>
      </c>
      <c r="W789" t="e">
        <f t="shared" si="89"/>
        <v>#N/A</v>
      </c>
      <c r="X789" t="e">
        <f t="shared" si="89"/>
        <v>#N/A</v>
      </c>
      <c r="Y789" t="e">
        <f t="shared" si="90"/>
        <v>#N/A</v>
      </c>
      <c r="Z789" t="e">
        <f t="shared" si="90"/>
        <v>#N/A</v>
      </c>
    </row>
    <row r="790" spans="1:26">
      <c r="A790" t="e">
        <f>IF(ISBLANK('[1]Точность устьев скважин'!A792),#N/A,'[1]Точность устьев скважин'!A792)</f>
        <v>#N/A</v>
      </c>
      <c r="B790" t="e">
        <f>IF(ISBLANK('[1]Точность устьев скважин'!B792),#N/A,'[1]Точность устьев скважин'!B792)</f>
        <v>#N/A</v>
      </c>
      <c r="C790" t="e">
        <f>IF(ISBLANK('[1]Точность устьев скважин'!C792),#N/A,'[1]Точность устьев скважин'!C792)</f>
        <v>#N/A</v>
      </c>
      <c r="D790" t="e">
        <f>IF(ISBLANK('[1]Точность устьев скважин'!D792),#N/A,'[1]Точность устьев скважин'!D792)</f>
        <v>#N/A</v>
      </c>
      <c r="G790" t="e">
        <f>IF(ISBLANK('[1]Точность устьев скважин'!H792),#N/A,'[1]Точность устьев скважин'!H792)</f>
        <v>#N/A</v>
      </c>
      <c r="H790" t="e">
        <f>IF(ISBLANK('[1]Точность устьев скважин'!I792),#N/A,'[1]Точность устьев скважин'!I792)</f>
        <v>#N/A</v>
      </c>
      <c r="I790" t="e">
        <f>IF(ISBLANK('[1]Точность устьев скважин'!J792),#N/A,'[1]Точность устьев скважин'!J792)</f>
        <v>#N/A</v>
      </c>
      <c r="J790" t="e">
        <f>IF(ISBLANK('[1]Точность устьев скважин'!K792),#N/A,'[1]Точность устьев скважин'!K792)</f>
        <v>#N/A</v>
      </c>
      <c r="L790" s="63" t="e">
        <f t="shared" si="91"/>
        <v>#N/A</v>
      </c>
      <c r="O790" t="e">
        <f t="shared" si="85"/>
        <v>#N/A</v>
      </c>
      <c r="P790" t="e">
        <f t="shared" si="85"/>
        <v>#N/A</v>
      </c>
      <c r="Q790" t="e">
        <f t="shared" si="86"/>
        <v>#N/A</v>
      </c>
      <c r="R790" t="e">
        <f t="shared" si="86"/>
        <v>#N/A</v>
      </c>
      <c r="S790" t="e">
        <f t="shared" si="87"/>
        <v>#N/A</v>
      </c>
      <c r="T790" t="e">
        <f t="shared" si="87"/>
        <v>#N/A</v>
      </c>
      <c r="U790" t="e">
        <f t="shared" si="88"/>
        <v>#N/A</v>
      </c>
      <c r="V790" t="e">
        <f t="shared" si="88"/>
        <v>#N/A</v>
      </c>
      <c r="W790" t="e">
        <f t="shared" si="89"/>
        <v>#N/A</v>
      </c>
      <c r="X790" t="e">
        <f t="shared" si="89"/>
        <v>#N/A</v>
      </c>
      <c r="Y790" t="e">
        <f t="shared" si="90"/>
        <v>#N/A</v>
      </c>
      <c r="Z790" t="e">
        <f t="shared" si="90"/>
        <v>#N/A</v>
      </c>
    </row>
    <row r="791" spans="1:26">
      <c r="A791" t="e">
        <f>IF(ISBLANK('[1]Точность устьев скважин'!A793),#N/A,'[1]Точность устьев скважин'!A793)</f>
        <v>#N/A</v>
      </c>
      <c r="B791" t="e">
        <f>IF(ISBLANK('[1]Точность устьев скважин'!B793),#N/A,'[1]Точность устьев скважин'!B793)</f>
        <v>#N/A</v>
      </c>
      <c r="C791" t="e">
        <f>IF(ISBLANK('[1]Точность устьев скважин'!C793),#N/A,'[1]Точность устьев скважин'!C793)</f>
        <v>#N/A</v>
      </c>
      <c r="D791" t="e">
        <f>IF(ISBLANK('[1]Точность устьев скважин'!D793),#N/A,'[1]Точность устьев скважин'!D793)</f>
        <v>#N/A</v>
      </c>
      <c r="G791" t="e">
        <f>IF(ISBLANK('[1]Точность устьев скважин'!H793),#N/A,'[1]Точность устьев скважин'!H793)</f>
        <v>#N/A</v>
      </c>
      <c r="H791" t="e">
        <f>IF(ISBLANK('[1]Точность устьев скважин'!I793),#N/A,'[1]Точность устьев скважин'!I793)</f>
        <v>#N/A</v>
      </c>
      <c r="I791" t="e">
        <f>IF(ISBLANK('[1]Точность устьев скважин'!J793),#N/A,'[1]Точность устьев скважин'!J793)</f>
        <v>#N/A</v>
      </c>
      <c r="J791" t="e">
        <f>IF(ISBLANK('[1]Точность устьев скважин'!K793),#N/A,'[1]Точность устьев скважин'!K793)</f>
        <v>#N/A</v>
      </c>
      <c r="L791" s="63" t="e">
        <f t="shared" si="91"/>
        <v>#N/A</v>
      </c>
      <c r="O791" t="e">
        <f t="shared" si="85"/>
        <v>#N/A</v>
      </c>
      <c r="P791" t="e">
        <f t="shared" si="85"/>
        <v>#N/A</v>
      </c>
      <c r="Q791" t="e">
        <f t="shared" si="86"/>
        <v>#N/A</v>
      </c>
      <c r="R791" t="e">
        <f t="shared" si="86"/>
        <v>#N/A</v>
      </c>
      <c r="S791" t="e">
        <f t="shared" si="87"/>
        <v>#N/A</v>
      </c>
      <c r="T791" t="e">
        <f t="shared" si="87"/>
        <v>#N/A</v>
      </c>
      <c r="U791" t="e">
        <f t="shared" si="88"/>
        <v>#N/A</v>
      </c>
      <c r="V791" t="e">
        <f t="shared" si="88"/>
        <v>#N/A</v>
      </c>
      <c r="W791" t="e">
        <f t="shared" si="89"/>
        <v>#N/A</v>
      </c>
      <c r="X791" t="e">
        <f t="shared" si="89"/>
        <v>#N/A</v>
      </c>
      <c r="Y791" t="e">
        <f t="shared" si="90"/>
        <v>#N/A</v>
      </c>
      <c r="Z791" t="e">
        <f t="shared" si="90"/>
        <v>#N/A</v>
      </c>
    </row>
    <row r="792" spans="1:26">
      <c r="A792" t="e">
        <f>IF(ISBLANK('[1]Точность устьев скважин'!A794),#N/A,'[1]Точность устьев скважин'!A794)</f>
        <v>#N/A</v>
      </c>
      <c r="B792" t="e">
        <f>IF(ISBLANK('[1]Точность устьев скважин'!B794),#N/A,'[1]Точность устьев скважин'!B794)</f>
        <v>#N/A</v>
      </c>
      <c r="C792" t="e">
        <f>IF(ISBLANK('[1]Точность устьев скважин'!C794),#N/A,'[1]Точность устьев скважин'!C794)</f>
        <v>#N/A</v>
      </c>
      <c r="D792" t="e">
        <f>IF(ISBLANK('[1]Точность устьев скважин'!D794),#N/A,'[1]Точность устьев скважин'!D794)</f>
        <v>#N/A</v>
      </c>
      <c r="G792" t="e">
        <f>IF(ISBLANK('[1]Точность устьев скважин'!H794),#N/A,'[1]Точность устьев скважин'!H794)</f>
        <v>#N/A</v>
      </c>
      <c r="H792" t="e">
        <f>IF(ISBLANK('[1]Точность устьев скважин'!I794),#N/A,'[1]Точность устьев скважин'!I794)</f>
        <v>#N/A</v>
      </c>
      <c r="I792" t="e">
        <f>IF(ISBLANK('[1]Точность устьев скважин'!J794),#N/A,'[1]Точность устьев скважин'!J794)</f>
        <v>#N/A</v>
      </c>
      <c r="J792" t="e">
        <f>IF(ISBLANK('[1]Точность устьев скважин'!K794),#N/A,'[1]Точность устьев скважин'!K794)</f>
        <v>#N/A</v>
      </c>
      <c r="L792" s="63" t="e">
        <f t="shared" si="91"/>
        <v>#N/A</v>
      </c>
      <c r="O792" t="e">
        <f t="shared" si="85"/>
        <v>#N/A</v>
      </c>
      <c r="P792" t="e">
        <f t="shared" si="85"/>
        <v>#N/A</v>
      </c>
      <c r="Q792" t="e">
        <f t="shared" si="86"/>
        <v>#N/A</v>
      </c>
      <c r="R792" t="e">
        <f t="shared" si="86"/>
        <v>#N/A</v>
      </c>
      <c r="S792" t="e">
        <f t="shared" si="87"/>
        <v>#N/A</v>
      </c>
      <c r="T792" t="e">
        <f t="shared" si="87"/>
        <v>#N/A</v>
      </c>
      <c r="U792" t="e">
        <f t="shared" si="88"/>
        <v>#N/A</v>
      </c>
      <c r="V792" t="e">
        <f t="shared" si="88"/>
        <v>#N/A</v>
      </c>
      <c r="W792" t="e">
        <f t="shared" si="89"/>
        <v>#N/A</v>
      </c>
      <c r="X792" t="e">
        <f t="shared" si="89"/>
        <v>#N/A</v>
      </c>
      <c r="Y792" t="e">
        <f t="shared" si="90"/>
        <v>#N/A</v>
      </c>
      <c r="Z792" t="e">
        <f t="shared" si="90"/>
        <v>#N/A</v>
      </c>
    </row>
    <row r="793" spans="1:26">
      <c r="A793" t="e">
        <f>IF(ISBLANK('[1]Точность устьев скважин'!A795),#N/A,'[1]Точность устьев скважин'!A795)</f>
        <v>#N/A</v>
      </c>
      <c r="B793" t="e">
        <f>IF(ISBLANK('[1]Точность устьев скважин'!B795),#N/A,'[1]Точность устьев скважин'!B795)</f>
        <v>#N/A</v>
      </c>
      <c r="C793" t="e">
        <f>IF(ISBLANK('[1]Точность устьев скважин'!C795),#N/A,'[1]Точность устьев скважин'!C795)</f>
        <v>#N/A</v>
      </c>
      <c r="D793" t="e">
        <f>IF(ISBLANK('[1]Точность устьев скважин'!D795),#N/A,'[1]Точность устьев скважин'!D795)</f>
        <v>#N/A</v>
      </c>
      <c r="G793" t="e">
        <f>IF(ISBLANK('[1]Точность устьев скважин'!H795),#N/A,'[1]Точность устьев скважин'!H795)</f>
        <v>#N/A</v>
      </c>
      <c r="H793" t="e">
        <f>IF(ISBLANK('[1]Точность устьев скважин'!I795),#N/A,'[1]Точность устьев скважин'!I795)</f>
        <v>#N/A</v>
      </c>
      <c r="I793" t="e">
        <f>IF(ISBLANK('[1]Точность устьев скважин'!J795),#N/A,'[1]Точность устьев скважин'!J795)</f>
        <v>#N/A</v>
      </c>
      <c r="J793" t="e">
        <f>IF(ISBLANK('[1]Точность устьев скважин'!K795),#N/A,'[1]Точность устьев скважин'!K795)</f>
        <v>#N/A</v>
      </c>
      <c r="L793" s="63" t="e">
        <f t="shared" si="91"/>
        <v>#N/A</v>
      </c>
      <c r="O793" t="e">
        <f t="shared" si="85"/>
        <v>#N/A</v>
      </c>
      <c r="P793" t="e">
        <f t="shared" si="85"/>
        <v>#N/A</v>
      </c>
      <c r="Q793" t="e">
        <f t="shared" si="86"/>
        <v>#N/A</v>
      </c>
      <c r="R793" t="e">
        <f t="shared" si="86"/>
        <v>#N/A</v>
      </c>
      <c r="S793" t="e">
        <f t="shared" si="87"/>
        <v>#N/A</v>
      </c>
      <c r="T793" t="e">
        <f t="shared" si="87"/>
        <v>#N/A</v>
      </c>
      <c r="U793" t="e">
        <f t="shared" si="88"/>
        <v>#N/A</v>
      </c>
      <c r="V793" t="e">
        <f t="shared" si="88"/>
        <v>#N/A</v>
      </c>
      <c r="W793" t="e">
        <f t="shared" si="89"/>
        <v>#N/A</v>
      </c>
      <c r="X793" t="e">
        <f t="shared" si="89"/>
        <v>#N/A</v>
      </c>
      <c r="Y793" t="e">
        <f t="shared" si="90"/>
        <v>#N/A</v>
      </c>
      <c r="Z793" t="e">
        <f t="shared" si="90"/>
        <v>#N/A</v>
      </c>
    </row>
    <row r="794" spans="1:26">
      <c r="A794" t="e">
        <f>IF(ISBLANK('[1]Точность устьев скважин'!A796),#N/A,'[1]Точность устьев скважин'!A796)</f>
        <v>#N/A</v>
      </c>
      <c r="B794" t="e">
        <f>IF(ISBLANK('[1]Точность устьев скважин'!B796),#N/A,'[1]Точность устьев скважин'!B796)</f>
        <v>#N/A</v>
      </c>
      <c r="C794" t="e">
        <f>IF(ISBLANK('[1]Точность устьев скважин'!C796),#N/A,'[1]Точность устьев скважин'!C796)</f>
        <v>#N/A</v>
      </c>
      <c r="D794" t="e">
        <f>IF(ISBLANK('[1]Точность устьев скважин'!D796),#N/A,'[1]Точность устьев скважин'!D796)</f>
        <v>#N/A</v>
      </c>
      <c r="G794" t="e">
        <f>IF(ISBLANK('[1]Точность устьев скважин'!H796),#N/A,'[1]Точность устьев скважин'!H796)</f>
        <v>#N/A</v>
      </c>
      <c r="H794" t="e">
        <f>IF(ISBLANK('[1]Точность устьев скважин'!I796),#N/A,'[1]Точность устьев скважин'!I796)</f>
        <v>#N/A</v>
      </c>
      <c r="I794" t="e">
        <f>IF(ISBLANK('[1]Точность устьев скважин'!J796),#N/A,'[1]Точность устьев скважин'!J796)</f>
        <v>#N/A</v>
      </c>
      <c r="J794" t="e">
        <f>IF(ISBLANK('[1]Точность устьев скважин'!K796),#N/A,'[1]Точность устьев скважин'!K796)</f>
        <v>#N/A</v>
      </c>
      <c r="L794" s="63" t="e">
        <f t="shared" si="91"/>
        <v>#N/A</v>
      </c>
      <c r="O794" t="e">
        <f t="shared" si="85"/>
        <v>#N/A</v>
      </c>
      <c r="P794" t="e">
        <f t="shared" si="85"/>
        <v>#N/A</v>
      </c>
      <c r="Q794" t="e">
        <f t="shared" si="86"/>
        <v>#N/A</v>
      </c>
      <c r="R794" t="e">
        <f t="shared" si="86"/>
        <v>#N/A</v>
      </c>
      <c r="S794" t="e">
        <f t="shared" si="87"/>
        <v>#N/A</v>
      </c>
      <c r="T794" t="e">
        <f t="shared" si="87"/>
        <v>#N/A</v>
      </c>
      <c r="U794" t="e">
        <f t="shared" si="88"/>
        <v>#N/A</v>
      </c>
      <c r="V794" t="e">
        <f t="shared" si="88"/>
        <v>#N/A</v>
      </c>
      <c r="W794" t="e">
        <f t="shared" si="89"/>
        <v>#N/A</v>
      </c>
      <c r="X794" t="e">
        <f t="shared" si="89"/>
        <v>#N/A</v>
      </c>
      <c r="Y794" t="e">
        <f t="shared" si="90"/>
        <v>#N/A</v>
      </c>
      <c r="Z794" t="e">
        <f t="shared" si="90"/>
        <v>#N/A</v>
      </c>
    </row>
    <row r="795" spans="1:26">
      <c r="A795" t="e">
        <f>IF(ISBLANK('[1]Точность устьев скважин'!A797),#N/A,'[1]Точность устьев скважин'!A797)</f>
        <v>#N/A</v>
      </c>
      <c r="B795" t="e">
        <f>IF(ISBLANK('[1]Точность устьев скважин'!B797),#N/A,'[1]Точность устьев скважин'!B797)</f>
        <v>#N/A</v>
      </c>
      <c r="C795" t="e">
        <f>IF(ISBLANK('[1]Точность устьев скважин'!C797),#N/A,'[1]Точность устьев скважин'!C797)</f>
        <v>#N/A</v>
      </c>
      <c r="D795" t="e">
        <f>IF(ISBLANK('[1]Точность устьев скважин'!D797),#N/A,'[1]Точность устьев скважин'!D797)</f>
        <v>#N/A</v>
      </c>
      <c r="G795" t="e">
        <f>IF(ISBLANK('[1]Точность устьев скважин'!H797),#N/A,'[1]Точность устьев скважин'!H797)</f>
        <v>#N/A</v>
      </c>
      <c r="H795" t="e">
        <f>IF(ISBLANK('[1]Точность устьев скважин'!I797),#N/A,'[1]Точность устьев скважин'!I797)</f>
        <v>#N/A</v>
      </c>
      <c r="I795" t="e">
        <f>IF(ISBLANK('[1]Точность устьев скважин'!J797),#N/A,'[1]Точность устьев скважин'!J797)</f>
        <v>#N/A</v>
      </c>
      <c r="J795" t="e">
        <f>IF(ISBLANK('[1]Точность устьев скважин'!K797),#N/A,'[1]Точность устьев скважин'!K797)</f>
        <v>#N/A</v>
      </c>
      <c r="L795" s="63" t="e">
        <f t="shared" si="91"/>
        <v>#N/A</v>
      </c>
      <c r="O795" t="e">
        <f t="shared" si="85"/>
        <v>#N/A</v>
      </c>
      <c r="P795" t="e">
        <f t="shared" si="85"/>
        <v>#N/A</v>
      </c>
      <c r="Q795" t="e">
        <f t="shared" si="86"/>
        <v>#N/A</v>
      </c>
      <c r="R795" t="e">
        <f t="shared" si="86"/>
        <v>#N/A</v>
      </c>
      <c r="S795" t="e">
        <f t="shared" si="87"/>
        <v>#N/A</v>
      </c>
      <c r="T795" t="e">
        <f t="shared" si="87"/>
        <v>#N/A</v>
      </c>
      <c r="U795" t="e">
        <f t="shared" si="88"/>
        <v>#N/A</v>
      </c>
      <c r="V795" t="e">
        <f t="shared" si="88"/>
        <v>#N/A</v>
      </c>
      <c r="W795" t="e">
        <f t="shared" si="89"/>
        <v>#N/A</v>
      </c>
      <c r="X795" t="e">
        <f t="shared" si="89"/>
        <v>#N/A</v>
      </c>
      <c r="Y795" t="e">
        <f t="shared" si="90"/>
        <v>#N/A</v>
      </c>
      <c r="Z795" t="e">
        <f t="shared" si="90"/>
        <v>#N/A</v>
      </c>
    </row>
    <row r="796" spans="1:26">
      <c r="A796" t="e">
        <f>IF(ISBLANK('[1]Точность устьев скважин'!A798),#N/A,'[1]Точность устьев скважин'!A798)</f>
        <v>#N/A</v>
      </c>
      <c r="B796" t="e">
        <f>IF(ISBLANK('[1]Точность устьев скважин'!B798),#N/A,'[1]Точность устьев скважин'!B798)</f>
        <v>#N/A</v>
      </c>
      <c r="C796" t="e">
        <f>IF(ISBLANK('[1]Точность устьев скважин'!C798),#N/A,'[1]Точность устьев скважин'!C798)</f>
        <v>#N/A</v>
      </c>
      <c r="D796" t="e">
        <f>IF(ISBLANK('[1]Точность устьев скважин'!D798),#N/A,'[1]Точность устьев скважин'!D798)</f>
        <v>#N/A</v>
      </c>
      <c r="G796" t="e">
        <f>IF(ISBLANK('[1]Точность устьев скважин'!H798),#N/A,'[1]Точность устьев скважин'!H798)</f>
        <v>#N/A</v>
      </c>
      <c r="H796" t="e">
        <f>IF(ISBLANK('[1]Точность устьев скважин'!I798),#N/A,'[1]Точность устьев скважин'!I798)</f>
        <v>#N/A</v>
      </c>
      <c r="I796" t="e">
        <f>IF(ISBLANK('[1]Точность устьев скважин'!J798),#N/A,'[1]Точность устьев скважин'!J798)</f>
        <v>#N/A</v>
      </c>
      <c r="J796" t="e">
        <f>IF(ISBLANK('[1]Точность устьев скважин'!K798),#N/A,'[1]Точность устьев скважин'!K798)</f>
        <v>#N/A</v>
      </c>
      <c r="L796" s="63" t="e">
        <f t="shared" si="91"/>
        <v>#N/A</v>
      </c>
      <c r="O796" t="e">
        <f t="shared" si="85"/>
        <v>#N/A</v>
      </c>
      <c r="P796" t="e">
        <f t="shared" si="85"/>
        <v>#N/A</v>
      </c>
      <c r="Q796" t="e">
        <f t="shared" si="86"/>
        <v>#N/A</v>
      </c>
      <c r="R796" t="e">
        <f t="shared" si="86"/>
        <v>#N/A</v>
      </c>
      <c r="S796" t="e">
        <f t="shared" si="87"/>
        <v>#N/A</v>
      </c>
      <c r="T796" t="e">
        <f t="shared" si="87"/>
        <v>#N/A</v>
      </c>
      <c r="U796" t="e">
        <f t="shared" si="88"/>
        <v>#N/A</v>
      </c>
      <c r="V796" t="e">
        <f t="shared" si="88"/>
        <v>#N/A</v>
      </c>
      <c r="W796" t="e">
        <f t="shared" si="89"/>
        <v>#N/A</v>
      </c>
      <c r="X796" t="e">
        <f t="shared" si="89"/>
        <v>#N/A</v>
      </c>
      <c r="Y796" t="e">
        <f t="shared" si="90"/>
        <v>#N/A</v>
      </c>
      <c r="Z796" t="e">
        <f t="shared" si="90"/>
        <v>#N/A</v>
      </c>
    </row>
    <row r="797" spans="1:26">
      <c r="A797" t="e">
        <f>IF(ISBLANK('[1]Точность устьев скважин'!A799),#N/A,'[1]Точность устьев скважин'!A799)</f>
        <v>#N/A</v>
      </c>
      <c r="B797" t="e">
        <f>IF(ISBLANK('[1]Точность устьев скважин'!B799),#N/A,'[1]Точность устьев скважин'!B799)</f>
        <v>#N/A</v>
      </c>
      <c r="C797" t="e">
        <f>IF(ISBLANK('[1]Точность устьев скважин'!C799),#N/A,'[1]Точность устьев скважин'!C799)</f>
        <v>#N/A</v>
      </c>
      <c r="D797" t="e">
        <f>IF(ISBLANK('[1]Точность устьев скважин'!D799),#N/A,'[1]Точность устьев скважин'!D799)</f>
        <v>#N/A</v>
      </c>
      <c r="G797" t="e">
        <f>IF(ISBLANK('[1]Точность устьев скважин'!H799),#N/A,'[1]Точность устьев скважин'!H799)</f>
        <v>#N/A</v>
      </c>
      <c r="H797" t="e">
        <f>IF(ISBLANK('[1]Точность устьев скважин'!I799),#N/A,'[1]Точность устьев скважин'!I799)</f>
        <v>#N/A</v>
      </c>
      <c r="I797" t="e">
        <f>IF(ISBLANK('[1]Точность устьев скважин'!J799),#N/A,'[1]Точность устьев скважин'!J799)</f>
        <v>#N/A</v>
      </c>
      <c r="J797" t="e">
        <f>IF(ISBLANK('[1]Точность устьев скважин'!K799),#N/A,'[1]Точность устьев скважин'!K799)</f>
        <v>#N/A</v>
      </c>
      <c r="L797" s="63" t="e">
        <f t="shared" si="91"/>
        <v>#N/A</v>
      </c>
      <c r="O797" t="e">
        <f t="shared" si="85"/>
        <v>#N/A</v>
      </c>
      <c r="P797" t="e">
        <f t="shared" si="85"/>
        <v>#N/A</v>
      </c>
      <c r="Q797" t="e">
        <f t="shared" si="86"/>
        <v>#N/A</v>
      </c>
      <c r="R797" t="e">
        <f t="shared" si="86"/>
        <v>#N/A</v>
      </c>
      <c r="S797" t="e">
        <f t="shared" si="87"/>
        <v>#N/A</v>
      </c>
      <c r="T797" t="e">
        <f t="shared" si="87"/>
        <v>#N/A</v>
      </c>
      <c r="U797" t="e">
        <f t="shared" si="88"/>
        <v>#N/A</v>
      </c>
      <c r="V797" t="e">
        <f t="shared" si="88"/>
        <v>#N/A</v>
      </c>
      <c r="W797" t="e">
        <f t="shared" si="89"/>
        <v>#N/A</v>
      </c>
      <c r="X797" t="e">
        <f t="shared" si="89"/>
        <v>#N/A</v>
      </c>
      <c r="Y797" t="e">
        <f t="shared" si="90"/>
        <v>#N/A</v>
      </c>
      <c r="Z797" t="e">
        <f t="shared" si="90"/>
        <v>#N/A</v>
      </c>
    </row>
    <row r="798" spans="1:26">
      <c r="A798" t="e">
        <f>IF(ISBLANK('[1]Точность устьев скважин'!A800),#N/A,'[1]Точность устьев скважин'!A800)</f>
        <v>#N/A</v>
      </c>
      <c r="B798" t="e">
        <f>IF(ISBLANK('[1]Точность устьев скважин'!B800),#N/A,'[1]Точность устьев скважин'!B800)</f>
        <v>#N/A</v>
      </c>
      <c r="C798" t="e">
        <f>IF(ISBLANK('[1]Точность устьев скважин'!C800),#N/A,'[1]Точность устьев скважин'!C800)</f>
        <v>#N/A</v>
      </c>
      <c r="D798" t="e">
        <f>IF(ISBLANK('[1]Точность устьев скважин'!D800),#N/A,'[1]Точность устьев скважин'!D800)</f>
        <v>#N/A</v>
      </c>
      <c r="G798" t="e">
        <f>IF(ISBLANK('[1]Точность устьев скважин'!H800),#N/A,'[1]Точность устьев скважин'!H800)</f>
        <v>#N/A</v>
      </c>
      <c r="H798" t="e">
        <f>IF(ISBLANK('[1]Точность устьев скважин'!I800),#N/A,'[1]Точность устьев скважин'!I800)</f>
        <v>#N/A</v>
      </c>
      <c r="I798" t="e">
        <f>IF(ISBLANK('[1]Точность устьев скважин'!J800),#N/A,'[1]Точность устьев скважин'!J800)</f>
        <v>#N/A</v>
      </c>
      <c r="J798" t="e">
        <f>IF(ISBLANK('[1]Точность устьев скважин'!K800),#N/A,'[1]Точность устьев скважин'!K800)</f>
        <v>#N/A</v>
      </c>
      <c r="L798" s="63" t="e">
        <f t="shared" si="91"/>
        <v>#N/A</v>
      </c>
      <c r="O798" t="e">
        <f t="shared" si="85"/>
        <v>#N/A</v>
      </c>
      <c r="P798" t="e">
        <f t="shared" si="85"/>
        <v>#N/A</v>
      </c>
      <c r="Q798" t="e">
        <f t="shared" si="86"/>
        <v>#N/A</v>
      </c>
      <c r="R798" t="e">
        <f t="shared" si="86"/>
        <v>#N/A</v>
      </c>
      <c r="S798" t="e">
        <f t="shared" si="87"/>
        <v>#N/A</v>
      </c>
      <c r="T798" t="e">
        <f t="shared" si="87"/>
        <v>#N/A</v>
      </c>
      <c r="U798" t="e">
        <f t="shared" si="88"/>
        <v>#N/A</v>
      </c>
      <c r="V798" t="e">
        <f t="shared" si="88"/>
        <v>#N/A</v>
      </c>
      <c r="W798" t="e">
        <f t="shared" si="89"/>
        <v>#N/A</v>
      </c>
      <c r="X798" t="e">
        <f t="shared" si="89"/>
        <v>#N/A</v>
      </c>
      <c r="Y798" t="e">
        <f t="shared" si="90"/>
        <v>#N/A</v>
      </c>
      <c r="Z798" t="e">
        <f t="shared" si="90"/>
        <v>#N/A</v>
      </c>
    </row>
    <row r="799" spans="1:26">
      <c r="A799" t="e">
        <f>IF(ISBLANK('[1]Точность устьев скважин'!A801),#N/A,'[1]Точность устьев скважин'!A801)</f>
        <v>#N/A</v>
      </c>
      <c r="B799" t="e">
        <f>IF(ISBLANK('[1]Точность устьев скважин'!B801),#N/A,'[1]Точность устьев скважин'!B801)</f>
        <v>#N/A</v>
      </c>
      <c r="C799" t="e">
        <f>IF(ISBLANK('[1]Точность устьев скважин'!C801),#N/A,'[1]Точность устьев скважин'!C801)</f>
        <v>#N/A</v>
      </c>
      <c r="D799" t="e">
        <f>IF(ISBLANK('[1]Точность устьев скважин'!D801),#N/A,'[1]Точность устьев скважин'!D801)</f>
        <v>#N/A</v>
      </c>
      <c r="G799" t="e">
        <f>IF(ISBLANK('[1]Точность устьев скважин'!H801),#N/A,'[1]Точность устьев скважин'!H801)</f>
        <v>#N/A</v>
      </c>
      <c r="H799" t="e">
        <f>IF(ISBLANK('[1]Точность устьев скважин'!I801),#N/A,'[1]Точность устьев скважин'!I801)</f>
        <v>#N/A</v>
      </c>
      <c r="I799" t="e">
        <f>IF(ISBLANK('[1]Точность устьев скважин'!J801),#N/A,'[1]Точность устьев скважин'!J801)</f>
        <v>#N/A</v>
      </c>
      <c r="J799" t="e">
        <f>IF(ISBLANK('[1]Точность устьев скважин'!K801),#N/A,'[1]Точность устьев скважин'!K801)</f>
        <v>#N/A</v>
      </c>
      <c r="L799" s="63" t="e">
        <f t="shared" si="91"/>
        <v>#N/A</v>
      </c>
      <c r="O799" t="e">
        <f t="shared" si="85"/>
        <v>#N/A</v>
      </c>
      <c r="P799" t="e">
        <f t="shared" si="85"/>
        <v>#N/A</v>
      </c>
      <c r="Q799" t="e">
        <f t="shared" si="86"/>
        <v>#N/A</v>
      </c>
      <c r="R799" t="e">
        <f t="shared" si="86"/>
        <v>#N/A</v>
      </c>
      <c r="S799" t="e">
        <f t="shared" si="87"/>
        <v>#N/A</v>
      </c>
      <c r="T799" t="e">
        <f t="shared" si="87"/>
        <v>#N/A</v>
      </c>
      <c r="U799" t="e">
        <f t="shared" si="88"/>
        <v>#N/A</v>
      </c>
      <c r="V799" t="e">
        <f t="shared" si="88"/>
        <v>#N/A</v>
      </c>
      <c r="W799" t="e">
        <f t="shared" si="89"/>
        <v>#N/A</v>
      </c>
      <c r="X799" t="e">
        <f t="shared" si="89"/>
        <v>#N/A</v>
      </c>
      <c r="Y799" t="e">
        <f t="shared" si="90"/>
        <v>#N/A</v>
      </c>
      <c r="Z799" t="e">
        <f t="shared" si="90"/>
        <v>#N/A</v>
      </c>
    </row>
    <row r="800" spans="1:26">
      <c r="A800" t="e">
        <f>IF(ISBLANK('[1]Точность устьев скважин'!A802),#N/A,'[1]Точность устьев скважин'!A802)</f>
        <v>#N/A</v>
      </c>
      <c r="B800" t="e">
        <f>IF(ISBLANK('[1]Точность устьев скважин'!B802),#N/A,'[1]Точность устьев скважин'!B802)</f>
        <v>#N/A</v>
      </c>
      <c r="C800" t="e">
        <f>IF(ISBLANK('[1]Точность устьев скважин'!C802),#N/A,'[1]Точность устьев скважин'!C802)</f>
        <v>#N/A</v>
      </c>
      <c r="D800" t="e">
        <f>IF(ISBLANK('[1]Точность устьев скважин'!D802),#N/A,'[1]Точность устьев скважин'!D802)</f>
        <v>#N/A</v>
      </c>
      <c r="G800" t="e">
        <f>IF(ISBLANK('[1]Точность устьев скважин'!H802),#N/A,'[1]Точность устьев скважин'!H802)</f>
        <v>#N/A</v>
      </c>
      <c r="H800" t="e">
        <f>IF(ISBLANK('[1]Точность устьев скважин'!I802),#N/A,'[1]Точность устьев скважин'!I802)</f>
        <v>#N/A</v>
      </c>
      <c r="I800" t="e">
        <f>IF(ISBLANK('[1]Точность устьев скважин'!J802),#N/A,'[1]Точность устьев скважин'!J802)</f>
        <v>#N/A</v>
      </c>
      <c r="J800" t="e">
        <f>IF(ISBLANK('[1]Точность устьев скважин'!K802),#N/A,'[1]Точность устьев скважин'!K802)</f>
        <v>#N/A</v>
      </c>
      <c r="L800" s="63" t="e">
        <f t="shared" si="91"/>
        <v>#N/A</v>
      </c>
      <c r="O800" t="e">
        <f t="shared" si="85"/>
        <v>#N/A</v>
      </c>
      <c r="P800" t="e">
        <f t="shared" si="85"/>
        <v>#N/A</v>
      </c>
      <c r="Q800" t="e">
        <f t="shared" si="86"/>
        <v>#N/A</v>
      </c>
      <c r="R800" t="e">
        <f t="shared" si="86"/>
        <v>#N/A</v>
      </c>
      <c r="S800" t="e">
        <f t="shared" si="87"/>
        <v>#N/A</v>
      </c>
      <c r="T800" t="e">
        <f t="shared" si="87"/>
        <v>#N/A</v>
      </c>
      <c r="U800" t="e">
        <f t="shared" si="88"/>
        <v>#N/A</v>
      </c>
      <c r="V800" t="e">
        <f t="shared" si="88"/>
        <v>#N/A</v>
      </c>
      <c r="W800" t="e">
        <f t="shared" si="89"/>
        <v>#N/A</v>
      </c>
      <c r="X800" t="e">
        <f t="shared" si="89"/>
        <v>#N/A</v>
      </c>
      <c r="Y800" t="e">
        <f t="shared" si="90"/>
        <v>#N/A</v>
      </c>
      <c r="Z800" t="e">
        <f t="shared" si="90"/>
        <v>#N/A</v>
      </c>
    </row>
    <row r="801" spans="1:26">
      <c r="A801" t="e">
        <f>IF(ISBLANK('[1]Точность устьев скважин'!A803),#N/A,'[1]Точность устьев скважин'!A803)</f>
        <v>#N/A</v>
      </c>
      <c r="B801" t="e">
        <f>IF(ISBLANK('[1]Точность устьев скважин'!B803),#N/A,'[1]Точность устьев скважин'!B803)</f>
        <v>#N/A</v>
      </c>
      <c r="C801" t="e">
        <f>IF(ISBLANK('[1]Точность устьев скважин'!C803),#N/A,'[1]Точность устьев скважин'!C803)</f>
        <v>#N/A</v>
      </c>
      <c r="D801" t="e">
        <f>IF(ISBLANK('[1]Точность устьев скважин'!D803),#N/A,'[1]Точность устьев скважин'!D803)</f>
        <v>#N/A</v>
      </c>
      <c r="G801" t="e">
        <f>IF(ISBLANK('[1]Точность устьев скважин'!H803),#N/A,'[1]Точность устьев скважин'!H803)</f>
        <v>#N/A</v>
      </c>
      <c r="H801" t="e">
        <f>IF(ISBLANK('[1]Точность устьев скважин'!I803),#N/A,'[1]Точность устьев скважин'!I803)</f>
        <v>#N/A</v>
      </c>
      <c r="I801" t="e">
        <f>IF(ISBLANK('[1]Точность устьев скважин'!J803),#N/A,'[1]Точность устьев скважин'!J803)</f>
        <v>#N/A</v>
      </c>
      <c r="J801" t="e">
        <f>IF(ISBLANK('[1]Точность устьев скважин'!K803),#N/A,'[1]Точность устьев скважин'!K803)</f>
        <v>#N/A</v>
      </c>
      <c r="L801" s="63" t="e">
        <f t="shared" si="91"/>
        <v>#N/A</v>
      </c>
      <c r="O801" t="e">
        <f t="shared" si="85"/>
        <v>#N/A</v>
      </c>
      <c r="P801" t="e">
        <f t="shared" si="85"/>
        <v>#N/A</v>
      </c>
      <c r="Q801" t="e">
        <f t="shared" si="86"/>
        <v>#N/A</v>
      </c>
      <c r="R801" t="e">
        <f t="shared" si="86"/>
        <v>#N/A</v>
      </c>
      <c r="S801" t="e">
        <f t="shared" si="87"/>
        <v>#N/A</v>
      </c>
      <c r="T801" t="e">
        <f t="shared" si="87"/>
        <v>#N/A</v>
      </c>
      <c r="U801" t="e">
        <f t="shared" si="88"/>
        <v>#N/A</v>
      </c>
      <c r="V801" t="e">
        <f t="shared" si="88"/>
        <v>#N/A</v>
      </c>
      <c r="W801" t="e">
        <f t="shared" si="89"/>
        <v>#N/A</v>
      </c>
      <c r="X801" t="e">
        <f t="shared" si="89"/>
        <v>#N/A</v>
      </c>
      <c r="Y801" t="e">
        <f t="shared" si="90"/>
        <v>#N/A</v>
      </c>
      <c r="Z801" t="e">
        <f t="shared" si="90"/>
        <v>#N/A</v>
      </c>
    </row>
    <row r="802" spans="1:26">
      <c r="A802" t="e">
        <f>IF(ISBLANK('[1]Точность устьев скважин'!A804),#N/A,'[1]Точность устьев скважин'!A804)</f>
        <v>#N/A</v>
      </c>
      <c r="B802" t="e">
        <f>IF(ISBLANK('[1]Точность устьев скважин'!B804),#N/A,'[1]Точность устьев скважин'!B804)</f>
        <v>#N/A</v>
      </c>
      <c r="C802" t="e">
        <f>IF(ISBLANK('[1]Точность устьев скважин'!C804),#N/A,'[1]Точность устьев скважин'!C804)</f>
        <v>#N/A</v>
      </c>
      <c r="D802" t="e">
        <f>IF(ISBLANK('[1]Точность устьев скважин'!D804),#N/A,'[1]Точность устьев скважин'!D804)</f>
        <v>#N/A</v>
      </c>
      <c r="G802" t="e">
        <f>IF(ISBLANK('[1]Точность устьев скважин'!H804),#N/A,'[1]Точность устьев скважин'!H804)</f>
        <v>#N/A</v>
      </c>
      <c r="H802" t="e">
        <f>IF(ISBLANK('[1]Точность устьев скважин'!I804),#N/A,'[1]Точность устьев скважин'!I804)</f>
        <v>#N/A</v>
      </c>
      <c r="I802" t="e">
        <f>IF(ISBLANK('[1]Точность устьев скважин'!J804),#N/A,'[1]Точность устьев скважин'!J804)</f>
        <v>#N/A</v>
      </c>
      <c r="J802" t="e">
        <f>IF(ISBLANK('[1]Точность устьев скважин'!K804),#N/A,'[1]Точность устьев скважин'!K804)</f>
        <v>#N/A</v>
      </c>
      <c r="L802" s="63" t="e">
        <f t="shared" si="91"/>
        <v>#N/A</v>
      </c>
      <c r="O802" t="e">
        <f t="shared" si="85"/>
        <v>#N/A</v>
      </c>
      <c r="P802" t="e">
        <f t="shared" si="85"/>
        <v>#N/A</v>
      </c>
      <c r="Q802" t="e">
        <f t="shared" si="86"/>
        <v>#N/A</v>
      </c>
      <c r="R802" t="e">
        <f t="shared" si="86"/>
        <v>#N/A</v>
      </c>
      <c r="S802" t="e">
        <f t="shared" si="87"/>
        <v>#N/A</v>
      </c>
      <c r="T802" t="e">
        <f t="shared" si="87"/>
        <v>#N/A</v>
      </c>
      <c r="U802" t="e">
        <f t="shared" si="88"/>
        <v>#N/A</v>
      </c>
      <c r="V802" t="e">
        <f t="shared" si="88"/>
        <v>#N/A</v>
      </c>
      <c r="W802" t="e">
        <f t="shared" si="89"/>
        <v>#N/A</v>
      </c>
      <c r="X802" t="e">
        <f t="shared" si="89"/>
        <v>#N/A</v>
      </c>
      <c r="Y802" t="e">
        <f t="shared" si="90"/>
        <v>#N/A</v>
      </c>
      <c r="Z802" t="e">
        <f t="shared" si="90"/>
        <v>#N/A</v>
      </c>
    </row>
    <row r="803" spans="1:26">
      <c r="A803" t="e">
        <f>IF(ISBLANK('[1]Точность устьев скважин'!A805),#N/A,'[1]Точность устьев скважин'!A805)</f>
        <v>#N/A</v>
      </c>
      <c r="B803" t="e">
        <f>IF(ISBLANK('[1]Точность устьев скважин'!B805),#N/A,'[1]Точность устьев скважин'!B805)</f>
        <v>#N/A</v>
      </c>
      <c r="C803" t="e">
        <f>IF(ISBLANK('[1]Точность устьев скважин'!C805),#N/A,'[1]Точность устьев скважин'!C805)</f>
        <v>#N/A</v>
      </c>
      <c r="D803" t="e">
        <f>IF(ISBLANK('[1]Точность устьев скважин'!D805),#N/A,'[1]Точность устьев скважин'!D805)</f>
        <v>#N/A</v>
      </c>
      <c r="G803" t="e">
        <f>IF(ISBLANK('[1]Точность устьев скважин'!H805),#N/A,'[1]Точность устьев скважин'!H805)</f>
        <v>#N/A</v>
      </c>
      <c r="H803" t="e">
        <f>IF(ISBLANK('[1]Точность устьев скважин'!I805),#N/A,'[1]Точность устьев скважин'!I805)</f>
        <v>#N/A</v>
      </c>
      <c r="I803" t="e">
        <f>IF(ISBLANK('[1]Точность устьев скважин'!J805),#N/A,'[1]Точность устьев скважин'!J805)</f>
        <v>#N/A</v>
      </c>
      <c r="J803" t="e">
        <f>IF(ISBLANK('[1]Точность устьев скважин'!K805),#N/A,'[1]Точность устьев скважин'!K805)</f>
        <v>#N/A</v>
      </c>
      <c r="L803" s="63" t="e">
        <f t="shared" si="91"/>
        <v>#N/A</v>
      </c>
      <c r="O803" t="e">
        <f t="shared" si="85"/>
        <v>#N/A</v>
      </c>
      <c r="P803" t="e">
        <f t="shared" si="85"/>
        <v>#N/A</v>
      </c>
      <c r="Q803" t="e">
        <f t="shared" si="86"/>
        <v>#N/A</v>
      </c>
      <c r="R803" t="e">
        <f t="shared" si="86"/>
        <v>#N/A</v>
      </c>
      <c r="S803" t="e">
        <f t="shared" si="87"/>
        <v>#N/A</v>
      </c>
      <c r="T803" t="e">
        <f t="shared" si="87"/>
        <v>#N/A</v>
      </c>
      <c r="U803" t="e">
        <f t="shared" si="88"/>
        <v>#N/A</v>
      </c>
      <c r="V803" t="e">
        <f t="shared" si="88"/>
        <v>#N/A</v>
      </c>
      <c r="W803" t="e">
        <f t="shared" si="89"/>
        <v>#N/A</v>
      </c>
      <c r="X803" t="e">
        <f t="shared" si="89"/>
        <v>#N/A</v>
      </c>
      <c r="Y803" t="e">
        <f t="shared" si="90"/>
        <v>#N/A</v>
      </c>
      <c r="Z803" t="e">
        <f t="shared" si="90"/>
        <v>#N/A</v>
      </c>
    </row>
    <row r="804" spans="1:26">
      <c r="A804" t="e">
        <f>IF(ISBLANK('[1]Точность устьев скважин'!A806),#N/A,'[1]Точность устьев скважин'!A806)</f>
        <v>#N/A</v>
      </c>
      <c r="B804" t="e">
        <f>IF(ISBLANK('[1]Точность устьев скважин'!B806),#N/A,'[1]Точность устьев скважин'!B806)</f>
        <v>#N/A</v>
      </c>
      <c r="C804" t="e">
        <f>IF(ISBLANK('[1]Точность устьев скважин'!C806),#N/A,'[1]Точность устьев скважин'!C806)</f>
        <v>#N/A</v>
      </c>
      <c r="D804" t="e">
        <f>IF(ISBLANK('[1]Точность устьев скважин'!D806),#N/A,'[1]Точность устьев скважин'!D806)</f>
        <v>#N/A</v>
      </c>
      <c r="G804" t="e">
        <f>IF(ISBLANK('[1]Точность устьев скважин'!H806),#N/A,'[1]Точность устьев скважин'!H806)</f>
        <v>#N/A</v>
      </c>
      <c r="H804" t="e">
        <f>IF(ISBLANK('[1]Точность устьев скважин'!I806),#N/A,'[1]Точность устьев скважин'!I806)</f>
        <v>#N/A</v>
      </c>
      <c r="I804" t="e">
        <f>IF(ISBLANK('[1]Точность устьев скважин'!J806),#N/A,'[1]Точность устьев скважин'!J806)</f>
        <v>#N/A</v>
      </c>
      <c r="J804" t="e">
        <f>IF(ISBLANK('[1]Точность устьев скважин'!K806),#N/A,'[1]Точность устьев скважин'!K806)</f>
        <v>#N/A</v>
      </c>
      <c r="L804" s="63" t="e">
        <f t="shared" si="91"/>
        <v>#N/A</v>
      </c>
      <c r="O804" t="e">
        <f t="shared" si="85"/>
        <v>#N/A</v>
      </c>
      <c r="P804" t="e">
        <f t="shared" si="85"/>
        <v>#N/A</v>
      </c>
      <c r="Q804" t="e">
        <f t="shared" si="86"/>
        <v>#N/A</v>
      </c>
      <c r="R804" t="e">
        <f t="shared" si="86"/>
        <v>#N/A</v>
      </c>
      <c r="S804" t="e">
        <f t="shared" si="87"/>
        <v>#N/A</v>
      </c>
      <c r="T804" t="e">
        <f t="shared" si="87"/>
        <v>#N/A</v>
      </c>
      <c r="U804" t="e">
        <f t="shared" si="88"/>
        <v>#N/A</v>
      </c>
      <c r="V804" t="e">
        <f t="shared" si="88"/>
        <v>#N/A</v>
      </c>
      <c r="W804" t="e">
        <f t="shared" si="89"/>
        <v>#N/A</v>
      </c>
      <c r="X804" t="e">
        <f t="shared" si="89"/>
        <v>#N/A</v>
      </c>
      <c r="Y804" t="e">
        <f t="shared" si="90"/>
        <v>#N/A</v>
      </c>
      <c r="Z804" t="e">
        <f t="shared" si="90"/>
        <v>#N/A</v>
      </c>
    </row>
    <row r="805" spans="1:26">
      <c r="A805" t="e">
        <f>IF(ISBLANK('[1]Точность устьев скважин'!A807),#N/A,'[1]Точность устьев скважин'!A807)</f>
        <v>#N/A</v>
      </c>
      <c r="B805" t="e">
        <f>IF(ISBLANK('[1]Точность устьев скважин'!B807),#N/A,'[1]Точность устьев скважин'!B807)</f>
        <v>#N/A</v>
      </c>
      <c r="C805" t="e">
        <f>IF(ISBLANK('[1]Точность устьев скважин'!C807),#N/A,'[1]Точность устьев скважин'!C807)</f>
        <v>#N/A</v>
      </c>
      <c r="D805" t="e">
        <f>IF(ISBLANK('[1]Точность устьев скважин'!D807),#N/A,'[1]Точность устьев скважин'!D807)</f>
        <v>#N/A</v>
      </c>
      <c r="G805" t="e">
        <f>IF(ISBLANK('[1]Точность устьев скважин'!H807),#N/A,'[1]Точность устьев скважин'!H807)</f>
        <v>#N/A</v>
      </c>
      <c r="H805" t="e">
        <f>IF(ISBLANK('[1]Точность устьев скважин'!I807),#N/A,'[1]Точность устьев скважин'!I807)</f>
        <v>#N/A</v>
      </c>
      <c r="I805" t="e">
        <f>IF(ISBLANK('[1]Точность устьев скважин'!J807),#N/A,'[1]Точность устьев скважин'!J807)</f>
        <v>#N/A</v>
      </c>
      <c r="J805" t="e">
        <f>IF(ISBLANK('[1]Точность устьев скважин'!K807),#N/A,'[1]Точность устьев скважин'!K807)</f>
        <v>#N/A</v>
      </c>
      <c r="L805" s="63" t="e">
        <f t="shared" si="91"/>
        <v>#N/A</v>
      </c>
      <c r="O805" t="e">
        <f t="shared" si="85"/>
        <v>#N/A</v>
      </c>
      <c r="P805" t="e">
        <f t="shared" si="85"/>
        <v>#N/A</v>
      </c>
      <c r="Q805" t="e">
        <f t="shared" si="86"/>
        <v>#N/A</v>
      </c>
      <c r="R805" t="e">
        <f t="shared" si="86"/>
        <v>#N/A</v>
      </c>
      <c r="S805" t="e">
        <f t="shared" si="87"/>
        <v>#N/A</v>
      </c>
      <c r="T805" t="e">
        <f t="shared" si="87"/>
        <v>#N/A</v>
      </c>
      <c r="U805" t="e">
        <f t="shared" si="88"/>
        <v>#N/A</v>
      </c>
      <c r="V805" t="e">
        <f t="shared" si="88"/>
        <v>#N/A</v>
      </c>
      <c r="W805" t="e">
        <f t="shared" si="89"/>
        <v>#N/A</v>
      </c>
      <c r="X805" t="e">
        <f t="shared" si="89"/>
        <v>#N/A</v>
      </c>
      <c r="Y805" t="e">
        <f t="shared" si="90"/>
        <v>#N/A</v>
      </c>
      <c r="Z805" t="e">
        <f t="shared" si="90"/>
        <v>#N/A</v>
      </c>
    </row>
    <row r="806" spans="1:26">
      <c r="A806" t="e">
        <f>IF(ISBLANK('[1]Точность устьев скважин'!A808),#N/A,'[1]Точность устьев скважин'!A808)</f>
        <v>#N/A</v>
      </c>
      <c r="B806" t="e">
        <f>IF(ISBLANK('[1]Точность устьев скважин'!B808),#N/A,'[1]Точность устьев скважин'!B808)</f>
        <v>#N/A</v>
      </c>
      <c r="C806" t="e">
        <f>IF(ISBLANK('[1]Точность устьев скважин'!C808),#N/A,'[1]Точность устьев скважин'!C808)</f>
        <v>#N/A</v>
      </c>
      <c r="D806" t="e">
        <f>IF(ISBLANK('[1]Точность устьев скважин'!D808),#N/A,'[1]Точность устьев скважин'!D808)</f>
        <v>#N/A</v>
      </c>
      <c r="G806" t="e">
        <f>IF(ISBLANK('[1]Точность устьев скважин'!H808),#N/A,'[1]Точность устьев скважин'!H808)</f>
        <v>#N/A</v>
      </c>
      <c r="H806" t="e">
        <f>IF(ISBLANK('[1]Точность устьев скважин'!I808),#N/A,'[1]Точность устьев скважин'!I808)</f>
        <v>#N/A</v>
      </c>
      <c r="I806" t="e">
        <f>IF(ISBLANK('[1]Точность устьев скважин'!J808),#N/A,'[1]Точность устьев скважин'!J808)</f>
        <v>#N/A</v>
      </c>
      <c r="J806" t="e">
        <f>IF(ISBLANK('[1]Точность устьев скважин'!K808),#N/A,'[1]Точность устьев скважин'!K808)</f>
        <v>#N/A</v>
      </c>
      <c r="L806" s="63" t="e">
        <f t="shared" si="91"/>
        <v>#N/A</v>
      </c>
      <c r="O806" t="e">
        <f t="shared" si="85"/>
        <v>#N/A</v>
      </c>
      <c r="P806" t="e">
        <f t="shared" si="85"/>
        <v>#N/A</v>
      </c>
      <c r="Q806" t="e">
        <f t="shared" si="86"/>
        <v>#N/A</v>
      </c>
      <c r="R806" t="e">
        <f t="shared" si="86"/>
        <v>#N/A</v>
      </c>
      <c r="S806" t="e">
        <f t="shared" si="87"/>
        <v>#N/A</v>
      </c>
      <c r="T806" t="e">
        <f t="shared" si="87"/>
        <v>#N/A</v>
      </c>
      <c r="U806" t="e">
        <f t="shared" si="88"/>
        <v>#N/A</v>
      </c>
      <c r="V806" t="e">
        <f t="shared" si="88"/>
        <v>#N/A</v>
      </c>
      <c r="W806" t="e">
        <f t="shared" si="89"/>
        <v>#N/A</v>
      </c>
      <c r="X806" t="e">
        <f t="shared" si="89"/>
        <v>#N/A</v>
      </c>
      <c r="Y806" t="e">
        <f t="shared" si="90"/>
        <v>#N/A</v>
      </c>
      <c r="Z806" t="e">
        <f t="shared" si="90"/>
        <v>#N/A</v>
      </c>
    </row>
    <row r="807" spans="1:26">
      <c r="A807" t="e">
        <f>IF(ISBLANK('[1]Точность устьев скважин'!A809),#N/A,'[1]Точность устьев скважин'!A809)</f>
        <v>#N/A</v>
      </c>
      <c r="B807" t="e">
        <f>IF(ISBLANK('[1]Точность устьев скважин'!B809),#N/A,'[1]Точность устьев скважин'!B809)</f>
        <v>#N/A</v>
      </c>
      <c r="C807" t="e">
        <f>IF(ISBLANK('[1]Точность устьев скважин'!C809),#N/A,'[1]Точность устьев скважин'!C809)</f>
        <v>#N/A</v>
      </c>
      <c r="D807" t="e">
        <f>IF(ISBLANK('[1]Точность устьев скважин'!D809),#N/A,'[1]Точность устьев скважин'!D809)</f>
        <v>#N/A</v>
      </c>
      <c r="G807" t="e">
        <f>IF(ISBLANK('[1]Точность устьев скважин'!H809),#N/A,'[1]Точность устьев скважин'!H809)</f>
        <v>#N/A</v>
      </c>
      <c r="H807" t="e">
        <f>IF(ISBLANK('[1]Точность устьев скважин'!I809),#N/A,'[1]Точность устьев скважин'!I809)</f>
        <v>#N/A</v>
      </c>
      <c r="I807" t="e">
        <f>IF(ISBLANK('[1]Точность устьев скважин'!J809),#N/A,'[1]Точность устьев скважин'!J809)</f>
        <v>#N/A</v>
      </c>
      <c r="J807" t="e">
        <f>IF(ISBLANK('[1]Точность устьев скважин'!K809),#N/A,'[1]Точность устьев скважин'!K809)</f>
        <v>#N/A</v>
      </c>
      <c r="L807" s="63" t="e">
        <f t="shared" si="91"/>
        <v>#N/A</v>
      </c>
      <c r="O807" t="e">
        <f t="shared" si="85"/>
        <v>#N/A</v>
      </c>
      <c r="P807" t="e">
        <f t="shared" si="85"/>
        <v>#N/A</v>
      </c>
      <c r="Q807" t="e">
        <f t="shared" si="86"/>
        <v>#N/A</v>
      </c>
      <c r="R807" t="e">
        <f t="shared" si="86"/>
        <v>#N/A</v>
      </c>
      <c r="S807" t="e">
        <f t="shared" si="87"/>
        <v>#N/A</v>
      </c>
      <c r="T807" t="e">
        <f t="shared" si="87"/>
        <v>#N/A</v>
      </c>
      <c r="U807" t="e">
        <f t="shared" si="88"/>
        <v>#N/A</v>
      </c>
      <c r="V807" t="e">
        <f t="shared" si="88"/>
        <v>#N/A</v>
      </c>
      <c r="W807" t="e">
        <f t="shared" si="89"/>
        <v>#N/A</v>
      </c>
      <c r="X807" t="e">
        <f t="shared" si="89"/>
        <v>#N/A</v>
      </c>
      <c r="Y807" t="e">
        <f t="shared" si="90"/>
        <v>#N/A</v>
      </c>
      <c r="Z807" t="e">
        <f t="shared" si="90"/>
        <v>#N/A</v>
      </c>
    </row>
    <row r="808" spans="1:26">
      <c r="A808" t="e">
        <f>IF(ISBLANK('[1]Точность устьев скважин'!A810),#N/A,'[1]Точность устьев скважин'!A810)</f>
        <v>#N/A</v>
      </c>
      <c r="B808" t="e">
        <f>IF(ISBLANK('[1]Точность устьев скважин'!B810),#N/A,'[1]Точность устьев скважин'!B810)</f>
        <v>#N/A</v>
      </c>
      <c r="C808" t="e">
        <f>IF(ISBLANK('[1]Точность устьев скважин'!C810),#N/A,'[1]Точность устьев скважин'!C810)</f>
        <v>#N/A</v>
      </c>
      <c r="D808" t="e">
        <f>IF(ISBLANK('[1]Точность устьев скважин'!D810),#N/A,'[1]Точность устьев скважин'!D810)</f>
        <v>#N/A</v>
      </c>
      <c r="G808" t="e">
        <f>IF(ISBLANK('[1]Точность устьев скважин'!H810),#N/A,'[1]Точность устьев скважин'!H810)</f>
        <v>#N/A</v>
      </c>
      <c r="H808" t="e">
        <f>IF(ISBLANK('[1]Точность устьев скважин'!I810),#N/A,'[1]Точность устьев скважин'!I810)</f>
        <v>#N/A</v>
      </c>
      <c r="I808" t="e">
        <f>IF(ISBLANK('[1]Точность устьев скважин'!J810),#N/A,'[1]Точность устьев скважин'!J810)</f>
        <v>#N/A</v>
      </c>
      <c r="J808" t="e">
        <f>IF(ISBLANK('[1]Точность устьев скважин'!K810),#N/A,'[1]Точность устьев скважин'!K810)</f>
        <v>#N/A</v>
      </c>
      <c r="L808" s="63" t="e">
        <f t="shared" si="91"/>
        <v>#N/A</v>
      </c>
      <c r="O808" t="e">
        <f t="shared" si="85"/>
        <v>#N/A</v>
      </c>
      <c r="P808" t="e">
        <f t="shared" si="85"/>
        <v>#N/A</v>
      </c>
      <c r="Q808" t="e">
        <f t="shared" si="86"/>
        <v>#N/A</v>
      </c>
      <c r="R808" t="e">
        <f t="shared" si="86"/>
        <v>#N/A</v>
      </c>
      <c r="S808" t="e">
        <f t="shared" si="87"/>
        <v>#N/A</v>
      </c>
      <c r="T808" t="e">
        <f t="shared" si="87"/>
        <v>#N/A</v>
      </c>
      <c r="U808" t="e">
        <f t="shared" si="88"/>
        <v>#N/A</v>
      </c>
      <c r="V808" t="e">
        <f t="shared" si="88"/>
        <v>#N/A</v>
      </c>
      <c r="W808" t="e">
        <f t="shared" si="89"/>
        <v>#N/A</v>
      </c>
      <c r="X808" t="e">
        <f t="shared" si="89"/>
        <v>#N/A</v>
      </c>
      <c r="Y808" t="e">
        <f t="shared" si="90"/>
        <v>#N/A</v>
      </c>
      <c r="Z808" t="e">
        <f t="shared" si="90"/>
        <v>#N/A</v>
      </c>
    </row>
    <row r="809" spans="1:26">
      <c r="A809" t="e">
        <f>IF(ISBLANK('[1]Точность устьев скважин'!A811),#N/A,'[1]Точность устьев скважин'!A811)</f>
        <v>#N/A</v>
      </c>
      <c r="B809" t="e">
        <f>IF(ISBLANK('[1]Точность устьев скважин'!B811),#N/A,'[1]Точность устьев скважин'!B811)</f>
        <v>#N/A</v>
      </c>
      <c r="C809" t="e">
        <f>IF(ISBLANK('[1]Точность устьев скважин'!C811),#N/A,'[1]Точность устьев скважин'!C811)</f>
        <v>#N/A</v>
      </c>
      <c r="D809" t="e">
        <f>IF(ISBLANK('[1]Точность устьев скважин'!D811),#N/A,'[1]Точность устьев скважин'!D811)</f>
        <v>#N/A</v>
      </c>
      <c r="G809" t="e">
        <f>IF(ISBLANK('[1]Точность устьев скважин'!H811),#N/A,'[1]Точность устьев скважин'!H811)</f>
        <v>#N/A</v>
      </c>
      <c r="H809" t="e">
        <f>IF(ISBLANK('[1]Точность устьев скважин'!I811),#N/A,'[1]Точность устьев скважин'!I811)</f>
        <v>#N/A</v>
      </c>
      <c r="I809" t="e">
        <f>IF(ISBLANK('[1]Точность устьев скважин'!J811),#N/A,'[1]Точность устьев скважин'!J811)</f>
        <v>#N/A</v>
      </c>
      <c r="J809" t="e">
        <f>IF(ISBLANK('[1]Точность устьев скважин'!K811),#N/A,'[1]Точность устьев скважин'!K811)</f>
        <v>#N/A</v>
      </c>
      <c r="L809" s="63" t="e">
        <f t="shared" si="91"/>
        <v>#N/A</v>
      </c>
      <c r="O809" t="e">
        <f t="shared" ref="O809:P850" si="92">IF($L$1=0.5,IF(AND($L809&gt;0,$L809&lt;0.1),H809,#N/A),"")</f>
        <v>#N/A</v>
      </c>
      <c r="P809" t="e">
        <f t="shared" si="92"/>
        <v>#N/A</v>
      </c>
      <c r="Q809" t="e">
        <f t="shared" ref="Q809:R850" si="93">IF($L$1=0.5,IF(AND($L809&gt;=0.1,$L809&lt;0.2),H809,#N/A),"")</f>
        <v>#N/A</v>
      </c>
      <c r="R809" t="e">
        <f t="shared" si="93"/>
        <v>#N/A</v>
      </c>
      <c r="S809" t="e">
        <f t="shared" ref="S809:T850" si="94">IF($L$1=0.5,IF(AND($L809&gt;=0.2,$L809&lt;0.3),H809,#N/A),"")</f>
        <v>#N/A</v>
      </c>
      <c r="T809" t="e">
        <f t="shared" si="94"/>
        <v>#N/A</v>
      </c>
      <c r="U809" t="e">
        <f t="shared" ref="U809:V850" si="95">IF($L$1=0.5,IF(AND($L809&gt;=0.3,$L809&lt;0.4),H809,#N/A),"")</f>
        <v>#N/A</v>
      </c>
      <c r="V809" t="e">
        <f t="shared" si="95"/>
        <v>#N/A</v>
      </c>
      <c r="W809" t="e">
        <f t="shared" ref="W809:X850" si="96">IF($L$1=0.5,IF(AND($L809&gt;=0.4,$L809&lt;0.5),H809,#N/A),"")</f>
        <v>#N/A</v>
      </c>
      <c r="X809" t="e">
        <f t="shared" si="96"/>
        <v>#N/A</v>
      </c>
      <c r="Y809" t="e">
        <f t="shared" si="90"/>
        <v>#N/A</v>
      </c>
      <c r="Z809" t="e">
        <f t="shared" si="90"/>
        <v>#N/A</v>
      </c>
    </row>
    <row r="810" spans="1:26">
      <c r="A810" t="e">
        <f>IF(ISBLANK('[1]Точность устьев скважин'!A812),#N/A,'[1]Точность устьев скважин'!A812)</f>
        <v>#N/A</v>
      </c>
      <c r="B810" t="e">
        <f>IF(ISBLANK('[1]Точность устьев скважин'!B812),#N/A,'[1]Точность устьев скважин'!B812)</f>
        <v>#N/A</v>
      </c>
      <c r="C810" t="e">
        <f>IF(ISBLANK('[1]Точность устьев скважин'!C812),#N/A,'[1]Точность устьев скважин'!C812)</f>
        <v>#N/A</v>
      </c>
      <c r="D810" t="e">
        <f>IF(ISBLANK('[1]Точность устьев скважин'!D812),#N/A,'[1]Точность устьев скважин'!D812)</f>
        <v>#N/A</v>
      </c>
      <c r="G810" t="e">
        <f>IF(ISBLANK('[1]Точность устьев скважин'!H812),#N/A,'[1]Точность устьев скважин'!H812)</f>
        <v>#N/A</v>
      </c>
      <c r="H810" t="e">
        <f>IF(ISBLANK('[1]Точность устьев скважин'!I812),#N/A,'[1]Точность устьев скважин'!I812)</f>
        <v>#N/A</v>
      </c>
      <c r="I810" t="e">
        <f>IF(ISBLANK('[1]Точность устьев скважин'!J812),#N/A,'[1]Точность устьев скважин'!J812)</f>
        <v>#N/A</v>
      </c>
      <c r="J810" t="e">
        <f>IF(ISBLANK('[1]Точность устьев скважин'!K812),#N/A,'[1]Точность устьев скважин'!K812)</f>
        <v>#N/A</v>
      </c>
      <c r="L810" s="63" t="e">
        <f t="shared" si="91"/>
        <v>#N/A</v>
      </c>
      <c r="O810" t="e">
        <f t="shared" si="92"/>
        <v>#N/A</v>
      </c>
      <c r="P810" t="e">
        <f t="shared" si="92"/>
        <v>#N/A</v>
      </c>
      <c r="Q810" t="e">
        <f t="shared" si="93"/>
        <v>#N/A</v>
      </c>
      <c r="R810" t="e">
        <f t="shared" si="93"/>
        <v>#N/A</v>
      </c>
      <c r="S810" t="e">
        <f t="shared" si="94"/>
        <v>#N/A</v>
      </c>
      <c r="T810" t="e">
        <f t="shared" si="94"/>
        <v>#N/A</v>
      </c>
      <c r="U810" t="e">
        <f t="shared" si="95"/>
        <v>#N/A</v>
      </c>
      <c r="V810" t="e">
        <f t="shared" si="95"/>
        <v>#N/A</v>
      </c>
      <c r="W810" t="e">
        <f t="shared" si="96"/>
        <v>#N/A</v>
      </c>
      <c r="X810" t="e">
        <f t="shared" si="96"/>
        <v>#N/A</v>
      </c>
      <c r="Y810" t="e">
        <f t="shared" si="90"/>
        <v>#N/A</v>
      </c>
      <c r="Z810" t="e">
        <f t="shared" si="90"/>
        <v>#N/A</v>
      </c>
    </row>
    <row r="811" spans="1:26">
      <c r="A811" t="e">
        <f>IF(ISBLANK('[1]Точность устьев скважин'!A813),#N/A,'[1]Точность устьев скважин'!A813)</f>
        <v>#N/A</v>
      </c>
      <c r="B811" t="e">
        <f>IF(ISBLANK('[1]Точность устьев скважин'!B813),#N/A,'[1]Точность устьев скважин'!B813)</f>
        <v>#N/A</v>
      </c>
      <c r="C811" t="e">
        <f>IF(ISBLANK('[1]Точность устьев скважин'!C813),#N/A,'[1]Точность устьев скважин'!C813)</f>
        <v>#N/A</v>
      </c>
      <c r="D811" t="e">
        <f>IF(ISBLANK('[1]Точность устьев скважин'!D813),#N/A,'[1]Точность устьев скважин'!D813)</f>
        <v>#N/A</v>
      </c>
      <c r="G811" t="e">
        <f>IF(ISBLANK('[1]Точность устьев скважин'!H813),#N/A,'[1]Точность устьев скважин'!H813)</f>
        <v>#N/A</v>
      </c>
      <c r="H811" t="e">
        <f>IF(ISBLANK('[1]Точность устьев скважин'!I813),#N/A,'[1]Точность устьев скважин'!I813)</f>
        <v>#N/A</v>
      </c>
      <c r="I811" t="e">
        <f>IF(ISBLANK('[1]Точность устьев скважин'!J813),#N/A,'[1]Точность устьев скважин'!J813)</f>
        <v>#N/A</v>
      </c>
      <c r="J811" t="e">
        <f>IF(ISBLANK('[1]Точность устьев скважин'!K813),#N/A,'[1]Точность устьев скважин'!K813)</f>
        <v>#N/A</v>
      </c>
      <c r="L811" s="63" t="e">
        <f t="shared" si="91"/>
        <v>#N/A</v>
      </c>
      <c r="O811" t="e">
        <f t="shared" si="92"/>
        <v>#N/A</v>
      </c>
      <c r="P811" t="e">
        <f t="shared" si="92"/>
        <v>#N/A</v>
      </c>
      <c r="Q811" t="e">
        <f t="shared" si="93"/>
        <v>#N/A</v>
      </c>
      <c r="R811" t="e">
        <f t="shared" si="93"/>
        <v>#N/A</v>
      </c>
      <c r="S811" t="e">
        <f t="shared" si="94"/>
        <v>#N/A</v>
      </c>
      <c r="T811" t="e">
        <f t="shared" si="94"/>
        <v>#N/A</v>
      </c>
      <c r="U811" t="e">
        <f t="shared" si="95"/>
        <v>#N/A</v>
      </c>
      <c r="V811" t="e">
        <f t="shared" si="95"/>
        <v>#N/A</v>
      </c>
      <c r="W811" t="e">
        <f t="shared" si="96"/>
        <v>#N/A</v>
      </c>
      <c r="X811" t="e">
        <f t="shared" si="96"/>
        <v>#N/A</v>
      </c>
      <c r="Y811" t="e">
        <f t="shared" si="90"/>
        <v>#N/A</v>
      </c>
      <c r="Z811" t="e">
        <f t="shared" si="90"/>
        <v>#N/A</v>
      </c>
    </row>
    <row r="812" spans="1:26">
      <c r="A812" t="e">
        <f>IF(ISBLANK('[1]Точность устьев скважин'!A814),#N/A,'[1]Точность устьев скважин'!A814)</f>
        <v>#N/A</v>
      </c>
      <c r="B812" t="e">
        <f>IF(ISBLANK('[1]Точность устьев скважин'!B814),#N/A,'[1]Точность устьев скважин'!B814)</f>
        <v>#N/A</v>
      </c>
      <c r="C812" t="e">
        <f>IF(ISBLANK('[1]Точность устьев скважин'!C814),#N/A,'[1]Точность устьев скважин'!C814)</f>
        <v>#N/A</v>
      </c>
      <c r="D812" t="e">
        <f>IF(ISBLANK('[1]Точность устьев скважин'!D814),#N/A,'[1]Точность устьев скважин'!D814)</f>
        <v>#N/A</v>
      </c>
      <c r="G812" t="e">
        <f>IF(ISBLANK('[1]Точность устьев скважин'!H814),#N/A,'[1]Точность устьев скважин'!H814)</f>
        <v>#N/A</v>
      </c>
      <c r="H812" t="e">
        <f>IF(ISBLANK('[1]Точность устьев скважин'!I814),#N/A,'[1]Точность устьев скважин'!I814)</f>
        <v>#N/A</v>
      </c>
      <c r="I812" t="e">
        <f>IF(ISBLANK('[1]Точность устьев скважин'!J814),#N/A,'[1]Точность устьев скважин'!J814)</f>
        <v>#N/A</v>
      </c>
      <c r="J812" t="e">
        <f>IF(ISBLANK('[1]Точность устьев скважин'!K814),#N/A,'[1]Точность устьев скважин'!K814)</f>
        <v>#N/A</v>
      </c>
      <c r="L812" s="63" t="e">
        <f t="shared" si="91"/>
        <v>#N/A</v>
      </c>
      <c r="O812" t="e">
        <f t="shared" si="92"/>
        <v>#N/A</v>
      </c>
      <c r="P812" t="e">
        <f t="shared" si="92"/>
        <v>#N/A</v>
      </c>
      <c r="Q812" t="e">
        <f t="shared" si="93"/>
        <v>#N/A</v>
      </c>
      <c r="R812" t="e">
        <f t="shared" si="93"/>
        <v>#N/A</v>
      </c>
      <c r="S812" t="e">
        <f t="shared" si="94"/>
        <v>#N/A</v>
      </c>
      <c r="T812" t="e">
        <f t="shared" si="94"/>
        <v>#N/A</v>
      </c>
      <c r="U812" t="e">
        <f t="shared" si="95"/>
        <v>#N/A</v>
      </c>
      <c r="V812" t="e">
        <f t="shared" si="95"/>
        <v>#N/A</v>
      </c>
      <c r="W812" t="e">
        <f t="shared" si="96"/>
        <v>#N/A</v>
      </c>
      <c r="X812" t="e">
        <f t="shared" si="96"/>
        <v>#N/A</v>
      </c>
      <c r="Y812" t="e">
        <f t="shared" si="90"/>
        <v>#N/A</v>
      </c>
      <c r="Z812" t="e">
        <f t="shared" si="90"/>
        <v>#N/A</v>
      </c>
    </row>
    <row r="813" spans="1:26">
      <c r="A813" t="e">
        <f>IF(ISBLANK('[1]Точность устьев скважин'!A815),#N/A,'[1]Точность устьев скважин'!A815)</f>
        <v>#N/A</v>
      </c>
      <c r="B813" t="e">
        <f>IF(ISBLANK('[1]Точность устьев скважин'!B815),#N/A,'[1]Точность устьев скважин'!B815)</f>
        <v>#N/A</v>
      </c>
      <c r="C813" t="e">
        <f>IF(ISBLANK('[1]Точность устьев скважин'!C815),#N/A,'[1]Точность устьев скважин'!C815)</f>
        <v>#N/A</v>
      </c>
      <c r="D813" t="e">
        <f>IF(ISBLANK('[1]Точность устьев скважин'!D815),#N/A,'[1]Точность устьев скважин'!D815)</f>
        <v>#N/A</v>
      </c>
      <c r="G813" t="e">
        <f>IF(ISBLANK('[1]Точность устьев скважин'!H815),#N/A,'[1]Точность устьев скважин'!H815)</f>
        <v>#N/A</v>
      </c>
      <c r="H813" t="e">
        <f>IF(ISBLANK('[1]Точность устьев скважин'!I815),#N/A,'[1]Точность устьев скважин'!I815)</f>
        <v>#N/A</v>
      </c>
      <c r="I813" t="e">
        <f>IF(ISBLANK('[1]Точность устьев скважин'!J815),#N/A,'[1]Точность устьев скважин'!J815)</f>
        <v>#N/A</v>
      </c>
      <c r="J813" t="e">
        <f>IF(ISBLANK('[1]Точность устьев скважин'!K815),#N/A,'[1]Точность устьев скважин'!K815)</f>
        <v>#N/A</v>
      </c>
      <c r="L813" s="63" t="e">
        <f t="shared" si="91"/>
        <v>#N/A</v>
      </c>
      <c r="O813" t="e">
        <f t="shared" si="92"/>
        <v>#N/A</v>
      </c>
      <c r="P813" t="e">
        <f t="shared" si="92"/>
        <v>#N/A</v>
      </c>
      <c r="Q813" t="e">
        <f t="shared" si="93"/>
        <v>#N/A</v>
      </c>
      <c r="R813" t="e">
        <f t="shared" si="93"/>
        <v>#N/A</v>
      </c>
      <c r="S813" t="e">
        <f t="shared" si="94"/>
        <v>#N/A</v>
      </c>
      <c r="T813" t="e">
        <f t="shared" si="94"/>
        <v>#N/A</v>
      </c>
      <c r="U813" t="e">
        <f t="shared" si="95"/>
        <v>#N/A</v>
      </c>
      <c r="V813" t="e">
        <f t="shared" si="95"/>
        <v>#N/A</v>
      </c>
      <c r="W813" t="e">
        <f t="shared" si="96"/>
        <v>#N/A</v>
      </c>
      <c r="X813" t="e">
        <f t="shared" si="96"/>
        <v>#N/A</v>
      </c>
      <c r="Y813" t="e">
        <f t="shared" si="90"/>
        <v>#N/A</v>
      </c>
      <c r="Z813" t="e">
        <f t="shared" si="90"/>
        <v>#N/A</v>
      </c>
    </row>
    <row r="814" spans="1:26">
      <c r="A814" t="e">
        <f>IF(ISBLANK('[1]Точность устьев скважин'!A816),#N/A,'[1]Точность устьев скважин'!A816)</f>
        <v>#N/A</v>
      </c>
      <c r="B814" t="e">
        <f>IF(ISBLANK('[1]Точность устьев скважин'!B816),#N/A,'[1]Точность устьев скважин'!B816)</f>
        <v>#N/A</v>
      </c>
      <c r="C814" t="e">
        <f>IF(ISBLANK('[1]Точность устьев скважин'!C816),#N/A,'[1]Точность устьев скважин'!C816)</f>
        <v>#N/A</v>
      </c>
      <c r="D814" t="e">
        <f>IF(ISBLANK('[1]Точность устьев скважин'!D816),#N/A,'[1]Точность устьев скважин'!D816)</f>
        <v>#N/A</v>
      </c>
      <c r="G814" t="e">
        <f>IF(ISBLANK('[1]Точность устьев скважин'!H816),#N/A,'[1]Точность устьев скважин'!H816)</f>
        <v>#N/A</v>
      </c>
      <c r="H814" t="e">
        <f>IF(ISBLANK('[1]Точность устьев скважин'!I816),#N/A,'[1]Точность устьев скважин'!I816)</f>
        <v>#N/A</v>
      </c>
      <c r="I814" t="e">
        <f>IF(ISBLANK('[1]Точность устьев скважин'!J816),#N/A,'[1]Точность устьев скважин'!J816)</f>
        <v>#N/A</v>
      </c>
      <c r="J814" t="e">
        <f>IF(ISBLANK('[1]Точность устьев скважин'!K816),#N/A,'[1]Точность устьев скважин'!K816)</f>
        <v>#N/A</v>
      </c>
      <c r="L814" s="63" t="e">
        <f t="shared" si="91"/>
        <v>#N/A</v>
      </c>
      <c r="O814" t="e">
        <f t="shared" si="92"/>
        <v>#N/A</v>
      </c>
      <c r="P814" t="e">
        <f t="shared" si="92"/>
        <v>#N/A</v>
      </c>
      <c r="Q814" t="e">
        <f t="shared" si="93"/>
        <v>#N/A</v>
      </c>
      <c r="R814" t="e">
        <f t="shared" si="93"/>
        <v>#N/A</v>
      </c>
      <c r="S814" t="e">
        <f t="shared" si="94"/>
        <v>#N/A</v>
      </c>
      <c r="T814" t="e">
        <f t="shared" si="94"/>
        <v>#N/A</v>
      </c>
      <c r="U814" t="e">
        <f t="shared" si="95"/>
        <v>#N/A</v>
      </c>
      <c r="V814" t="e">
        <f t="shared" si="95"/>
        <v>#N/A</v>
      </c>
      <c r="W814" t="e">
        <f t="shared" si="96"/>
        <v>#N/A</v>
      </c>
      <c r="X814" t="e">
        <f t="shared" si="96"/>
        <v>#N/A</v>
      </c>
      <c r="Y814" t="e">
        <f t="shared" si="90"/>
        <v>#N/A</v>
      </c>
      <c r="Z814" t="e">
        <f t="shared" si="90"/>
        <v>#N/A</v>
      </c>
    </row>
    <row r="815" spans="1:26">
      <c r="A815" t="e">
        <f>IF(ISBLANK('[1]Точность устьев скважин'!A817),#N/A,'[1]Точность устьев скважин'!A817)</f>
        <v>#N/A</v>
      </c>
      <c r="B815" t="e">
        <f>IF(ISBLANK('[1]Точность устьев скважин'!B817),#N/A,'[1]Точность устьев скважин'!B817)</f>
        <v>#N/A</v>
      </c>
      <c r="C815" t="e">
        <f>IF(ISBLANK('[1]Точность устьев скважин'!C817),#N/A,'[1]Точность устьев скважин'!C817)</f>
        <v>#N/A</v>
      </c>
      <c r="D815" t="e">
        <f>IF(ISBLANK('[1]Точность устьев скважин'!D817),#N/A,'[1]Точность устьев скважин'!D817)</f>
        <v>#N/A</v>
      </c>
      <c r="G815" t="e">
        <f>IF(ISBLANK('[1]Точность устьев скважин'!H817),#N/A,'[1]Точность устьев скважин'!H817)</f>
        <v>#N/A</v>
      </c>
      <c r="H815" t="e">
        <f>IF(ISBLANK('[1]Точность устьев скважин'!I817),#N/A,'[1]Точность устьев скважин'!I817)</f>
        <v>#N/A</v>
      </c>
      <c r="I815" t="e">
        <f>IF(ISBLANK('[1]Точность устьев скважин'!J817),#N/A,'[1]Точность устьев скважин'!J817)</f>
        <v>#N/A</v>
      </c>
      <c r="J815" t="e">
        <f>IF(ISBLANK('[1]Точность устьев скважин'!K817),#N/A,'[1]Точность устьев скважин'!K817)</f>
        <v>#N/A</v>
      </c>
      <c r="L815" s="63" t="e">
        <f t="shared" si="91"/>
        <v>#N/A</v>
      </c>
      <c r="O815" t="e">
        <f t="shared" si="92"/>
        <v>#N/A</v>
      </c>
      <c r="P815" t="e">
        <f t="shared" si="92"/>
        <v>#N/A</v>
      </c>
      <c r="Q815" t="e">
        <f t="shared" si="93"/>
        <v>#N/A</v>
      </c>
      <c r="R815" t="e">
        <f t="shared" si="93"/>
        <v>#N/A</v>
      </c>
      <c r="S815" t="e">
        <f t="shared" si="94"/>
        <v>#N/A</v>
      </c>
      <c r="T815" t="e">
        <f t="shared" si="94"/>
        <v>#N/A</v>
      </c>
      <c r="U815" t="e">
        <f t="shared" si="95"/>
        <v>#N/A</v>
      </c>
      <c r="V815" t="e">
        <f t="shared" si="95"/>
        <v>#N/A</v>
      </c>
      <c r="W815" t="e">
        <f t="shared" si="96"/>
        <v>#N/A</v>
      </c>
      <c r="X815" t="e">
        <f t="shared" si="96"/>
        <v>#N/A</v>
      </c>
      <c r="Y815" t="e">
        <f t="shared" si="90"/>
        <v>#N/A</v>
      </c>
      <c r="Z815" t="e">
        <f t="shared" si="90"/>
        <v>#N/A</v>
      </c>
    </row>
    <row r="816" spans="1:26">
      <c r="A816" t="e">
        <f>IF(ISBLANK('[1]Точность устьев скважин'!A818),#N/A,'[1]Точность устьев скважин'!A818)</f>
        <v>#N/A</v>
      </c>
      <c r="B816" t="e">
        <f>IF(ISBLANK('[1]Точность устьев скважин'!B818),#N/A,'[1]Точность устьев скважин'!B818)</f>
        <v>#N/A</v>
      </c>
      <c r="C816" t="e">
        <f>IF(ISBLANK('[1]Точность устьев скважин'!C818),#N/A,'[1]Точность устьев скважин'!C818)</f>
        <v>#N/A</v>
      </c>
      <c r="D816" t="e">
        <f>IF(ISBLANK('[1]Точность устьев скважин'!D818),#N/A,'[1]Точность устьев скважин'!D818)</f>
        <v>#N/A</v>
      </c>
      <c r="G816" t="e">
        <f>IF(ISBLANK('[1]Точность устьев скважин'!H818),#N/A,'[1]Точность устьев скважин'!H818)</f>
        <v>#N/A</v>
      </c>
      <c r="H816" t="e">
        <f>IF(ISBLANK('[1]Точность устьев скважин'!I818),#N/A,'[1]Точность устьев скважин'!I818)</f>
        <v>#N/A</v>
      </c>
      <c r="I816" t="e">
        <f>IF(ISBLANK('[1]Точность устьев скважин'!J818),#N/A,'[1]Точность устьев скважин'!J818)</f>
        <v>#N/A</v>
      </c>
      <c r="J816" t="e">
        <f>IF(ISBLANK('[1]Точность устьев скважин'!K818),#N/A,'[1]Точность устьев скважин'!K818)</f>
        <v>#N/A</v>
      </c>
      <c r="L816" s="63" t="e">
        <f t="shared" si="91"/>
        <v>#N/A</v>
      </c>
      <c r="O816" t="e">
        <f t="shared" si="92"/>
        <v>#N/A</v>
      </c>
      <c r="P816" t="e">
        <f t="shared" si="92"/>
        <v>#N/A</v>
      </c>
      <c r="Q816" t="e">
        <f t="shared" si="93"/>
        <v>#N/A</v>
      </c>
      <c r="R816" t="e">
        <f t="shared" si="93"/>
        <v>#N/A</v>
      </c>
      <c r="S816" t="e">
        <f t="shared" si="94"/>
        <v>#N/A</v>
      </c>
      <c r="T816" t="e">
        <f t="shared" si="94"/>
        <v>#N/A</v>
      </c>
      <c r="U816" t="e">
        <f t="shared" si="95"/>
        <v>#N/A</v>
      </c>
      <c r="V816" t="e">
        <f t="shared" si="95"/>
        <v>#N/A</v>
      </c>
      <c r="W816" t="e">
        <f t="shared" si="96"/>
        <v>#N/A</v>
      </c>
      <c r="X816" t="e">
        <f t="shared" si="96"/>
        <v>#N/A</v>
      </c>
      <c r="Y816" t="e">
        <f t="shared" si="90"/>
        <v>#N/A</v>
      </c>
      <c r="Z816" t="e">
        <f t="shared" si="90"/>
        <v>#N/A</v>
      </c>
    </row>
    <row r="817" spans="1:26">
      <c r="A817" t="e">
        <f>IF(ISBLANK('[1]Точность устьев скважин'!A819),#N/A,'[1]Точность устьев скважин'!A819)</f>
        <v>#N/A</v>
      </c>
      <c r="B817" t="e">
        <f>IF(ISBLANK('[1]Точность устьев скважин'!B819),#N/A,'[1]Точность устьев скважин'!B819)</f>
        <v>#N/A</v>
      </c>
      <c r="C817" t="e">
        <f>IF(ISBLANK('[1]Точность устьев скважин'!C819),#N/A,'[1]Точность устьев скважин'!C819)</f>
        <v>#N/A</v>
      </c>
      <c r="D817" t="e">
        <f>IF(ISBLANK('[1]Точность устьев скважин'!D819),#N/A,'[1]Точность устьев скважин'!D819)</f>
        <v>#N/A</v>
      </c>
      <c r="G817" t="e">
        <f>IF(ISBLANK('[1]Точность устьев скважин'!H819),#N/A,'[1]Точность устьев скважин'!H819)</f>
        <v>#N/A</v>
      </c>
      <c r="H817" t="e">
        <f>IF(ISBLANK('[1]Точность устьев скважин'!I819),#N/A,'[1]Точность устьев скважин'!I819)</f>
        <v>#N/A</v>
      </c>
      <c r="I817" t="e">
        <f>IF(ISBLANK('[1]Точность устьев скважин'!J819),#N/A,'[1]Точность устьев скважин'!J819)</f>
        <v>#N/A</v>
      </c>
      <c r="J817" t="e">
        <f>IF(ISBLANK('[1]Точность устьев скважин'!K819),#N/A,'[1]Точность устьев скважин'!K819)</f>
        <v>#N/A</v>
      </c>
      <c r="L817" s="63" t="e">
        <f t="shared" si="91"/>
        <v>#N/A</v>
      </c>
      <c r="O817" t="e">
        <f t="shared" si="92"/>
        <v>#N/A</v>
      </c>
      <c r="P817" t="e">
        <f t="shared" si="92"/>
        <v>#N/A</v>
      </c>
      <c r="Q817" t="e">
        <f t="shared" si="93"/>
        <v>#N/A</v>
      </c>
      <c r="R817" t="e">
        <f t="shared" si="93"/>
        <v>#N/A</v>
      </c>
      <c r="S817" t="e">
        <f t="shared" si="94"/>
        <v>#N/A</v>
      </c>
      <c r="T817" t="e">
        <f t="shared" si="94"/>
        <v>#N/A</v>
      </c>
      <c r="U817" t="e">
        <f t="shared" si="95"/>
        <v>#N/A</v>
      </c>
      <c r="V817" t="e">
        <f t="shared" si="95"/>
        <v>#N/A</v>
      </c>
      <c r="W817" t="e">
        <f t="shared" si="96"/>
        <v>#N/A</v>
      </c>
      <c r="X817" t="e">
        <f t="shared" si="96"/>
        <v>#N/A</v>
      </c>
      <c r="Y817" t="e">
        <f t="shared" si="90"/>
        <v>#N/A</v>
      </c>
      <c r="Z817" t="e">
        <f t="shared" si="90"/>
        <v>#N/A</v>
      </c>
    </row>
    <row r="818" spans="1:26">
      <c r="A818" t="e">
        <f>IF(ISBLANK('[1]Точность устьев скважин'!A820),#N/A,'[1]Точность устьев скважин'!A820)</f>
        <v>#N/A</v>
      </c>
      <c r="B818" t="e">
        <f>IF(ISBLANK('[1]Точность устьев скважин'!B820),#N/A,'[1]Точность устьев скважин'!B820)</f>
        <v>#N/A</v>
      </c>
      <c r="C818" t="e">
        <f>IF(ISBLANK('[1]Точность устьев скважин'!C820),#N/A,'[1]Точность устьев скважин'!C820)</f>
        <v>#N/A</v>
      </c>
      <c r="D818" t="e">
        <f>IF(ISBLANK('[1]Точность устьев скважин'!D820),#N/A,'[1]Точность устьев скважин'!D820)</f>
        <v>#N/A</v>
      </c>
      <c r="G818" t="e">
        <f>IF(ISBLANK('[1]Точность устьев скважин'!H820),#N/A,'[1]Точность устьев скважин'!H820)</f>
        <v>#N/A</v>
      </c>
      <c r="H818" t="e">
        <f>IF(ISBLANK('[1]Точность устьев скважин'!I820),#N/A,'[1]Точность устьев скважин'!I820)</f>
        <v>#N/A</v>
      </c>
      <c r="I818" t="e">
        <f>IF(ISBLANK('[1]Точность устьев скважин'!J820),#N/A,'[1]Точность устьев скважин'!J820)</f>
        <v>#N/A</v>
      </c>
      <c r="J818" t="e">
        <f>IF(ISBLANK('[1]Точность устьев скважин'!K820),#N/A,'[1]Точность устьев скважин'!K820)</f>
        <v>#N/A</v>
      </c>
      <c r="L818" s="63" t="e">
        <f t="shared" si="91"/>
        <v>#N/A</v>
      </c>
      <c r="O818" t="e">
        <f t="shared" si="92"/>
        <v>#N/A</v>
      </c>
      <c r="P818" t="e">
        <f t="shared" si="92"/>
        <v>#N/A</v>
      </c>
      <c r="Q818" t="e">
        <f t="shared" si="93"/>
        <v>#N/A</v>
      </c>
      <c r="R818" t="e">
        <f t="shared" si="93"/>
        <v>#N/A</v>
      </c>
      <c r="S818" t="e">
        <f t="shared" si="94"/>
        <v>#N/A</v>
      </c>
      <c r="T818" t="e">
        <f t="shared" si="94"/>
        <v>#N/A</v>
      </c>
      <c r="U818" t="e">
        <f t="shared" si="95"/>
        <v>#N/A</v>
      </c>
      <c r="V818" t="e">
        <f t="shared" si="95"/>
        <v>#N/A</v>
      </c>
      <c r="W818" t="e">
        <f t="shared" si="96"/>
        <v>#N/A</v>
      </c>
      <c r="X818" t="e">
        <f t="shared" si="96"/>
        <v>#N/A</v>
      </c>
      <c r="Y818" t="e">
        <f t="shared" si="90"/>
        <v>#N/A</v>
      </c>
      <c r="Z818" t="e">
        <f t="shared" si="90"/>
        <v>#N/A</v>
      </c>
    </row>
    <row r="819" spans="1:26">
      <c r="A819" t="e">
        <f>IF(ISBLANK('[1]Точность устьев скважин'!A821),#N/A,'[1]Точность устьев скважин'!A821)</f>
        <v>#N/A</v>
      </c>
      <c r="B819" t="e">
        <f>IF(ISBLANK('[1]Точность устьев скважин'!B821),#N/A,'[1]Точность устьев скважин'!B821)</f>
        <v>#N/A</v>
      </c>
      <c r="C819" t="e">
        <f>IF(ISBLANK('[1]Точность устьев скважин'!C821),#N/A,'[1]Точность устьев скважин'!C821)</f>
        <v>#N/A</v>
      </c>
      <c r="D819" t="e">
        <f>IF(ISBLANK('[1]Точность устьев скважин'!D821),#N/A,'[1]Точность устьев скважин'!D821)</f>
        <v>#N/A</v>
      </c>
      <c r="G819" t="e">
        <f>IF(ISBLANK('[1]Точность устьев скважин'!H821),#N/A,'[1]Точность устьев скважин'!H821)</f>
        <v>#N/A</v>
      </c>
      <c r="H819" t="e">
        <f>IF(ISBLANK('[1]Точность устьев скважин'!I821),#N/A,'[1]Точность устьев скважин'!I821)</f>
        <v>#N/A</v>
      </c>
      <c r="I819" t="e">
        <f>IF(ISBLANK('[1]Точность устьев скважин'!J821),#N/A,'[1]Точность устьев скважин'!J821)</f>
        <v>#N/A</v>
      </c>
      <c r="J819" t="e">
        <f>IF(ISBLANK('[1]Точность устьев скважин'!K821),#N/A,'[1]Точность устьев скважин'!K821)</f>
        <v>#N/A</v>
      </c>
      <c r="L819" s="63" t="e">
        <f t="shared" si="91"/>
        <v>#N/A</v>
      </c>
      <c r="O819" t="e">
        <f t="shared" si="92"/>
        <v>#N/A</v>
      </c>
      <c r="P819" t="e">
        <f t="shared" si="92"/>
        <v>#N/A</v>
      </c>
      <c r="Q819" t="e">
        <f t="shared" si="93"/>
        <v>#N/A</v>
      </c>
      <c r="R819" t="e">
        <f t="shared" si="93"/>
        <v>#N/A</v>
      </c>
      <c r="S819" t="e">
        <f t="shared" si="94"/>
        <v>#N/A</v>
      </c>
      <c r="T819" t="e">
        <f t="shared" si="94"/>
        <v>#N/A</v>
      </c>
      <c r="U819" t="e">
        <f t="shared" si="95"/>
        <v>#N/A</v>
      </c>
      <c r="V819" t="e">
        <f t="shared" si="95"/>
        <v>#N/A</v>
      </c>
      <c r="W819" t="e">
        <f t="shared" si="96"/>
        <v>#N/A</v>
      </c>
      <c r="X819" t="e">
        <f t="shared" si="96"/>
        <v>#N/A</v>
      </c>
      <c r="Y819" t="e">
        <f t="shared" si="90"/>
        <v>#N/A</v>
      </c>
      <c r="Z819" t="e">
        <f t="shared" si="90"/>
        <v>#N/A</v>
      </c>
    </row>
    <row r="820" spans="1:26">
      <c r="A820" t="e">
        <f>IF(ISBLANK('[1]Точность устьев скважин'!A822),#N/A,'[1]Точность устьев скважин'!A822)</f>
        <v>#N/A</v>
      </c>
      <c r="B820" t="e">
        <f>IF(ISBLANK('[1]Точность устьев скважин'!B822),#N/A,'[1]Точность устьев скважин'!B822)</f>
        <v>#N/A</v>
      </c>
      <c r="C820" t="e">
        <f>IF(ISBLANK('[1]Точность устьев скважин'!C822),#N/A,'[1]Точность устьев скважин'!C822)</f>
        <v>#N/A</v>
      </c>
      <c r="D820" t="e">
        <f>IF(ISBLANK('[1]Точность устьев скважин'!D822),#N/A,'[1]Точность устьев скважин'!D822)</f>
        <v>#N/A</v>
      </c>
      <c r="G820" t="e">
        <f>IF(ISBLANK('[1]Точность устьев скважин'!H822),#N/A,'[1]Точность устьев скважин'!H822)</f>
        <v>#N/A</v>
      </c>
      <c r="H820" t="e">
        <f>IF(ISBLANK('[1]Точность устьев скважин'!I822),#N/A,'[1]Точность устьев скважин'!I822)</f>
        <v>#N/A</v>
      </c>
      <c r="I820" t="e">
        <f>IF(ISBLANK('[1]Точность устьев скважин'!J822),#N/A,'[1]Точность устьев скважин'!J822)</f>
        <v>#N/A</v>
      </c>
      <c r="J820" t="e">
        <f>IF(ISBLANK('[1]Точность устьев скважин'!K822),#N/A,'[1]Точность устьев скважин'!K822)</f>
        <v>#N/A</v>
      </c>
      <c r="L820" s="63" t="e">
        <f t="shared" si="91"/>
        <v>#N/A</v>
      </c>
      <c r="O820" t="e">
        <f t="shared" si="92"/>
        <v>#N/A</v>
      </c>
      <c r="P820" t="e">
        <f t="shared" si="92"/>
        <v>#N/A</v>
      </c>
      <c r="Q820" t="e">
        <f t="shared" si="93"/>
        <v>#N/A</v>
      </c>
      <c r="R820" t="e">
        <f t="shared" si="93"/>
        <v>#N/A</v>
      </c>
      <c r="S820" t="e">
        <f t="shared" si="94"/>
        <v>#N/A</v>
      </c>
      <c r="T820" t="e">
        <f t="shared" si="94"/>
        <v>#N/A</v>
      </c>
      <c r="U820" t="e">
        <f t="shared" si="95"/>
        <v>#N/A</v>
      </c>
      <c r="V820" t="e">
        <f t="shared" si="95"/>
        <v>#N/A</v>
      </c>
      <c r="W820" t="e">
        <f t="shared" si="96"/>
        <v>#N/A</v>
      </c>
      <c r="X820" t="e">
        <f t="shared" si="96"/>
        <v>#N/A</v>
      </c>
      <c r="Y820" t="e">
        <f t="shared" si="90"/>
        <v>#N/A</v>
      </c>
      <c r="Z820" t="e">
        <f t="shared" si="90"/>
        <v>#N/A</v>
      </c>
    </row>
    <row r="821" spans="1:26">
      <c r="A821" t="e">
        <f>IF(ISBLANK('[1]Точность устьев скважин'!A823),#N/A,'[1]Точность устьев скважин'!A823)</f>
        <v>#N/A</v>
      </c>
      <c r="B821" t="e">
        <f>IF(ISBLANK('[1]Точность устьев скважин'!B823),#N/A,'[1]Точность устьев скважин'!B823)</f>
        <v>#N/A</v>
      </c>
      <c r="C821" t="e">
        <f>IF(ISBLANK('[1]Точность устьев скважин'!C823),#N/A,'[1]Точность устьев скважин'!C823)</f>
        <v>#N/A</v>
      </c>
      <c r="D821" t="e">
        <f>IF(ISBLANK('[1]Точность устьев скважин'!D823),#N/A,'[1]Точность устьев скважин'!D823)</f>
        <v>#N/A</v>
      </c>
      <c r="G821" t="e">
        <f>IF(ISBLANK('[1]Точность устьев скважин'!H823),#N/A,'[1]Точность устьев скважин'!H823)</f>
        <v>#N/A</v>
      </c>
      <c r="H821" t="e">
        <f>IF(ISBLANK('[1]Точность устьев скважин'!I823),#N/A,'[1]Точность устьев скважин'!I823)</f>
        <v>#N/A</v>
      </c>
      <c r="I821" t="e">
        <f>IF(ISBLANK('[1]Точность устьев скважин'!J823),#N/A,'[1]Точность устьев скважин'!J823)</f>
        <v>#N/A</v>
      </c>
      <c r="J821" t="e">
        <f>IF(ISBLANK('[1]Точность устьев скважин'!K823),#N/A,'[1]Точность устьев скважин'!K823)</f>
        <v>#N/A</v>
      </c>
      <c r="L821" s="63" t="e">
        <f t="shared" si="91"/>
        <v>#N/A</v>
      </c>
      <c r="O821" t="e">
        <f t="shared" si="92"/>
        <v>#N/A</v>
      </c>
      <c r="P821" t="e">
        <f t="shared" si="92"/>
        <v>#N/A</v>
      </c>
      <c r="Q821" t="e">
        <f t="shared" si="93"/>
        <v>#N/A</v>
      </c>
      <c r="R821" t="e">
        <f t="shared" si="93"/>
        <v>#N/A</v>
      </c>
      <c r="S821" t="e">
        <f t="shared" si="94"/>
        <v>#N/A</v>
      </c>
      <c r="T821" t="e">
        <f t="shared" si="94"/>
        <v>#N/A</v>
      </c>
      <c r="U821" t="e">
        <f t="shared" si="95"/>
        <v>#N/A</v>
      </c>
      <c r="V821" t="e">
        <f t="shared" si="95"/>
        <v>#N/A</v>
      </c>
      <c r="W821" t="e">
        <f t="shared" si="96"/>
        <v>#N/A</v>
      </c>
      <c r="X821" t="e">
        <f t="shared" si="96"/>
        <v>#N/A</v>
      </c>
      <c r="Y821" t="e">
        <f t="shared" si="90"/>
        <v>#N/A</v>
      </c>
      <c r="Z821" t="e">
        <f t="shared" si="90"/>
        <v>#N/A</v>
      </c>
    </row>
    <row r="822" spans="1:26">
      <c r="A822" t="e">
        <f>IF(ISBLANK('[1]Точность устьев скважин'!A824),#N/A,'[1]Точность устьев скважин'!A824)</f>
        <v>#N/A</v>
      </c>
      <c r="B822" t="e">
        <f>IF(ISBLANK('[1]Точность устьев скважин'!B824),#N/A,'[1]Точность устьев скважин'!B824)</f>
        <v>#N/A</v>
      </c>
      <c r="C822" t="e">
        <f>IF(ISBLANK('[1]Точность устьев скважин'!C824),#N/A,'[1]Точность устьев скважин'!C824)</f>
        <v>#N/A</v>
      </c>
      <c r="D822" t="e">
        <f>IF(ISBLANK('[1]Точность устьев скважин'!D824),#N/A,'[1]Точность устьев скважин'!D824)</f>
        <v>#N/A</v>
      </c>
      <c r="G822" t="e">
        <f>IF(ISBLANK('[1]Точность устьев скважин'!H824),#N/A,'[1]Точность устьев скважин'!H824)</f>
        <v>#N/A</v>
      </c>
      <c r="H822" t="e">
        <f>IF(ISBLANK('[1]Точность устьев скважин'!I824),#N/A,'[1]Точность устьев скважин'!I824)</f>
        <v>#N/A</v>
      </c>
      <c r="I822" t="e">
        <f>IF(ISBLANK('[1]Точность устьев скважин'!J824),#N/A,'[1]Точность устьев скважин'!J824)</f>
        <v>#N/A</v>
      </c>
      <c r="J822" t="e">
        <f>IF(ISBLANK('[1]Точность устьев скважин'!K824),#N/A,'[1]Точность устьев скважин'!K824)</f>
        <v>#N/A</v>
      </c>
      <c r="L822" s="63" t="e">
        <f t="shared" si="91"/>
        <v>#N/A</v>
      </c>
      <c r="O822" t="e">
        <f t="shared" si="92"/>
        <v>#N/A</v>
      </c>
      <c r="P822" t="e">
        <f t="shared" si="92"/>
        <v>#N/A</v>
      </c>
      <c r="Q822" t="e">
        <f t="shared" si="93"/>
        <v>#N/A</v>
      </c>
      <c r="R822" t="e">
        <f t="shared" si="93"/>
        <v>#N/A</v>
      </c>
      <c r="S822" t="e">
        <f t="shared" si="94"/>
        <v>#N/A</v>
      </c>
      <c r="T822" t="e">
        <f t="shared" si="94"/>
        <v>#N/A</v>
      </c>
      <c r="U822" t="e">
        <f t="shared" si="95"/>
        <v>#N/A</v>
      </c>
      <c r="V822" t="e">
        <f t="shared" si="95"/>
        <v>#N/A</v>
      </c>
      <c r="W822" t="e">
        <f t="shared" si="96"/>
        <v>#N/A</v>
      </c>
      <c r="X822" t="e">
        <f t="shared" si="96"/>
        <v>#N/A</v>
      </c>
      <c r="Y822" t="e">
        <f t="shared" ref="Y822:Z863" si="97">IF($L$1=0.5,IF($L822&gt;=0.5,H822,#N/A),"")</f>
        <v>#N/A</v>
      </c>
      <c r="Z822" t="e">
        <f t="shared" si="97"/>
        <v>#N/A</v>
      </c>
    </row>
    <row r="823" spans="1:26">
      <c r="A823" t="e">
        <f>IF(ISBLANK('[1]Точность устьев скважин'!A825),#N/A,'[1]Точность устьев скважин'!A825)</f>
        <v>#N/A</v>
      </c>
      <c r="B823" t="e">
        <f>IF(ISBLANK('[1]Точность устьев скважин'!B825),#N/A,'[1]Точность устьев скважин'!B825)</f>
        <v>#N/A</v>
      </c>
      <c r="C823" t="e">
        <f>IF(ISBLANK('[1]Точность устьев скважин'!C825),#N/A,'[1]Точность устьев скважин'!C825)</f>
        <v>#N/A</v>
      </c>
      <c r="D823" t="e">
        <f>IF(ISBLANK('[1]Точность устьев скважин'!D825),#N/A,'[1]Точность устьев скважин'!D825)</f>
        <v>#N/A</v>
      </c>
      <c r="G823" t="e">
        <f>IF(ISBLANK('[1]Точность устьев скважин'!H825),#N/A,'[1]Точность устьев скважин'!H825)</f>
        <v>#N/A</v>
      </c>
      <c r="H823" t="e">
        <f>IF(ISBLANK('[1]Точность устьев скважин'!I825),#N/A,'[1]Точность устьев скважин'!I825)</f>
        <v>#N/A</v>
      </c>
      <c r="I823" t="e">
        <f>IF(ISBLANK('[1]Точность устьев скважин'!J825),#N/A,'[1]Точность устьев скважин'!J825)</f>
        <v>#N/A</v>
      </c>
      <c r="J823" t="e">
        <f>IF(ISBLANK('[1]Точность устьев скважин'!K825),#N/A,'[1]Точность устьев скважин'!K825)</f>
        <v>#N/A</v>
      </c>
      <c r="L823" s="63" t="e">
        <f t="shared" si="91"/>
        <v>#N/A</v>
      </c>
      <c r="O823" t="e">
        <f t="shared" si="92"/>
        <v>#N/A</v>
      </c>
      <c r="P823" t="e">
        <f t="shared" si="92"/>
        <v>#N/A</v>
      </c>
      <c r="Q823" t="e">
        <f t="shared" si="93"/>
        <v>#N/A</v>
      </c>
      <c r="R823" t="e">
        <f t="shared" si="93"/>
        <v>#N/A</v>
      </c>
      <c r="S823" t="e">
        <f t="shared" si="94"/>
        <v>#N/A</v>
      </c>
      <c r="T823" t="e">
        <f t="shared" si="94"/>
        <v>#N/A</v>
      </c>
      <c r="U823" t="e">
        <f t="shared" si="95"/>
        <v>#N/A</v>
      </c>
      <c r="V823" t="e">
        <f t="shared" si="95"/>
        <v>#N/A</v>
      </c>
      <c r="W823" t="e">
        <f t="shared" si="96"/>
        <v>#N/A</v>
      </c>
      <c r="X823" t="e">
        <f t="shared" si="96"/>
        <v>#N/A</v>
      </c>
      <c r="Y823" t="e">
        <f t="shared" si="97"/>
        <v>#N/A</v>
      </c>
      <c r="Z823" t="e">
        <f t="shared" si="97"/>
        <v>#N/A</v>
      </c>
    </row>
    <row r="824" spans="1:26">
      <c r="A824" t="e">
        <f>IF(ISBLANK('[1]Точность устьев скважин'!A826),#N/A,'[1]Точность устьев скважин'!A826)</f>
        <v>#N/A</v>
      </c>
      <c r="B824" t="e">
        <f>IF(ISBLANK('[1]Точность устьев скважин'!B826),#N/A,'[1]Точность устьев скважин'!B826)</f>
        <v>#N/A</v>
      </c>
      <c r="C824" t="e">
        <f>IF(ISBLANK('[1]Точность устьев скважин'!C826),#N/A,'[1]Точность устьев скважин'!C826)</f>
        <v>#N/A</v>
      </c>
      <c r="D824" t="e">
        <f>IF(ISBLANK('[1]Точность устьев скважин'!D826),#N/A,'[1]Точность устьев скважин'!D826)</f>
        <v>#N/A</v>
      </c>
      <c r="G824" t="e">
        <f>IF(ISBLANK('[1]Точность устьев скважин'!H826),#N/A,'[1]Точность устьев скважин'!H826)</f>
        <v>#N/A</v>
      </c>
      <c r="H824" t="e">
        <f>IF(ISBLANK('[1]Точность устьев скважин'!I826),#N/A,'[1]Точность устьев скважин'!I826)</f>
        <v>#N/A</v>
      </c>
      <c r="I824" t="e">
        <f>IF(ISBLANK('[1]Точность устьев скважин'!J826),#N/A,'[1]Точность устьев скважин'!J826)</f>
        <v>#N/A</v>
      </c>
      <c r="J824" t="e">
        <f>IF(ISBLANK('[1]Точность устьев скважин'!K826),#N/A,'[1]Точность устьев скважин'!K826)</f>
        <v>#N/A</v>
      </c>
      <c r="L824" s="63" t="e">
        <f t="shared" si="91"/>
        <v>#N/A</v>
      </c>
      <c r="O824" t="e">
        <f t="shared" si="92"/>
        <v>#N/A</v>
      </c>
      <c r="P824" t="e">
        <f t="shared" si="92"/>
        <v>#N/A</v>
      </c>
      <c r="Q824" t="e">
        <f t="shared" si="93"/>
        <v>#N/A</v>
      </c>
      <c r="R824" t="e">
        <f t="shared" si="93"/>
        <v>#N/A</v>
      </c>
      <c r="S824" t="e">
        <f t="shared" si="94"/>
        <v>#N/A</v>
      </c>
      <c r="T824" t="e">
        <f t="shared" si="94"/>
        <v>#N/A</v>
      </c>
      <c r="U824" t="e">
        <f t="shared" si="95"/>
        <v>#N/A</v>
      </c>
      <c r="V824" t="e">
        <f t="shared" si="95"/>
        <v>#N/A</v>
      </c>
      <c r="W824" t="e">
        <f t="shared" si="96"/>
        <v>#N/A</v>
      </c>
      <c r="X824" t="e">
        <f t="shared" si="96"/>
        <v>#N/A</v>
      </c>
      <c r="Y824" t="e">
        <f t="shared" si="97"/>
        <v>#N/A</v>
      </c>
      <c r="Z824" t="e">
        <f t="shared" si="97"/>
        <v>#N/A</v>
      </c>
    </row>
    <row r="825" spans="1:26">
      <c r="A825" t="e">
        <f>IF(ISBLANK('[1]Точность устьев скважин'!A827),#N/A,'[1]Точность устьев скважин'!A827)</f>
        <v>#N/A</v>
      </c>
      <c r="B825" t="e">
        <f>IF(ISBLANK('[1]Точность устьев скважин'!B827),#N/A,'[1]Точность устьев скважин'!B827)</f>
        <v>#N/A</v>
      </c>
      <c r="C825" t="e">
        <f>IF(ISBLANK('[1]Точность устьев скважин'!C827),#N/A,'[1]Точность устьев скважин'!C827)</f>
        <v>#N/A</v>
      </c>
      <c r="D825" t="e">
        <f>IF(ISBLANK('[1]Точность устьев скважин'!D827),#N/A,'[1]Точность устьев скважин'!D827)</f>
        <v>#N/A</v>
      </c>
      <c r="G825" t="e">
        <f>IF(ISBLANK('[1]Точность устьев скважин'!H827),#N/A,'[1]Точность устьев скважин'!H827)</f>
        <v>#N/A</v>
      </c>
      <c r="H825" t="e">
        <f>IF(ISBLANK('[1]Точность устьев скважин'!I827),#N/A,'[1]Точность устьев скважин'!I827)</f>
        <v>#N/A</v>
      </c>
      <c r="I825" t="e">
        <f>IF(ISBLANK('[1]Точность устьев скважин'!J827),#N/A,'[1]Точность устьев скважин'!J827)</f>
        <v>#N/A</v>
      </c>
      <c r="J825" t="e">
        <f>IF(ISBLANK('[1]Точность устьев скважин'!K827),#N/A,'[1]Точность устьев скважин'!K827)</f>
        <v>#N/A</v>
      </c>
      <c r="L825" s="63" t="e">
        <f t="shared" si="91"/>
        <v>#N/A</v>
      </c>
      <c r="O825" t="e">
        <f t="shared" si="92"/>
        <v>#N/A</v>
      </c>
      <c r="P825" t="e">
        <f t="shared" si="92"/>
        <v>#N/A</v>
      </c>
      <c r="Q825" t="e">
        <f t="shared" si="93"/>
        <v>#N/A</v>
      </c>
      <c r="R825" t="e">
        <f t="shared" si="93"/>
        <v>#N/A</v>
      </c>
      <c r="S825" t="e">
        <f t="shared" si="94"/>
        <v>#N/A</v>
      </c>
      <c r="T825" t="e">
        <f t="shared" si="94"/>
        <v>#N/A</v>
      </c>
      <c r="U825" t="e">
        <f t="shared" si="95"/>
        <v>#N/A</v>
      </c>
      <c r="V825" t="e">
        <f t="shared" si="95"/>
        <v>#N/A</v>
      </c>
      <c r="W825" t="e">
        <f t="shared" si="96"/>
        <v>#N/A</v>
      </c>
      <c r="X825" t="e">
        <f t="shared" si="96"/>
        <v>#N/A</v>
      </c>
      <c r="Y825" t="e">
        <f t="shared" si="97"/>
        <v>#N/A</v>
      </c>
      <c r="Z825" t="e">
        <f t="shared" si="97"/>
        <v>#N/A</v>
      </c>
    </row>
    <row r="826" spans="1:26">
      <c r="A826" t="e">
        <f>IF(ISBLANK('[1]Точность устьев скважин'!A828),#N/A,'[1]Точность устьев скважин'!A828)</f>
        <v>#N/A</v>
      </c>
      <c r="B826" t="e">
        <f>IF(ISBLANK('[1]Точность устьев скважин'!B828),#N/A,'[1]Точность устьев скважин'!B828)</f>
        <v>#N/A</v>
      </c>
      <c r="C826" t="e">
        <f>IF(ISBLANK('[1]Точность устьев скважин'!C828),#N/A,'[1]Точность устьев скважин'!C828)</f>
        <v>#N/A</v>
      </c>
      <c r="D826" t="e">
        <f>IF(ISBLANK('[1]Точность устьев скважин'!D828),#N/A,'[1]Точность устьев скважин'!D828)</f>
        <v>#N/A</v>
      </c>
      <c r="G826" t="e">
        <f>IF(ISBLANK('[1]Точность устьев скважин'!H828),#N/A,'[1]Точность устьев скважин'!H828)</f>
        <v>#N/A</v>
      </c>
      <c r="H826" t="e">
        <f>IF(ISBLANK('[1]Точность устьев скважин'!I828),#N/A,'[1]Точность устьев скважин'!I828)</f>
        <v>#N/A</v>
      </c>
      <c r="I826" t="e">
        <f>IF(ISBLANK('[1]Точность устьев скважин'!J828),#N/A,'[1]Точность устьев скважин'!J828)</f>
        <v>#N/A</v>
      </c>
      <c r="J826" t="e">
        <f>IF(ISBLANK('[1]Точность устьев скважин'!K828),#N/A,'[1]Точность устьев скважин'!K828)</f>
        <v>#N/A</v>
      </c>
      <c r="L826" s="63" t="e">
        <f t="shared" si="91"/>
        <v>#N/A</v>
      </c>
      <c r="O826" t="e">
        <f t="shared" si="92"/>
        <v>#N/A</v>
      </c>
      <c r="P826" t="e">
        <f t="shared" si="92"/>
        <v>#N/A</v>
      </c>
      <c r="Q826" t="e">
        <f t="shared" si="93"/>
        <v>#N/A</v>
      </c>
      <c r="R826" t="e">
        <f t="shared" si="93"/>
        <v>#N/A</v>
      </c>
      <c r="S826" t="e">
        <f t="shared" si="94"/>
        <v>#N/A</v>
      </c>
      <c r="T826" t="e">
        <f t="shared" si="94"/>
        <v>#N/A</v>
      </c>
      <c r="U826" t="e">
        <f t="shared" si="95"/>
        <v>#N/A</v>
      </c>
      <c r="V826" t="e">
        <f t="shared" si="95"/>
        <v>#N/A</v>
      </c>
      <c r="W826" t="e">
        <f t="shared" si="96"/>
        <v>#N/A</v>
      </c>
      <c r="X826" t="e">
        <f t="shared" si="96"/>
        <v>#N/A</v>
      </c>
      <c r="Y826" t="e">
        <f t="shared" si="97"/>
        <v>#N/A</v>
      </c>
      <c r="Z826" t="e">
        <f t="shared" si="97"/>
        <v>#N/A</v>
      </c>
    </row>
    <row r="827" spans="1:26">
      <c r="A827" t="e">
        <f>IF(ISBLANK('[1]Точность устьев скважин'!A829),#N/A,'[1]Точность устьев скважин'!A829)</f>
        <v>#N/A</v>
      </c>
      <c r="B827" t="e">
        <f>IF(ISBLANK('[1]Точность устьев скважин'!B829),#N/A,'[1]Точность устьев скважин'!B829)</f>
        <v>#N/A</v>
      </c>
      <c r="C827" t="e">
        <f>IF(ISBLANK('[1]Точность устьев скважин'!C829),#N/A,'[1]Точность устьев скважин'!C829)</f>
        <v>#N/A</v>
      </c>
      <c r="D827" t="e">
        <f>IF(ISBLANK('[1]Точность устьев скважин'!D829),#N/A,'[1]Точность устьев скважин'!D829)</f>
        <v>#N/A</v>
      </c>
      <c r="G827" t="e">
        <f>IF(ISBLANK('[1]Точность устьев скважин'!H829),#N/A,'[1]Точность устьев скважин'!H829)</f>
        <v>#N/A</v>
      </c>
      <c r="H827" t="e">
        <f>IF(ISBLANK('[1]Точность устьев скважин'!I829),#N/A,'[1]Точность устьев скважин'!I829)</f>
        <v>#N/A</v>
      </c>
      <c r="I827" t="e">
        <f>IF(ISBLANK('[1]Точность устьев скважин'!J829),#N/A,'[1]Точность устьев скважин'!J829)</f>
        <v>#N/A</v>
      </c>
      <c r="J827" t="e">
        <f>IF(ISBLANK('[1]Точность устьев скважин'!K829),#N/A,'[1]Точность устьев скважин'!K829)</f>
        <v>#N/A</v>
      </c>
      <c r="L827" s="63" t="e">
        <f t="shared" si="91"/>
        <v>#N/A</v>
      </c>
      <c r="O827" t="e">
        <f t="shared" si="92"/>
        <v>#N/A</v>
      </c>
      <c r="P827" t="e">
        <f t="shared" si="92"/>
        <v>#N/A</v>
      </c>
      <c r="Q827" t="e">
        <f t="shared" si="93"/>
        <v>#N/A</v>
      </c>
      <c r="R827" t="e">
        <f t="shared" si="93"/>
        <v>#N/A</v>
      </c>
      <c r="S827" t="e">
        <f t="shared" si="94"/>
        <v>#N/A</v>
      </c>
      <c r="T827" t="e">
        <f t="shared" si="94"/>
        <v>#N/A</v>
      </c>
      <c r="U827" t="e">
        <f t="shared" si="95"/>
        <v>#N/A</v>
      </c>
      <c r="V827" t="e">
        <f t="shared" si="95"/>
        <v>#N/A</v>
      </c>
      <c r="W827" t="e">
        <f t="shared" si="96"/>
        <v>#N/A</v>
      </c>
      <c r="X827" t="e">
        <f t="shared" si="96"/>
        <v>#N/A</v>
      </c>
      <c r="Y827" t="e">
        <f t="shared" si="97"/>
        <v>#N/A</v>
      </c>
      <c r="Z827" t="e">
        <f t="shared" si="97"/>
        <v>#N/A</v>
      </c>
    </row>
    <row r="828" spans="1:26">
      <c r="A828" t="e">
        <f>IF(ISBLANK('[1]Точность устьев скважин'!A830),#N/A,'[1]Точность устьев скважин'!A830)</f>
        <v>#N/A</v>
      </c>
      <c r="B828" t="e">
        <f>IF(ISBLANK('[1]Точность устьев скважин'!B830),#N/A,'[1]Точность устьев скважин'!B830)</f>
        <v>#N/A</v>
      </c>
      <c r="C828" t="e">
        <f>IF(ISBLANK('[1]Точность устьев скважин'!C830),#N/A,'[1]Точность устьев скважин'!C830)</f>
        <v>#N/A</v>
      </c>
      <c r="D828" t="e">
        <f>IF(ISBLANK('[1]Точность устьев скважин'!D830),#N/A,'[1]Точность устьев скважин'!D830)</f>
        <v>#N/A</v>
      </c>
      <c r="G828" t="e">
        <f>IF(ISBLANK('[1]Точность устьев скважин'!H830),#N/A,'[1]Точность устьев скважин'!H830)</f>
        <v>#N/A</v>
      </c>
      <c r="H828" t="e">
        <f>IF(ISBLANK('[1]Точность устьев скважин'!I830),#N/A,'[1]Точность устьев скважин'!I830)</f>
        <v>#N/A</v>
      </c>
      <c r="I828" t="e">
        <f>IF(ISBLANK('[1]Точность устьев скважин'!J830),#N/A,'[1]Точность устьев скважин'!J830)</f>
        <v>#N/A</v>
      </c>
      <c r="J828" t="e">
        <f>IF(ISBLANK('[1]Точность устьев скважин'!K830),#N/A,'[1]Точность устьев скважин'!K830)</f>
        <v>#N/A</v>
      </c>
      <c r="L828" s="63" t="e">
        <f t="shared" si="91"/>
        <v>#N/A</v>
      </c>
      <c r="O828" t="e">
        <f t="shared" si="92"/>
        <v>#N/A</v>
      </c>
      <c r="P828" t="e">
        <f t="shared" si="92"/>
        <v>#N/A</v>
      </c>
      <c r="Q828" t="e">
        <f t="shared" si="93"/>
        <v>#N/A</v>
      </c>
      <c r="R828" t="e">
        <f t="shared" si="93"/>
        <v>#N/A</v>
      </c>
      <c r="S828" t="e">
        <f t="shared" si="94"/>
        <v>#N/A</v>
      </c>
      <c r="T828" t="e">
        <f t="shared" si="94"/>
        <v>#N/A</v>
      </c>
      <c r="U828" t="e">
        <f t="shared" si="95"/>
        <v>#N/A</v>
      </c>
      <c r="V828" t="e">
        <f t="shared" si="95"/>
        <v>#N/A</v>
      </c>
      <c r="W828" t="e">
        <f t="shared" si="96"/>
        <v>#N/A</v>
      </c>
      <c r="X828" t="e">
        <f t="shared" si="96"/>
        <v>#N/A</v>
      </c>
      <c r="Y828" t="e">
        <f t="shared" si="97"/>
        <v>#N/A</v>
      </c>
      <c r="Z828" t="e">
        <f t="shared" si="97"/>
        <v>#N/A</v>
      </c>
    </row>
    <row r="829" spans="1:26">
      <c r="A829" t="e">
        <f>IF(ISBLANK('[1]Точность устьев скважин'!A831),#N/A,'[1]Точность устьев скважин'!A831)</f>
        <v>#N/A</v>
      </c>
      <c r="B829" t="e">
        <f>IF(ISBLANK('[1]Точность устьев скважин'!B831),#N/A,'[1]Точность устьев скважин'!B831)</f>
        <v>#N/A</v>
      </c>
      <c r="C829" t="e">
        <f>IF(ISBLANK('[1]Точность устьев скважин'!C831),#N/A,'[1]Точность устьев скважин'!C831)</f>
        <v>#N/A</v>
      </c>
      <c r="D829" t="e">
        <f>IF(ISBLANK('[1]Точность устьев скважин'!D831),#N/A,'[1]Точность устьев скважин'!D831)</f>
        <v>#N/A</v>
      </c>
      <c r="G829" t="e">
        <f>IF(ISBLANK('[1]Точность устьев скважин'!H831),#N/A,'[1]Точность устьев скважин'!H831)</f>
        <v>#N/A</v>
      </c>
      <c r="H829" t="e">
        <f>IF(ISBLANK('[1]Точность устьев скважин'!I831),#N/A,'[1]Точность устьев скважин'!I831)</f>
        <v>#N/A</v>
      </c>
      <c r="I829" t="e">
        <f>IF(ISBLANK('[1]Точность устьев скважин'!J831),#N/A,'[1]Точность устьев скважин'!J831)</f>
        <v>#N/A</v>
      </c>
      <c r="J829" t="e">
        <f>IF(ISBLANK('[1]Точность устьев скважин'!K831),#N/A,'[1]Точность устьев скважин'!K831)</f>
        <v>#N/A</v>
      </c>
      <c r="L829" s="63" t="e">
        <f t="shared" si="91"/>
        <v>#N/A</v>
      </c>
      <c r="O829" t="e">
        <f t="shared" si="92"/>
        <v>#N/A</v>
      </c>
      <c r="P829" t="e">
        <f t="shared" si="92"/>
        <v>#N/A</v>
      </c>
      <c r="Q829" t="e">
        <f t="shared" si="93"/>
        <v>#N/A</v>
      </c>
      <c r="R829" t="e">
        <f t="shared" si="93"/>
        <v>#N/A</v>
      </c>
      <c r="S829" t="e">
        <f t="shared" si="94"/>
        <v>#N/A</v>
      </c>
      <c r="T829" t="e">
        <f t="shared" si="94"/>
        <v>#N/A</v>
      </c>
      <c r="U829" t="e">
        <f t="shared" si="95"/>
        <v>#N/A</v>
      </c>
      <c r="V829" t="e">
        <f t="shared" si="95"/>
        <v>#N/A</v>
      </c>
      <c r="W829" t="e">
        <f t="shared" si="96"/>
        <v>#N/A</v>
      </c>
      <c r="X829" t="e">
        <f t="shared" si="96"/>
        <v>#N/A</v>
      </c>
      <c r="Y829" t="e">
        <f t="shared" si="97"/>
        <v>#N/A</v>
      </c>
      <c r="Z829" t="e">
        <f t="shared" si="97"/>
        <v>#N/A</v>
      </c>
    </row>
    <row r="830" spans="1:26">
      <c r="A830" t="e">
        <f>IF(ISBLANK('[1]Точность устьев скважин'!A832),#N/A,'[1]Точность устьев скважин'!A832)</f>
        <v>#N/A</v>
      </c>
      <c r="B830" t="e">
        <f>IF(ISBLANK('[1]Точность устьев скважин'!B832),#N/A,'[1]Точность устьев скважин'!B832)</f>
        <v>#N/A</v>
      </c>
      <c r="C830" t="e">
        <f>IF(ISBLANK('[1]Точность устьев скважин'!C832),#N/A,'[1]Точность устьев скважин'!C832)</f>
        <v>#N/A</v>
      </c>
      <c r="D830" t="e">
        <f>IF(ISBLANK('[1]Точность устьев скважин'!D832),#N/A,'[1]Точность устьев скважин'!D832)</f>
        <v>#N/A</v>
      </c>
      <c r="G830" t="e">
        <f>IF(ISBLANK('[1]Точность устьев скважин'!H832),#N/A,'[1]Точность устьев скважин'!H832)</f>
        <v>#N/A</v>
      </c>
      <c r="H830" t="e">
        <f>IF(ISBLANK('[1]Точность устьев скважин'!I832),#N/A,'[1]Точность устьев скважин'!I832)</f>
        <v>#N/A</v>
      </c>
      <c r="I830" t="e">
        <f>IF(ISBLANK('[1]Точность устьев скважин'!J832),#N/A,'[1]Точность устьев скважин'!J832)</f>
        <v>#N/A</v>
      </c>
      <c r="J830" t="e">
        <f>IF(ISBLANK('[1]Точность устьев скважин'!K832),#N/A,'[1]Точность устьев скважин'!K832)</f>
        <v>#N/A</v>
      </c>
      <c r="L830" s="63" t="e">
        <f t="shared" si="91"/>
        <v>#N/A</v>
      </c>
      <c r="O830" t="e">
        <f t="shared" si="92"/>
        <v>#N/A</v>
      </c>
      <c r="P830" t="e">
        <f t="shared" si="92"/>
        <v>#N/A</v>
      </c>
      <c r="Q830" t="e">
        <f t="shared" si="93"/>
        <v>#N/A</v>
      </c>
      <c r="R830" t="e">
        <f t="shared" si="93"/>
        <v>#N/A</v>
      </c>
      <c r="S830" t="e">
        <f t="shared" si="94"/>
        <v>#N/A</v>
      </c>
      <c r="T830" t="e">
        <f t="shared" si="94"/>
        <v>#N/A</v>
      </c>
      <c r="U830" t="e">
        <f t="shared" si="95"/>
        <v>#N/A</v>
      </c>
      <c r="V830" t="e">
        <f t="shared" si="95"/>
        <v>#N/A</v>
      </c>
      <c r="W830" t="e">
        <f t="shared" si="96"/>
        <v>#N/A</v>
      </c>
      <c r="X830" t="e">
        <f t="shared" si="96"/>
        <v>#N/A</v>
      </c>
      <c r="Y830" t="e">
        <f t="shared" si="97"/>
        <v>#N/A</v>
      </c>
      <c r="Z830" t="e">
        <f t="shared" si="97"/>
        <v>#N/A</v>
      </c>
    </row>
    <row r="831" spans="1:26">
      <c r="A831" t="e">
        <f>IF(ISBLANK('[1]Точность устьев скважин'!A833),#N/A,'[1]Точность устьев скважин'!A833)</f>
        <v>#N/A</v>
      </c>
      <c r="B831" t="e">
        <f>IF(ISBLANK('[1]Точность устьев скважин'!B833),#N/A,'[1]Точность устьев скважин'!B833)</f>
        <v>#N/A</v>
      </c>
      <c r="C831" t="e">
        <f>IF(ISBLANK('[1]Точность устьев скважин'!C833),#N/A,'[1]Точность устьев скважин'!C833)</f>
        <v>#N/A</v>
      </c>
      <c r="D831" t="e">
        <f>IF(ISBLANK('[1]Точность устьев скважин'!D833),#N/A,'[1]Точность устьев скважин'!D833)</f>
        <v>#N/A</v>
      </c>
      <c r="G831" t="e">
        <f>IF(ISBLANK('[1]Точность устьев скважин'!H833),#N/A,'[1]Точность устьев скважин'!H833)</f>
        <v>#N/A</v>
      </c>
      <c r="H831" t="e">
        <f>IF(ISBLANK('[1]Точность устьев скважин'!I833),#N/A,'[1]Точность устьев скважин'!I833)</f>
        <v>#N/A</v>
      </c>
      <c r="I831" t="e">
        <f>IF(ISBLANK('[1]Точность устьев скважин'!J833),#N/A,'[1]Точность устьев скважин'!J833)</f>
        <v>#N/A</v>
      </c>
      <c r="J831" t="e">
        <f>IF(ISBLANK('[1]Точность устьев скважин'!K833),#N/A,'[1]Точность устьев скважин'!K833)</f>
        <v>#N/A</v>
      </c>
      <c r="L831" s="63" t="e">
        <f t="shared" si="91"/>
        <v>#N/A</v>
      </c>
      <c r="O831" t="e">
        <f t="shared" si="92"/>
        <v>#N/A</v>
      </c>
      <c r="P831" t="e">
        <f t="shared" si="92"/>
        <v>#N/A</v>
      </c>
      <c r="Q831" t="e">
        <f t="shared" si="93"/>
        <v>#N/A</v>
      </c>
      <c r="R831" t="e">
        <f t="shared" si="93"/>
        <v>#N/A</v>
      </c>
      <c r="S831" t="e">
        <f t="shared" si="94"/>
        <v>#N/A</v>
      </c>
      <c r="T831" t="e">
        <f t="shared" si="94"/>
        <v>#N/A</v>
      </c>
      <c r="U831" t="e">
        <f t="shared" si="95"/>
        <v>#N/A</v>
      </c>
      <c r="V831" t="e">
        <f t="shared" si="95"/>
        <v>#N/A</v>
      </c>
      <c r="W831" t="e">
        <f t="shared" si="96"/>
        <v>#N/A</v>
      </c>
      <c r="X831" t="e">
        <f t="shared" si="96"/>
        <v>#N/A</v>
      </c>
      <c r="Y831" t="e">
        <f t="shared" si="97"/>
        <v>#N/A</v>
      </c>
      <c r="Z831" t="e">
        <f t="shared" si="97"/>
        <v>#N/A</v>
      </c>
    </row>
    <row r="832" spans="1:26">
      <c r="A832" t="e">
        <f>IF(ISBLANK('[1]Точность устьев скважин'!A834),#N/A,'[1]Точность устьев скважин'!A834)</f>
        <v>#N/A</v>
      </c>
      <c r="B832" t="e">
        <f>IF(ISBLANK('[1]Точность устьев скважин'!B834),#N/A,'[1]Точность устьев скважин'!B834)</f>
        <v>#N/A</v>
      </c>
      <c r="C832" t="e">
        <f>IF(ISBLANK('[1]Точность устьев скважин'!C834),#N/A,'[1]Точность устьев скважин'!C834)</f>
        <v>#N/A</v>
      </c>
      <c r="D832" t="e">
        <f>IF(ISBLANK('[1]Точность устьев скважин'!D834),#N/A,'[1]Точность устьев скважин'!D834)</f>
        <v>#N/A</v>
      </c>
      <c r="G832" t="e">
        <f>IF(ISBLANK('[1]Точность устьев скважин'!H834),#N/A,'[1]Точность устьев скважин'!H834)</f>
        <v>#N/A</v>
      </c>
      <c r="H832" t="e">
        <f>IF(ISBLANK('[1]Точность устьев скважин'!I834),#N/A,'[1]Точность устьев скважин'!I834)</f>
        <v>#N/A</v>
      </c>
      <c r="I832" t="e">
        <f>IF(ISBLANK('[1]Точность устьев скважин'!J834),#N/A,'[1]Точность устьев скважин'!J834)</f>
        <v>#N/A</v>
      </c>
      <c r="J832" t="e">
        <f>IF(ISBLANK('[1]Точность устьев скважин'!K834),#N/A,'[1]Точность устьев скважин'!K834)</f>
        <v>#N/A</v>
      </c>
      <c r="L832" s="63" t="e">
        <f t="shared" si="91"/>
        <v>#N/A</v>
      </c>
      <c r="O832" t="e">
        <f t="shared" si="92"/>
        <v>#N/A</v>
      </c>
      <c r="P832" t="e">
        <f t="shared" si="92"/>
        <v>#N/A</v>
      </c>
      <c r="Q832" t="e">
        <f t="shared" si="93"/>
        <v>#N/A</v>
      </c>
      <c r="R832" t="e">
        <f t="shared" si="93"/>
        <v>#N/A</v>
      </c>
      <c r="S832" t="e">
        <f t="shared" si="94"/>
        <v>#N/A</v>
      </c>
      <c r="T832" t="e">
        <f t="shared" si="94"/>
        <v>#N/A</v>
      </c>
      <c r="U832" t="e">
        <f t="shared" si="95"/>
        <v>#N/A</v>
      </c>
      <c r="V832" t="e">
        <f t="shared" si="95"/>
        <v>#N/A</v>
      </c>
      <c r="W832" t="e">
        <f t="shared" si="96"/>
        <v>#N/A</v>
      </c>
      <c r="X832" t="e">
        <f t="shared" si="96"/>
        <v>#N/A</v>
      </c>
      <c r="Y832" t="e">
        <f t="shared" si="97"/>
        <v>#N/A</v>
      </c>
      <c r="Z832" t="e">
        <f t="shared" si="97"/>
        <v>#N/A</v>
      </c>
    </row>
    <row r="833" spans="1:26">
      <c r="A833" t="e">
        <f>IF(ISBLANK('[1]Точность устьев скважин'!A835),#N/A,'[1]Точность устьев скважин'!A835)</f>
        <v>#N/A</v>
      </c>
      <c r="B833" t="e">
        <f>IF(ISBLANK('[1]Точность устьев скважин'!B835),#N/A,'[1]Точность устьев скважин'!B835)</f>
        <v>#N/A</v>
      </c>
      <c r="C833" t="e">
        <f>IF(ISBLANK('[1]Точность устьев скважин'!C835),#N/A,'[1]Точность устьев скважин'!C835)</f>
        <v>#N/A</v>
      </c>
      <c r="D833" t="e">
        <f>IF(ISBLANK('[1]Точность устьев скважин'!D835),#N/A,'[1]Точность устьев скважин'!D835)</f>
        <v>#N/A</v>
      </c>
      <c r="G833" t="e">
        <f>IF(ISBLANK('[1]Точность устьев скважин'!H835),#N/A,'[1]Точность устьев скважин'!H835)</f>
        <v>#N/A</v>
      </c>
      <c r="H833" t="e">
        <f>IF(ISBLANK('[1]Точность устьев скважин'!I835),#N/A,'[1]Точность устьев скважин'!I835)</f>
        <v>#N/A</v>
      </c>
      <c r="I833" t="e">
        <f>IF(ISBLANK('[1]Точность устьев скважин'!J835),#N/A,'[1]Точность устьев скважин'!J835)</f>
        <v>#N/A</v>
      </c>
      <c r="J833" t="e">
        <f>IF(ISBLANK('[1]Точность устьев скважин'!K835),#N/A,'[1]Точность устьев скважин'!K835)</f>
        <v>#N/A</v>
      </c>
      <c r="L833" s="63" t="e">
        <f t="shared" si="91"/>
        <v>#N/A</v>
      </c>
      <c r="O833" t="e">
        <f t="shared" si="92"/>
        <v>#N/A</v>
      </c>
      <c r="P833" t="e">
        <f t="shared" si="92"/>
        <v>#N/A</v>
      </c>
      <c r="Q833" t="e">
        <f t="shared" si="93"/>
        <v>#N/A</v>
      </c>
      <c r="R833" t="e">
        <f t="shared" si="93"/>
        <v>#N/A</v>
      </c>
      <c r="S833" t="e">
        <f t="shared" si="94"/>
        <v>#N/A</v>
      </c>
      <c r="T833" t="e">
        <f t="shared" si="94"/>
        <v>#N/A</v>
      </c>
      <c r="U833" t="e">
        <f t="shared" si="95"/>
        <v>#N/A</v>
      </c>
      <c r="V833" t="e">
        <f t="shared" si="95"/>
        <v>#N/A</v>
      </c>
      <c r="W833" t="e">
        <f t="shared" si="96"/>
        <v>#N/A</v>
      </c>
      <c r="X833" t="e">
        <f t="shared" si="96"/>
        <v>#N/A</v>
      </c>
      <c r="Y833" t="e">
        <f t="shared" si="97"/>
        <v>#N/A</v>
      </c>
      <c r="Z833" t="e">
        <f t="shared" si="97"/>
        <v>#N/A</v>
      </c>
    </row>
    <row r="834" spans="1:26">
      <c r="A834" t="e">
        <f>IF(ISBLANK('[1]Точность устьев скважин'!A836),#N/A,'[1]Точность устьев скважин'!A836)</f>
        <v>#N/A</v>
      </c>
      <c r="B834" t="e">
        <f>IF(ISBLANK('[1]Точность устьев скважин'!B836),#N/A,'[1]Точность устьев скважин'!B836)</f>
        <v>#N/A</v>
      </c>
      <c r="C834" t="e">
        <f>IF(ISBLANK('[1]Точность устьев скважин'!C836),#N/A,'[1]Точность устьев скважин'!C836)</f>
        <v>#N/A</v>
      </c>
      <c r="D834" t="e">
        <f>IF(ISBLANK('[1]Точность устьев скважин'!D836),#N/A,'[1]Точность устьев скважин'!D836)</f>
        <v>#N/A</v>
      </c>
      <c r="G834" t="e">
        <f>IF(ISBLANK('[1]Точность устьев скважин'!H836),#N/A,'[1]Точность устьев скважин'!H836)</f>
        <v>#N/A</v>
      </c>
      <c r="H834" t="e">
        <f>IF(ISBLANK('[1]Точность устьев скважин'!I836),#N/A,'[1]Точность устьев скважин'!I836)</f>
        <v>#N/A</v>
      </c>
      <c r="I834" t="e">
        <f>IF(ISBLANK('[1]Точность устьев скважин'!J836),#N/A,'[1]Точность устьев скважин'!J836)</f>
        <v>#N/A</v>
      </c>
      <c r="J834" t="e">
        <f>IF(ISBLANK('[1]Точность устьев скважин'!K836),#N/A,'[1]Точность устьев скважин'!K836)</f>
        <v>#N/A</v>
      </c>
      <c r="L834" s="63" t="e">
        <f t="shared" si="91"/>
        <v>#N/A</v>
      </c>
      <c r="O834" t="e">
        <f t="shared" si="92"/>
        <v>#N/A</v>
      </c>
      <c r="P834" t="e">
        <f t="shared" si="92"/>
        <v>#N/A</v>
      </c>
      <c r="Q834" t="e">
        <f t="shared" si="93"/>
        <v>#N/A</v>
      </c>
      <c r="R834" t="e">
        <f t="shared" si="93"/>
        <v>#N/A</v>
      </c>
      <c r="S834" t="e">
        <f t="shared" si="94"/>
        <v>#N/A</v>
      </c>
      <c r="T834" t="e">
        <f t="shared" si="94"/>
        <v>#N/A</v>
      </c>
      <c r="U834" t="e">
        <f t="shared" si="95"/>
        <v>#N/A</v>
      </c>
      <c r="V834" t="e">
        <f t="shared" si="95"/>
        <v>#N/A</v>
      </c>
      <c r="W834" t="e">
        <f t="shared" si="96"/>
        <v>#N/A</v>
      </c>
      <c r="X834" t="e">
        <f t="shared" si="96"/>
        <v>#N/A</v>
      </c>
      <c r="Y834" t="e">
        <f t="shared" si="97"/>
        <v>#N/A</v>
      </c>
      <c r="Z834" t="e">
        <f t="shared" si="97"/>
        <v>#N/A</v>
      </c>
    </row>
    <row r="835" spans="1:26">
      <c r="A835" t="e">
        <f>IF(ISBLANK('[1]Точность устьев скважин'!A837),#N/A,'[1]Точность устьев скважин'!A837)</f>
        <v>#N/A</v>
      </c>
      <c r="B835" t="e">
        <f>IF(ISBLANK('[1]Точность устьев скважин'!B837),#N/A,'[1]Точность устьев скважин'!B837)</f>
        <v>#N/A</v>
      </c>
      <c r="C835" t="e">
        <f>IF(ISBLANK('[1]Точность устьев скважин'!C837),#N/A,'[1]Точность устьев скважин'!C837)</f>
        <v>#N/A</v>
      </c>
      <c r="D835" t="e">
        <f>IF(ISBLANK('[1]Точность устьев скважин'!D837),#N/A,'[1]Точность устьев скважин'!D837)</f>
        <v>#N/A</v>
      </c>
      <c r="G835" t="e">
        <f>IF(ISBLANK('[1]Точность устьев скважин'!H837),#N/A,'[1]Точность устьев скважин'!H837)</f>
        <v>#N/A</v>
      </c>
      <c r="H835" t="e">
        <f>IF(ISBLANK('[1]Точность устьев скважин'!I837),#N/A,'[1]Точность устьев скважин'!I837)</f>
        <v>#N/A</v>
      </c>
      <c r="I835" t="e">
        <f>IF(ISBLANK('[1]Точность устьев скважин'!J837),#N/A,'[1]Точность устьев скважин'!J837)</f>
        <v>#N/A</v>
      </c>
      <c r="J835" t="e">
        <f>IF(ISBLANK('[1]Точность устьев скважин'!K837),#N/A,'[1]Точность устьев скважин'!K837)</f>
        <v>#N/A</v>
      </c>
      <c r="L835" s="63" t="e">
        <f t="shared" si="91"/>
        <v>#N/A</v>
      </c>
      <c r="O835" t="e">
        <f t="shared" si="92"/>
        <v>#N/A</v>
      </c>
      <c r="P835" t="e">
        <f t="shared" si="92"/>
        <v>#N/A</v>
      </c>
      <c r="Q835" t="e">
        <f t="shared" si="93"/>
        <v>#N/A</v>
      </c>
      <c r="R835" t="e">
        <f t="shared" si="93"/>
        <v>#N/A</v>
      </c>
      <c r="S835" t="e">
        <f t="shared" si="94"/>
        <v>#N/A</v>
      </c>
      <c r="T835" t="e">
        <f t="shared" si="94"/>
        <v>#N/A</v>
      </c>
      <c r="U835" t="e">
        <f t="shared" si="95"/>
        <v>#N/A</v>
      </c>
      <c r="V835" t="e">
        <f t="shared" si="95"/>
        <v>#N/A</v>
      </c>
      <c r="W835" t="e">
        <f t="shared" si="96"/>
        <v>#N/A</v>
      </c>
      <c r="X835" t="e">
        <f t="shared" si="96"/>
        <v>#N/A</v>
      </c>
      <c r="Y835" t="e">
        <f t="shared" si="97"/>
        <v>#N/A</v>
      </c>
      <c r="Z835" t="e">
        <f t="shared" si="97"/>
        <v>#N/A</v>
      </c>
    </row>
    <row r="836" spans="1:26">
      <c r="A836" t="e">
        <f>IF(ISBLANK('[1]Точность устьев скважин'!A838),#N/A,'[1]Точность устьев скважин'!A838)</f>
        <v>#N/A</v>
      </c>
      <c r="B836" t="e">
        <f>IF(ISBLANK('[1]Точность устьев скважин'!B838),#N/A,'[1]Точность устьев скважин'!B838)</f>
        <v>#N/A</v>
      </c>
      <c r="C836" t="e">
        <f>IF(ISBLANK('[1]Точность устьев скважин'!C838),#N/A,'[1]Точность устьев скважин'!C838)</f>
        <v>#N/A</v>
      </c>
      <c r="D836" t="e">
        <f>IF(ISBLANK('[1]Точность устьев скважин'!D838),#N/A,'[1]Точность устьев скважин'!D838)</f>
        <v>#N/A</v>
      </c>
      <c r="G836" t="e">
        <f>IF(ISBLANK('[1]Точность устьев скважин'!H838),#N/A,'[1]Точность устьев скважин'!H838)</f>
        <v>#N/A</v>
      </c>
      <c r="H836" t="e">
        <f>IF(ISBLANK('[1]Точность устьев скважин'!I838),#N/A,'[1]Точность устьев скважин'!I838)</f>
        <v>#N/A</v>
      </c>
      <c r="I836" t="e">
        <f>IF(ISBLANK('[1]Точность устьев скважин'!J838),#N/A,'[1]Точность устьев скважин'!J838)</f>
        <v>#N/A</v>
      </c>
      <c r="J836" t="e">
        <f>IF(ISBLANK('[1]Точность устьев скважин'!K838),#N/A,'[1]Точность устьев скважин'!K838)</f>
        <v>#N/A</v>
      </c>
      <c r="L836" s="63" t="e">
        <f t="shared" ref="L836:L850" si="98">IF(B836="","",(SQRT((H836-B836)^2+(I836-C836)^2)))</f>
        <v>#N/A</v>
      </c>
      <c r="O836" t="e">
        <f t="shared" si="92"/>
        <v>#N/A</v>
      </c>
      <c r="P836" t="e">
        <f t="shared" si="92"/>
        <v>#N/A</v>
      </c>
      <c r="Q836" t="e">
        <f t="shared" si="93"/>
        <v>#N/A</v>
      </c>
      <c r="R836" t="e">
        <f t="shared" si="93"/>
        <v>#N/A</v>
      </c>
      <c r="S836" t="e">
        <f t="shared" si="94"/>
        <v>#N/A</v>
      </c>
      <c r="T836" t="e">
        <f t="shared" si="94"/>
        <v>#N/A</v>
      </c>
      <c r="U836" t="e">
        <f t="shared" si="95"/>
        <v>#N/A</v>
      </c>
      <c r="V836" t="e">
        <f t="shared" si="95"/>
        <v>#N/A</v>
      </c>
      <c r="W836" t="e">
        <f t="shared" si="96"/>
        <v>#N/A</v>
      </c>
      <c r="X836" t="e">
        <f t="shared" si="96"/>
        <v>#N/A</v>
      </c>
      <c r="Y836" t="e">
        <f t="shared" si="97"/>
        <v>#N/A</v>
      </c>
      <c r="Z836" t="e">
        <f t="shared" si="97"/>
        <v>#N/A</v>
      </c>
    </row>
    <row r="837" spans="1:26">
      <c r="A837" t="e">
        <f>IF(ISBLANK('[1]Точность устьев скважин'!A839),#N/A,'[1]Точность устьев скважин'!A839)</f>
        <v>#N/A</v>
      </c>
      <c r="B837" t="e">
        <f>IF(ISBLANK('[1]Точность устьев скважин'!B839),#N/A,'[1]Точность устьев скважин'!B839)</f>
        <v>#N/A</v>
      </c>
      <c r="C837" t="e">
        <f>IF(ISBLANK('[1]Точность устьев скважин'!C839),#N/A,'[1]Точность устьев скважин'!C839)</f>
        <v>#N/A</v>
      </c>
      <c r="D837" t="e">
        <f>IF(ISBLANK('[1]Точность устьев скважин'!D839),#N/A,'[1]Точность устьев скважин'!D839)</f>
        <v>#N/A</v>
      </c>
      <c r="G837" t="e">
        <f>IF(ISBLANK('[1]Точность устьев скважин'!H839),#N/A,'[1]Точность устьев скважин'!H839)</f>
        <v>#N/A</v>
      </c>
      <c r="H837" t="e">
        <f>IF(ISBLANK('[1]Точность устьев скважин'!I839),#N/A,'[1]Точность устьев скважин'!I839)</f>
        <v>#N/A</v>
      </c>
      <c r="I837" t="e">
        <f>IF(ISBLANK('[1]Точность устьев скважин'!J839),#N/A,'[1]Точность устьев скважин'!J839)</f>
        <v>#N/A</v>
      </c>
      <c r="J837" t="e">
        <f>IF(ISBLANK('[1]Точность устьев скважин'!K839),#N/A,'[1]Точность устьев скважин'!K839)</f>
        <v>#N/A</v>
      </c>
      <c r="L837" s="63" t="e">
        <f t="shared" si="98"/>
        <v>#N/A</v>
      </c>
      <c r="O837" t="e">
        <f t="shared" si="92"/>
        <v>#N/A</v>
      </c>
      <c r="P837" t="e">
        <f t="shared" si="92"/>
        <v>#N/A</v>
      </c>
      <c r="Q837" t="e">
        <f t="shared" si="93"/>
        <v>#N/A</v>
      </c>
      <c r="R837" t="e">
        <f t="shared" si="93"/>
        <v>#N/A</v>
      </c>
      <c r="S837" t="e">
        <f t="shared" si="94"/>
        <v>#N/A</v>
      </c>
      <c r="T837" t="e">
        <f t="shared" si="94"/>
        <v>#N/A</v>
      </c>
      <c r="U837" t="e">
        <f t="shared" si="95"/>
        <v>#N/A</v>
      </c>
      <c r="V837" t="e">
        <f t="shared" si="95"/>
        <v>#N/A</v>
      </c>
      <c r="W837" t="e">
        <f t="shared" si="96"/>
        <v>#N/A</v>
      </c>
      <c r="X837" t="e">
        <f t="shared" si="96"/>
        <v>#N/A</v>
      </c>
      <c r="Y837" t="e">
        <f t="shared" si="97"/>
        <v>#N/A</v>
      </c>
      <c r="Z837" t="e">
        <f t="shared" si="97"/>
        <v>#N/A</v>
      </c>
    </row>
    <row r="838" spans="1:26">
      <c r="A838" t="e">
        <f>IF(ISBLANK('[1]Точность устьев скважин'!A840),#N/A,'[1]Точность устьев скважин'!A840)</f>
        <v>#N/A</v>
      </c>
      <c r="B838" t="e">
        <f>IF(ISBLANK('[1]Точность устьев скважин'!B840),#N/A,'[1]Точность устьев скважин'!B840)</f>
        <v>#N/A</v>
      </c>
      <c r="C838" t="e">
        <f>IF(ISBLANK('[1]Точность устьев скважин'!C840),#N/A,'[1]Точность устьев скважин'!C840)</f>
        <v>#N/A</v>
      </c>
      <c r="D838" t="e">
        <f>IF(ISBLANK('[1]Точность устьев скважин'!D840),#N/A,'[1]Точность устьев скважин'!D840)</f>
        <v>#N/A</v>
      </c>
      <c r="G838" t="e">
        <f>IF(ISBLANK('[1]Точность устьев скважин'!H840),#N/A,'[1]Точность устьев скважин'!H840)</f>
        <v>#N/A</v>
      </c>
      <c r="H838" t="e">
        <f>IF(ISBLANK('[1]Точность устьев скважин'!I840),#N/A,'[1]Точность устьев скважин'!I840)</f>
        <v>#N/A</v>
      </c>
      <c r="I838" t="e">
        <f>IF(ISBLANK('[1]Точность устьев скважин'!J840),#N/A,'[1]Точность устьев скважин'!J840)</f>
        <v>#N/A</v>
      </c>
      <c r="J838" t="e">
        <f>IF(ISBLANK('[1]Точность устьев скважин'!K840),#N/A,'[1]Точность устьев скважин'!K840)</f>
        <v>#N/A</v>
      </c>
      <c r="L838" s="63" t="e">
        <f t="shared" si="98"/>
        <v>#N/A</v>
      </c>
      <c r="O838" t="e">
        <f t="shared" si="92"/>
        <v>#N/A</v>
      </c>
      <c r="P838" t="e">
        <f t="shared" si="92"/>
        <v>#N/A</v>
      </c>
      <c r="Q838" t="e">
        <f t="shared" si="93"/>
        <v>#N/A</v>
      </c>
      <c r="R838" t="e">
        <f t="shared" si="93"/>
        <v>#N/A</v>
      </c>
      <c r="S838" t="e">
        <f t="shared" si="94"/>
        <v>#N/A</v>
      </c>
      <c r="T838" t="e">
        <f t="shared" si="94"/>
        <v>#N/A</v>
      </c>
      <c r="U838" t="e">
        <f t="shared" si="95"/>
        <v>#N/A</v>
      </c>
      <c r="V838" t="e">
        <f t="shared" si="95"/>
        <v>#N/A</v>
      </c>
      <c r="W838" t="e">
        <f t="shared" si="96"/>
        <v>#N/A</v>
      </c>
      <c r="X838" t="e">
        <f t="shared" si="96"/>
        <v>#N/A</v>
      </c>
      <c r="Y838" t="e">
        <f t="shared" si="97"/>
        <v>#N/A</v>
      </c>
      <c r="Z838" t="e">
        <f t="shared" si="97"/>
        <v>#N/A</v>
      </c>
    </row>
    <row r="839" spans="1:26">
      <c r="A839" t="e">
        <f>IF(ISBLANK('[1]Точность устьев скважин'!A841),#N/A,'[1]Точность устьев скважин'!A841)</f>
        <v>#N/A</v>
      </c>
      <c r="B839" t="e">
        <f>IF(ISBLANK('[1]Точность устьев скважин'!B841),#N/A,'[1]Точность устьев скважин'!B841)</f>
        <v>#N/A</v>
      </c>
      <c r="C839" t="e">
        <f>IF(ISBLANK('[1]Точность устьев скважин'!C841),#N/A,'[1]Точность устьев скважин'!C841)</f>
        <v>#N/A</v>
      </c>
      <c r="D839" t="e">
        <f>IF(ISBLANK('[1]Точность устьев скважин'!D841),#N/A,'[1]Точность устьев скважин'!D841)</f>
        <v>#N/A</v>
      </c>
      <c r="G839" t="e">
        <f>IF(ISBLANK('[1]Точность устьев скважин'!H841),#N/A,'[1]Точность устьев скважин'!H841)</f>
        <v>#N/A</v>
      </c>
      <c r="H839" t="e">
        <f>IF(ISBLANK('[1]Точность устьев скважин'!I841),#N/A,'[1]Точность устьев скважин'!I841)</f>
        <v>#N/A</v>
      </c>
      <c r="I839" t="e">
        <f>IF(ISBLANK('[1]Точность устьев скважин'!J841),#N/A,'[1]Точность устьев скважин'!J841)</f>
        <v>#N/A</v>
      </c>
      <c r="J839" t="e">
        <f>IF(ISBLANK('[1]Точность устьев скважин'!K841),#N/A,'[1]Точность устьев скважин'!K841)</f>
        <v>#N/A</v>
      </c>
      <c r="L839" s="63" t="e">
        <f t="shared" si="98"/>
        <v>#N/A</v>
      </c>
      <c r="O839" t="e">
        <f t="shared" si="92"/>
        <v>#N/A</v>
      </c>
      <c r="P839" t="e">
        <f t="shared" si="92"/>
        <v>#N/A</v>
      </c>
      <c r="Q839" t="e">
        <f t="shared" si="93"/>
        <v>#N/A</v>
      </c>
      <c r="R839" t="e">
        <f t="shared" si="93"/>
        <v>#N/A</v>
      </c>
      <c r="S839" t="e">
        <f t="shared" si="94"/>
        <v>#N/A</v>
      </c>
      <c r="T839" t="e">
        <f t="shared" si="94"/>
        <v>#N/A</v>
      </c>
      <c r="U839" t="e">
        <f t="shared" si="95"/>
        <v>#N/A</v>
      </c>
      <c r="V839" t="e">
        <f t="shared" si="95"/>
        <v>#N/A</v>
      </c>
      <c r="W839" t="e">
        <f t="shared" si="96"/>
        <v>#N/A</v>
      </c>
      <c r="X839" t="e">
        <f t="shared" si="96"/>
        <v>#N/A</v>
      </c>
      <c r="Y839" t="e">
        <f t="shared" si="97"/>
        <v>#N/A</v>
      </c>
      <c r="Z839" t="e">
        <f t="shared" si="97"/>
        <v>#N/A</v>
      </c>
    </row>
    <row r="840" spans="1:26">
      <c r="A840" t="e">
        <f>IF(ISBLANK('[1]Точность устьев скважин'!A842),#N/A,'[1]Точность устьев скважин'!A842)</f>
        <v>#N/A</v>
      </c>
      <c r="B840" t="e">
        <f>IF(ISBLANK('[1]Точность устьев скважин'!B842),#N/A,'[1]Точность устьев скважин'!B842)</f>
        <v>#N/A</v>
      </c>
      <c r="C840" t="e">
        <f>IF(ISBLANK('[1]Точность устьев скважин'!C842),#N/A,'[1]Точность устьев скважин'!C842)</f>
        <v>#N/A</v>
      </c>
      <c r="D840" t="e">
        <f>IF(ISBLANK('[1]Точность устьев скважин'!D842),#N/A,'[1]Точность устьев скважин'!D842)</f>
        <v>#N/A</v>
      </c>
      <c r="G840" t="e">
        <f>IF(ISBLANK('[1]Точность устьев скважин'!H842),#N/A,'[1]Точность устьев скважин'!H842)</f>
        <v>#N/A</v>
      </c>
      <c r="H840" t="e">
        <f>IF(ISBLANK('[1]Точность устьев скважин'!I842),#N/A,'[1]Точность устьев скважин'!I842)</f>
        <v>#N/A</v>
      </c>
      <c r="I840" t="e">
        <f>IF(ISBLANK('[1]Точность устьев скважин'!J842),#N/A,'[1]Точность устьев скважин'!J842)</f>
        <v>#N/A</v>
      </c>
      <c r="J840" t="e">
        <f>IF(ISBLANK('[1]Точность устьев скважин'!K842),#N/A,'[1]Точность устьев скважин'!K842)</f>
        <v>#N/A</v>
      </c>
      <c r="L840" s="63" t="e">
        <f t="shared" si="98"/>
        <v>#N/A</v>
      </c>
      <c r="O840" t="e">
        <f t="shared" si="92"/>
        <v>#N/A</v>
      </c>
      <c r="P840" t="e">
        <f t="shared" si="92"/>
        <v>#N/A</v>
      </c>
      <c r="Q840" t="e">
        <f t="shared" si="93"/>
        <v>#N/A</v>
      </c>
      <c r="R840" t="e">
        <f t="shared" si="93"/>
        <v>#N/A</v>
      </c>
      <c r="S840" t="e">
        <f t="shared" si="94"/>
        <v>#N/A</v>
      </c>
      <c r="T840" t="e">
        <f t="shared" si="94"/>
        <v>#N/A</v>
      </c>
      <c r="U840" t="e">
        <f t="shared" si="95"/>
        <v>#N/A</v>
      </c>
      <c r="V840" t="e">
        <f t="shared" si="95"/>
        <v>#N/A</v>
      </c>
      <c r="W840" t="e">
        <f t="shared" si="96"/>
        <v>#N/A</v>
      </c>
      <c r="X840" t="e">
        <f t="shared" si="96"/>
        <v>#N/A</v>
      </c>
      <c r="Y840" t="e">
        <f t="shared" si="97"/>
        <v>#N/A</v>
      </c>
      <c r="Z840" t="e">
        <f t="shared" si="97"/>
        <v>#N/A</v>
      </c>
    </row>
    <row r="841" spans="1:26">
      <c r="A841" t="e">
        <f>IF(ISBLANK('[1]Точность устьев скважин'!A843),#N/A,'[1]Точность устьев скважин'!A843)</f>
        <v>#N/A</v>
      </c>
      <c r="B841" t="e">
        <f>IF(ISBLANK('[1]Точность устьев скважин'!B843),#N/A,'[1]Точность устьев скважин'!B843)</f>
        <v>#N/A</v>
      </c>
      <c r="C841" t="e">
        <f>IF(ISBLANK('[1]Точность устьев скважин'!C843),#N/A,'[1]Точность устьев скважин'!C843)</f>
        <v>#N/A</v>
      </c>
      <c r="D841" t="e">
        <f>IF(ISBLANK('[1]Точность устьев скважин'!D843),#N/A,'[1]Точность устьев скважин'!D843)</f>
        <v>#N/A</v>
      </c>
      <c r="G841" t="e">
        <f>IF(ISBLANK('[1]Точность устьев скважин'!H843),#N/A,'[1]Точность устьев скважин'!H843)</f>
        <v>#N/A</v>
      </c>
      <c r="H841" t="e">
        <f>IF(ISBLANK('[1]Точность устьев скважин'!I843),#N/A,'[1]Точность устьев скважин'!I843)</f>
        <v>#N/A</v>
      </c>
      <c r="I841" t="e">
        <f>IF(ISBLANK('[1]Точность устьев скважин'!J843),#N/A,'[1]Точность устьев скважин'!J843)</f>
        <v>#N/A</v>
      </c>
      <c r="J841" t="e">
        <f>IF(ISBLANK('[1]Точность устьев скважин'!K843),#N/A,'[1]Точность устьев скважин'!K843)</f>
        <v>#N/A</v>
      </c>
      <c r="L841" s="63" t="e">
        <f t="shared" si="98"/>
        <v>#N/A</v>
      </c>
      <c r="O841" t="e">
        <f t="shared" si="92"/>
        <v>#N/A</v>
      </c>
      <c r="P841" t="e">
        <f t="shared" si="92"/>
        <v>#N/A</v>
      </c>
      <c r="Q841" t="e">
        <f t="shared" si="93"/>
        <v>#N/A</v>
      </c>
      <c r="R841" t="e">
        <f t="shared" si="93"/>
        <v>#N/A</v>
      </c>
      <c r="S841" t="e">
        <f t="shared" si="94"/>
        <v>#N/A</v>
      </c>
      <c r="T841" t="e">
        <f t="shared" si="94"/>
        <v>#N/A</v>
      </c>
      <c r="U841" t="e">
        <f t="shared" si="95"/>
        <v>#N/A</v>
      </c>
      <c r="V841" t="e">
        <f t="shared" si="95"/>
        <v>#N/A</v>
      </c>
      <c r="W841" t="e">
        <f t="shared" si="96"/>
        <v>#N/A</v>
      </c>
      <c r="X841" t="e">
        <f t="shared" si="96"/>
        <v>#N/A</v>
      </c>
      <c r="Y841" t="e">
        <f t="shared" si="97"/>
        <v>#N/A</v>
      </c>
      <c r="Z841" t="e">
        <f t="shared" si="97"/>
        <v>#N/A</v>
      </c>
    </row>
    <row r="842" spans="1:26">
      <c r="A842" t="e">
        <f>IF(ISBLANK('[1]Точность устьев скважин'!A844),#N/A,'[1]Точность устьев скважин'!A844)</f>
        <v>#N/A</v>
      </c>
      <c r="B842" t="e">
        <f>IF(ISBLANK('[1]Точность устьев скважин'!B844),#N/A,'[1]Точность устьев скважин'!B844)</f>
        <v>#N/A</v>
      </c>
      <c r="C842" t="e">
        <f>IF(ISBLANK('[1]Точность устьев скважин'!C844),#N/A,'[1]Точность устьев скважин'!C844)</f>
        <v>#N/A</v>
      </c>
      <c r="D842" t="e">
        <f>IF(ISBLANK('[1]Точность устьев скважин'!D844),#N/A,'[1]Точность устьев скважин'!D844)</f>
        <v>#N/A</v>
      </c>
      <c r="G842" t="e">
        <f>IF(ISBLANK('[1]Точность устьев скважин'!H844),#N/A,'[1]Точность устьев скважин'!H844)</f>
        <v>#N/A</v>
      </c>
      <c r="H842" t="e">
        <f>IF(ISBLANK('[1]Точность устьев скважин'!I844),#N/A,'[1]Точность устьев скважин'!I844)</f>
        <v>#N/A</v>
      </c>
      <c r="I842" t="e">
        <f>IF(ISBLANK('[1]Точность устьев скважин'!J844),#N/A,'[1]Точность устьев скважин'!J844)</f>
        <v>#N/A</v>
      </c>
      <c r="J842" t="e">
        <f>IF(ISBLANK('[1]Точность устьев скважин'!K844),#N/A,'[1]Точность устьев скважин'!K844)</f>
        <v>#N/A</v>
      </c>
      <c r="L842" s="63" t="e">
        <f t="shared" si="98"/>
        <v>#N/A</v>
      </c>
      <c r="O842" t="e">
        <f t="shared" si="92"/>
        <v>#N/A</v>
      </c>
      <c r="P842" t="e">
        <f t="shared" si="92"/>
        <v>#N/A</v>
      </c>
      <c r="Q842" t="e">
        <f t="shared" si="93"/>
        <v>#N/A</v>
      </c>
      <c r="R842" t="e">
        <f t="shared" si="93"/>
        <v>#N/A</v>
      </c>
      <c r="S842" t="e">
        <f t="shared" si="94"/>
        <v>#N/A</v>
      </c>
      <c r="T842" t="e">
        <f t="shared" si="94"/>
        <v>#N/A</v>
      </c>
      <c r="U842" t="e">
        <f t="shared" si="95"/>
        <v>#N/A</v>
      </c>
      <c r="V842" t="e">
        <f t="shared" si="95"/>
        <v>#N/A</v>
      </c>
      <c r="W842" t="e">
        <f t="shared" si="96"/>
        <v>#N/A</v>
      </c>
      <c r="X842" t="e">
        <f t="shared" si="96"/>
        <v>#N/A</v>
      </c>
      <c r="Y842" t="e">
        <f t="shared" si="97"/>
        <v>#N/A</v>
      </c>
      <c r="Z842" t="e">
        <f t="shared" si="97"/>
        <v>#N/A</v>
      </c>
    </row>
    <row r="843" spans="1:26">
      <c r="A843" t="e">
        <f>IF(ISBLANK('[1]Точность устьев скважин'!A845),#N/A,'[1]Точность устьев скважин'!A845)</f>
        <v>#N/A</v>
      </c>
      <c r="B843" t="e">
        <f>IF(ISBLANK('[1]Точность устьев скважин'!B845),#N/A,'[1]Точность устьев скважин'!B845)</f>
        <v>#N/A</v>
      </c>
      <c r="C843" t="e">
        <f>IF(ISBLANK('[1]Точность устьев скважин'!C845),#N/A,'[1]Точность устьев скважин'!C845)</f>
        <v>#N/A</v>
      </c>
      <c r="D843" t="e">
        <f>IF(ISBLANK('[1]Точность устьев скважин'!D845),#N/A,'[1]Точность устьев скважин'!D845)</f>
        <v>#N/A</v>
      </c>
      <c r="G843" t="e">
        <f>IF(ISBLANK('[1]Точность устьев скважин'!H845),#N/A,'[1]Точность устьев скважин'!H845)</f>
        <v>#N/A</v>
      </c>
      <c r="H843" t="e">
        <f>IF(ISBLANK('[1]Точность устьев скважин'!I845),#N/A,'[1]Точность устьев скважин'!I845)</f>
        <v>#N/A</v>
      </c>
      <c r="I843" t="e">
        <f>IF(ISBLANK('[1]Точность устьев скважин'!J845),#N/A,'[1]Точность устьев скважин'!J845)</f>
        <v>#N/A</v>
      </c>
      <c r="J843" t="e">
        <f>IF(ISBLANK('[1]Точность устьев скважин'!K845),#N/A,'[1]Точность устьев скважин'!K845)</f>
        <v>#N/A</v>
      </c>
      <c r="L843" s="63" t="e">
        <f t="shared" si="98"/>
        <v>#N/A</v>
      </c>
      <c r="O843" t="e">
        <f t="shared" si="92"/>
        <v>#N/A</v>
      </c>
      <c r="P843" t="e">
        <f t="shared" si="92"/>
        <v>#N/A</v>
      </c>
      <c r="Q843" t="e">
        <f t="shared" si="93"/>
        <v>#N/A</v>
      </c>
      <c r="R843" t="e">
        <f t="shared" si="93"/>
        <v>#N/A</v>
      </c>
      <c r="S843" t="e">
        <f t="shared" si="94"/>
        <v>#N/A</v>
      </c>
      <c r="T843" t="e">
        <f t="shared" si="94"/>
        <v>#N/A</v>
      </c>
      <c r="U843" t="e">
        <f t="shared" si="95"/>
        <v>#N/A</v>
      </c>
      <c r="V843" t="e">
        <f t="shared" si="95"/>
        <v>#N/A</v>
      </c>
      <c r="W843" t="e">
        <f t="shared" si="96"/>
        <v>#N/A</v>
      </c>
      <c r="X843" t="e">
        <f t="shared" si="96"/>
        <v>#N/A</v>
      </c>
      <c r="Y843" t="e">
        <f t="shared" si="97"/>
        <v>#N/A</v>
      </c>
      <c r="Z843" t="e">
        <f t="shared" si="97"/>
        <v>#N/A</v>
      </c>
    </row>
    <row r="844" spans="1:26">
      <c r="A844" t="e">
        <f>IF(ISBLANK('[1]Точность устьев скважин'!A846),#N/A,'[1]Точность устьев скважин'!A846)</f>
        <v>#N/A</v>
      </c>
      <c r="B844" t="e">
        <f>IF(ISBLANK('[1]Точность устьев скважин'!B846),#N/A,'[1]Точность устьев скважин'!B846)</f>
        <v>#N/A</v>
      </c>
      <c r="C844" t="e">
        <f>IF(ISBLANK('[1]Точность устьев скважин'!C846),#N/A,'[1]Точность устьев скважин'!C846)</f>
        <v>#N/A</v>
      </c>
      <c r="D844" t="e">
        <f>IF(ISBLANK('[1]Точность устьев скважин'!D846),#N/A,'[1]Точность устьев скважин'!D846)</f>
        <v>#N/A</v>
      </c>
      <c r="G844" t="e">
        <f>IF(ISBLANK('[1]Точность устьев скважин'!H846),#N/A,'[1]Точность устьев скважин'!H846)</f>
        <v>#N/A</v>
      </c>
      <c r="H844" t="e">
        <f>IF(ISBLANK('[1]Точность устьев скважин'!I846),#N/A,'[1]Точность устьев скважин'!I846)</f>
        <v>#N/A</v>
      </c>
      <c r="I844" t="e">
        <f>IF(ISBLANK('[1]Точность устьев скважин'!J846),#N/A,'[1]Точность устьев скважин'!J846)</f>
        <v>#N/A</v>
      </c>
      <c r="J844" t="e">
        <f>IF(ISBLANK('[1]Точность устьев скважин'!K846),#N/A,'[1]Точность устьев скважин'!K846)</f>
        <v>#N/A</v>
      </c>
      <c r="L844" s="63" t="e">
        <f t="shared" si="98"/>
        <v>#N/A</v>
      </c>
      <c r="O844" t="e">
        <f t="shared" si="92"/>
        <v>#N/A</v>
      </c>
      <c r="P844" t="e">
        <f t="shared" si="92"/>
        <v>#N/A</v>
      </c>
      <c r="Q844" t="e">
        <f t="shared" si="93"/>
        <v>#N/A</v>
      </c>
      <c r="R844" t="e">
        <f t="shared" si="93"/>
        <v>#N/A</v>
      </c>
      <c r="S844" t="e">
        <f t="shared" si="94"/>
        <v>#N/A</v>
      </c>
      <c r="T844" t="e">
        <f t="shared" si="94"/>
        <v>#N/A</v>
      </c>
      <c r="U844" t="e">
        <f t="shared" si="95"/>
        <v>#N/A</v>
      </c>
      <c r="V844" t="e">
        <f t="shared" si="95"/>
        <v>#N/A</v>
      </c>
      <c r="W844" t="e">
        <f t="shared" si="96"/>
        <v>#N/A</v>
      </c>
      <c r="X844" t="e">
        <f t="shared" si="96"/>
        <v>#N/A</v>
      </c>
      <c r="Y844" t="e">
        <f t="shared" si="97"/>
        <v>#N/A</v>
      </c>
      <c r="Z844" t="e">
        <f t="shared" si="97"/>
        <v>#N/A</v>
      </c>
    </row>
    <row r="845" spans="1:26">
      <c r="A845" t="e">
        <f>IF(ISBLANK('[1]Точность устьев скважин'!A847),#N/A,'[1]Точность устьев скважин'!A847)</f>
        <v>#N/A</v>
      </c>
      <c r="B845" t="e">
        <f>IF(ISBLANK('[1]Точность устьев скважин'!B847),#N/A,'[1]Точность устьев скважин'!B847)</f>
        <v>#N/A</v>
      </c>
      <c r="C845" t="e">
        <f>IF(ISBLANK('[1]Точность устьев скважин'!C847),#N/A,'[1]Точность устьев скважин'!C847)</f>
        <v>#N/A</v>
      </c>
      <c r="D845" t="e">
        <f>IF(ISBLANK('[1]Точность устьев скважин'!D847),#N/A,'[1]Точность устьев скважин'!D847)</f>
        <v>#N/A</v>
      </c>
      <c r="G845" t="e">
        <f>IF(ISBLANK('[1]Точность устьев скважин'!H847),#N/A,'[1]Точность устьев скважин'!H847)</f>
        <v>#N/A</v>
      </c>
      <c r="H845" t="e">
        <f>IF(ISBLANK('[1]Точность устьев скважин'!I847),#N/A,'[1]Точность устьев скважин'!I847)</f>
        <v>#N/A</v>
      </c>
      <c r="I845" t="e">
        <f>IF(ISBLANK('[1]Точность устьев скважин'!J847),#N/A,'[1]Точность устьев скважин'!J847)</f>
        <v>#N/A</v>
      </c>
      <c r="J845" t="e">
        <f>IF(ISBLANK('[1]Точность устьев скважин'!K847),#N/A,'[1]Точность устьев скважин'!K847)</f>
        <v>#N/A</v>
      </c>
      <c r="L845" s="63" t="e">
        <f t="shared" si="98"/>
        <v>#N/A</v>
      </c>
      <c r="O845" t="e">
        <f t="shared" si="92"/>
        <v>#N/A</v>
      </c>
      <c r="P845" t="e">
        <f t="shared" si="92"/>
        <v>#N/A</v>
      </c>
      <c r="Q845" t="e">
        <f t="shared" si="93"/>
        <v>#N/A</v>
      </c>
      <c r="R845" t="e">
        <f t="shared" si="93"/>
        <v>#N/A</v>
      </c>
      <c r="S845" t="e">
        <f t="shared" si="94"/>
        <v>#N/A</v>
      </c>
      <c r="T845" t="e">
        <f t="shared" si="94"/>
        <v>#N/A</v>
      </c>
      <c r="U845" t="e">
        <f t="shared" si="95"/>
        <v>#N/A</v>
      </c>
      <c r="V845" t="e">
        <f t="shared" si="95"/>
        <v>#N/A</v>
      </c>
      <c r="W845" t="e">
        <f t="shared" si="96"/>
        <v>#N/A</v>
      </c>
      <c r="X845" t="e">
        <f t="shared" si="96"/>
        <v>#N/A</v>
      </c>
      <c r="Y845" t="e">
        <f t="shared" si="97"/>
        <v>#N/A</v>
      </c>
      <c r="Z845" t="e">
        <f t="shared" si="97"/>
        <v>#N/A</v>
      </c>
    </row>
    <row r="846" spans="1:26">
      <c r="A846" t="e">
        <f>IF(ISBLANK('[1]Точность устьев скважин'!A848),#N/A,'[1]Точность устьев скважин'!A848)</f>
        <v>#N/A</v>
      </c>
      <c r="B846" t="e">
        <f>IF(ISBLANK('[1]Точность устьев скважин'!B848),#N/A,'[1]Точность устьев скважин'!B848)</f>
        <v>#N/A</v>
      </c>
      <c r="C846" t="e">
        <f>IF(ISBLANK('[1]Точность устьев скважин'!C848),#N/A,'[1]Точность устьев скважин'!C848)</f>
        <v>#N/A</v>
      </c>
      <c r="D846" t="e">
        <f>IF(ISBLANK('[1]Точность устьев скважин'!D848),#N/A,'[1]Точность устьев скважин'!D848)</f>
        <v>#N/A</v>
      </c>
      <c r="G846" t="e">
        <f>IF(ISBLANK('[1]Точность устьев скважин'!H848),#N/A,'[1]Точность устьев скважин'!H848)</f>
        <v>#N/A</v>
      </c>
      <c r="H846" t="e">
        <f>IF(ISBLANK('[1]Точность устьев скважин'!I848),#N/A,'[1]Точность устьев скважин'!I848)</f>
        <v>#N/A</v>
      </c>
      <c r="I846" t="e">
        <f>IF(ISBLANK('[1]Точность устьев скважин'!J848),#N/A,'[1]Точность устьев скважин'!J848)</f>
        <v>#N/A</v>
      </c>
      <c r="J846" t="e">
        <f>IF(ISBLANK('[1]Точность устьев скважин'!K848),#N/A,'[1]Точность устьев скважин'!K848)</f>
        <v>#N/A</v>
      </c>
      <c r="L846" s="63" t="e">
        <f t="shared" si="98"/>
        <v>#N/A</v>
      </c>
      <c r="O846" t="e">
        <f t="shared" si="92"/>
        <v>#N/A</v>
      </c>
      <c r="P846" t="e">
        <f t="shared" si="92"/>
        <v>#N/A</v>
      </c>
      <c r="Q846" t="e">
        <f t="shared" si="93"/>
        <v>#N/A</v>
      </c>
      <c r="R846" t="e">
        <f t="shared" si="93"/>
        <v>#N/A</v>
      </c>
      <c r="S846" t="e">
        <f t="shared" si="94"/>
        <v>#N/A</v>
      </c>
      <c r="T846" t="e">
        <f t="shared" si="94"/>
        <v>#N/A</v>
      </c>
      <c r="U846" t="e">
        <f t="shared" si="95"/>
        <v>#N/A</v>
      </c>
      <c r="V846" t="e">
        <f t="shared" si="95"/>
        <v>#N/A</v>
      </c>
      <c r="W846" t="e">
        <f t="shared" si="96"/>
        <v>#N/A</v>
      </c>
      <c r="X846" t="e">
        <f t="shared" si="96"/>
        <v>#N/A</v>
      </c>
      <c r="Y846" t="e">
        <f t="shared" si="97"/>
        <v>#N/A</v>
      </c>
      <c r="Z846" t="e">
        <f t="shared" si="97"/>
        <v>#N/A</v>
      </c>
    </row>
    <row r="847" spans="1:26">
      <c r="A847" t="e">
        <f>IF(ISBLANK('[1]Точность устьев скважин'!A849),#N/A,'[1]Точность устьев скважин'!A849)</f>
        <v>#N/A</v>
      </c>
      <c r="B847" t="e">
        <f>IF(ISBLANK('[1]Точность устьев скважин'!B849),#N/A,'[1]Точность устьев скважин'!B849)</f>
        <v>#N/A</v>
      </c>
      <c r="C847" t="e">
        <f>IF(ISBLANK('[1]Точность устьев скважин'!C849),#N/A,'[1]Точность устьев скважин'!C849)</f>
        <v>#N/A</v>
      </c>
      <c r="D847" t="e">
        <f>IF(ISBLANK('[1]Точность устьев скважин'!D849),#N/A,'[1]Точность устьев скважин'!D849)</f>
        <v>#N/A</v>
      </c>
      <c r="G847" t="e">
        <f>IF(ISBLANK('[1]Точность устьев скважин'!H849),#N/A,'[1]Точность устьев скважин'!H849)</f>
        <v>#N/A</v>
      </c>
      <c r="H847" t="e">
        <f>IF(ISBLANK('[1]Точность устьев скважин'!I849),#N/A,'[1]Точность устьев скважин'!I849)</f>
        <v>#N/A</v>
      </c>
      <c r="I847" t="e">
        <f>IF(ISBLANK('[1]Точность устьев скважин'!J849),#N/A,'[1]Точность устьев скважин'!J849)</f>
        <v>#N/A</v>
      </c>
      <c r="J847" t="e">
        <f>IF(ISBLANK('[1]Точность устьев скважин'!K849),#N/A,'[1]Точность устьев скважин'!K849)</f>
        <v>#N/A</v>
      </c>
      <c r="L847" s="63" t="e">
        <f t="shared" si="98"/>
        <v>#N/A</v>
      </c>
      <c r="O847" t="e">
        <f t="shared" si="92"/>
        <v>#N/A</v>
      </c>
      <c r="P847" t="e">
        <f t="shared" si="92"/>
        <v>#N/A</v>
      </c>
      <c r="Q847" t="e">
        <f t="shared" si="93"/>
        <v>#N/A</v>
      </c>
      <c r="R847" t="e">
        <f t="shared" si="93"/>
        <v>#N/A</v>
      </c>
      <c r="S847" t="e">
        <f t="shared" si="94"/>
        <v>#N/A</v>
      </c>
      <c r="T847" t="e">
        <f t="shared" si="94"/>
        <v>#N/A</v>
      </c>
      <c r="U847" t="e">
        <f t="shared" si="95"/>
        <v>#N/A</v>
      </c>
      <c r="V847" t="e">
        <f t="shared" si="95"/>
        <v>#N/A</v>
      </c>
      <c r="W847" t="e">
        <f t="shared" si="96"/>
        <v>#N/A</v>
      </c>
      <c r="X847" t="e">
        <f t="shared" si="96"/>
        <v>#N/A</v>
      </c>
      <c r="Y847" t="e">
        <f t="shared" si="97"/>
        <v>#N/A</v>
      </c>
      <c r="Z847" t="e">
        <f t="shared" si="97"/>
        <v>#N/A</v>
      </c>
    </row>
    <row r="848" spans="1:26">
      <c r="A848" t="e">
        <f>IF(ISBLANK('[1]Точность устьев скважин'!A850),#N/A,'[1]Точность устьев скважин'!A850)</f>
        <v>#N/A</v>
      </c>
      <c r="B848" t="e">
        <f>IF(ISBLANK('[1]Точность устьев скважин'!B850),#N/A,'[1]Точность устьев скважин'!B850)</f>
        <v>#N/A</v>
      </c>
      <c r="C848" t="e">
        <f>IF(ISBLANK('[1]Точность устьев скважин'!C850),#N/A,'[1]Точность устьев скважин'!C850)</f>
        <v>#N/A</v>
      </c>
      <c r="D848" t="e">
        <f>IF(ISBLANK('[1]Точность устьев скважин'!D850),#N/A,'[1]Точность устьев скважин'!D850)</f>
        <v>#N/A</v>
      </c>
      <c r="G848" t="e">
        <f>IF(ISBLANK('[1]Точность устьев скважин'!H850),#N/A,'[1]Точность устьев скважин'!H850)</f>
        <v>#N/A</v>
      </c>
      <c r="H848" t="e">
        <f>IF(ISBLANK('[1]Точность устьев скважин'!I850),#N/A,'[1]Точность устьев скважин'!I850)</f>
        <v>#N/A</v>
      </c>
      <c r="I848" t="e">
        <f>IF(ISBLANK('[1]Точность устьев скважин'!J850),#N/A,'[1]Точность устьев скважин'!J850)</f>
        <v>#N/A</v>
      </c>
      <c r="J848" t="e">
        <f>IF(ISBLANK('[1]Точность устьев скважин'!K850),#N/A,'[1]Точность устьев скважин'!K850)</f>
        <v>#N/A</v>
      </c>
      <c r="L848" s="63" t="e">
        <f t="shared" si="98"/>
        <v>#N/A</v>
      </c>
      <c r="O848" t="e">
        <f t="shared" si="92"/>
        <v>#N/A</v>
      </c>
      <c r="P848" t="e">
        <f t="shared" si="92"/>
        <v>#N/A</v>
      </c>
      <c r="Q848" t="e">
        <f t="shared" si="93"/>
        <v>#N/A</v>
      </c>
      <c r="R848" t="e">
        <f t="shared" si="93"/>
        <v>#N/A</v>
      </c>
      <c r="S848" t="e">
        <f t="shared" si="94"/>
        <v>#N/A</v>
      </c>
      <c r="T848" t="e">
        <f t="shared" si="94"/>
        <v>#N/A</v>
      </c>
      <c r="U848" t="e">
        <f t="shared" si="95"/>
        <v>#N/A</v>
      </c>
      <c r="V848" t="e">
        <f t="shared" si="95"/>
        <v>#N/A</v>
      </c>
      <c r="W848" t="e">
        <f t="shared" si="96"/>
        <v>#N/A</v>
      </c>
      <c r="X848" t="e">
        <f t="shared" si="96"/>
        <v>#N/A</v>
      </c>
      <c r="Y848" t="e">
        <f t="shared" si="97"/>
        <v>#N/A</v>
      </c>
      <c r="Z848" t="e">
        <f t="shared" si="97"/>
        <v>#N/A</v>
      </c>
    </row>
    <row r="849" spans="1:26">
      <c r="A849" t="e">
        <f>IF(ISBLANK('[1]Точность устьев скважин'!A851),#N/A,'[1]Точность устьев скважин'!A851)</f>
        <v>#N/A</v>
      </c>
      <c r="B849" t="e">
        <f>IF(ISBLANK('[1]Точность устьев скважин'!B851),#N/A,'[1]Точность устьев скважин'!B851)</f>
        <v>#N/A</v>
      </c>
      <c r="C849" t="e">
        <f>IF(ISBLANK('[1]Точность устьев скважин'!C851),#N/A,'[1]Точность устьев скважин'!C851)</f>
        <v>#N/A</v>
      </c>
      <c r="D849" t="e">
        <f>IF(ISBLANK('[1]Точность устьев скважин'!D851),#N/A,'[1]Точность устьев скважин'!D851)</f>
        <v>#N/A</v>
      </c>
      <c r="G849" t="e">
        <f>IF(ISBLANK('[1]Точность устьев скважин'!H851),#N/A,'[1]Точность устьев скважин'!H851)</f>
        <v>#N/A</v>
      </c>
      <c r="H849" t="e">
        <f>IF(ISBLANK('[1]Точность устьев скважин'!I851),#N/A,'[1]Точность устьев скважин'!I851)</f>
        <v>#N/A</v>
      </c>
      <c r="I849" t="e">
        <f>IF(ISBLANK('[1]Точность устьев скважин'!J851),#N/A,'[1]Точность устьев скважин'!J851)</f>
        <v>#N/A</v>
      </c>
      <c r="J849" t="e">
        <f>IF(ISBLANK('[1]Точность устьев скважин'!K851),#N/A,'[1]Точность устьев скважин'!K851)</f>
        <v>#N/A</v>
      </c>
      <c r="L849" s="63" t="e">
        <f t="shared" si="98"/>
        <v>#N/A</v>
      </c>
      <c r="O849" t="e">
        <f t="shared" si="92"/>
        <v>#N/A</v>
      </c>
      <c r="P849" t="e">
        <f t="shared" si="92"/>
        <v>#N/A</v>
      </c>
      <c r="Q849" t="e">
        <f t="shared" si="93"/>
        <v>#N/A</v>
      </c>
      <c r="R849" t="e">
        <f t="shared" si="93"/>
        <v>#N/A</v>
      </c>
      <c r="S849" t="e">
        <f t="shared" si="94"/>
        <v>#N/A</v>
      </c>
      <c r="T849" t="e">
        <f t="shared" si="94"/>
        <v>#N/A</v>
      </c>
      <c r="U849" t="e">
        <f t="shared" si="95"/>
        <v>#N/A</v>
      </c>
      <c r="V849" t="e">
        <f t="shared" si="95"/>
        <v>#N/A</v>
      </c>
      <c r="W849" t="e">
        <f t="shared" si="96"/>
        <v>#N/A</v>
      </c>
      <c r="X849" t="e">
        <f t="shared" si="96"/>
        <v>#N/A</v>
      </c>
      <c r="Y849" t="e">
        <f t="shared" si="97"/>
        <v>#N/A</v>
      </c>
      <c r="Z849" t="e">
        <f t="shared" si="97"/>
        <v>#N/A</v>
      </c>
    </row>
    <row r="850" spans="1:26">
      <c r="A850" t="e">
        <f>IF(ISBLANK('[1]Точность устьев скважин'!A852),#N/A,'[1]Точность устьев скважин'!A852)</f>
        <v>#N/A</v>
      </c>
      <c r="B850" t="e">
        <f>IF(ISBLANK('[1]Точность устьев скважин'!B852),#N/A,'[1]Точность устьев скважин'!B852)</f>
        <v>#N/A</v>
      </c>
      <c r="C850" t="e">
        <f>IF(ISBLANK('[1]Точность устьев скважин'!C852),#N/A,'[1]Точность устьев скважин'!C852)</f>
        <v>#N/A</v>
      </c>
      <c r="D850" t="e">
        <f>IF(ISBLANK('[1]Точность устьев скважин'!D852),#N/A,'[1]Точность устьев скважин'!D852)</f>
        <v>#N/A</v>
      </c>
      <c r="G850" t="e">
        <f>IF(ISBLANK('[1]Точность устьев скважин'!H852),#N/A,'[1]Точность устьев скважин'!H852)</f>
        <v>#N/A</v>
      </c>
      <c r="H850" t="e">
        <f>IF(ISBLANK('[1]Точность устьев скважин'!I852),#N/A,'[1]Точность устьев скважин'!I852)</f>
        <v>#N/A</v>
      </c>
      <c r="I850" t="e">
        <f>IF(ISBLANK('[1]Точность устьев скважин'!J852),#N/A,'[1]Точность устьев скважин'!J852)</f>
        <v>#N/A</v>
      </c>
      <c r="J850" t="e">
        <f>IF(ISBLANK('[1]Точность устьев скважин'!K852),#N/A,'[1]Точность устьев скважин'!K852)</f>
        <v>#N/A</v>
      </c>
      <c r="L850" s="63" t="e">
        <f t="shared" si="98"/>
        <v>#N/A</v>
      </c>
      <c r="O850" t="e">
        <f t="shared" si="92"/>
        <v>#N/A</v>
      </c>
      <c r="P850" t="e">
        <f t="shared" si="92"/>
        <v>#N/A</v>
      </c>
      <c r="Q850" t="e">
        <f t="shared" si="93"/>
        <v>#N/A</v>
      </c>
      <c r="R850" t="e">
        <f t="shared" si="93"/>
        <v>#N/A</v>
      </c>
      <c r="S850" t="e">
        <f t="shared" si="94"/>
        <v>#N/A</v>
      </c>
      <c r="T850" t="e">
        <f t="shared" si="94"/>
        <v>#N/A</v>
      </c>
      <c r="U850" t="e">
        <f t="shared" si="95"/>
        <v>#N/A</v>
      </c>
      <c r="V850" t="e">
        <f t="shared" si="95"/>
        <v>#N/A</v>
      </c>
      <c r="W850" t="e">
        <f t="shared" si="96"/>
        <v>#N/A</v>
      </c>
      <c r="X850" t="e">
        <f t="shared" si="96"/>
        <v>#N/A</v>
      </c>
      <c r="Y850" t="e">
        <f t="shared" si="97"/>
        <v>#N/A</v>
      </c>
      <c r="Z850" t="e">
        <f t="shared" si="97"/>
        <v>#N/A</v>
      </c>
    </row>
  </sheetData>
  <mergeCells count="8">
    <mergeCell ref="W1:X1"/>
    <mergeCell ref="Y1:Z1"/>
    <mergeCell ref="A1:D1"/>
    <mergeCell ref="G1:J1"/>
    <mergeCell ref="O1:P1"/>
    <mergeCell ref="Q1:R1"/>
    <mergeCell ref="S1:T1"/>
    <mergeCell ref="U1:V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378E-7FA0-4A40-8BCE-4DECC33E287A}">
  <dimension ref="A1:AJ244"/>
  <sheetViews>
    <sheetView workbookViewId="0">
      <selection sqref="A1:XFD1048576"/>
    </sheetView>
  </sheetViews>
  <sheetFormatPr defaultColWidth="8" defaultRowHeight="15.75"/>
  <cols>
    <col min="2" max="2" width="11.375" bestFit="1" customWidth="1"/>
    <col min="6" max="6" width="8.875" customWidth="1"/>
    <col min="7" max="7" width="13.5" customWidth="1"/>
    <col min="11" max="11" width="10.625" customWidth="1"/>
    <col min="16" max="16" width="19.625" customWidth="1"/>
    <col min="17" max="17" width="10.625" customWidth="1"/>
    <col min="23" max="23" width="10" bestFit="1" customWidth="1"/>
    <col min="24" max="24" width="10.75" bestFit="1" customWidth="1"/>
    <col min="25" max="25" width="9.75" bestFit="1" customWidth="1"/>
    <col min="28" max="28" width="9.625" bestFit="1" customWidth="1"/>
    <col min="30" max="31" width="10.625" bestFit="1" customWidth="1"/>
    <col min="33" max="33" width="13.25" bestFit="1" customWidth="1"/>
    <col min="34" max="34" width="12.375" customWidth="1"/>
    <col min="35" max="35" width="12" customWidth="1"/>
  </cols>
  <sheetData>
    <row r="1" spans="1:36" ht="16.5" thickBot="1"/>
    <row r="2" spans="1:36" ht="16.5" thickBot="1">
      <c r="A2" s="40" t="s">
        <v>2</v>
      </c>
      <c r="B2" s="41"/>
      <c r="C2" s="45"/>
      <c r="D2" s="45"/>
      <c r="E2" s="45"/>
      <c r="F2" s="40" t="s">
        <v>3</v>
      </c>
      <c r="G2" s="41"/>
      <c r="I2" s="64" t="s">
        <v>53</v>
      </c>
      <c r="J2" s="64"/>
      <c r="K2" s="64"/>
      <c r="L2" s="64"/>
      <c r="M2" s="64"/>
      <c r="N2" s="64"/>
      <c r="O2" s="64"/>
      <c r="P2" s="64"/>
      <c r="Q2" s="64"/>
      <c r="V2" s="65"/>
      <c r="W2" s="65"/>
      <c r="AA2" s="66"/>
      <c r="AB2" s="65"/>
      <c r="AC2" s="67"/>
      <c r="AD2" s="67"/>
      <c r="AE2" s="68"/>
      <c r="AG2" t="s">
        <v>54</v>
      </c>
      <c r="AH2" t="s">
        <v>55</v>
      </c>
      <c r="AI2" t="s">
        <v>56</v>
      </c>
    </row>
    <row r="3" spans="1:36" ht="32.25" thickBot="1">
      <c r="A3" s="10" t="s">
        <v>9</v>
      </c>
      <c r="B3" s="11" t="s">
        <v>57</v>
      </c>
      <c r="C3" s="45"/>
      <c r="D3" s="45"/>
      <c r="E3" s="45"/>
      <c r="F3" s="10" t="s">
        <v>9</v>
      </c>
      <c r="G3" s="11" t="s">
        <v>57</v>
      </c>
      <c r="I3" s="69" t="s">
        <v>58</v>
      </c>
      <c r="J3" s="69"/>
      <c r="K3" s="69"/>
      <c r="L3" s="70">
        <f>AD17</f>
        <v>237</v>
      </c>
      <c r="M3" s="71"/>
      <c r="N3" s="69" t="s">
        <v>59</v>
      </c>
      <c r="O3" s="69"/>
      <c r="P3" s="69"/>
      <c r="Q3" s="70">
        <f>AA4</f>
        <v>0.5</v>
      </c>
      <c r="V3" s="72" t="s">
        <v>60</v>
      </c>
      <c r="W3" s="72"/>
      <c r="X3" s="73" t="s">
        <v>61</v>
      </c>
      <c r="Y3" s="73" t="s">
        <v>62</v>
      </c>
      <c r="Z3" s="73" t="s">
        <v>63</v>
      </c>
      <c r="AA3" s="74" t="s">
        <v>19</v>
      </c>
      <c r="AB3" s="75"/>
      <c r="AC3" s="53" t="s">
        <v>8</v>
      </c>
      <c r="AD3" s="53"/>
      <c r="AE3" s="76"/>
      <c r="AF3" s="77"/>
      <c r="AG3" s="77" t="s">
        <v>61</v>
      </c>
      <c r="AH3" s="77" t="s">
        <v>62</v>
      </c>
      <c r="AI3" s="77" t="s">
        <v>64</v>
      </c>
    </row>
    <row r="4" spans="1:36" ht="16.5" thickBot="1">
      <c r="A4" s="78">
        <v>1</v>
      </c>
      <c r="B4" s="79">
        <v>13.2</v>
      </c>
      <c r="C4" s="45"/>
      <c r="D4" s="54" t="s">
        <v>13</v>
      </c>
      <c r="E4" s="45"/>
      <c r="F4" s="78">
        <v>1</v>
      </c>
      <c r="G4" s="80">
        <v>13.2</v>
      </c>
      <c r="I4" s="69" t="s">
        <v>65</v>
      </c>
      <c r="J4" s="69"/>
      <c r="K4" s="69"/>
      <c r="L4" s="70">
        <f>AD15</f>
        <v>0</v>
      </c>
      <c r="M4" s="71"/>
      <c r="N4" s="69" t="s">
        <v>66</v>
      </c>
      <c r="O4" s="69"/>
      <c r="P4" s="69"/>
      <c r="Q4" s="18">
        <f>AI4</f>
        <v>237</v>
      </c>
      <c r="V4" s="81">
        <f>G4-B4</f>
        <v>0</v>
      </c>
      <c r="W4" s="81">
        <f>SUMIF(V4:V125,"&gt;0.5",V4:V125)</f>
        <v>0</v>
      </c>
      <c r="X4" s="81">
        <f>IF($V4&lt;-$AA$4,1,0)</f>
        <v>0</v>
      </c>
      <c r="Y4" s="81">
        <f>IF($V4&gt;$AA$4,1,0)</f>
        <v>0</v>
      </c>
      <c r="Z4" s="81">
        <f>IF($V4&gt;=-$AA$4,IF(V4&lt;=$AA$4,1,""),"")</f>
        <v>1</v>
      </c>
      <c r="AA4" s="82">
        <v>0.5</v>
      </c>
      <c r="AB4" s="75"/>
      <c r="AE4" s="77"/>
      <c r="AF4" s="77" t="s">
        <v>67</v>
      </c>
      <c r="AG4" s="77">
        <f>SUM(X:X)</f>
        <v>0</v>
      </c>
      <c r="AH4" s="77">
        <f>SUM(Y:Y)</f>
        <v>0</v>
      </c>
      <c r="AI4" s="77">
        <f>SUM(Z:Z)</f>
        <v>237</v>
      </c>
      <c r="AJ4">
        <f>SUM(AG4:AI4)</f>
        <v>237</v>
      </c>
    </row>
    <row r="5" spans="1:36" ht="16.5" thickBot="1">
      <c r="A5" s="83">
        <v>2</v>
      </c>
      <c r="B5" s="84">
        <v>13.2</v>
      </c>
      <c r="C5" s="45"/>
      <c r="D5" s="54"/>
      <c r="E5" s="45"/>
      <c r="F5" s="83">
        <v>2</v>
      </c>
      <c r="G5" s="85">
        <v>13.2</v>
      </c>
      <c r="I5" s="69" t="s">
        <v>68</v>
      </c>
      <c r="J5" s="69"/>
      <c r="K5" s="69"/>
      <c r="L5" s="70">
        <f>AD14</f>
        <v>0</v>
      </c>
      <c r="M5" s="71"/>
      <c r="N5" s="69" t="s">
        <v>69</v>
      </c>
      <c r="O5" s="69"/>
      <c r="P5" s="69"/>
      <c r="Q5" s="18">
        <f>AH4</f>
        <v>0</v>
      </c>
      <c r="V5" s="81">
        <f t="shared" ref="V5:V68" si="0">G5-B5</f>
        <v>0</v>
      </c>
      <c r="W5" s="81"/>
      <c r="X5" s="81">
        <f t="shared" ref="X5:X68" si="1">IF($V5&lt;-$AA$4,1,0)</f>
        <v>0</v>
      </c>
      <c r="Y5" s="81">
        <f t="shared" ref="Y5:Y68" si="2">IF($V5&gt;$AA$4,1,0)</f>
        <v>0</v>
      </c>
      <c r="Z5" s="81">
        <f t="shared" ref="Z5:Z68" si="3">IF($V5&gt;=-$AA$4,IF(V5&lt;=$AA$4,1,""),"")</f>
        <v>1</v>
      </c>
      <c r="AA5" s="75"/>
      <c r="AB5" s="75"/>
      <c r="AC5" t="s">
        <v>23</v>
      </c>
      <c r="AD5">
        <v>0</v>
      </c>
      <c r="AE5" s="77"/>
      <c r="AF5" s="77" t="s">
        <v>70</v>
      </c>
      <c r="AG5" s="77">
        <f>AG4/$AJ$4</f>
        <v>0</v>
      </c>
      <c r="AH5" s="77">
        <f t="shared" ref="AH5:AI5" si="4">AH4/$AJ$4</f>
        <v>0</v>
      </c>
      <c r="AI5" s="77">
        <f t="shared" si="4"/>
        <v>1</v>
      </c>
    </row>
    <row r="6" spans="1:36" ht="16.5" thickBot="1">
      <c r="A6" s="83">
        <v>3</v>
      </c>
      <c r="B6" s="84">
        <v>12.9</v>
      </c>
      <c r="C6" s="45"/>
      <c r="D6" s="54"/>
      <c r="E6" s="45"/>
      <c r="F6" s="83">
        <v>3</v>
      </c>
      <c r="G6" s="85">
        <v>12.9</v>
      </c>
      <c r="I6" s="86"/>
      <c r="J6" s="86"/>
      <c r="K6" s="86"/>
      <c r="L6" s="87"/>
      <c r="M6" s="71"/>
      <c r="N6" s="69" t="s">
        <v>71</v>
      </c>
      <c r="O6" s="69"/>
      <c r="P6" s="69"/>
      <c r="Q6" s="70">
        <f>AG4</f>
        <v>0</v>
      </c>
      <c r="V6" s="81">
        <f t="shared" si="0"/>
        <v>0</v>
      </c>
      <c r="W6" s="81"/>
      <c r="X6" s="81">
        <f t="shared" si="1"/>
        <v>0</v>
      </c>
      <c r="Y6" s="81">
        <f t="shared" si="2"/>
        <v>0</v>
      </c>
      <c r="Z6" s="81">
        <f t="shared" si="3"/>
        <v>1</v>
      </c>
      <c r="AA6" s="75"/>
      <c r="AB6" s="75"/>
      <c r="AC6" t="s">
        <v>24</v>
      </c>
      <c r="AD6">
        <v>0</v>
      </c>
      <c r="AE6" s="77"/>
      <c r="AF6" s="77"/>
      <c r="AG6" s="77"/>
      <c r="AH6" s="77"/>
      <c r="AI6" s="75"/>
    </row>
    <row r="7" spans="1:36" ht="16.5" thickBot="1">
      <c r="A7" s="83">
        <v>4</v>
      </c>
      <c r="B7" s="84">
        <v>12.9</v>
      </c>
      <c r="C7" s="45"/>
      <c r="D7" s="54"/>
      <c r="E7" s="45"/>
      <c r="F7" s="83">
        <v>4</v>
      </c>
      <c r="G7" s="85">
        <v>12.9</v>
      </c>
      <c r="V7" s="81">
        <f t="shared" si="0"/>
        <v>0</v>
      </c>
      <c r="W7" s="81"/>
      <c r="X7" s="81">
        <f t="shared" si="1"/>
        <v>0</v>
      </c>
      <c r="Y7" s="81">
        <f t="shared" si="2"/>
        <v>0</v>
      </c>
      <c r="Z7" s="81">
        <f t="shared" si="3"/>
        <v>1</v>
      </c>
      <c r="AA7" s="75"/>
      <c r="AB7" s="75"/>
      <c r="AC7" t="s">
        <v>25</v>
      </c>
      <c r="AD7">
        <v>0</v>
      </c>
      <c r="AE7" s="77"/>
      <c r="AF7" s="77"/>
      <c r="AG7" s="77"/>
      <c r="AH7" s="77"/>
      <c r="AI7" s="75"/>
    </row>
    <row r="8" spans="1:36" ht="16.5" thickBot="1">
      <c r="A8" s="83">
        <v>5</v>
      </c>
      <c r="B8" s="84">
        <v>12.9</v>
      </c>
      <c r="C8" s="45"/>
      <c r="D8" s="54"/>
      <c r="E8" s="45"/>
      <c r="F8" s="83">
        <v>5</v>
      </c>
      <c r="G8" s="85">
        <v>12.9</v>
      </c>
      <c r="V8" s="81">
        <f t="shared" si="0"/>
        <v>0</v>
      </c>
      <c r="W8" s="81"/>
      <c r="X8" s="81">
        <f t="shared" si="1"/>
        <v>0</v>
      </c>
      <c r="Y8" s="81">
        <f t="shared" si="2"/>
        <v>0</v>
      </c>
      <c r="Z8" s="81">
        <f t="shared" si="3"/>
        <v>1</v>
      </c>
      <c r="AA8" s="75"/>
      <c r="AB8" s="75"/>
      <c r="AC8" t="s">
        <v>26</v>
      </c>
      <c r="AD8">
        <v>0</v>
      </c>
      <c r="AE8" s="77"/>
      <c r="AF8" s="77"/>
      <c r="AG8" s="77"/>
      <c r="AH8" s="77"/>
      <c r="AI8" s="75"/>
    </row>
    <row r="9" spans="1:36" ht="16.5" thickBot="1">
      <c r="A9" s="83">
        <v>6</v>
      </c>
      <c r="B9" s="84">
        <v>12.9</v>
      </c>
      <c r="C9" s="45"/>
      <c r="D9" s="54"/>
      <c r="E9" s="45"/>
      <c r="F9" s="83">
        <v>6</v>
      </c>
      <c r="G9" s="85">
        <v>12.9</v>
      </c>
      <c r="V9" s="81">
        <f t="shared" si="0"/>
        <v>0</v>
      </c>
      <c r="W9" s="81"/>
      <c r="X9" s="81">
        <f t="shared" si="1"/>
        <v>0</v>
      </c>
      <c r="Y9" s="81">
        <f t="shared" si="2"/>
        <v>0</v>
      </c>
      <c r="Z9" s="81">
        <f t="shared" si="3"/>
        <v>1</v>
      </c>
      <c r="AA9" s="75"/>
      <c r="AB9" s="75"/>
      <c r="AC9" t="s">
        <v>27</v>
      </c>
      <c r="AD9">
        <v>0</v>
      </c>
      <c r="AE9" s="77"/>
      <c r="AF9" s="77"/>
      <c r="AG9" s="77"/>
      <c r="AH9" s="77"/>
      <c r="AI9" s="75"/>
    </row>
    <row r="10" spans="1:36" ht="16.5" thickBot="1">
      <c r="A10" s="83">
        <v>7</v>
      </c>
      <c r="B10" s="84">
        <v>12.8</v>
      </c>
      <c r="C10" s="45"/>
      <c r="D10" s="54"/>
      <c r="E10" s="45"/>
      <c r="F10" s="83">
        <v>7</v>
      </c>
      <c r="G10" s="85">
        <v>12.8</v>
      </c>
      <c r="V10" s="81">
        <f t="shared" si="0"/>
        <v>0</v>
      </c>
      <c r="W10" s="81"/>
      <c r="X10" s="81">
        <f t="shared" si="1"/>
        <v>0</v>
      </c>
      <c r="Y10" s="81">
        <f t="shared" si="2"/>
        <v>0</v>
      </c>
      <c r="Z10" s="81">
        <f t="shared" si="3"/>
        <v>1</v>
      </c>
      <c r="AA10" s="75"/>
      <c r="AB10" s="75"/>
      <c r="AC10" t="s">
        <v>28</v>
      </c>
      <c r="AD10">
        <v>0</v>
      </c>
      <c r="AE10" s="77"/>
      <c r="AF10" s="77"/>
      <c r="AG10" s="77"/>
      <c r="AH10" s="77"/>
      <c r="AI10" s="75"/>
    </row>
    <row r="11" spans="1:36" ht="16.5" thickBot="1">
      <c r="A11" s="83">
        <v>8</v>
      </c>
      <c r="B11" s="84">
        <v>12.8</v>
      </c>
      <c r="C11" s="45"/>
      <c r="D11" s="54"/>
      <c r="E11" s="45"/>
      <c r="F11" s="83">
        <v>8</v>
      </c>
      <c r="G11" s="85">
        <v>12.8</v>
      </c>
      <c r="V11" s="81">
        <f t="shared" si="0"/>
        <v>0</v>
      </c>
      <c r="W11" s="81"/>
      <c r="X11" s="81">
        <f t="shared" si="1"/>
        <v>0</v>
      </c>
      <c r="Y11" s="81">
        <f t="shared" si="2"/>
        <v>0</v>
      </c>
      <c r="Z11" s="81">
        <f t="shared" si="3"/>
        <v>1</v>
      </c>
      <c r="AA11" s="75"/>
      <c r="AB11" s="75"/>
      <c r="AC11" t="s">
        <v>29</v>
      </c>
      <c r="AD11" t="e">
        <v>#DIV/0!</v>
      </c>
      <c r="AE11" s="77"/>
      <c r="AF11" s="77"/>
      <c r="AG11" s="77"/>
      <c r="AH11" s="77"/>
      <c r="AI11" s="75"/>
    </row>
    <row r="12" spans="1:36" ht="16.5" thickBot="1">
      <c r="A12" s="83">
        <v>9</v>
      </c>
      <c r="B12" s="84">
        <v>12.7</v>
      </c>
      <c r="C12" s="45"/>
      <c r="D12" s="54"/>
      <c r="E12" s="45"/>
      <c r="F12" s="83">
        <v>9</v>
      </c>
      <c r="G12" s="85">
        <v>12.7</v>
      </c>
      <c r="V12" s="81">
        <f t="shared" si="0"/>
        <v>0</v>
      </c>
      <c r="W12" s="81"/>
      <c r="X12" s="81">
        <f t="shared" si="1"/>
        <v>0</v>
      </c>
      <c r="Y12" s="81">
        <f t="shared" si="2"/>
        <v>0</v>
      </c>
      <c r="Z12" s="81">
        <f t="shared" si="3"/>
        <v>1</v>
      </c>
      <c r="AA12" s="75"/>
      <c r="AB12" s="75"/>
      <c r="AC12" t="s">
        <v>30</v>
      </c>
      <c r="AD12" t="e">
        <v>#DIV/0!</v>
      </c>
      <c r="AE12" s="77"/>
      <c r="AF12" s="77"/>
      <c r="AG12" s="77"/>
      <c r="AH12" s="77"/>
      <c r="AI12" s="75"/>
    </row>
    <row r="13" spans="1:36" ht="16.5" thickBot="1">
      <c r="A13" s="83">
        <v>10</v>
      </c>
      <c r="B13" s="84">
        <v>12.7</v>
      </c>
      <c r="C13" s="45"/>
      <c r="D13" s="54"/>
      <c r="E13" s="45"/>
      <c r="F13" s="83">
        <v>10</v>
      </c>
      <c r="G13" s="85">
        <v>12.7</v>
      </c>
      <c r="V13" s="81">
        <f t="shared" si="0"/>
        <v>0</v>
      </c>
      <c r="W13" s="81"/>
      <c r="X13" s="81">
        <f t="shared" si="1"/>
        <v>0</v>
      </c>
      <c r="Y13" s="81">
        <f t="shared" si="2"/>
        <v>0</v>
      </c>
      <c r="Z13" s="81">
        <f t="shared" si="3"/>
        <v>1</v>
      </c>
      <c r="AA13" s="75"/>
      <c r="AB13" s="75"/>
      <c r="AC13" t="s">
        <v>31</v>
      </c>
      <c r="AD13">
        <v>0</v>
      </c>
      <c r="AE13" s="77"/>
      <c r="AF13" s="77"/>
      <c r="AG13" s="77"/>
      <c r="AH13" s="77"/>
      <c r="AI13" s="75"/>
    </row>
    <row r="14" spans="1:36" ht="16.5" thickBot="1">
      <c r="A14" s="83">
        <v>11</v>
      </c>
      <c r="B14" s="84">
        <v>12.7</v>
      </c>
      <c r="C14" s="45"/>
      <c r="D14" s="54"/>
      <c r="E14" s="45"/>
      <c r="F14" s="83">
        <v>11</v>
      </c>
      <c r="G14" s="85">
        <v>12.7</v>
      </c>
      <c r="V14" s="81">
        <f t="shared" si="0"/>
        <v>0</v>
      </c>
      <c r="W14" s="81"/>
      <c r="X14" s="81">
        <f t="shared" si="1"/>
        <v>0</v>
      </c>
      <c r="Y14" s="81">
        <f t="shared" si="2"/>
        <v>0</v>
      </c>
      <c r="Z14" s="81">
        <f t="shared" si="3"/>
        <v>1</v>
      </c>
      <c r="AA14" s="75"/>
      <c r="AB14" s="75"/>
      <c r="AC14" t="s">
        <v>32</v>
      </c>
      <c r="AD14">
        <v>0</v>
      </c>
      <c r="AE14" s="77"/>
      <c r="AF14" s="77"/>
      <c r="AG14" s="77"/>
      <c r="AH14" s="77"/>
      <c r="AI14" s="75"/>
    </row>
    <row r="15" spans="1:36" ht="16.5" thickBot="1">
      <c r="A15" s="83">
        <v>12</v>
      </c>
      <c r="B15" s="84">
        <v>12.8</v>
      </c>
      <c r="C15" s="45"/>
      <c r="D15" s="54"/>
      <c r="E15" s="45"/>
      <c r="F15" s="83">
        <v>12</v>
      </c>
      <c r="G15" s="85">
        <v>12.8</v>
      </c>
      <c r="V15" s="81">
        <f t="shared" si="0"/>
        <v>0</v>
      </c>
      <c r="W15" s="81"/>
      <c r="X15" s="81">
        <f t="shared" si="1"/>
        <v>0</v>
      </c>
      <c r="Y15" s="81">
        <f t="shared" si="2"/>
        <v>0</v>
      </c>
      <c r="Z15" s="81">
        <f t="shared" si="3"/>
        <v>1</v>
      </c>
      <c r="AA15" s="75"/>
      <c r="AB15" s="75"/>
      <c r="AC15" t="s">
        <v>33</v>
      </c>
      <c r="AD15">
        <v>0</v>
      </c>
      <c r="AE15" s="77"/>
      <c r="AF15" s="77"/>
      <c r="AG15" s="77"/>
      <c r="AH15" s="77"/>
      <c r="AI15" s="75"/>
    </row>
    <row r="16" spans="1:36" ht="16.5" thickBot="1">
      <c r="A16" s="83">
        <v>13</v>
      </c>
      <c r="B16" s="84">
        <v>12.8</v>
      </c>
      <c r="C16" s="45"/>
      <c r="D16" s="54"/>
      <c r="E16" s="45"/>
      <c r="F16" s="83">
        <v>13</v>
      </c>
      <c r="G16" s="85">
        <v>12.8</v>
      </c>
      <c r="V16" s="81">
        <f t="shared" si="0"/>
        <v>0</v>
      </c>
      <c r="W16" s="81"/>
      <c r="X16" s="81">
        <f t="shared" si="1"/>
        <v>0</v>
      </c>
      <c r="Y16" s="81">
        <f t="shared" si="2"/>
        <v>0</v>
      </c>
      <c r="Z16" s="81">
        <f t="shared" si="3"/>
        <v>1</v>
      </c>
      <c r="AA16" s="75"/>
      <c r="AB16" s="75"/>
      <c r="AC16" t="s">
        <v>34</v>
      </c>
      <c r="AD16">
        <v>0</v>
      </c>
      <c r="AE16" s="77"/>
      <c r="AF16" s="77"/>
      <c r="AG16" s="77"/>
      <c r="AH16" s="77"/>
      <c r="AI16" s="75"/>
    </row>
    <row r="17" spans="1:35" ht="16.5" thickBot="1">
      <c r="A17" s="83">
        <v>14</v>
      </c>
      <c r="B17" s="84">
        <v>12.9</v>
      </c>
      <c r="C17" s="45"/>
      <c r="D17" s="54"/>
      <c r="E17" s="45"/>
      <c r="F17" s="83">
        <v>14</v>
      </c>
      <c r="G17" s="85">
        <v>12.9</v>
      </c>
      <c r="V17" s="81">
        <f t="shared" si="0"/>
        <v>0</v>
      </c>
      <c r="W17" s="81"/>
      <c r="X17" s="81">
        <f t="shared" si="1"/>
        <v>0</v>
      </c>
      <c r="Y17" s="81">
        <f t="shared" si="2"/>
        <v>0</v>
      </c>
      <c r="Z17" s="81">
        <f t="shared" si="3"/>
        <v>1</v>
      </c>
      <c r="AA17" s="75"/>
      <c r="AB17" s="75"/>
      <c r="AC17" s="56" t="s">
        <v>35</v>
      </c>
      <c r="AD17" s="56">
        <v>237</v>
      </c>
      <c r="AE17" s="77"/>
      <c r="AF17" s="77"/>
      <c r="AG17" s="77"/>
      <c r="AH17" s="77"/>
      <c r="AI17" s="75"/>
    </row>
    <row r="18" spans="1:35" ht="16.5" thickBot="1">
      <c r="A18" s="83">
        <v>15</v>
      </c>
      <c r="B18" s="84">
        <v>12.9</v>
      </c>
      <c r="C18" s="45"/>
      <c r="D18" s="54"/>
      <c r="E18" s="45"/>
      <c r="F18" s="83">
        <v>15</v>
      </c>
      <c r="G18" s="85">
        <v>12.9</v>
      </c>
      <c r="V18" s="81">
        <f t="shared" si="0"/>
        <v>0</v>
      </c>
      <c r="W18" s="81"/>
      <c r="X18" s="81">
        <f t="shared" si="1"/>
        <v>0</v>
      </c>
      <c r="Y18" s="81">
        <f t="shared" si="2"/>
        <v>0</v>
      </c>
      <c r="Z18" s="81">
        <f t="shared" si="3"/>
        <v>1</v>
      </c>
      <c r="AA18" s="75"/>
      <c r="AB18" s="75"/>
      <c r="AC18" s="88"/>
      <c r="AD18" s="88"/>
      <c r="AE18" s="77"/>
      <c r="AF18" s="77"/>
      <c r="AG18" s="77"/>
      <c r="AH18" s="77"/>
      <c r="AI18" s="75"/>
    </row>
    <row r="19" spans="1:35" ht="16.5" thickBot="1">
      <c r="A19" s="89">
        <v>16</v>
      </c>
      <c r="B19" s="90">
        <v>13</v>
      </c>
      <c r="C19" s="45"/>
      <c r="D19" s="54"/>
      <c r="E19" s="45"/>
      <c r="F19" s="89">
        <v>16</v>
      </c>
      <c r="G19" s="91">
        <v>13</v>
      </c>
      <c r="V19" s="81">
        <f t="shared" si="0"/>
        <v>0</v>
      </c>
      <c r="W19" s="81"/>
      <c r="X19" s="81">
        <f t="shared" si="1"/>
        <v>0</v>
      </c>
      <c r="Y19" s="81">
        <f t="shared" si="2"/>
        <v>0</v>
      </c>
      <c r="Z19" s="81">
        <f t="shared" si="3"/>
        <v>1</v>
      </c>
      <c r="AA19" s="75"/>
      <c r="AB19" s="75"/>
      <c r="AC19" s="75"/>
      <c r="AD19" s="75"/>
      <c r="AE19" s="75"/>
      <c r="AF19" s="75"/>
      <c r="AG19" s="75"/>
      <c r="AH19" s="75"/>
      <c r="AI19" s="75"/>
    </row>
    <row r="20" spans="1:35" ht="17.25" thickBot="1">
      <c r="A20" s="89">
        <v>17</v>
      </c>
      <c r="B20" s="90">
        <v>13.1</v>
      </c>
      <c r="C20" s="45"/>
      <c r="D20" s="57" t="s">
        <v>36</v>
      </c>
      <c r="E20" s="45"/>
      <c r="F20" s="89">
        <v>17</v>
      </c>
      <c r="G20" s="91">
        <v>13.1</v>
      </c>
      <c r="V20" s="81">
        <f t="shared" si="0"/>
        <v>0</v>
      </c>
      <c r="W20" s="81"/>
      <c r="X20" s="81">
        <f t="shared" si="1"/>
        <v>0</v>
      </c>
      <c r="Y20" s="81">
        <f t="shared" si="2"/>
        <v>0</v>
      </c>
      <c r="Z20" s="81">
        <f t="shared" si="3"/>
        <v>1</v>
      </c>
      <c r="AA20" s="75"/>
      <c r="AB20" s="75"/>
      <c r="AC20" s="75"/>
      <c r="AD20" s="75"/>
      <c r="AE20" s="75"/>
      <c r="AF20" s="75"/>
      <c r="AG20" s="75"/>
      <c r="AH20" s="75"/>
      <c r="AI20" s="75"/>
    </row>
    <row r="21" spans="1:35" ht="16.5" thickBot="1">
      <c r="A21" s="89">
        <v>18</v>
      </c>
      <c r="B21" s="90">
        <v>13.1</v>
      </c>
      <c r="C21" s="45"/>
      <c r="D21" s="58"/>
      <c r="E21" s="45"/>
      <c r="F21" s="89">
        <v>18</v>
      </c>
      <c r="G21" s="91">
        <v>13.1</v>
      </c>
      <c r="V21" s="81">
        <f t="shared" si="0"/>
        <v>0</v>
      </c>
      <c r="W21" s="81"/>
      <c r="X21" s="81">
        <f t="shared" si="1"/>
        <v>0</v>
      </c>
      <c r="Y21" s="81">
        <f t="shared" si="2"/>
        <v>0</v>
      </c>
      <c r="Z21" s="81">
        <f t="shared" si="3"/>
        <v>1</v>
      </c>
      <c r="AA21" s="75"/>
      <c r="AB21" s="75"/>
      <c r="AC21" s="75"/>
      <c r="AD21" s="75"/>
      <c r="AE21" s="75"/>
      <c r="AF21" s="75"/>
      <c r="AG21" s="75"/>
      <c r="AH21" s="75"/>
      <c r="AI21" s="75"/>
    </row>
    <row r="22" spans="1:35" ht="16.5" thickBot="1">
      <c r="A22" s="89">
        <v>19</v>
      </c>
      <c r="B22" s="90">
        <v>13.2</v>
      </c>
      <c r="C22" s="45"/>
      <c r="D22" s="58"/>
      <c r="E22" s="45"/>
      <c r="F22" s="89">
        <v>19</v>
      </c>
      <c r="G22" s="91">
        <v>13.2</v>
      </c>
      <c r="V22" s="81">
        <f t="shared" si="0"/>
        <v>0</v>
      </c>
      <c r="W22" s="81"/>
      <c r="X22" s="81">
        <f t="shared" si="1"/>
        <v>0</v>
      </c>
      <c r="Y22" s="81">
        <f t="shared" si="2"/>
        <v>0</v>
      </c>
      <c r="Z22" s="81">
        <f t="shared" si="3"/>
        <v>1</v>
      </c>
      <c r="AA22" s="75"/>
      <c r="AB22" s="75"/>
      <c r="AC22" s="75"/>
      <c r="AD22" s="75"/>
      <c r="AE22" s="75"/>
      <c r="AF22" s="75"/>
      <c r="AG22" s="75"/>
      <c r="AH22" s="75"/>
      <c r="AI22" s="75"/>
    </row>
    <row r="23" spans="1:35" ht="16.5" thickBot="1">
      <c r="A23" s="89">
        <v>20</v>
      </c>
      <c r="B23" s="90">
        <v>13.1</v>
      </c>
      <c r="C23" s="45"/>
      <c r="D23" s="45"/>
      <c r="E23" s="45"/>
      <c r="F23" s="89">
        <v>20</v>
      </c>
      <c r="G23" s="91">
        <v>13.1</v>
      </c>
      <c r="V23" s="81">
        <f t="shared" si="0"/>
        <v>0</v>
      </c>
      <c r="W23" s="81"/>
      <c r="X23" s="81">
        <f t="shared" si="1"/>
        <v>0</v>
      </c>
      <c r="Y23" s="81">
        <f t="shared" si="2"/>
        <v>0</v>
      </c>
      <c r="Z23" s="81">
        <f t="shared" si="3"/>
        <v>1</v>
      </c>
      <c r="AA23" s="75"/>
      <c r="AB23" s="75"/>
      <c r="AC23" s="75"/>
      <c r="AD23" s="75"/>
      <c r="AE23" s="75"/>
      <c r="AF23" s="75"/>
      <c r="AG23" s="75"/>
      <c r="AH23" s="75"/>
      <c r="AI23" s="75"/>
    </row>
    <row r="24" spans="1:35" ht="16.5" thickBot="1">
      <c r="A24" s="89">
        <v>21</v>
      </c>
      <c r="B24" s="90">
        <v>12.9</v>
      </c>
      <c r="C24" s="45"/>
      <c r="D24" s="45"/>
      <c r="E24" s="45"/>
      <c r="F24" s="89">
        <v>21</v>
      </c>
      <c r="G24" s="91">
        <v>12.9</v>
      </c>
      <c r="V24" s="81">
        <f t="shared" si="0"/>
        <v>0</v>
      </c>
      <c r="W24" s="81"/>
      <c r="X24" s="81">
        <f t="shared" si="1"/>
        <v>0</v>
      </c>
      <c r="Y24" s="81">
        <f t="shared" si="2"/>
        <v>0</v>
      </c>
      <c r="Z24" s="81">
        <f t="shared" si="3"/>
        <v>1</v>
      </c>
      <c r="AA24" s="75"/>
      <c r="AB24" s="75"/>
      <c r="AC24" s="75"/>
      <c r="AD24" s="75"/>
      <c r="AE24" s="75"/>
      <c r="AF24" s="75"/>
      <c r="AG24" s="75"/>
      <c r="AH24" s="75"/>
      <c r="AI24" s="75"/>
    </row>
    <row r="25" spans="1:35" ht="16.5" thickBot="1">
      <c r="A25" s="89">
        <v>22</v>
      </c>
      <c r="B25" s="90">
        <v>12.8</v>
      </c>
      <c r="C25" s="45"/>
      <c r="D25" s="45"/>
      <c r="E25" s="45"/>
      <c r="F25" s="89">
        <v>22</v>
      </c>
      <c r="G25" s="91">
        <v>12.8</v>
      </c>
      <c r="V25" s="81">
        <f t="shared" si="0"/>
        <v>0</v>
      </c>
      <c r="W25" s="81"/>
      <c r="X25" s="81">
        <f t="shared" si="1"/>
        <v>0</v>
      </c>
      <c r="Y25" s="81">
        <f t="shared" si="2"/>
        <v>0</v>
      </c>
      <c r="Z25" s="81">
        <f t="shared" si="3"/>
        <v>1</v>
      </c>
      <c r="AA25" s="75"/>
      <c r="AB25" s="75"/>
      <c r="AC25" s="75"/>
      <c r="AD25" s="75"/>
      <c r="AE25" s="75"/>
      <c r="AF25" s="75"/>
      <c r="AG25" s="75"/>
      <c r="AH25" s="75"/>
      <c r="AI25" s="75"/>
    </row>
    <row r="26" spans="1:35" ht="16.5" thickBot="1">
      <c r="A26" s="89">
        <v>23</v>
      </c>
      <c r="B26" s="90">
        <v>12.7</v>
      </c>
      <c r="C26" s="45"/>
      <c r="D26" s="45"/>
      <c r="E26" s="45"/>
      <c r="F26" s="89">
        <v>23</v>
      </c>
      <c r="G26" s="91">
        <v>12.7</v>
      </c>
      <c r="V26" s="81">
        <f t="shared" si="0"/>
        <v>0</v>
      </c>
      <c r="W26" s="65"/>
      <c r="X26" s="81">
        <f t="shared" si="1"/>
        <v>0</v>
      </c>
      <c r="Y26" s="81">
        <f t="shared" si="2"/>
        <v>0</v>
      </c>
      <c r="Z26" s="81">
        <f t="shared" si="3"/>
        <v>1</v>
      </c>
      <c r="AA26" s="13"/>
      <c r="AB26" s="14"/>
      <c r="AC26" s="14"/>
      <c r="AD26" s="65"/>
      <c r="AE26" s="65"/>
    </row>
    <row r="27" spans="1:35" ht="16.5" thickBot="1">
      <c r="A27" s="89">
        <v>24</v>
      </c>
      <c r="B27" s="90">
        <v>12.7</v>
      </c>
      <c r="C27" s="45"/>
      <c r="D27" s="45"/>
      <c r="E27" s="45"/>
      <c r="F27" s="89">
        <v>24</v>
      </c>
      <c r="G27" s="91">
        <v>12.7</v>
      </c>
      <c r="V27" s="81">
        <f t="shared" si="0"/>
        <v>0</v>
      </c>
      <c r="W27" s="65"/>
      <c r="X27" s="81">
        <f t="shared" si="1"/>
        <v>0</v>
      </c>
      <c r="Y27" s="81">
        <f t="shared" si="2"/>
        <v>0</v>
      </c>
      <c r="Z27" s="81">
        <f t="shared" si="3"/>
        <v>1</v>
      </c>
      <c r="AA27" s="13"/>
      <c r="AB27" s="14"/>
      <c r="AC27" s="14"/>
      <c r="AD27" s="92">
        <f>SUM(AD31:AD71)</f>
        <v>237</v>
      </c>
      <c r="AE27" s="65"/>
      <c r="AG27" s="92">
        <f>SUM(AG31:AG71)</f>
        <v>0</v>
      </c>
    </row>
    <row r="28" spans="1:35" ht="16.5" thickBot="1">
      <c r="A28" s="89">
        <v>25</v>
      </c>
      <c r="B28" s="90">
        <v>12.7</v>
      </c>
      <c r="C28" s="45"/>
      <c r="D28" s="45"/>
      <c r="E28" s="45"/>
      <c r="F28" s="89">
        <v>25</v>
      </c>
      <c r="G28" s="91">
        <v>12.7</v>
      </c>
      <c r="V28" s="81">
        <f t="shared" si="0"/>
        <v>0</v>
      </c>
      <c r="W28" s="65"/>
      <c r="X28" s="81">
        <f t="shared" si="1"/>
        <v>0</v>
      </c>
      <c r="Y28" s="81">
        <f t="shared" si="2"/>
        <v>0</v>
      </c>
      <c r="Z28" s="81">
        <f t="shared" si="3"/>
        <v>1</v>
      </c>
      <c r="AA28" s="13"/>
      <c r="AB28" s="14"/>
      <c r="AC28" s="14"/>
      <c r="AD28" s="65"/>
      <c r="AE28" s="65"/>
    </row>
    <row r="29" spans="1:35" ht="16.5" thickBot="1">
      <c r="A29" s="89">
        <v>26</v>
      </c>
      <c r="B29" s="90">
        <v>12.8</v>
      </c>
      <c r="C29" s="45"/>
      <c r="D29" s="45"/>
      <c r="E29" s="45"/>
      <c r="F29" s="89">
        <v>26</v>
      </c>
      <c r="G29" s="91">
        <v>12.8</v>
      </c>
      <c r="V29" s="81">
        <f t="shared" si="0"/>
        <v>0</v>
      </c>
      <c r="W29" s="65"/>
      <c r="X29" s="81">
        <f t="shared" si="1"/>
        <v>0</v>
      </c>
      <c r="Y29" s="81">
        <f t="shared" si="2"/>
        <v>0</v>
      </c>
      <c r="Z29" s="81">
        <f t="shared" si="3"/>
        <v>1</v>
      </c>
      <c r="AA29" s="13"/>
      <c r="AB29" s="14"/>
      <c r="AC29" s="93" t="s">
        <v>37</v>
      </c>
      <c r="AD29" s="94"/>
      <c r="AE29" s="65"/>
      <c r="AF29" s="93" t="s">
        <v>38</v>
      </c>
      <c r="AG29" s="94"/>
    </row>
    <row r="30" spans="1:35" ht="16.5" thickBot="1">
      <c r="A30" s="89">
        <v>27</v>
      </c>
      <c r="B30" s="90">
        <v>12.8</v>
      </c>
      <c r="C30" s="45"/>
      <c r="D30" s="45"/>
      <c r="E30" s="45"/>
      <c r="F30" s="89">
        <v>27</v>
      </c>
      <c r="G30" s="91">
        <v>12.8</v>
      </c>
      <c r="V30" s="81">
        <f t="shared" si="0"/>
        <v>0</v>
      </c>
      <c r="W30" s="65"/>
      <c r="X30" s="81">
        <f t="shared" si="1"/>
        <v>0</v>
      </c>
      <c r="Y30" s="81">
        <f t="shared" si="2"/>
        <v>0</v>
      </c>
      <c r="Z30" s="81">
        <f t="shared" si="3"/>
        <v>1</v>
      </c>
      <c r="AA30" s="13"/>
      <c r="AB30" s="14"/>
      <c r="AC30" s="20" t="s">
        <v>39</v>
      </c>
      <c r="AD30" s="21" t="s">
        <v>40</v>
      </c>
      <c r="AE30" s="65"/>
      <c r="AF30" s="20" t="s">
        <v>39</v>
      </c>
      <c r="AG30" s="21" t="s">
        <v>40</v>
      </c>
    </row>
    <row r="31" spans="1:35" ht="16.5" thickBot="1">
      <c r="A31" s="89">
        <v>28</v>
      </c>
      <c r="B31" s="90">
        <v>12.8</v>
      </c>
      <c r="C31" s="45"/>
      <c r="D31" s="45"/>
      <c r="E31" s="45"/>
      <c r="F31" s="89">
        <v>28</v>
      </c>
      <c r="G31" s="91">
        <v>12.8</v>
      </c>
      <c r="V31" s="81">
        <f t="shared" si="0"/>
        <v>0</v>
      </c>
      <c r="W31" s="65"/>
      <c r="X31" s="81">
        <f t="shared" si="1"/>
        <v>0</v>
      </c>
      <c r="Y31" s="81">
        <f t="shared" si="2"/>
        <v>0</v>
      </c>
      <c r="Z31" s="81">
        <f t="shared" si="3"/>
        <v>1</v>
      </c>
      <c r="AA31" s="13"/>
      <c r="AB31" s="14"/>
      <c r="AC31" s="22">
        <f>IF($AE31&lt;=$AA$4,$AE31,"")</f>
        <v>-1</v>
      </c>
      <c r="AD31" s="23">
        <f t="shared" ref="AD31:AD71" si="5">IF(AC31="","",COUNTIF($V$4:$V$978,"&gt;="&amp;$AE31)-COUNTIF($V$4:$V$978,"&gt;="&amp;$AE32))</f>
        <v>0</v>
      </c>
      <c r="AE31" s="26">
        <v>-1</v>
      </c>
      <c r="AF31" s="22" t="str">
        <f>IF($AE31&gt;$AA$4,$AE31,"")</f>
        <v/>
      </c>
      <c r="AG31" s="23" t="str">
        <f>IF(AF31="","",COUNTIF($V$5:$V$979,"&gt;="&amp;$AH31)-COUNTIF($V$5:$V$979,"&gt;="&amp;$AH32))</f>
        <v/>
      </c>
    </row>
    <row r="32" spans="1:35" ht="16.5" thickBot="1">
      <c r="A32" s="89">
        <v>29</v>
      </c>
      <c r="B32" s="90">
        <v>12.8</v>
      </c>
      <c r="C32" s="45"/>
      <c r="D32" s="45"/>
      <c r="E32" s="45"/>
      <c r="F32" s="89">
        <v>29</v>
      </c>
      <c r="G32" s="91">
        <v>12.8</v>
      </c>
      <c r="V32" s="81">
        <f t="shared" si="0"/>
        <v>0</v>
      </c>
      <c r="W32" s="65"/>
      <c r="X32" s="81">
        <f t="shared" si="1"/>
        <v>0</v>
      </c>
      <c r="Y32" s="81">
        <f t="shared" si="2"/>
        <v>0</v>
      </c>
      <c r="Z32" s="81">
        <f t="shared" si="3"/>
        <v>1</v>
      </c>
      <c r="AA32" s="13"/>
      <c r="AB32" s="14"/>
      <c r="AC32" s="22">
        <f t="shared" ref="AC32:AC71" si="6">IF($AE32&lt;=$AA$4,$AE32,"")</f>
        <v>-0.9</v>
      </c>
      <c r="AD32" s="23">
        <f t="shared" si="5"/>
        <v>0</v>
      </c>
      <c r="AE32" s="26">
        <v>-0.9</v>
      </c>
      <c r="AF32" s="22" t="str">
        <f t="shared" ref="AF32:AF71" si="7">IF($AE32&gt;$AA$4,$AE32,"")</f>
        <v/>
      </c>
      <c r="AG32" s="23" t="str">
        <f>IF(AF32="","",COUNTIF($V$5:$V$979,"&gt;="&amp;$AH32)-COUNTIF($V$5:$V$979,"&gt;="&amp;$AH33))</f>
        <v/>
      </c>
    </row>
    <row r="33" spans="1:33" ht="16.5" thickBot="1">
      <c r="A33" s="89">
        <v>30</v>
      </c>
      <c r="B33" s="90">
        <v>12.9</v>
      </c>
      <c r="C33" s="45"/>
      <c r="D33" s="45"/>
      <c r="E33" s="45"/>
      <c r="F33" s="89">
        <v>30</v>
      </c>
      <c r="G33" s="91">
        <v>12.9</v>
      </c>
      <c r="V33" s="81">
        <f t="shared" si="0"/>
        <v>0</v>
      </c>
      <c r="W33" s="65"/>
      <c r="X33" s="81">
        <f t="shared" si="1"/>
        <v>0</v>
      </c>
      <c r="Y33" s="81">
        <f t="shared" si="2"/>
        <v>0</v>
      </c>
      <c r="Z33" s="81">
        <f t="shared" si="3"/>
        <v>1</v>
      </c>
      <c r="AA33" s="13"/>
      <c r="AB33" s="14"/>
      <c r="AC33" s="22">
        <f t="shared" si="6"/>
        <v>-0.8</v>
      </c>
      <c r="AD33" s="23">
        <f t="shared" si="5"/>
        <v>0</v>
      </c>
      <c r="AE33" s="26">
        <v>-0.8</v>
      </c>
      <c r="AF33" s="22" t="str">
        <f t="shared" si="7"/>
        <v/>
      </c>
      <c r="AG33" s="23" t="str">
        <f>IF(AF33="","",COUNTIF($V$5:$V$979,"&gt;="&amp;$AH33)-COUNTIF($V$5:$V$979,"&gt;="&amp;$AH34))</f>
        <v/>
      </c>
    </row>
    <row r="34" spans="1:33" ht="16.5" thickBot="1">
      <c r="A34" s="89">
        <v>31</v>
      </c>
      <c r="B34" s="90">
        <v>13</v>
      </c>
      <c r="C34" s="45"/>
      <c r="D34" s="45"/>
      <c r="E34" s="45"/>
      <c r="F34" s="89">
        <v>31</v>
      </c>
      <c r="G34" s="91">
        <v>13</v>
      </c>
      <c r="V34" s="81">
        <f t="shared" si="0"/>
        <v>0</v>
      </c>
      <c r="W34" s="65"/>
      <c r="X34" s="81">
        <f t="shared" si="1"/>
        <v>0</v>
      </c>
      <c r="Y34" s="81">
        <f t="shared" si="2"/>
        <v>0</v>
      </c>
      <c r="Z34" s="81">
        <f t="shared" si="3"/>
        <v>1</v>
      </c>
      <c r="AA34" s="13"/>
      <c r="AB34" s="14"/>
      <c r="AC34" s="22">
        <f t="shared" si="6"/>
        <v>-0.7</v>
      </c>
      <c r="AD34" s="23">
        <f t="shared" si="5"/>
        <v>0</v>
      </c>
      <c r="AE34" s="26">
        <v>-0.7</v>
      </c>
      <c r="AF34" s="22" t="str">
        <f t="shared" si="7"/>
        <v/>
      </c>
      <c r="AG34" s="23" t="str">
        <f>IF(AF34="","",COUNTIF($V$5:$V$979,"&gt;="&amp;$AH34)-COUNTIF($V$5:$V$979,"&gt;="&amp;$AH35))</f>
        <v/>
      </c>
    </row>
    <row r="35" spans="1:33" ht="16.5" thickBot="1">
      <c r="A35" s="89">
        <v>32</v>
      </c>
      <c r="B35" s="90">
        <v>13.1</v>
      </c>
      <c r="C35" s="45"/>
      <c r="D35" s="45"/>
      <c r="E35" s="45"/>
      <c r="F35" s="89">
        <v>32</v>
      </c>
      <c r="G35" s="91">
        <v>13.1</v>
      </c>
      <c r="V35" s="81">
        <f t="shared" si="0"/>
        <v>0</v>
      </c>
      <c r="W35" s="65"/>
      <c r="X35" s="81">
        <f t="shared" si="1"/>
        <v>0</v>
      </c>
      <c r="Y35" s="81">
        <f t="shared" si="2"/>
        <v>0</v>
      </c>
      <c r="Z35" s="81">
        <f t="shared" si="3"/>
        <v>1</v>
      </c>
      <c r="AA35" s="13"/>
      <c r="AB35" s="14"/>
      <c r="AC35" s="22">
        <f t="shared" si="6"/>
        <v>-0.6</v>
      </c>
      <c r="AD35" s="23">
        <f t="shared" si="5"/>
        <v>0</v>
      </c>
      <c r="AE35" s="26">
        <v>-0.6</v>
      </c>
      <c r="AF35" s="22" t="str">
        <f t="shared" si="7"/>
        <v/>
      </c>
      <c r="AG35" s="23" t="str">
        <f>IF(AF35="","",COUNTIF($V$5:$V$979,"&gt;="&amp;$AH35)-COUNTIF($V$5:$V$979,"&gt;="&amp;$AH36))</f>
        <v/>
      </c>
    </row>
    <row r="36" spans="1:33" ht="16.5" thickBot="1">
      <c r="A36" s="89">
        <v>33</v>
      </c>
      <c r="B36" s="90">
        <v>12.9</v>
      </c>
      <c r="C36" s="45"/>
      <c r="D36" s="45"/>
      <c r="E36" s="45"/>
      <c r="F36" s="89">
        <v>33</v>
      </c>
      <c r="G36" s="91">
        <v>12.9</v>
      </c>
      <c r="V36" s="81">
        <f t="shared" si="0"/>
        <v>0</v>
      </c>
      <c r="W36" s="65"/>
      <c r="X36" s="81">
        <f t="shared" si="1"/>
        <v>0</v>
      </c>
      <c r="Y36" s="81">
        <f t="shared" si="2"/>
        <v>0</v>
      </c>
      <c r="Z36" s="81">
        <f t="shared" si="3"/>
        <v>1</v>
      </c>
      <c r="AA36" s="13"/>
      <c r="AB36" s="14"/>
      <c r="AC36" s="22">
        <f t="shared" si="6"/>
        <v>-0.5</v>
      </c>
      <c r="AD36" s="23">
        <f t="shared" si="5"/>
        <v>0</v>
      </c>
      <c r="AE36" s="26">
        <v>-0.5</v>
      </c>
      <c r="AF36" s="22" t="str">
        <f t="shared" si="7"/>
        <v/>
      </c>
      <c r="AG36" s="23" t="str">
        <f t="shared" ref="AG36:AG71" si="8">IF(AF36="","",COUNTIF($V$5:$V$979,"&gt;="&amp;$AF36)-COUNTIF($V$5:$V$979,"&gt;="&amp;$AF37))</f>
        <v/>
      </c>
    </row>
    <row r="37" spans="1:33" ht="16.5" thickBot="1">
      <c r="A37" s="89">
        <v>34</v>
      </c>
      <c r="B37" s="90">
        <v>12.8</v>
      </c>
      <c r="C37" s="45"/>
      <c r="D37" s="45"/>
      <c r="E37" s="45"/>
      <c r="F37" s="89">
        <v>34</v>
      </c>
      <c r="G37" s="91">
        <v>12.8</v>
      </c>
      <c r="V37" s="81">
        <f t="shared" si="0"/>
        <v>0</v>
      </c>
      <c r="W37" s="65"/>
      <c r="X37" s="81">
        <f t="shared" si="1"/>
        <v>0</v>
      </c>
      <c r="Y37" s="81">
        <f t="shared" si="2"/>
        <v>0</v>
      </c>
      <c r="Z37" s="81">
        <f t="shared" si="3"/>
        <v>1</v>
      </c>
      <c r="AA37" s="13"/>
      <c r="AB37" s="14"/>
      <c r="AC37" s="22">
        <f t="shared" si="6"/>
        <v>-0.4</v>
      </c>
      <c r="AD37" s="23">
        <f t="shared" si="5"/>
        <v>0</v>
      </c>
      <c r="AE37" s="26">
        <v>-0.4</v>
      </c>
      <c r="AF37" s="22" t="str">
        <f t="shared" si="7"/>
        <v/>
      </c>
      <c r="AG37" s="23" t="str">
        <f t="shared" si="8"/>
        <v/>
      </c>
    </row>
    <row r="38" spans="1:33" ht="16.5" thickBot="1">
      <c r="A38" s="89">
        <v>35</v>
      </c>
      <c r="B38" s="90">
        <v>12.8</v>
      </c>
      <c r="C38" s="45"/>
      <c r="D38" s="45"/>
      <c r="E38" s="45"/>
      <c r="F38" s="89">
        <v>35</v>
      </c>
      <c r="G38" s="91">
        <v>12.8</v>
      </c>
      <c r="V38" s="81">
        <f t="shared" si="0"/>
        <v>0</v>
      </c>
      <c r="W38" s="65"/>
      <c r="X38" s="81">
        <f t="shared" si="1"/>
        <v>0</v>
      </c>
      <c r="Y38" s="81">
        <f t="shared" si="2"/>
        <v>0</v>
      </c>
      <c r="Z38" s="81">
        <f t="shared" si="3"/>
        <v>1</v>
      </c>
      <c r="AA38" s="13"/>
      <c r="AB38" s="14"/>
      <c r="AC38" s="22">
        <f t="shared" si="6"/>
        <v>-0.3</v>
      </c>
      <c r="AD38" s="23">
        <f t="shared" si="5"/>
        <v>0</v>
      </c>
      <c r="AE38" s="26">
        <v>-0.3</v>
      </c>
      <c r="AF38" s="22" t="str">
        <f t="shared" si="7"/>
        <v/>
      </c>
      <c r="AG38" s="23" t="str">
        <f t="shared" si="8"/>
        <v/>
      </c>
    </row>
    <row r="39" spans="1:33" ht="16.5" thickBot="1">
      <c r="A39" s="89">
        <v>36</v>
      </c>
      <c r="B39" s="90">
        <v>12.8</v>
      </c>
      <c r="C39" s="45"/>
      <c r="D39" s="45"/>
      <c r="E39" s="45"/>
      <c r="F39" s="89">
        <v>36</v>
      </c>
      <c r="G39" s="91">
        <v>12.8</v>
      </c>
      <c r="V39" s="81">
        <f t="shared" si="0"/>
        <v>0</v>
      </c>
      <c r="W39" s="65"/>
      <c r="X39" s="81">
        <f t="shared" si="1"/>
        <v>0</v>
      </c>
      <c r="Y39" s="81">
        <f t="shared" si="2"/>
        <v>0</v>
      </c>
      <c r="Z39" s="81">
        <f t="shared" si="3"/>
        <v>1</v>
      </c>
      <c r="AA39" s="13"/>
      <c r="AB39" s="14"/>
      <c r="AC39" s="22">
        <f t="shared" si="6"/>
        <v>-0.2</v>
      </c>
      <c r="AD39" s="23">
        <f t="shared" si="5"/>
        <v>0</v>
      </c>
      <c r="AE39" s="26">
        <v>-0.2</v>
      </c>
      <c r="AF39" s="22" t="str">
        <f t="shared" si="7"/>
        <v/>
      </c>
      <c r="AG39" s="23" t="str">
        <f t="shared" si="8"/>
        <v/>
      </c>
    </row>
    <row r="40" spans="1:33" ht="16.5" thickBot="1">
      <c r="A40" s="89">
        <v>37</v>
      </c>
      <c r="B40" s="90">
        <v>12.8</v>
      </c>
      <c r="C40" s="45"/>
      <c r="D40" s="45"/>
      <c r="E40" s="45"/>
      <c r="F40" s="89">
        <v>37</v>
      </c>
      <c r="G40" s="91">
        <v>12.8</v>
      </c>
      <c r="V40" s="81">
        <f t="shared" si="0"/>
        <v>0</v>
      </c>
      <c r="W40" s="65"/>
      <c r="X40" s="81">
        <f t="shared" si="1"/>
        <v>0</v>
      </c>
      <c r="Y40" s="81">
        <f t="shared" si="2"/>
        <v>0</v>
      </c>
      <c r="Z40" s="81">
        <f t="shared" si="3"/>
        <v>1</v>
      </c>
      <c r="AA40" s="13"/>
      <c r="AB40" s="14"/>
      <c r="AC40" s="22">
        <f t="shared" si="6"/>
        <v>-0.1</v>
      </c>
      <c r="AD40" s="23">
        <f t="shared" si="5"/>
        <v>0</v>
      </c>
      <c r="AE40" s="26">
        <v>-0.1</v>
      </c>
      <c r="AF40" s="22" t="str">
        <f t="shared" si="7"/>
        <v/>
      </c>
      <c r="AG40" s="23" t="str">
        <f t="shared" si="8"/>
        <v/>
      </c>
    </row>
    <row r="41" spans="1:33" ht="16.5" thickBot="1">
      <c r="A41" s="89">
        <v>38</v>
      </c>
      <c r="B41" s="90">
        <v>12.8</v>
      </c>
      <c r="C41" s="45"/>
      <c r="D41" s="45"/>
      <c r="E41" s="45"/>
      <c r="F41" s="89">
        <v>38</v>
      </c>
      <c r="G41" s="91">
        <v>12.8</v>
      </c>
      <c r="V41" s="81">
        <f t="shared" si="0"/>
        <v>0</v>
      </c>
      <c r="W41" s="65"/>
      <c r="X41" s="81">
        <f t="shared" si="1"/>
        <v>0</v>
      </c>
      <c r="Y41" s="81">
        <f t="shared" si="2"/>
        <v>0</v>
      </c>
      <c r="Z41" s="81">
        <f t="shared" si="3"/>
        <v>1</v>
      </c>
      <c r="AA41" s="13"/>
      <c r="AB41" s="14"/>
      <c r="AC41" s="22">
        <f t="shared" si="6"/>
        <v>0</v>
      </c>
      <c r="AD41" s="23">
        <f t="shared" si="5"/>
        <v>237</v>
      </c>
      <c r="AE41" s="26">
        <v>0</v>
      </c>
      <c r="AF41" s="22" t="str">
        <f t="shared" si="7"/>
        <v/>
      </c>
      <c r="AG41" s="23" t="str">
        <f t="shared" si="8"/>
        <v/>
      </c>
    </row>
    <row r="42" spans="1:33" ht="16.5" thickBot="1">
      <c r="A42" s="89">
        <v>39</v>
      </c>
      <c r="B42" s="90">
        <v>12.8</v>
      </c>
      <c r="C42" s="45"/>
      <c r="D42" s="45"/>
      <c r="E42" s="45"/>
      <c r="F42" s="89">
        <v>39</v>
      </c>
      <c r="G42" s="91">
        <v>12.8</v>
      </c>
      <c r="V42" s="81">
        <f t="shared" si="0"/>
        <v>0</v>
      </c>
      <c r="W42" s="65"/>
      <c r="X42" s="81">
        <f t="shared" si="1"/>
        <v>0</v>
      </c>
      <c r="Y42" s="81">
        <f t="shared" si="2"/>
        <v>0</v>
      </c>
      <c r="Z42" s="81">
        <f t="shared" si="3"/>
        <v>1</v>
      </c>
      <c r="AA42" s="13"/>
      <c r="AB42" s="14"/>
      <c r="AC42" s="22">
        <f t="shared" si="6"/>
        <v>0.1</v>
      </c>
      <c r="AD42" s="23">
        <f t="shared" si="5"/>
        <v>0</v>
      </c>
      <c r="AE42" s="26">
        <v>0.1</v>
      </c>
      <c r="AF42" s="22" t="str">
        <f t="shared" si="7"/>
        <v/>
      </c>
      <c r="AG42" s="23" t="str">
        <f t="shared" si="8"/>
        <v/>
      </c>
    </row>
    <row r="43" spans="1:33" ht="16.5" thickBot="1">
      <c r="A43" s="89">
        <v>40</v>
      </c>
      <c r="B43" s="90">
        <v>12.8</v>
      </c>
      <c r="C43" s="45"/>
      <c r="D43" s="45"/>
      <c r="E43" s="45"/>
      <c r="F43" s="89">
        <v>40</v>
      </c>
      <c r="G43" s="91">
        <v>12.8</v>
      </c>
      <c r="V43" s="81">
        <f t="shared" si="0"/>
        <v>0</v>
      </c>
      <c r="W43" s="65"/>
      <c r="X43" s="81">
        <f t="shared" si="1"/>
        <v>0</v>
      </c>
      <c r="Y43" s="81">
        <f t="shared" si="2"/>
        <v>0</v>
      </c>
      <c r="Z43" s="81">
        <f t="shared" si="3"/>
        <v>1</v>
      </c>
      <c r="AA43" s="13"/>
      <c r="AB43" s="14"/>
      <c r="AC43" s="22">
        <f t="shared" si="6"/>
        <v>0.2</v>
      </c>
      <c r="AD43" s="23">
        <f t="shared" si="5"/>
        <v>0</v>
      </c>
      <c r="AE43" s="26">
        <v>0.2</v>
      </c>
      <c r="AF43" s="22" t="str">
        <f t="shared" si="7"/>
        <v/>
      </c>
      <c r="AG43" s="23" t="str">
        <f t="shared" si="8"/>
        <v/>
      </c>
    </row>
    <row r="44" spans="1:33" ht="16.5" thickBot="1">
      <c r="A44" s="89">
        <v>41</v>
      </c>
      <c r="B44" s="90">
        <v>12.8</v>
      </c>
      <c r="C44" s="45"/>
      <c r="D44" s="45"/>
      <c r="E44" s="45"/>
      <c r="F44" s="89">
        <v>41</v>
      </c>
      <c r="G44" s="91">
        <v>12.8</v>
      </c>
      <c r="V44" s="81">
        <f t="shared" si="0"/>
        <v>0</v>
      </c>
      <c r="W44" s="65"/>
      <c r="X44" s="81">
        <f t="shared" si="1"/>
        <v>0</v>
      </c>
      <c r="Y44" s="81">
        <f t="shared" si="2"/>
        <v>0</v>
      </c>
      <c r="Z44" s="81">
        <f t="shared" si="3"/>
        <v>1</v>
      </c>
      <c r="AA44" s="13"/>
      <c r="AB44" s="14"/>
      <c r="AC44" s="22">
        <f t="shared" si="6"/>
        <v>0.3</v>
      </c>
      <c r="AD44" s="23">
        <f t="shared" si="5"/>
        <v>0</v>
      </c>
      <c r="AE44" s="26">
        <v>0.3</v>
      </c>
      <c r="AF44" s="22" t="str">
        <f t="shared" si="7"/>
        <v/>
      </c>
      <c r="AG44" s="23" t="str">
        <f t="shared" si="8"/>
        <v/>
      </c>
    </row>
    <row r="45" spans="1:33" ht="16.5" thickBot="1">
      <c r="A45" s="89">
        <v>42</v>
      </c>
      <c r="B45" s="90">
        <v>12.8</v>
      </c>
      <c r="C45" s="45"/>
      <c r="D45" s="45"/>
      <c r="E45" s="45"/>
      <c r="F45" s="89">
        <v>42</v>
      </c>
      <c r="G45" s="91">
        <v>12.8</v>
      </c>
      <c r="V45" s="81">
        <f t="shared" si="0"/>
        <v>0</v>
      </c>
      <c r="W45" s="65"/>
      <c r="X45" s="81">
        <f t="shared" si="1"/>
        <v>0</v>
      </c>
      <c r="Y45" s="81">
        <f t="shared" si="2"/>
        <v>0</v>
      </c>
      <c r="Z45" s="81">
        <f t="shared" si="3"/>
        <v>1</v>
      </c>
      <c r="AA45" s="13"/>
      <c r="AB45" s="14"/>
      <c r="AC45" s="22">
        <f t="shared" si="6"/>
        <v>0.4</v>
      </c>
      <c r="AD45" s="23">
        <f t="shared" si="5"/>
        <v>0</v>
      </c>
      <c r="AE45" s="26">
        <v>0.4</v>
      </c>
      <c r="AF45" s="22" t="str">
        <f t="shared" si="7"/>
        <v/>
      </c>
      <c r="AG45" s="23" t="str">
        <f t="shared" si="8"/>
        <v/>
      </c>
    </row>
    <row r="46" spans="1:33" ht="16.5" thickBot="1">
      <c r="A46" s="89">
        <v>43</v>
      </c>
      <c r="B46" s="90">
        <v>12.9</v>
      </c>
      <c r="C46" s="45"/>
      <c r="D46" s="45"/>
      <c r="E46" s="45"/>
      <c r="F46" s="89">
        <v>43</v>
      </c>
      <c r="G46" s="91">
        <v>12.9</v>
      </c>
      <c r="V46" s="81">
        <f t="shared" si="0"/>
        <v>0</v>
      </c>
      <c r="W46" s="65"/>
      <c r="X46" s="81">
        <f t="shared" si="1"/>
        <v>0</v>
      </c>
      <c r="Y46" s="81">
        <f t="shared" si="2"/>
        <v>0</v>
      </c>
      <c r="Z46" s="81">
        <f t="shared" si="3"/>
        <v>1</v>
      </c>
      <c r="AA46" s="13"/>
      <c r="AB46" s="14"/>
      <c r="AC46" s="22">
        <f t="shared" si="6"/>
        <v>0.5</v>
      </c>
      <c r="AD46" s="23">
        <f t="shared" si="5"/>
        <v>0</v>
      </c>
      <c r="AE46" s="26">
        <v>0.5</v>
      </c>
      <c r="AF46" s="22" t="str">
        <f t="shared" si="7"/>
        <v/>
      </c>
      <c r="AG46" s="23" t="str">
        <f t="shared" si="8"/>
        <v/>
      </c>
    </row>
    <row r="47" spans="1:33" ht="16.5" thickBot="1">
      <c r="A47" s="89">
        <v>44</v>
      </c>
      <c r="B47" s="90">
        <v>13</v>
      </c>
      <c r="C47" s="45"/>
      <c r="D47" s="45"/>
      <c r="E47" s="45"/>
      <c r="F47" s="89">
        <v>44</v>
      </c>
      <c r="G47" s="91">
        <v>13</v>
      </c>
      <c r="V47" s="81">
        <f t="shared" si="0"/>
        <v>0</v>
      </c>
      <c r="W47" s="65"/>
      <c r="X47" s="81">
        <f t="shared" si="1"/>
        <v>0</v>
      </c>
      <c r="Y47" s="81">
        <f t="shared" si="2"/>
        <v>0</v>
      </c>
      <c r="Z47" s="81">
        <f t="shared" si="3"/>
        <v>1</v>
      </c>
      <c r="AA47" s="13"/>
      <c r="AB47" s="14"/>
      <c r="AC47" s="22" t="str">
        <f t="shared" si="6"/>
        <v/>
      </c>
      <c r="AD47" s="23" t="str">
        <f t="shared" si="5"/>
        <v/>
      </c>
      <c r="AE47" s="26">
        <v>0.6</v>
      </c>
      <c r="AF47" s="22">
        <f t="shared" si="7"/>
        <v>0.6</v>
      </c>
      <c r="AG47" s="23">
        <f t="shared" si="8"/>
        <v>0</v>
      </c>
    </row>
    <row r="48" spans="1:33" ht="16.5" thickBot="1">
      <c r="A48" s="89">
        <v>45</v>
      </c>
      <c r="B48" s="90">
        <v>12.9</v>
      </c>
      <c r="C48" s="45"/>
      <c r="D48" s="45"/>
      <c r="E48" s="45"/>
      <c r="F48" s="89">
        <v>45</v>
      </c>
      <c r="G48" s="91">
        <v>12.9</v>
      </c>
      <c r="V48" s="81">
        <f t="shared" si="0"/>
        <v>0</v>
      </c>
      <c r="W48" s="65"/>
      <c r="X48" s="81">
        <f t="shared" si="1"/>
        <v>0</v>
      </c>
      <c r="Y48" s="81">
        <f t="shared" si="2"/>
        <v>0</v>
      </c>
      <c r="Z48" s="81">
        <f t="shared" si="3"/>
        <v>1</v>
      </c>
      <c r="AA48" s="13"/>
      <c r="AB48" s="14"/>
      <c r="AC48" s="22" t="str">
        <f t="shared" si="6"/>
        <v/>
      </c>
      <c r="AD48" s="23" t="str">
        <f t="shared" si="5"/>
        <v/>
      </c>
      <c r="AE48" s="26">
        <v>0.7</v>
      </c>
      <c r="AF48" s="22">
        <f t="shared" si="7"/>
        <v>0.7</v>
      </c>
      <c r="AG48" s="23">
        <f t="shared" si="8"/>
        <v>0</v>
      </c>
    </row>
    <row r="49" spans="1:33" ht="16.5" thickBot="1">
      <c r="A49" s="89">
        <v>46</v>
      </c>
      <c r="B49" s="90">
        <v>12.8</v>
      </c>
      <c r="C49" s="45"/>
      <c r="D49" s="45"/>
      <c r="E49" s="45"/>
      <c r="F49" s="89">
        <v>46</v>
      </c>
      <c r="G49" s="91">
        <v>12.8</v>
      </c>
      <c r="V49" s="81">
        <f t="shared" si="0"/>
        <v>0</v>
      </c>
      <c r="W49" s="65"/>
      <c r="X49" s="81">
        <f t="shared" si="1"/>
        <v>0</v>
      </c>
      <c r="Y49" s="81">
        <f t="shared" si="2"/>
        <v>0</v>
      </c>
      <c r="Z49" s="81">
        <f t="shared" si="3"/>
        <v>1</v>
      </c>
      <c r="AA49" s="13"/>
      <c r="AB49" s="14"/>
      <c r="AC49" s="22" t="str">
        <f t="shared" si="6"/>
        <v/>
      </c>
      <c r="AD49" s="23" t="str">
        <f t="shared" si="5"/>
        <v/>
      </c>
      <c r="AE49" s="26">
        <v>0.8</v>
      </c>
      <c r="AF49" s="22">
        <f t="shared" si="7"/>
        <v>0.8</v>
      </c>
      <c r="AG49" s="23">
        <f t="shared" si="8"/>
        <v>0</v>
      </c>
    </row>
    <row r="50" spans="1:33" ht="16.5" thickBot="1">
      <c r="A50" s="89">
        <v>47</v>
      </c>
      <c r="B50" s="90">
        <v>12.8</v>
      </c>
      <c r="C50" s="45"/>
      <c r="D50" s="45"/>
      <c r="E50" s="45"/>
      <c r="F50" s="89">
        <v>47</v>
      </c>
      <c r="G50" s="91">
        <v>12.8</v>
      </c>
      <c r="V50" s="81">
        <f t="shared" si="0"/>
        <v>0</v>
      </c>
      <c r="W50" s="65"/>
      <c r="X50" s="81">
        <f t="shared" si="1"/>
        <v>0</v>
      </c>
      <c r="Y50" s="81">
        <f t="shared" si="2"/>
        <v>0</v>
      </c>
      <c r="Z50" s="81">
        <f t="shared" si="3"/>
        <v>1</v>
      </c>
      <c r="AA50" s="13"/>
      <c r="AB50" s="14"/>
      <c r="AC50" s="22" t="str">
        <f t="shared" si="6"/>
        <v/>
      </c>
      <c r="AD50" s="23" t="str">
        <f t="shared" si="5"/>
        <v/>
      </c>
      <c r="AE50" s="26">
        <v>0.9</v>
      </c>
      <c r="AF50" s="22">
        <f t="shared" si="7"/>
        <v>0.9</v>
      </c>
      <c r="AG50" s="23">
        <f t="shared" si="8"/>
        <v>0</v>
      </c>
    </row>
    <row r="51" spans="1:33" ht="16.5" thickBot="1">
      <c r="A51" s="89">
        <v>48</v>
      </c>
      <c r="B51" s="90">
        <v>12.8</v>
      </c>
      <c r="C51" s="45"/>
      <c r="D51" s="45"/>
      <c r="E51" s="45"/>
      <c r="F51" s="89">
        <v>48</v>
      </c>
      <c r="G51" s="91">
        <v>12.8</v>
      </c>
      <c r="V51" s="81">
        <f t="shared" si="0"/>
        <v>0</v>
      </c>
      <c r="W51" s="65"/>
      <c r="X51" s="81">
        <f t="shared" si="1"/>
        <v>0</v>
      </c>
      <c r="Y51" s="81">
        <f t="shared" si="2"/>
        <v>0</v>
      </c>
      <c r="Z51" s="81">
        <f t="shared" si="3"/>
        <v>1</v>
      </c>
      <c r="AA51" s="13"/>
      <c r="AB51" s="14"/>
      <c r="AC51" s="22" t="str">
        <f t="shared" si="6"/>
        <v/>
      </c>
      <c r="AD51" s="23" t="str">
        <f t="shared" si="5"/>
        <v/>
      </c>
      <c r="AE51" s="26">
        <v>1</v>
      </c>
      <c r="AF51" s="22">
        <f t="shared" si="7"/>
        <v>1</v>
      </c>
      <c r="AG51" s="23">
        <f t="shared" si="8"/>
        <v>0</v>
      </c>
    </row>
    <row r="52" spans="1:33" ht="16.5" thickBot="1">
      <c r="A52" s="89">
        <v>49</v>
      </c>
      <c r="B52" s="90">
        <v>12.8</v>
      </c>
      <c r="C52" s="45"/>
      <c r="D52" s="45"/>
      <c r="E52" s="45"/>
      <c r="F52" s="89">
        <v>49</v>
      </c>
      <c r="G52" s="91">
        <v>12.8</v>
      </c>
      <c r="V52" s="81">
        <f t="shared" si="0"/>
        <v>0</v>
      </c>
      <c r="W52" s="65"/>
      <c r="X52" s="81">
        <f t="shared" si="1"/>
        <v>0</v>
      </c>
      <c r="Y52" s="81">
        <f t="shared" si="2"/>
        <v>0</v>
      </c>
      <c r="Z52" s="81">
        <f t="shared" si="3"/>
        <v>1</v>
      </c>
      <c r="AA52" s="13"/>
      <c r="AB52" s="14"/>
      <c r="AC52" s="22" t="str">
        <f t="shared" si="6"/>
        <v/>
      </c>
      <c r="AD52" s="23" t="str">
        <f t="shared" si="5"/>
        <v/>
      </c>
      <c r="AE52" s="26">
        <v>1.1000000000000001</v>
      </c>
      <c r="AF52" s="22">
        <f t="shared" si="7"/>
        <v>1.1000000000000001</v>
      </c>
      <c r="AG52" s="23">
        <f t="shared" si="8"/>
        <v>0</v>
      </c>
    </row>
    <row r="53" spans="1:33" ht="16.5" thickBot="1">
      <c r="A53" s="89">
        <v>50</v>
      </c>
      <c r="B53" s="90">
        <v>12.8</v>
      </c>
      <c r="C53" s="45"/>
      <c r="D53" s="45"/>
      <c r="E53" s="45"/>
      <c r="F53" s="89">
        <v>50</v>
      </c>
      <c r="G53" s="91">
        <v>12.8</v>
      </c>
      <c r="V53" s="81">
        <f t="shared" si="0"/>
        <v>0</v>
      </c>
      <c r="W53" s="65"/>
      <c r="X53" s="81">
        <f t="shared" si="1"/>
        <v>0</v>
      </c>
      <c r="Y53" s="81">
        <f t="shared" si="2"/>
        <v>0</v>
      </c>
      <c r="Z53" s="81">
        <f t="shared" si="3"/>
        <v>1</v>
      </c>
      <c r="AA53" s="13"/>
      <c r="AB53" s="14"/>
      <c r="AC53" s="22" t="str">
        <f t="shared" si="6"/>
        <v/>
      </c>
      <c r="AD53" s="23" t="str">
        <f t="shared" si="5"/>
        <v/>
      </c>
      <c r="AE53" s="26">
        <v>1.2</v>
      </c>
      <c r="AF53" s="22">
        <f t="shared" si="7"/>
        <v>1.2</v>
      </c>
      <c r="AG53" s="23">
        <f t="shared" si="8"/>
        <v>0</v>
      </c>
    </row>
    <row r="54" spans="1:33" ht="16.5" thickBot="1">
      <c r="A54" s="89">
        <v>51</v>
      </c>
      <c r="B54" s="90">
        <v>12.8</v>
      </c>
      <c r="C54" s="45"/>
      <c r="D54" s="45"/>
      <c r="E54" s="45"/>
      <c r="F54" s="89">
        <v>51</v>
      </c>
      <c r="G54" s="91">
        <v>12.8</v>
      </c>
      <c r="V54" s="81">
        <f t="shared" si="0"/>
        <v>0</v>
      </c>
      <c r="W54" s="65"/>
      <c r="X54" s="81">
        <f t="shared" si="1"/>
        <v>0</v>
      </c>
      <c r="Y54" s="81">
        <f t="shared" si="2"/>
        <v>0</v>
      </c>
      <c r="Z54" s="81">
        <f t="shared" si="3"/>
        <v>1</v>
      </c>
      <c r="AA54" s="13"/>
      <c r="AB54" s="14"/>
      <c r="AC54" s="22" t="str">
        <f t="shared" si="6"/>
        <v/>
      </c>
      <c r="AD54" s="23" t="str">
        <f t="shared" si="5"/>
        <v/>
      </c>
      <c r="AE54" s="26">
        <v>1.3</v>
      </c>
      <c r="AF54" s="22">
        <f t="shared" si="7"/>
        <v>1.3</v>
      </c>
      <c r="AG54" s="23">
        <f t="shared" si="8"/>
        <v>0</v>
      </c>
    </row>
    <row r="55" spans="1:33" ht="16.5" thickBot="1">
      <c r="A55" s="89">
        <v>52</v>
      </c>
      <c r="B55" s="90">
        <v>12.8</v>
      </c>
      <c r="C55" s="45"/>
      <c r="D55" s="45"/>
      <c r="E55" s="45"/>
      <c r="F55" s="89">
        <v>52</v>
      </c>
      <c r="G55" s="91">
        <v>12.8</v>
      </c>
      <c r="V55" s="81">
        <f t="shared" si="0"/>
        <v>0</v>
      </c>
      <c r="W55" s="65"/>
      <c r="X55" s="81">
        <f t="shared" si="1"/>
        <v>0</v>
      </c>
      <c r="Y55" s="81">
        <f t="shared" si="2"/>
        <v>0</v>
      </c>
      <c r="Z55" s="81">
        <f t="shared" si="3"/>
        <v>1</v>
      </c>
      <c r="AA55" s="13"/>
      <c r="AB55" s="14"/>
      <c r="AC55" s="22" t="str">
        <f t="shared" si="6"/>
        <v/>
      </c>
      <c r="AD55" s="23" t="str">
        <f t="shared" si="5"/>
        <v/>
      </c>
      <c r="AE55" s="26">
        <v>1.4</v>
      </c>
      <c r="AF55" s="22">
        <f t="shared" si="7"/>
        <v>1.4</v>
      </c>
      <c r="AG55" s="23">
        <f t="shared" si="8"/>
        <v>0</v>
      </c>
    </row>
    <row r="56" spans="1:33" ht="16.5" thickBot="1">
      <c r="A56" s="89">
        <v>53</v>
      </c>
      <c r="B56" s="90">
        <v>12.7</v>
      </c>
      <c r="C56" s="45"/>
      <c r="D56" s="45"/>
      <c r="E56" s="45"/>
      <c r="F56" s="89">
        <v>53</v>
      </c>
      <c r="G56" s="91">
        <v>12.7</v>
      </c>
      <c r="V56" s="81">
        <f t="shared" si="0"/>
        <v>0</v>
      </c>
      <c r="W56" s="65"/>
      <c r="X56" s="81">
        <f t="shared" si="1"/>
        <v>0</v>
      </c>
      <c r="Y56" s="81">
        <f t="shared" si="2"/>
        <v>0</v>
      </c>
      <c r="Z56" s="81">
        <f t="shared" si="3"/>
        <v>1</v>
      </c>
      <c r="AA56" s="13"/>
      <c r="AB56" s="14"/>
      <c r="AC56" s="22" t="str">
        <f t="shared" si="6"/>
        <v/>
      </c>
      <c r="AD56" s="23" t="str">
        <f t="shared" si="5"/>
        <v/>
      </c>
      <c r="AE56" s="26">
        <v>1.5</v>
      </c>
      <c r="AF56" s="22">
        <f t="shared" si="7"/>
        <v>1.5</v>
      </c>
      <c r="AG56" s="23">
        <f t="shared" si="8"/>
        <v>0</v>
      </c>
    </row>
    <row r="57" spans="1:33" ht="16.5" thickBot="1">
      <c r="A57" s="89">
        <v>54</v>
      </c>
      <c r="B57" s="90">
        <v>12.8</v>
      </c>
      <c r="C57" s="45"/>
      <c r="D57" s="45"/>
      <c r="E57" s="45"/>
      <c r="F57" s="89">
        <v>54</v>
      </c>
      <c r="G57" s="91">
        <v>12.8</v>
      </c>
      <c r="V57" s="81">
        <f t="shared" si="0"/>
        <v>0</v>
      </c>
      <c r="W57" s="65"/>
      <c r="X57" s="81">
        <f t="shared" si="1"/>
        <v>0</v>
      </c>
      <c r="Y57" s="81">
        <f t="shared" si="2"/>
        <v>0</v>
      </c>
      <c r="Z57" s="81">
        <f t="shared" si="3"/>
        <v>1</v>
      </c>
      <c r="AA57" s="13"/>
      <c r="AB57" s="14"/>
      <c r="AC57" s="22" t="str">
        <f t="shared" si="6"/>
        <v/>
      </c>
      <c r="AD57" s="23" t="str">
        <f t="shared" si="5"/>
        <v/>
      </c>
      <c r="AE57" s="26">
        <v>1.6</v>
      </c>
      <c r="AF57" s="22">
        <f t="shared" si="7"/>
        <v>1.6</v>
      </c>
      <c r="AG57" s="23">
        <f t="shared" si="8"/>
        <v>0</v>
      </c>
    </row>
    <row r="58" spans="1:33" ht="16.5" thickBot="1">
      <c r="A58" s="89">
        <v>55</v>
      </c>
      <c r="B58" s="90">
        <v>13</v>
      </c>
      <c r="C58" s="45"/>
      <c r="D58" s="45"/>
      <c r="E58" s="45"/>
      <c r="F58" s="89">
        <v>55</v>
      </c>
      <c r="G58" s="91">
        <v>13</v>
      </c>
      <c r="V58" s="81">
        <f t="shared" si="0"/>
        <v>0</v>
      </c>
      <c r="W58" s="65"/>
      <c r="X58" s="81">
        <f t="shared" si="1"/>
        <v>0</v>
      </c>
      <c r="Y58" s="81">
        <f t="shared" si="2"/>
        <v>0</v>
      </c>
      <c r="Z58" s="81">
        <f t="shared" si="3"/>
        <v>1</v>
      </c>
      <c r="AA58" s="13"/>
      <c r="AB58" s="14"/>
      <c r="AC58" s="22" t="str">
        <f t="shared" si="6"/>
        <v/>
      </c>
      <c r="AD58" s="23" t="str">
        <f t="shared" si="5"/>
        <v/>
      </c>
      <c r="AE58" s="26">
        <v>1.7</v>
      </c>
      <c r="AF58" s="22">
        <f t="shared" si="7"/>
        <v>1.7</v>
      </c>
      <c r="AG58" s="23">
        <f t="shared" si="8"/>
        <v>0</v>
      </c>
    </row>
    <row r="59" spans="1:33" ht="16.5" thickBot="1">
      <c r="A59" s="89">
        <v>56</v>
      </c>
      <c r="B59" s="90">
        <v>12.9</v>
      </c>
      <c r="C59" s="45"/>
      <c r="D59" s="45"/>
      <c r="E59" s="45"/>
      <c r="F59" s="89">
        <v>56</v>
      </c>
      <c r="G59" s="91">
        <v>12.9</v>
      </c>
      <c r="V59" s="81">
        <f t="shared" si="0"/>
        <v>0</v>
      </c>
      <c r="W59" s="65"/>
      <c r="X59" s="81">
        <f t="shared" si="1"/>
        <v>0</v>
      </c>
      <c r="Y59" s="81">
        <f t="shared" si="2"/>
        <v>0</v>
      </c>
      <c r="Z59" s="81">
        <f t="shared" si="3"/>
        <v>1</v>
      </c>
      <c r="AA59" s="13"/>
      <c r="AB59" s="14"/>
      <c r="AC59" s="22" t="str">
        <f t="shared" si="6"/>
        <v/>
      </c>
      <c r="AD59" s="23" t="str">
        <f t="shared" si="5"/>
        <v/>
      </c>
      <c r="AE59" s="26">
        <v>1.8</v>
      </c>
      <c r="AF59" s="22">
        <f t="shared" si="7"/>
        <v>1.8</v>
      </c>
      <c r="AG59" s="23">
        <f t="shared" si="8"/>
        <v>0</v>
      </c>
    </row>
    <row r="60" spans="1:33" ht="16.5" thickBot="1">
      <c r="A60" s="89">
        <v>57</v>
      </c>
      <c r="B60" s="90">
        <v>12.9</v>
      </c>
      <c r="C60" s="45"/>
      <c r="D60" s="45"/>
      <c r="E60" s="45"/>
      <c r="F60" s="89">
        <v>57</v>
      </c>
      <c r="G60" s="91">
        <v>12.9</v>
      </c>
      <c r="V60" s="81">
        <f t="shared" si="0"/>
        <v>0</v>
      </c>
      <c r="W60" s="65"/>
      <c r="X60" s="81">
        <f t="shared" si="1"/>
        <v>0</v>
      </c>
      <c r="Y60" s="81">
        <f t="shared" si="2"/>
        <v>0</v>
      </c>
      <c r="Z60" s="81">
        <f t="shared" si="3"/>
        <v>1</v>
      </c>
      <c r="AA60" s="13"/>
      <c r="AB60" s="14"/>
      <c r="AC60" s="22" t="str">
        <f t="shared" si="6"/>
        <v/>
      </c>
      <c r="AD60" s="23" t="str">
        <f t="shared" si="5"/>
        <v/>
      </c>
      <c r="AE60" s="26">
        <v>1.9</v>
      </c>
      <c r="AF60" s="22">
        <f t="shared" si="7"/>
        <v>1.9</v>
      </c>
      <c r="AG60" s="23">
        <f t="shared" si="8"/>
        <v>0</v>
      </c>
    </row>
    <row r="61" spans="1:33" ht="16.5" thickBot="1">
      <c r="A61" s="89">
        <v>58</v>
      </c>
      <c r="B61" s="90">
        <v>12.9</v>
      </c>
      <c r="C61" s="45"/>
      <c r="D61" s="45"/>
      <c r="E61" s="45"/>
      <c r="F61" s="89">
        <v>58</v>
      </c>
      <c r="G61" s="91">
        <v>12.9</v>
      </c>
      <c r="V61" s="81">
        <f t="shared" si="0"/>
        <v>0</v>
      </c>
      <c r="W61" s="65"/>
      <c r="X61" s="81">
        <f t="shared" si="1"/>
        <v>0</v>
      </c>
      <c r="Y61" s="81">
        <f t="shared" si="2"/>
        <v>0</v>
      </c>
      <c r="Z61" s="81">
        <f t="shared" si="3"/>
        <v>1</v>
      </c>
      <c r="AA61" s="13"/>
      <c r="AB61" s="14"/>
      <c r="AC61" s="22" t="str">
        <f t="shared" si="6"/>
        <v/>
      </c>
      <c r="AD61" s="23" t="str">
        <f t="shared" si="5"/>
        <v/>
      </c>
      <c r="AE61" s="26">
        <v>2</v>
      </c>
      <c r="AF61" s="22">
        <f t="shared" si="7"/>
        <v>2</v>
      </c>
      <c r="AG61" s="23">
        <f t="shared" si="8"/>
        <v>0</v>
      </c>
    </row>
    <row r="62" spans="1:33" ht="16.5" thickBot="1">
      <c r="A62" s="89">
        <v>59</v>
      </c>
      <c r="B62" s="90">
        <v>12.9</v>
      </c>
      <c r="C62" s="45"/>
      <c r="D62" s="45"/>
      <c r="E62" s="45"/>
      <c r="F62" s="89">
        <v>59</v>
      </c>
      <c r="G62" s="91">
        <v>12.9</v>
      </c>
      <c r="V62" s="81">
        <f t="shared" si="0"/>
        <v>0</v>
      </c>
      <c r="W62" s="65"/>
      <c r="X62" s="81">
        <f t="shared" si="1"/>
        <v>0</v>
      </c>
      <c r="Y62" s="81">
        <f t="shared" si="2"/>
        <v>0</v>
      </c>
      <c r="Z62" s="81">
        <f t="shared" si="3"/>
        <v>1</v>
      </c>
      <c r="AA62" s="13"/>
      <c r="AB62" s="14"/>
      <c r="AC62" s="22" t="str">
        <f t="shared" si="6"/>
        <v/>
      </c>
      <c r="AD62" s="23" t="str">
        <f t="shared" si="5"/>
        <v/>
      </c>
      <c r="AE62" s="26">
        <v>2.1</v>
      </c>
      <c r="AF62" s="22">
        <f t="shared" si="7"/>
        <v>2.1</v>
      </c>
      <c r="AG62" s="23">
        <f t="shared" si="8"/>
        <v>0</v>
      </c>
    </row>
    <row r="63" spans="1:33" ht="16.5" thickBot="1">
      <c r="A63" s="89">
        <v>60</v>
      </c>
      <c r="B63" s="90">
        <v>12.9</v>
      </c>
      <c r="C63" s="45"/>
      <c r="D63" s="45"/>
      <c r="E63" s="45"/>
      <c r="F63" s="89">
        <v>60</v>
      </c>
      <c r="G63" s="91">
        <v>12.9</v>
      </c>
      <c r="V63" s="81">
        <f t="shared" si="0"/>
        <v>0</v>
      </c>
      <c r="W63" s="65"/>
      <c r="X63" s="81">
        <f t="shared" si="1"/>
        <v>0</v>
      </c>
      <c r="Y63" s="81">
        <f t="shared" si="2"/>
        <v>0</v>
      </c>
      <c r="Z63" s="81">
        <f t="shared" si="3"/>
        <v>1</v>
      </c>
      <c r="AA63" s="13"/>
      <c r="AB63" s="14"/>
      <c r="AC63" s="22" t="str">
        <f t="shared" si="6"/>
        <v/>
      </c>
      <c r="AD63" s="23" t="str">
        <f t="shared" si="5"/>
        <v/>
      </c>
      <c r="AE63" s="26">
        <v>2.2000000000000002</v>
      </c>
      <c r="AF63" s="22">
        <f t="shared" si="7"/>
        <v>2.2000000000000002</v>
      </c>
      <c r="AG63" s="23">
        <f t="shared" si="8"/>
        <v>0</v>
      </c>
    </row>
    <row r="64" spans="1:33" ht="16.5" thickBot="1">
      <c r="A64" s="89">
        <v>61</v>
      </c>
      <c r="B64" s="90">
        <v>12.9</v>
      </c>
      <c r="C64" s="45"/>
      <c r="D64" s="45"/>
      <c r="E64" s="45"/>
      <c r="F64" s="89">
        <v>61</v>
      </c>
      <c r="G64" s="91">
        <v>12.9</v>
      </c>
      <c r="V64" s="81">
        <f t="shared" si="0"/>
        <v>0</v>
      </c>
      <c r="X64" s="81">
        <f t="shared" si="1"/>
        <v>0</v>
      </c>
      <c r="Y64" s="81">
        <f t="shared" si="2"/>
        <v>0</v>
      </c>
      <c r="Z64" s="81">
        <f t="shared" si="3"/>
        <v>1</v>
      </c>
      <c r="AC64" s="22" t="str">
        <f t="shared" si="6"/>
        <v/>
      </c>
      <c r="AD64" s="23" t="str">
        <f t="shared" si="5"/>
        <v/>
      </c>
      <c r="AE64" s="26">
        <v>2.2999999999999998</v>
      </c>
      <c r="AF64" s="22">
        <f t="shared" si="7"/>
        <v>2.2999999999999998</v>
      </c>
      <c r="AG64" s="23">
        <f t="shared" si="8"/>
        <v>0</v>
      </c>
    </row>
    <row r="65" spans="1:33" ht="16.5" thickBot="1">
      <c r="A65" s="89">
        <v>62</v>
      </c>
      <c r="B65" s="90">
        <v>12.9</v>
      </c>
      <c r="C65" s="45"/>
      <c r="D65" s="45"/>
      <c r="E65" s="45"/>
      <c r="F65" s="89">
        <v>62</v>
      </c>
      <c r="G65" s="91">
        <v>12.9</v>
      </c>
      <c r="V65" s="81">
        <f t="shared" si="0"/>
        <v>0</v>
      </c>
      <c r="X65" s="81">
        <f t="shared" si="1"/>
        <v>0</v>
      </c>
      <c r="Y65" s="81">
        <f t="shared" si="2"/>
        <v>0</v>
      </c>
      <c r="Z65" s="81">
        <f t="shared" si="3"/>
        <v>1</v>
      </c>
      <c r="AC65" s="22" t="str">
        <f t="shared" si="6"/>
        <v/>
      </c>
      <c r="AD65" s="23" t="str">
        <f t="shared" si="5"/>
        <v/>
      </c>
      <c r="AE65" s="26">
        <v>2.4</v>
      </c>
      <c r="AF65" s="22">
        <f t="shared" si="7"/>
        <v>2.4</v>
      </c>
      <c r="AG65" s="23">
        <f t="shared" si="8"/>
        <v>0</v>
      </c>
    </row>
    <row r="66" spans="1:33" ht="16.5" thickBot="1">
      <c r="A66" s="89">
        <v>63</v>
      </c>
      <c r="B66" s="90">
        <v>12.9</v>
      </c>
      <c r="C66" s="45"/>
      <c r="D66" s="45"/>
      <c r="E66" s="45"/>
      <c r="F66" s="89">
        <v>63</v>
      </c>
      <c r="G66" s="91">
        <v>12.9</v>
      </c>
      <c r="V66" s="81">
        <f t="shared" si="0"/>
        <v>0</v>
      </c>
      <c r="X66" s="81">
        <f t="shared" si="1"/>
        <v>0</v>
      </c>
      <c r="Y66" s="81">
        <f t="shared" si="2"/>
        <v>0</v>
      </c>
      <c r="Z66" s="81">
        <f t="shared" si="3"/>
        <v>1</v>
      </c>
      <c r="AC66" s="22" t="str">
        <f t="shared" si="6"/>
        <v/>
      </c>
      <c r="AD66" s="23" t="str">
        <f t="shared" si="5"/>
        <v/>
      </c>
      <c r="AE66" s="26">
        <v>2.5</v>
      </c>
      <c r="AF66" s="22">
        <f t="shared" si="7"/>
        <v>2.5</v>
      </c>
      <c r="AG66" s="23">
        <f t="shared" si="8"/>
        <v>0</v>
      </c>
    </row>
    <row r="67" spans="1:33" ht="16.5" thickBot="1">
      <c r="A67" s="89">
        <v>64</v>
      </c>
      <c r="B67" s="90">
        <v>12.9</v>
      </c>
      <c r="C67" s="45"/>
      <c r="D67" s="45"/>
      <c r="E67" s="45"/>
      <c r="F67" s="89">
        <v>64</v>
      </c>
      <c r="G67" s="91">
        <v>12.9</v>
      </c>
      <c r="V67" s="81">
        <f t="shared" si="0"/>
        <v>0</v>
      </c>
      <c r="X67" s="81">
        <f t="shared" si="1"/>
        <v>0</v>
      </c>
      <c r="Y67" s="81">
        <f t="shared" si="2"/>
        <v>0</v>
      </c>
      <c r="Z67" s="81">
        <f t="shared" si="3"/>
        <v>1</v>
      </c>
      <c r="AC67" s="22" t="str">
        <f t="shared" si="6"/>
        <v/>
      </c>
      <c r="AD67" s="23" t="str">
        <f t="shared" si="5"/>
        <v/>
      </c>
      <c r="AE67" s="26">
        <v>2.6</v>
      </c>
      <c r="AF67" s="22">
        <f t="shared" si="7"/>
        <v>2.6</v>
      </c>
      <c r="AG67" s="23">
        <f t="shared" si="8"/>
        <v>0</v>
      </c>
    </row>
    <row r="68" spans="1:33" ht="16.5" thickBot="1">
      <c r="A68" s="89">
        <v>65</v>
      </c>
      <c r="B68" s="90">
        <v>13</v>
      </c>
      <c r="C68" s="45"/>
      <c r="D68" s="45"/>
      <c r="E68" s="45"/>
      <c r="F68" s="89">
        <v>65</v>
      </c>
      <c r="G68" s="91">
        <v>13</v>
      </c>
      <c r="V68" s="81">
        <f t="shared" si="0"/>
        <v>0</v>
      </c>
      <c r="X68" s="81">
        <f t="shared" si="1"/>
        <v>0</v>
      </c>
      <c r="Y68" s="81">
        <f t="shared" si="2"/>
        <v>0</v>
      </c>
      <c r="Z68" s="81">
        <f t="shared" si="3"/>
        <v>1</v>
      </c>
      <c r="AC68" s="22" t="str">
        <f t="shared" si="6"/>
        <v/>
      </c>
      <c r="AD68" s="23" t="str">
        <f t="shared" si="5"/>
        <v/>
      </c>
      <c r="AE68" s="26">
        <v>2.7</v>
      </c>
      <c r="AF68" s="22">
        <f t="shared" si="7"/>
        <v>2.7</v>
      </c>
      <c r="AG68" s="23">
        <f t="shared" si="8"/>
        <v>0</v>
      </c>
    </row>
    <row r="69" spans="1:33" ht="16.5" thickBot="1">
      <c r="A69" s="89">
        <v>66</v>
      </c>
      <c r="B69" s="90">
        <v>12.9</v>
      </c>
      <c r="C69" s="45"/>
      <c r="D69" s="45"/>
      <c r="E69" s="45"/>
      <c r="F69" s="89">
        <v>66</v>
      </c>
      <c r="G69" s="91">
        <v>12.9</v>
      </c>
      <c r="V69" s="81">
        <f t="shared" ref="V69:V132" si="9">G69-B69</f>
        <v>0</v>
      </c>
      <c r="X69" s="81">
        <f t="shared" ref="X69:X132" si="10">IF($V69&lt;-$AA$4,1,0)</f>
        <v>0</v>
      </c>
      <c r="Y69" s="81">
        <f t="shared" ref="Y69:Y132" si="11">IF($V69&gt;$AA$4,1,0)</f>
        <v>0</v>
      </c>
      <c r="Z69" s="81">
        <f t="shared" ref="Z69:Z132" si="12">IF($V69&gt;=-$AA$4,IF(V69&lt;=$AA$4,1,""),"")</f>
        <v>1</v>
      </c>
      <c r="AC69" s="22" t="str">
        <f t="shared" si="6"/>
        <v/>
      </c>
      <c r="AD69" s="23" t="str">
        <f t="shared" si="5"/>
        <v/>
      </c>
      <c r="AE69" s="26">
        <v>2.8</v>
      </c>
      <c r="AF69" s="22">
        <f t="shared" si="7"/>
        <v>2.8</v>
      </c>
      <c r="AG69" s="23">
        <f t="shared" si="8"/>
        <v>0</v>
      </c>
    </row>
    <row r="70" spans="1:33" ht="16.5" thickBot="1">
      <c r="A70" s="89">
        <v>67</v>
      </c>
      <c r="B70" s="90">
        <v>13.1</v>
      </c>
      <c r="C70" s="45"/>
      <c r="D70" s="45"/>
      <c r="E70" s="45"/>
      <c r="F70" s="89">
        <v>67</v>
      </c>
      <c r="G70" s="91">
        <v>13.1</v>
      </c>
      <c r="V70" s="81">
        <f t="shared" si="9"/>
        <v>0</v>
      </c>
      <c r="X70" s="81">
        <f t="shared" si="10"/>
        <v>0</v>
      </c>
      <c r="Y70" s="81">
        <f t="shared" si="11"/>
        <v>0</v>
      </c>
      <c r="Z70" s="81">
        <f t="shared" si="12"/>
        <v>1</v>
      </c>
      <c r="AC70" s="22" t="str">
        <f t="shared" si="6"/>
        <v/>
      </c>
      <c r="AD70" s="23" t="str">
        <f t="shared" si="5"/>
        <v/>
      </c>
      <c r="AE70" s="26">
        <v>2.9</v>
      </c>
      <c r="AF70" s="22">
        <f t="shared" si="7"/>
        <v>2.9</v>
      </c>
      <c r="AG70" s="23">
        <f t="shared" si="8"/>
        <v>0</v>
      </c>
    </row>
    <row r="71" spans="1:33" ht="16.5" thickBot="1">
      <c r="A71" s="89">
        <v>68</v>
      </c>
      <c r="B71" s="90">
        <v>13</v>
      </c>
      <c r="C71" s="45"/>
      <c r="D71" s="45"/>
      <c r="E71" s="45"/>
      <c r="F71" s="89">
        <v>68</v>
      </c>
      <c r="G71" s="91">
        <v>13</v>
      </c>
      <c r="V71" s="81">
        <f t="shared" si="9"/>
        <v>0</v>
      </c>
      <c r="X71" s="81">
        <f t="shared" si="10"/>
        <v>0</v>
      </c>
      <c r="Y71" s="81">
        <f t="shared" si="11"/>
        <v>0</v>
      </c>
      <c r="Z71" s="81">
        <f t="shared" si="12"/>
        <v>1</v>
      </c>
      <c r="AC71" s="22" t="str">
        <f t="shared" si="6"/>
        <v/>
      </c>
      <c r="AD71" s="23" t="str">
        <f t="shared" si="5"/>
        <v/>
      </c>
      <c r="AE71" s="26">
        <v>3</v>
      </c>
      <c r="AF71" s="22">
        <f t="shared" si="7"/>
        <v>3</v>
      </c>
      <c r="AG71" s="23">
        <f t="shared" si="8"/>
        <v>0</v>
      </c>
    </row>
    <row r="72" spans="1:33" ht="16.5" thickBot="1">
      <c r="A72" s="89">
        <v>69</v>
      </c>
      <c r="B72" s="90">
        <v>13</v>
      </c>
      <c r="C72" s="45"/>
      <c r="D72" s="45"/>
      <c r="E72" s="45"/>
      <c r="F72" s="89">
        <v>69</v>
      </c>
      <c r="G72" s="91">
        <v>13</v>
      </c>
      <c r="V72" s="81">
        <f t="shared" si="9"/>
        <v>0</v>
      </c>
      <c r="X72" s="81">
        <f t="shared" si="10"/>
        <v>0</v>
      </c>
      <c r="Y72" s="81">
        <f t="shared" si="11"/>
        <v>0</v>
      </c>
      <c r="Z72" s="81">
        <f t="shared" si="12"/>
        <v>1</v>
      </c>
    </row>
    <row r="73" spans="1:33" ht="16.5" thickBot="1">
      <c r="A73" s="89">
        <v>70</v>
      </c>
      <c r="B73" s="90">
        <v>13</v>
      </c>
      <c r="C73" s="45"/>
      <c r="D73" s="45"/>
      <c r="E73" s="45"/>
      <c r="F73" s="89">
        <v>70</v>
      </c>
      <c r="G73" s="91">
        <v>13</v>
      </c>
      <c r="V73" s="81">
        <f t="shared" si="9"/>
        <v>0</v>
      </c>
      <c r="X73" s="81">
        <f t="shared" si="10"/>
        <v>0</v>
      </c>
      <c r="Y73" s="81">
        <f t="shared" si="11"/>
        <v>0</v>
      </c>
      <c r="Z73" s="81">
        <f t="shared" si="12"/>
        <v>1</v>
      </c>
    </row>
    <row r="74" spans="1:33" ht="16.5" thickBot="1">
      <c r="A74" s="89">
        <v>71</v>
      </c>
      <c r="B74" s="90">
        <v>13</v>
      </c>
      <c r="C74" s="45"/>
      <c r="D74" s="45"/>
      <c r="E74" s="45"/>
      <c r="F74" s="89">
        <v>71</v>
      </c>
      <c r="G74" s="91">
        <v>13</v>
      </c>
      <c r="V74" s="81">
        <f t="shared" si="9"/>
        <v>0</v>
      </c>
      <c r="X74" s="81">
        <f t="shared" si="10"/>
        <v>0</v>
      </c>
      <c r="Y74" s="81">
        <f t="shared" si="11"/>
        <v>0</v>
      </c>
      <c r="Z74" s="81">
        <f t="shared" si="12"/>
        <v>1</v>
      </c>
    </row>
    <row r="75" spans="1:33" ht="16.5" thickBot="1">
      <c r="A75" s="89">
        <v>72</v>
      </c>
      <c r="B75" s="90">
        <v>13</v>
      </c>
      <c r="C75" s="45"/>
      <c r="D75" s="45"/>
      <c r="E75" s="45"/>
      <c r="F75" s="89">
        <v>72</v>
      </c>
      <c r="G75" s="91">
        <v>13</v>
      </c>
      <c r="V75" s="81">
        <f t="shared" si="9"/>
        <v>0</v>
      </c>
      <c r="X75" s="81">
        <f t="shared" si="10"/>
        <v>0</v>
      </c>
      <c r="Y75" s="81">
        <f t="shared" si="11"/>
        <v>0</v>
      </c>
      <c r="Z75" s="81">
        <f t="shared" si="12"/>
        <v>1</v>
      </c>
    </row>
    <row r="76" spans="1:33" ht="16.5" thickBot="1">
      <c r="A76" s="89">
        <v>73</v>
      </c>
      <c r="B76" s="90">
        <v>13</v>
      </c>
      <c r="C76" s="45"/>
      <c r="D76" s="45"/>
      <c r="E76" s="45"/>
      <c r="F76" s="89">
        <v>73</v>
      </c>
      <c r="G76" s="91">
        <v>13</v>
      </c>
      <c r="V76" s="81">
        <f t="shared" si="9"/>
        <v>0</v>
      </c>
      <c r="X76" s="81">
        <f t="shared" si="10"/>
        <v>0</v>
      </c>
      <c r="Y76" s="81">
        <f t="shared" si="11"/>
        <v>0</v>
      </c>
      <c r="Z76" s="81">
        <f t="shared" si="12"/>
        <v>1</v>
      </c>
    </row>
    <row r="77" spans="1:33" ht="16.5" thickBot="1">
      <c r="A77" s="89">
        <v>74</v>
      </c>
      <c r="B77" s="90">
        <v>13.2</v>
      </c>
      <c r="C77" s="45"/>
      <c r="D77" s="45"/>
      <c r="E77" s="45"/>
      <c r="F77" s="89">
        <v>74</v>
      </c>
      <c r="G77" s="91">
        <v>13.2</v>
      </c>
      <c r="V77" s="81">
        <f t="shared" si="9"/>
        <v>0</v>
      </c>
      <c r="X77" s="81">
        <f t="shared" si="10"/>
        <v>0</v>
      </c>
      <c r="Y77" s="81">
        <f t="shared" si="11"/>
        <v>0</v>
      </c>
      <c r="Z77" s="81">
        <f t="shared" si="12"/>
        <v>1</v>
      </c>
    </row>
    <row r="78" spans="1:33" ht="16.5" thickBot="1">
      <c r="A78" s="89">
        <v>75</v>
      </c>
      <c r="B78" s="90">
        <v>13.1</v>
      </c>
      <c r="C78" s="45"/>
      <c r="D78" s="45"/>
      <c r="E78" s="45"/>
      <c r="F78" s="89">
        <v>75</v>
      </c>
      <c r="G78" s="91">
        <v>13.1</v>
      </c>
      <c r="V78" s="81">
        <f t="shared" si="9"/>
        <v>0</v>
      </c>
      <c r="X78" s="81">
        <f t="shared" si="10"/>
        <v>0</v>
      </c>
      <c r="Y78" s="81">
        <f t="shared" si="11"/>
        <v>0</v>
      </c>
      <c r="Z78" s="81">
        <f t="shared" si="12"/>
        <v>1</v>
      </c>
    </row>
    <row r="79" spans="1:33" ht="16.5" thickBot="1">
      <c r="A79" s="89">
        <v>76</v>
      </c>
      <c r="B79" s="90">
        <v>13.2</v>
      </c>
      <c r="C79" s="45"/>
      <c r="D79" s="45"/>
      <c r="E79" s="45"/>
      <c r="F79" s="89">
        <v>76</v>
      </c>
      <c r="G79" s="91">
        <v>13.2</v>
      </c>
      <c r="V79" s="81">
        <f t="shared" si="9"/>
        <v>0</v>
      </c>
      <c r="X79" s="81">
        <f t="shared" si="10"/>
        <v>0</v>
      </c>
      <c r="Y79" s="81">
        <f t="shared" si="11"/>
        <v>0</v>
      </c>
      <c r="Z79" s="81">
        <f t="shared" si="12"/>
        <v>1</v>
      </c>
    </row>
    <row r="80" spans="1:33" ht="16.5" thickBot="1">
      <c r="A80" s="89">
        <v>77</v>
      </c>
      <c r="B80" s="90">
        <v>13.2</v>
      </c>
      <c r="C80" s="45"/>
      <c r="D80" s="45"/>
      <c r="E80" s="45"/>
      <c r="F80" s="89">
        <v>77</v>
      </c>
      <c r="G80" s="91">
        <v>13.2</v>
      </c>
      <c r="V80" s="81">
        <f t="shared" si="9"/>
        <v>0</v>
      </c>
      <c r="X80" s="81">
        <f t="shared" si="10"/>
        <v>0</v>
      </c>
      <c r="Y80" s="81">
        <f t="shared" si="11"/>
        <v>0</v>
      </c>
      <c r="Z80" s="81">
        <f t="shared" si="12"/>
        <v>1</v>
      </c>
    </row>
    <row r="81" spans="1:26" ht="16.5" thickBot="1">
      <c r="A81" s="89">
        <v>78</v>
      </c>
      <c r="B81" s="90">
        <v>13.1</v>
      </c>
      <c r="C81" s="45"/>
      <c r="D81" s="45"/>
      <c r="E81" s="45"/>
      <c r="F81" s="89">
        <v>78</v>
      </c>
      <c r="G81" s="91">
        <v>13.1</v>
      </c>
      <c r="V81" s="81">
        <f t="shared" si="9"/>
        <v>0</v>
      </c>
      <c r="X81" s="81">
        <f t="shared" si="10"/>
        <v>0</v>
      </c>
      <c r="Y81" s="81">
        <f t="shared" si="11"/>
        <v>0</v>
      </c>
      <c r="Z81" s="81">
        <f t="shared" si="12"/>
        <v>1</v>
      </c>
    </row>
    <row r="82" spans="1:26" ht="16.5" thickBot="1">
      <c r="A82" s="89">
        <v>79</v>
      </c>
      <c r="B82" s="90">
        <v>13.1</v>
      </c>
      <c r="C82" s="45"/>
      <c r="D82" s="45"/>
      <c r="E82" s="45"/>
      <c r="F82" s="89">
        <v>79</v>
      </c>
      <c r="G82" s="91">
        <v>13.1</v>
      </c>
      <c r="V82" s="81">
        <f t="shared" si="9"/>
        <v>0</v>
      </c>
      <c r="X82" s="81">
        <f t="shared" si="10"/>
        <v>0</v>
      </c>
      <c r="Y82" s="81">
        <f t="shared" si="11"/>
        <v>0</v>
      </c>
      <c r="Z82" s="81">
        <f t="shared" si="12"/>
        <v>1</v>
      </c>
    </row>
    <row r="83" spans="1:26" ht="16.5" thickBot="1">
      <c r="A83" s="89">
        <v>80</v>
      </c>
      <c r="B83" s="90">
        <v>13</v>
      </c>
      <c r="C83" s="45"/>
      <c r="D83" s="45"/>
      <c r="E83" s="45"/>
      <c r="F83" s="89">
        <v>80</v>
      </c>
      <c r="G83" s="91">
        <v>13</v>
      </c>
      <c r="V83" s="81">
        <f t="shared" si="9"/>
        <v>0</v>
      </c>
      <c r="X83" s="81">
        <f t="shared" si="10"/>
        <v>0</v>
      </c>
      <c r="Y83" s="81">
        <f t="shared" si="11"/>
        <v>0</v>
      </c>
      <c r="Z83" s="81">
        <f t="shared" si="12"/>
        <v>1</v>
      </c>
    </row>
    <row r="84" spans="1:26" ht="16.5" thickBot="1">
      <c r="A84" s="89">
        <v>81</v>
      </c>
      <c r="B84" s="90">
        <v>12.9</v>
      </c>
      <c r="C84" s="45"/>
      <c r="D84" s="45"/>
      <c r="E84" s="45"/>
      <c r="F84" s="89">
        <v>81</v>
      </c>
      <c r="G84" s="91">
        <v>12.9</v>
      </c>
      <c r="V84" s="81">
        <f t="shared" si="9"/>
        <v>0</v>
      </c>
      <c r="X84" s="81">
        <f t="shared" si="10"/>
        <v>0</v>
      </c>
      <c r="Y84" s="81">
        <f t="shared" si="11"/>
        <v>0</v>
      </c>
      <c r="Z84" s="81">
        <f t="shared" si="12"/>
        <v>1</v>
      </c>
    </row>
    <row r="85" spans="1:26" ht="16.5" thickBot="1">
      <c r="A85" s="89">
        <v>82</v>
      </c>
      <c r="B85" s="90">
        <v>13.1</v>
      </c>
      <c r="C85" s="45"/>
      <c r="D85" s="45"/>
      <c r="E85" s="45"/>
      <c r="F85" s="89">
        <v>82</v>
      </c>
      <c r="G85" s="91">
        <v>13.1</v>
      </c>
      <c r="V85" s="81">
        <f t="shared" si="9"/>
        <v>0</v>
      </c>
      <c r="X85" s="81">
        <f t="shared" si="10"/>
        <v>0</v>
      </c>
      <c r="Y85" s="81">
        <f t="shared" si="11"/>
        <v>0</v>
      </c>
      <c r="Z85" s="81">
        <f t="shared" si="12"/>
        <v>1</v>
      </c>
    </row>
    <row r="86" spans="1:26" ht="16.5" thickBot="1">
      <c r="A86" s="89">
        <v>83</v>
      </c>
      <c r="B86" s="90">
        <v>13.2</v>
      </c>
      <c r="C86" s="45"/>
      <c r="D86" s="45"/>
      <c r="E86" s="45"/>
      <c r="F86" s="89">
        <v>83</v>
      </c>
      <c r="G86" s="91">
        <v>13.2</v>
      </c>
      <c r="V86" s="81">
        <f t="shared" si="9"/>
        <v>0</v>
      </c>
      <c r="X86" s="81">
        <f t="shared" si="10"/>
        <v>0</v>
      </c>
      <c r="Y86" s="81">
        <f t="shared" si="11"/>
        <v>0</v>
      </c>
      <c r="Z86" s="81">
        <f t="shared" si="12"/>
        <v>1</v>
      </c>
    </row>
    <row r="87" spans="1:26" ht="16.5" thickBot="1">
      <c r="A87" s="89">
        <v>84</v>
      </c>
      <c r="B87" s="90">
        <v>13.2</v>
      </c>
      <c r="C87" s="45"/>
      <c r="D87" s="45"/>
      <c r="E87" s="45"/>
      <c r="F87" s="89">
        <v>84</v>
      </c>
      <c r="G87" s="91">
        <v>13.2</v>
      </c>
      <c r="V87" s="81">
        <f t="shared" si="9"/>
        <v>0</v>
      </c>
      <c r="X87" s="81">
        <f t="shared" si="10"/>
        <v>0</v>
      </c>
      <c r="Y87" s="81">
        <f t="shared" si="11"/>
        <v>0</v>
      </c>
      <c r="Z87" s="81">
        <f t="shared" si="12"/>
        <v>1</v>
      </c>
    </row>
    <row r="88" spans="1:26" ht="16.5" thickBot="1">
      <c r="A88" s="89">
        <v>85</v>
      </c>
      <c r="B88" s="90">
        <v>13</v>
      </c>
      <c r="C88" s="45"/>
      <c r="D88" s="45"/>
      <c r="E88" s="45"/>
      <c r="F88" s="89">
        <v>85</v>
      </c>
      <c r="G88" s="91">
        <v>13</v>
      </c>
      <c r="V88" s="81">
        <f t="shared" si="9"/>
        <v>0</v>
      </c>
      <c r="X88" s="81">
        <f t="shared" si="10"/>
        <v>0</v>
      </c>
      <c r="Y88" s="81">
        <f t="shared" si="11"/>
        <v>0</v>
      </c>
      <c r="Z88" s="81">
        <f t="shared" si="12"/>
        <v>1</v>
      </c>
    </row>
    <row r="89" spans="1:26" ht="16.5" thickBot="1">
      <c r="A89" s="89">
        <v>86</v>
      </c>
      <c r="B89" s="90">
        <v>12.9</v>
      </c>
      <c r="C89" s="45"/>
      <c r="D89" s="45"/>
      <c r="E89" s="45"/>
      <c r="F89" s="89">
        <v>86</v>
      </c>
      <c r="G89" s="91">
        <v>12.9</v>
      </c>
      <c r="V89" s="81">
        <f t="shared" si="9"/>
        <v>0</v>
      </c>
      <c r="X89" s="81">
        <f t="shared" si="10"/>
        <v>0</v>
      </c>
      <c r="Y89" s="81">
        <f t="shared" si="11"/>
        <v>0</v>
      </c>
      <c r="Z89" s="81">
        <f t="shared" si="12"/>
        <v>1</v>
      </c>
    </row>
    <row r="90" spans="1:26" ht="16.5" thickBot="1">
      <c r="A90" s="89">
        <v>87</v>
      </c>
      <c r="B90" s="90">
        <v>13</v>
      </c>
      <c r="C90" s="45"/>
      <c r="D90" s="45"/>
      <c r="E90" s="45"/>
      <c r="F90" s="89">
        <v>87</v>
      </c>
      <c r="G90" s="91">
        <v>13</v>
      </c>
      <c r="V90" s="81">
        <f t="shared" si="9"/>
        <v>0</v>
      </c>
      <c r="X90" s="81">
        <f t="shared" si="10"/>
        <v>0</v>
      </c>
      <c r="Y90" s="81">
        <f t="shared" si="11"/>
        <v>0</v>
      </c>
      <c r="Z90" s="81">
        <f t="shared" si="12"/>
        <v>1</v>
      </c>
    </row>
    <row r="91" spans="1:26" ht="16.5" thickBot="1">
      <c r="A91" s="89">
        <v>88</v>
      </c>
      <c r="B91" s="90">
        <v>13.2</v>
      </c>
      <c r="C91" s="45"/>
      <c r="D91" s="45"/>
      <c r="E91" s="45"/>
      <c r="F91" s="89">
        <v>88</v>
      </c>
      <c r="G91" s="91">
        <v>13.2</v>
      </c>
      <c r="V91" s="81">
        <f t="shared" si="9"/>
        <v>0</v>
      </c>
      <c r="X91" s="81">
        <f t="shared" si="10"/>
        <v>0</v>
      </c>
      <c r="Y91" s="81">
        <f t="shared" si="11"/>
        <v>0</v>
      </c>
      <c r="Z91" s="81">
        <f t="shared" si="12"/>
        <v>1</v>
      </c>
    </row>
    <row r="92" spans="1:26" ht="16.5" thickBot="1">
      <c r="A92" s="89">
        <v>89</v>
      </c>
      <c r="B92" s="90">
        <v>12.9</v>
      </c>
      <c r="C92" s="45"/>
      <c r="D92" s="45"/>
      <c r="E92" s="45"/>
      <c r="F92" s="89">
        <v>89</v>
      </c>
      <c r="G92" s="91">
        <v>12.9</v>
      </c>
      <c r="V92" s="81">
        <f t="shared" si="9"/>
        <v>0</v>
      </c>
      <c r="X92" s="81">
        <f t="shared" si="10"/>
        <v>0</v>
      </c>
      <c r="Y92" s="81">
        <f t="shared" si="11"/>
        <v>0</v>
      </c>
      <c r="Z92" s="81">
        <f t="shared" si="12"/>
        <v>1</v>
      </c>
    </row>
    <row r="93" spans="1:26" ht="16.5" thickBot="1">
      <c r="A93" s="89">
        <v>90</v>
      </c>
      <c r="B93" s="90">
        <v>12.9</v>
      </c>
      <c r="C93" s="45"/>
      <c r="D93" s="45"/>
      <c r="E93" s="45"/>
      <c r="F93" s="89">
        <v>90</v>
      </c>
      <c r="G93" s="91">
        <v>12.9</v>
      </c>
      <c r="V93" s="81">
        <f t="shared" si="9"/>
        <v>0</v>
      </c>
      <c r="X93" s="81">
        <f t="shared" si="10"/>
        <v>0</v>
      </c>
      <c r="Y93" s="81">
        <f t="shared" si="11"/>
        <v>0</v>
      </c>
      <c r="Z93" s="81">
        <f t="shared" si="12"/>
        <v>1</v>
      </c>
    </row>
    <row r="94" spans="1:26" ht="16.5" thickBot="1">
      <c r="A94" s="89">
        <v>91</v>
      </c>
      <c r="B94" s="90">
        <v>13</v>
      </c>
      <c r="C94" s="45"/>
      <c r="D94" s="45"/>
      <c r="E94" s="45"/>
      <c r="F94" s="89">
        <v>91</v>
      </c>
      <c r="G94" s="91">
        <v>13</v>
      </c>
      <c r="V94" s="81">
        <f t="shared" si="9"/>
        <v>0</v>
      </c>
      <c r="X94" s="81">
        <f t="shared" si="10"/>
        <v>0</v>
      </c>
      <c r="Y94" s="81">
        <f t="shared" si="11"/>
        <v>0</v>
      </c>
      <c r="Z94" s="81">
        <f t="shared" si="12"/>
        <v>1</v>
      </c>
    </row>
    <row r="95" spans="1:26" ht="16.5" thickBot="1">
      <c r="A95" s="89">
        <v>92</v>
      </c>
      <c r="B95" s="90">
        <v>13.1</v>
      </c>
      <c r="C95" s="45"/>
      <c r="D95" s="45"/>
      <c r="E95" s="45"/>
      <c r="F95" s="89">
        <v>92</v>
      </c>
      <c r="G95" s="91">
        <v>13.1</v>
      </c>
      <c r="V95" s="81">
        <f t="shared" si="9"/>
        <v>0</v>
      </c>
      <c r="X95" s="81">
        <f t="shared" si="10"/>
        <v>0</v>
      </c>
      <c r="Y95" s="81">
        <f t="shared" si="11"/>
        <v>0</v>
      </c>
      <c r="Z95" s="81">
        <f t="shared" si="12"/>
        <v>1</v>
      </c>
    </row>
    <row r="96" spans="1:26" ht="16.5" thickBot="1">
      <c r="A96" s="89">
        <v>93</v>
      </c>
      <c r="B96" s="90">
        <v>13.5</v>
      </c>
      <c r="C96" s="45"/>
      <c r="D96" s="45"/>
      <c r="E96" s="45"/>
      <c r="F96" s="89">
        <v>93</v>
      </c>
      <c r="G96" s="91">
        <v>13.5</v>
      </c>
      <c r="V96" s="81">
        <f t="shared" si="9"/>
        <v>0</v>
      </c>
      <c r="X96" s="81">
        <f t="shared" si="10"/>
        <v>0</v>
      </c>
      <c r="Y96" s="81">
        <f t="shared" si="11"/>
        <v>0</v>
      </c>
      <c r="Z96" s="81">
        <f t="shared" si="12"/>
        <v>1</v>
      </c>
    </row>
    <row r="97" spans="1:26" ht="16.5" thickBot="1">
      <c r="A97" s="89">
        <v>94</v>
      </c>
      <c r="B97" s="90">
        <v>13.9</v>
      </c>
      <c r="C97" s="45"/>
      <c r="D97" s="45"/>
      <c r="E97" s="45"/>
      <c r="F97" s="89">
        <v>94</v>
      </c>
      <c r="G97" s="91">
        <v>13.9</v>
      </c>
      <c r="V97" s="81">
        <f t="shared" si="9"/>
        <v>0</v>
      </c>
      <c r="X97" s="81">
        <f t="shared" si="10"/>
        <v>0</v>
      </c>
      <c r="Y97" s="81">
        <f t="shared" si="11"/>
        <v>0</v>
      </c>
      <c r="Z97" s="81">
        <f t="shared" si="12"/>
        <v>1</v>
      </c>
    </row>
    <row r="98" spans="1:26" ht="16.5" thickBot="1">
      <c r="A98" s="89">
        <v>95</v>
      </c>
      <c r="B98" s="90">
        <v>12.9</v>
      </c>
      <c r="C98" s="45"/>
      <c r="D98" s="45"/>
      <c r="E98" s="45"/>
      <c r="F98" s="89">
        <v>95</v>
      </c>
      <c r="G98" s="91">
        <v>12.9</v>
      </c>
      <c r="V98" s="81">
        <f t="shared" si="9"/>
        <v>0</v>
      </c>
      <c r="X98" s="81">
        <f t="shared" si="10"/>
        <v>0</v>
      </c>
      <c r="Y98" s="81">
        <f t="shared" si="11"/>
        <v>0</v>
      </c>
      <c r="Z98" s="81">
        <f t="shared" si="12"/>
        <v>1</v>
      </c>
    </row>
    <row r="99" spans="1:26" ht="16.5" thickBot="1">
      <c r="A99" s="89">
        <v>96</v>
      </c>
      <c r="B99" s="90">
        <v>13.2</v>
      </c>
      <c r="C99" s="45"/>
      <c r="D99" s="45"/>
      <c r="E99" s="45"/>
      <c r="F99" s="89">
        <v>96</v>
      </c>
      <c r="G99" s="91">
        <v>13.2</v>
      </c>
      <c r="V99" s="81">
        <f t="shared" si="9"/>
        <v>0</v>
      </c>
      <c r="X99" s="81">
        <f t="shared" si="10"/>
        <v>0</v>
      </c>
      <c r="Y99" s="81">
        <f t="shared" si="11"/>
        <v>0</v>
      </c>
      <c r="Z99" s="81">
        <f t="shared" si="12"/>
        <v>1</v>
      </c>
    </row>
    <row r="100" spans="1:26" ht="16.5" thickBot="1">
      <c r="A100" s="89">
        <v>97</v>
      </c>
      <c r="B100" s="90">
        <v>13.7</v>
      </c>
      <c r="C100" s="45"/>
      <c r="D100" s="45"/>
      <c r="E100" s="45"/>
      <c r="F100" s="89">
        <v>97</v>
      </c>
      <c r="G100" s="91">
        <v>13.7</v>
      </c>
      <c r="V100" s="81">
        <f t="shared" si="9"/>
        <v>0</v>
      </c>
      <c r="X100" s="81">
        <f t="shared" si="10"/>
        <v>0</v>
      </c>
      <c r="Y100" s="81">
        <f t="shared" si="11"/>
        <v>0</v>
      </c>
      <c r="Z100" s="81">
        <f t="shared" si="12"/>
        <v>1</v>
      </c>
    </row>
    <row r="101" spans="1:26" ht="16.5" thickBot="1">
      <c r="A101" s="89">
        <v>98</v>
      </c>
      <c r="B101" s="90">
        <v>14.2</v>
      </c>
      <c r="C101" s="45"/>
      <c r="D101" s="45"/>
      <c r="E101" s="45"/>
      <c r="F101" s="89">
        <v>98</v>
      </c>
      <c r="G101" s="91">
        <v>14.2</v>
      </c>
      <c r="V101" s="81">
        <f t="shared" si="9"/>
        <v>0</v>
      </c>
      <c r="X101" s="81">
        <f t="shared" si="10"/>
        <v>0</v>
      </c>
      <c r="Y101" s="81">
        <f t="shared" si="11"/>
        <v>0</v>
      </c>
      <c r="Z101" s="81">
        <f t="shared" si="12"/>
        <v>1</v>
      </c>
    </row>
    <row r="102" spans="1:26" ht="16.5" thickBot="1">
      <c r="A102" s="89">
        <v>99</v>
      </c>
      <c r="B102" s="90">
        <v>13.1</v>
      </c>
      <c r="C102" s="45"/>
      <c r="D102" s="45"/>
      <c r="E102" s="45"/>
      <c r="F102" s="89">
        <v>99</v>
      </c>
      <c r="G102" s="91">
        <v>13.1</v>
      </c>
      <c r="V102" s="81">
        <f t="shared" si="9"/>
        <v>0</v>
      </c>
      <c r="X102" s="81">
        <f t="shared" si="10"/>
        <v>0</v>
      </c>
      <c r="Y102" s="81">
        <f t="shared" si="11"/>
        <v>0</v>
      </c>
      <c r="Z102" s="81">
        <f t="shared" si="12"/>
        <v>1</v>
      </c>
    </row>
    <row r="103" spans="1:26" ht="16.5" thickBot="1">
      <c r="A103" s="89">
        <v>100</v>
      </c>
      <c r="B103" s="90">
        <v>13.5</v>
      </c>
      <c r="C103" s="45"/>
      <c r="D103" s="45"/>
      <c r="E103" s="45"/>
      <c r="F103" s="89">
        <v>100</v>
      </c>
      <c r="G103" s="91">
        <v>13.5</v>
      </c>
      <c r="V103" s="81">
        <f t="shared" si="9"/>
        <v>0</v>
      </c>
      <c r="X103" s="81">
        <f t="shared" si="10"/>
        <v>0</v>
      </c>
      <c r="Y103" s="81">
        <f t="shared" si="11"/>
        <v>0</v>
      </c>
      <c r="Z103" s="81">
        <f t="shared" si="12"/>
        <v>1</v>
      </c>
    </row>
    <row r="104" spans="1:26" ht="16.5" thickBot="1">
      <c r="A104" s="89">
        <v>101</v>
      </c>
      <c r="B104" s="90">
        <v>14</v>
      </c>
      <c r="C104" s="45"/>
      <c r="D104" s="45"/>
      <c r="E104" s="45"/>
      <c r="F104" s="89">
        <v>101</v>
      </c>
      <c r="G104" s="91">
        <v>14</v>
      </c>
      <c r="V104" s="81">
        <f t="shared" si="9"/>
        <v>0</v>
      </c>
      <c r="X104" s="81">
        <f t="shared" si="10"/>
        <v>0</v>
      </c>
      <c r="Y104" s="81">
        <f t="shared" si="11"/>
        <v>0</v>
      </c>
      <c r="Z104" s="81">
        <f t="shared" si="12"/>
        <v>1</v>
      </c>
    </row>
    <row r="105" spans="1:26" ht="16.5" thickBot="1">
      <c r="A105" s="89">
        <v>102</v>
      </c>
      <c r="B105" s="90">
        <v>14.5</v>
      </c>
      <c r="C105" s="45"/>
      <c r="D105" s="45"/>
      <c r="E105" s="45"/>
      <c r="F105" s="89">
        <v>102</v>
      </c>
      <c r="G105" s="91">
        <v>14.5</v>
      </c>
      <c r="V105" s="81">
        <f t="shared" si="9"/>
        <v>0</v>
      </c>
      <c r="X105" s="81">
        <f t="shared" si="10"/>
        <v>0</v>
      </c>
      <c r="Y105" s="81">
        <f t="shared" si="11"/>
        <v>0</v>
      </c>
      <c r="Z105" s="81">
        <f t="shared" si="12"/>
        <v>1</v>
      </c>
    </row>
    <row r="106" spans="1:26" ht="16.5" thickBot="1">
      <c r="A106" s="89">
        <v>103</v>
      </c>
      <c r="B106" s="90">
        <v>13.2</v>
      </c>
      <c r="C106" s="45"/>
      <c r="D106" s="45"/>
      <c r="E106" s="45"/>
      <c r="F106" s="89">
        <v>103</v>
      </c>
      <c r="G106" s="91">
        <v>13.2</v>
      </c>
      <c r="V106" s="81">
        <f t="shared" si="9"/>
        <v>0</v>
      </c>
      <c r="X106" s="81">
        <f t="shared" si="10"/>
        <v>0</v>
      </c>
      <c r="Y106" s="81">
        <f t="shared" si="11"/>
        <v>0</v>
      </c>
      <c r="Z106" s="81">
        <f t="shared" si="12"/>
        <v>1</v>
      </c>
    </row>
    <row r="107" spans="1:26" ht="16.5" thickBot="1">
      <c r="A107" s="89">
        <v>104</v>
      </c>
      <c r="B107" s="90">
        <v>13.5</v>
      </c>
      <c r="C107" s="45"/>
      <c r="D107" s="45"/>
      <c r="E107" s="45"/>
      <c r="F107" s="89">
        <v>104</v>
      </c>
      <c r="G107" s="91">
        <v>13.5</v>
      </c>
      <c r="V107" s="81">
        <f t="shared" si="9"/>
        <v>0</v>
      </c>
      <c r="X107" s="81">
        <f t="shared" si="10"/>
        <v>0</v>
      </c>
      <c r="Y107" s="81">
        <f t="shared" si="11"/>
        <v>0</v>
      </c>
      <c r="Z107" s="81">
        <f t="shared" si="12"/>
        <v>1</v>
      </c>
    </row>
    <row r="108" spans="1:26" ht="16.5" thickBot="1">
      <c r="A108" s="89">
        <v>105</v>
      </c>
      <c r="B108" s="90">
        <v>13.9</v>
      </c>
      <c r="C108" s="45"/>
      <c r="D108" s="45"/>
      <c r="E108" s="45"/>
      <c r="F108" s="89">
        <v>105</v>
      </c>
      <c r="G108" s="91">
        <v>13.9</v>
      </c>
      <c r="V108" s="81">
        <f t="shared" si="9"/>
        <v>0</v>
      </c>
      <c r="X108" s="81">
        <f t="shared" si="10"/>
        <v>0</v>
      </c>
      <c r="Y108" s="81">
        <f t="shared" si="11"/>
        <v>0</v>
      </c>
      <c r="Z108" s="81">
        <f t="shared" si="12"/>
        <v>1</v>
      </c>
    </row>
    <row r="109" spans="1:26" ht="16.5" thickBot="1">
      <c r="A109" s="89">
        <v>106</v>
      </c>
      <c r="B109" s="90">
        <v>14.5</v>
      </c>
      <c r="C109" s="45"/>
      <c r="D109" s="45"/>
      <c r="E109" s="45"/>
      <c r="F109" s="89">
        <v>106</v>
      </c>
      <c r="G109" s="91">
        <v>14.5</v>
      </c>
      <c r="V109" s="81">
        <f t="shared" si="9"/>
        <v>0</v>
      </c>
      <c r="X109" s="81">
        <f t="shared" si="10"/>
        <v>0</v>
      </c>
      <c r="Y109" s="81">
        <f t="shared" si="11"/>
        <v>0</v>
      </c>
      <c r="Z109" s="81">
        <f t="shared" si="12"/>
        <v>1</v>
      </c>
    </row>
    <row r="110" spans="1:26" ht="16.5" thickBot="1">
      <c r="A110" s="89">
        <v>107</v>
      </c>
      <c r="B110" s="90">
        <v>15</v>
      </c>
      <c r="C110" s="45"/>
      <c r="D110" s="45"/>
      <c r="E110" s="45"/>
      <c r="F110" s="89">
        <v>107</v>
      </c>
      <c r="G110" s="91">
        <v>15</v>
      </c>
      <c r="V110" s="81">
        <f t="shared" si="9"/>
        <v>0</v>
      </c>
      <c r="X110" s="81">
        <f t="shared" si="10"/>
        <v>0</v>
      </c>
      <c r="Y110" s="81">
        <f t="shared" si="11"/>
        <v>0</v>
      </c>
      <c r="Z110" s="81">
        <f t="shared" si="12"/>
        <v>1</v>
      </c>
    </row>
    <row r="111" spans="1:26" ht="16.5" thickBot="1">
      <c r="A111" s="89">
        <v>108</v>
      </c>
      <c r="B111" s="90">
        <v>13.4</v>
      </c>
      <c r="C111" s="45"/>
      <c r="D111" s="45"/>
      <c r="E111" s="45"/>
      <c r="F111" s="89">
        <v>108</v>
      </c>
      <c r="G111" s="91">
        <v>13.4</v>
      </c>
      <c r="V111" s="81">
        <f t="shared" si="9"/>
        <v>0</v>
      </c>
      <c r="X111" s="81">
        <f t="shared" si="10"/>
        <v>0</v>
      </c>
      <c r="Y111" s="81">
        <f t="shared" si="11"/>
        <v>0</v>
      </c>
      <c r="Z111" s="81">
        <f t="shared" si="12"/>
        <v>1</v>
      </c>
    </row>
    <row r="112" spans="1:26" ht="16.5" thickBot="1">
      <c r="A112" s="89">
        <v>109</v>
      </c>
      <c r="B112" s="90">
        <v>14</v>
      </c>
      <c r="C112" s="45"/>
      <c r="D112" s="45"/>
      <c r="E112" s="45"/>
      <c r="F112" s="89">
        <v>109</v>
      </c>
      <c r="G112" s="91">
        <v>14</v>
      </c>
      <c r="V112" s="81">
        <f t="shared" si="9"/>
        <v>0</v>
      </c>
      <c r="X112" s="81">
        <f t="shared" si="10"/>
        <v>0</v>
      </c>
      <c r="Y112" s="81">
        <f t="shared" si="11"/>
        <v>0</v>
      </c>
      <c r="Z112" s="81">
        <f t="shared" si="12"/>
        <v>1</v>
      </c>
    </row>
    <row r="113" spans="1:26" ht="16.5" thickBot="1">
      <c r="A113" s="89">
        <v>110</v>
      </c>
      <c r="B113" s="90">
        <v>14.5</v>
      </c>
      <c r="C113" s="45"/>
      <c r="D113" s="45"/>
      <c r="E113" s="45"/>
      <c r="F113" s="89">
        <v>110</v>
      </c>
      <c r="G113" s="91">
        <v>14.5</v>
      </c>
      <c r="V113" s="81">
        <f t="shared" si="9"/>
        <v>0</v>
      </c>
      <c r="X113" s="81">
        <f t="shared" si="10"/>
        <v>0</v>
      </c>
      <c r="Y113" s="81">
        <f t="shared" si="11"/>
        <v>0</v>
      </c>
      <c r="Z113" s="81">
        <f t="shared" si="12"/>
        <v>1</v>
      </c>
    </row>
    <row r="114" spans="1:26" ht="16.5" thickBot="1">
      <c r="A114" s="89">
        <v>111</v>
      </c>
      <c r="B114" s="90">
        <v>15.1</v>
      </c>
      <c r="C114" s="45"/>
      <c r="D114" s="45"/>
      <c r="E114" s="45"/>
      <c r="F114" s="89">
        <v>111</v>
      </c>
      <c r="G114" s="91">
        <v>15.1</v>
      </c>
      <c r="V114" s="81">
        <f t="shared" si="9"/>
        <v>0</v>
      </c>
      <c r="X114" s="81">
        <f t="shared" si="10"/>
        <v>0</v>
      </c>
      <c r="Y114" s="81">
        <f t="shared" si="11"/>
        <v>0</v>
      </c>
      <c r="Z114" s="81">
        <f t="shared" si="12"/>
        <v>1</v>
      </c>
    </row>
    <row r="115" spans="1:26" ht="16.5" thickBot="1">
      <c r="A115" s="89">
        <v>112</v>
      </c>
      <c r="B115" s="90">
        <v>15.4</v>
      </c>
      <c r="C115" s="45"/>
      <c r="D115" s="45"/>
      <c r="E115" s="45"/>
      <c r="F115" s="89">
        <v>112</v>
      </c>
      <c r="G115" s="91">
        <v>15.4</v>
      </c>
      <c r="V115" s="81">
        <f t="shared" si="9"/>
        <v>0</v>
      </c>
      <c r="X115" s="81">
        <f t="shared" si="10"/>
        <v>0</v>
      </c>
      <c r="Y115" s="81">
        <f t="shared" si="11"/>
        <v>0</v>
      </c>
      <c r="Z115" s="81">
        <f t="shared" si="12"/>
        <v>1</v>
      </c>
    </row>
    <row r="116" spans="1:26" ht="16.5" thickBot="1">
      <c r="A116" s="89">
        <v>113</v>
      </c>
      <c r="B116" s="90">
        <v>13.3</v>
      </c>
      <c r="C116" s="45"/>
      <c r="D116" s="45"/>
      <c r="E116" s="45"/>
      <c r="F116" s="89">
        <v>113</v>
      </c>
      <c r="G116" s="91">
        <v>13.3</v>
      </c>
      <c r="V116" s="81">
        <f t="shared" si="9"/>
        <v>0</v>
      </c>
      <c r="X116" s="81">
        <f t="shared" si="10"/>
        <v>0</v>
      </c>
      <c r="Y116" s="81">
        <f t="shared" si="11"/>
        <v>0</v>
      </c>
      <c r="Z116" s="81">
        <f t="shared" si="12"/>
        <v>1</v>
      </c>
    </row>
    <row r="117" spans="1:26" ht="16.5" thickBot="1">
      <c r="A117" s="89">
        <v>114</v>
      </c>
      <c r="B117" s="90">
        <v>13.7</v>
      </c>
      <c r="C117" s="45"/>
      <c r="D117" s="45"/>
      <c r="E117" s="45"/>
      <c r="F117" s="89">
        <v>114</v>
      </c>
      <c r="G117" s="91">
        <v>13.7</v>
      </c>
      <c r="V117" s="81">
        <f t="shared" si="9"/>
        <v>0</v>
      </c>
      <c r="X117" s="81">
        <f t="shared" si="10"/>
        <v>0</v>
      </c>
      <c r="Y117" s="81">
        <f t="shared" si="11"/>
        <v>0</v>
      </c>
      <c r="Z117" s="81">
        <f t="shared" si="12"/>
        <v>1</v>
      </c>
    </row>
    <row r="118" spans="1:26" ht="16.5" thickBot="1">
      <c r="A118" s="89">
        <v>115</v>
      </c>
      <c r="B118" s="90">
        <v>14.3</v>
      </c>
      <c r="C118" s="45"/>
      <c r="D118" s="45"/>
      <c r="E118" s="45"/>
      <c r="F118" s="89">
        <v>115</v>
      </c>
      <c r="G118" s="91">
        <v>14.3</v>
      </c>
      <c r="V118" s="81">
        <f t="shared" si="9"/>
        <v>0</v>
      </c>
      <c r="X118" s="81">
        <f t="shared" si="10"/>
        <v>0</v>
      </c>
      <c r="Y118" s="81">
        <f t="shared" si="11"/>
        <v>0</v>
      </c>
      <c r="Z118" s="81">
        <f t="shared" si="12"/>
        <v>1</v>
      </c>
    </row>
    <row r="119" spans="1:26" ht="16.5" thickBot="1">
      <c r="A119" s="89">
        <v>116</v>
      </c>
      <c r="B119" s="90">
        <v>14.9</v>
      </c>
      <c r="C119" s="45"/>
      <c r="D119" s="45"/>
      <c r="E119" s="45"/>
      <c r="F119" s="89">
        <v>116</v>
      </c>
      <c r="G119" s="91">
        <v>14.9</v>
      </c>
      <c r="V119" s="81">
        <f t="shared" si="9"/>
        <v>0</v>
      </c>
      <c r="X119" s="81">
        <f t="shared" si="10"/>
        <v>0</v>
      </c>
      <c r="Y119" s="81">
        <f t="shared" si="11"/>
        <v>0</v>
      </c>
      <c r="Z119" s="81">
        <f t="shared" si="12"/>
        <v>1</v>
      </c>
    </row>
    <row r="120" spans="1:26" ht="16.5" thickBot="1">
      <c r="A120" s="89">
        <v>117</v>
      </c>
      <c r="B120" s="90">
        <v>15.4</v>
      </c>
      <c r="C120" s="45"/>
      <c r="D120" s="45"/>
      <c r="E120" s="45"/>
      <c r="F120" s="89">
        <v>117</v>
      </c>
      <c r="G120" s="91">
        <v>15.4</v>
      </c>
      <c r="V120" s="81">
        <f t="shared" si="9"/>
        <v>0</v>
      </c>
      <c r="X120" s="81">
        <f t="shared" si="10"/>
        <v>0</v>
      </c>
      <c r="Y120" s="81">
        <f t="shared" si="11"/>
        <v>0</v>
      </c>
      <c r="Z120" s="81">
        <f t="shared" si="12"/>
        <v>1</v>
      </c>
    </row>
    <row r="121" spans="1:26" ht="16.5" thickBot="1">
      <c r="A121" s="89">
        <v>118</v>
      </c>
      <c r="B121" s="90">
        <v>13.5</v>
      </c>
      <c r="C121" s="45"/>
      <c r="D121" s="45"/>
      <c r="E121" s="45"/>
      <c r="F121" s="89">
        <v>118</v>
      </c>
      <c r="G121" s="91">
        <v>13.5</v>
      </c>
      <c r="V121" s="81">
        <f t="shared" si="9"/>
        <v>0</v>
      </c>
      <c r="X121" s="81">
        <f t="shared" si="10"/>
        <v>0</v>
      </c>
      <c r="Y121" s="81">
        <f t="shared" si="11"/>
        <v>0</v>
      </c>
      <c r="Z121" s="81">
        <f t="shared" si="12"/>
        <v>1</v>
      </c>
    </row>
    <row r="122" spans="1:26" ht="16.5" thickBot="1">
      <c r="A122" s="89">
        <v>119</v>
      </c>
      <c r="B122" s="90">
        <v>14</v>
      </c>
      <c r="C122" s="45"/>
      <c r="D122" s="45"/>
      <c r="E122" s="45"/>
      <c r="F122" s="89">
        <v>119</v>
      </c>
      <c r="G122" s="91">
        <v>14</v>
      </c>
      <c r="V122" s="81">
        <f t="shared" si="9"/>
        <v>0</v>
      </c>
      <c r="X122" s="81">
        <f t="shared" si="10"/>
        <v>0</v>
      </c>
      <c r="Y122" s="81">
        <f t="shared" si="11"/>
        <v>0</v>
      </c>
      <c r="Z122" s="81">
        <f t="shared" si="12"/>
        <v>1</v>
      </c>
    </row>
    <row r="123" spans="1:26" ht="16.5" thickBot="1">
      <c r="A123" s="89">
        <v>120</v>
      </c>
      <c r="B123" s="90">
        <v>14.6</v>
      </c>
      <c r="C123" s="45"/>
      <c r="D123" s="45"/>
      <c r="E123" s="45"/>
      <c r="F123" s="89">
        <v>120</v>
      </c>
      <c r="G123" s="91">
        <v>14.6</v>
      </c>
      <c r="V123" s="81">
        <f t="shared" si="9"/>
        <v>0</v>
      </c>
      <c r="X123" s="81">
        <f t="shared" si="10"/>
        <v>0</v>
      </c>
      <c r="Y123" s="81">
        <f t="shared" si="11"/>
        <v>0</v>
      </c>
      <c r="Z123" s="81">
        <f t="shared" si="12"/>
        <v>1</v>
      </c>
    </row>
    <row r="124" spans="1:26" ht="16.5" thickBot="1">
      <c r="A124" s="89">
        <v>121</v>
      </c>
      <c r="B124" s="90">
        <v>13.2</v>
      </c>
      <c r="C124" s="45"/>
      <c r="D124" s="45"/>
      <c r="E124" s="45"/>
      <c r="F124" s="89">
        <v>121</v>
      </c>
      <c r="G124" s="91">
        <v>13.2</v>
      </c>
      <c r="V124" s="81">
        <f t="shared" si="9"/>
        <v>0</v>
      </c>
      <c r="X124" s="81">
        <f t="shared" si="10"/>
        <v>0</v>
      </c>
      <c r="Y124" s="81">
        <f t="shared" si="11"/>
        <v>0</v>
      </c>
      <c r="Z124" s="81">
        <f t="shared" si="12"/>
        <v>1</v>
      </c>
    </row>
    <row r="125" spans="1:26" ht="16.5" thickBot="1">
      <c r="A125" s="89">
        <v>122</v>
      </c>
      <c r="B125" s="90">
        <v>13.7</v>
      </c>
      <c r="F125" s="89">
        <v>122</v>
      </c>
      <c r="G125" s="91">
        <v>13.7</v>
      </c>
      <c r="V125" s="81">
        <f t="shared" si="9"/>
        <v>0</v>
      </c>
      <c r="X125" s="81">
        <f t="shared" si="10"/>
        <v>0</v>
      </c>
      <c r="Y125" s="81">
        <f t="shared" si="11"/>
        <v>0</v>
      </c>
      <c r="Z125" s="81">
        <f t="shared" si="12"/>
        <v>1</v>
      </c>
    </row>
    <row r="126" spans="1:26" ht="16.5" thickBot="1">
      <c r="A126" s="89">
        <v>123</v>
      </c>
      <c r="B126" s="90">
        <v>13.3</v>
      </c>
      <c r="F126" s="89">
        <v>123</v>
      </c>
      <c r="G126" s="91">
        <v>13.3</v>
      </c>
      <c r="V126" s="81">
        <f t="shared" si="9"/>
        <v>0</v>
      </c>
      <c r="X126" s="81">
        <f t="shared" si="10"/>
        <v>0</v>
      </c>
      <c r="Y126" s="81">
        <f t="shared" si="11"/>
        <v>0</v>
      </c>
      <c r="Z126" s="81">
        <f t="shared" si="12"/>
        <v>1</v>
      </c>
    </row>
    <row r="127" spans="1:26" ht="16.5" thickBot="1">
      <c r="A127" s="89">
        <v>125</v>
      </c>
      <c r="B127" s="90">
        <v>12.9</v>
      </c>
      <c r="F127" s="89">
        <v>125</v>
      </c>
      <c r="G127" s="91">
        <v>12.9</v>
      </c>
      <c r="V127" s="81">
        <f t="shared" si="9"/>
        <v>0</v>
      </c>
      <c r="X127" s="81">
        <f t="shared" si="10"/>
        <v>0</v>
      </c>
      <c r="Y127" s="81">
        <f t="shared" si="11"/>
        <v>0</v>
      </c>
      <c r="Z127" s="81">
        <f t="shared" si="12"/>
        <v>1</v>
      </c>
    </row>
    <row r="128" spans="1:26" ht="16.5" thickBot="1">
      <c r="A128" s="89">
        <v>126</v>
      </c>
      <c r="B128" s="90">
        <v>13</v>
      </c>
      <c r="F128" s="89">
        <v>126</v>
      </c>
      <c r="G128" s="91">
        <v>13</v>
      </c>
      <c r="V128" s="81">
        <f t="shared" si="9"/>
        <v>0</v>
      </c>
      <c r="X128" s="81">
        <f t="shared" si="10"/>
        <v>0</v>
      </c>
      <c r="Y128" s="81">
        <f t="shared" si="11"/>
        <v>0</v>
      </c>
      <c r="Z128" s="81">
        <f t="shared" si="12"/>
        <v>1</v>
      </c>
    </row>
    <row r="129" spans="1:26" ht="16.5" thickBot="1">
      <c r="A129" s="89">
        <v>127</v>
      </c>
      <c r="B129" s="90">
        <v>13.4</v>
      </c>
      <c r="F129" s="89">
        <v>127</v>
      </c>
      <c r="G129" s="91">
        <v>13.4</v>
      </c>
      <c r="V129" s="81">
        <f t="shared" si="9"/>
        <v>0</v>
      </c>
      <c r="X129" s="81">
        <f t="shared" si="10"/>
        <v>0</v>
      </c>
      <c r="Y129" s="81">
        <f t="shared" si="11"/>
        <v>0</v>
      </c>
      <c r="Z129" s="81">
        <f t="shared" si="12"/>
        <v>1</v>
      </c>
    </row>
    <row r="130" spans="1:26" ht="16.5" thickBot="1">
      <c r="A130" s="89">
        <v>128</v>
      </c>
      <c r="B130" s="90">
        <v>14.7</v>
      </c>
      <c r="F130" s="89">
        <v>128</v>
      </c>
      <c r="G130" s="91">
        <v>14.7</v>
      </c>
      <c r="V130" s="81">
        <f t="shared" si="9"/>
        <v>0</v>
      </c>
      <c r="X130" s="81">
        <f t="shared" si="10"/>
        <v>0</v>
      </c>
      <c r="Y130" s="81">
        <f t="shared" si="11"/>
        <v>0</v>
      </c>
      <c r="Z130" s="81">
        <f t="shared" si="12"/>
        <v>1</v>
      </c>
    </row>
    <row r="131" spans="1:26" ht="16.5" thickBot="1">
      <c r="A131" s="89">
        <v>129</v>
      </c>
      <c r="B131" s="90">
        <v>14.8</v>
      </c>
      <c r="F131" s="89">
        <v>129</v>
      </c>
      <c r="G131" s="91">
        <v>14.8</v>
      </c>
      <c r="V131" s="81">
        <f t="shared" si="9"/>
        <v>0</v>
      </c>
      <c r="X131" s="81">
        <f t="shared" si="10"/>
        <v>0</v>
      </c>
      <c r="Y131" s="81">
        <f t="shared" si="11"/>
        <v>0</v>
      </c>
      <c r="Z131" s="81">
        <f t="shared" si="12"/>
        <v>1</v>
      </c>
    </row>
    <row r="132" spans="1:26" ht="16.5" thickBot="1">
      <c r="A132" s="89">
        <v>130</v>
      </c>
      <c r="B132" s="90">
        <v>13.3</v>
      </c>
      <c r="F132" s="89">
        <v>130</v>
      </c>
      <c r="G132" s="91">
        <v>13.3</v>
      </c>
      <c r="V132" s="81">
        <f t="shared" si="9"/>
        <v>0</v>
      </c>
      <c r="X132" s="81">
        <f t="shared" si="10"/>
        <v>0</v>
      </c>
      <c r="Y132" s="81">
        <f t="shared" si="11"/>
        <v>0</v>
      </c>
      <c r="Z132" s="81">
        <f t="shared" si="12"/>
        <v>1</v>
      </c>
    </row>
    <row r="133" spans="1:26" ht="16.5" thickBot="1">
      <c r="A133" s="89">
        <v>131</v>
      </c>
      <c r="B133" s="90">
        <v>12.7</v>
      </c>
      <c r="F133" s="89">
        <v>131</v>
      </c>
      <c r="G133" s="91">
        <v>12.7</v>
      </c>
      <c r="V133" s="81">
        <f t="shared" ref="V133:V196" si="13">G133-B133</f>
        <v>0</v>
      </c>
      <c r="X133" s="81">
        <f t="shared" ref="X133:X196" si="14">IF($V133&lt;-$AA$4,1,0)</f>
        <v>0</v>
      </c>
      <c r="Y133" s="81">
        <f t="shared" ref="Y133:Y196" si="15">IF($V133&gt;$AA$4,1,0)</f>
        <v>0</v>
      </c>
      <c r="Z133" s="81">
        <f t="shared" ref="Z133:Z196" si="16">IF($V133&gt;=-$AA$4,IF(V133&lt;=$AA$4,1,""),"")</f>
        <v>1</v>
      </c>
    </row>
    <row r="134" spans="1:26" ht="16.5" thickBot="1">
      <c r="A134" s="89">
        <v>132</v>
      </c>
      <c r="B134" s="90">
        <v>12.7</v>
      </c>
      <c r="F134" s="89">
        <v>132</v>
      </c>
      <c r="G134" s="91">
        <v>12.7</v>
      </c>
      <c r="V134" s="81">
        <f t="shared" si="13"/>
        <v>0</v>
      </c>
      <c r="X134" s="81">
        <f t="shared" si="14"/>
        <v>0</v>
      </c>
      <c r="Y134" s="81">
        <f t="shared" si="15"/>
        <v>0</v>
      </c>
      <c r="Z134" s="81">
        <f t="shared" si="16"/>
        <v>1</v>
      </c>
    </row>
    <row r="135" spans="1:26" ht="16.5" thickBot="1">
      <c r="A135" s="89">
        <v>133</v>
      </c>
      <c r="B135" s="90">
        <v>12.5</v>
      </c>
      <c r="F135" s="89">
        <v>133</v>
      </c>
      <c r="G135" s="91">
        <v>12.5</v>
      </c>
      <c r="V135" s="81">
        <f t="shared" si="13"/>
        <v>0</v>
      </c>
      <c r="X135" s="81">
        <f t="shared" si="14"/>
        <v>0</v>
      </c>
      <c r="Y135" s="81">
        <f t="shared" si="15"/>
        <v>0</v>
      </c>
      <c r="Z135" s="81">
        <f t="shared" si="16"/>
        <v>1</v>
      </c>
    </row>
    <row r="136" spans="1:26" ht="16.5" thickBot="1">
      <c r="A136" s="89">
        <v>134</v>
      </c>
      <c r="B136" s="90">
        <v>12.5</v>
      </c>
      <c r="F136" s="91">
        <v>134</v>
      </c>
      <c r="G136" s="91">
        <v>12.5</v>
      </c>
      <c r="V136" s="81">
        <f t="shared" si="13"/>
        <v>0</v>
      </c>
      <c r="X136" s="81">
        <f t="shared" si="14"/>
        <v>0</v>
      </c>
      <c r="Y136" s="81">
        <f t="shared" si="15"/>
        <v>0</v>
      </c>
      <c r="Z136" s="81">
        <f t="shared" si="16"/>
        <v>1</v>
      </c>
    </row>
    <row r="137" spans="1:26" ht="16.5" thickBot="1">
      <c r="A137" s="89">
        <v>135</v>
      </c>
      <c r="B137" s="90">
        <v>12.4</v>
      </c>
      <c r="F137" s="91">
        <v>135</v>
      </c>
      <c r="G137" s="91">
        <v>12.4</v>
      </c>
      <c r="V137" s="81">
        <f t="shared" si="13"/>
        <v>0</v>
      </c>
      <c r="X137" s="81">
        <f t="shared" si="14"/>
        <v>0</v>
      </c>
      <c r="Y137" s="81">
        <f t="shared" si="15"/>
        <v>0</v>
      </c>
      <c r="Z137" s="81">
        <f t="shared" si="16"/>
        <v>1</v>
      </c>
    </row>
    <row r="138" spans="1:26" ht="16.5" thickBot="1">
      <c r="A138" s="89">
        <v>136</v>
      </c>
      <c r="B138" s="90">
        <v>12.4</v>
      </c>
      <c r="F138" s="91">
        <v>136</v>
      </c>
      <c r="G138" s="91">
        <v>12.4</v>
      </c>
      <c r="V138" s="81">
        <f t="shared" si="13"/>
        <v>0</v>
      </c>
      <c r="X138" s="81">
        <f t="shared" si="14"/>
        <v>0</v>
      </c>
      <c r="Y138" s="81">
        <f t="shared" si="15"/>
        <v>0</v>
      </c>
      <c r="Z138" s="81">
        <f t="shared" si="16"/>
        <v>1</v>
      </c>
    </row>
    <row r="139" spans="1:26" ht="16.5" thickBot="1">
      <c r="A139" s="89">
        <v>137</v>
      </c>
      <c r="B139" s="90">
        <v>12.3</v>
      </c>
      <c r="F139" s="91">
        <v>137</v>
      </c>
      <c r="G139" s="91">
        <v>12.3</v>
      </c>
      <c r="V139" s="81">
        <f t="shared" si="13"/>
        <v>0</v>
      </c>
      <c r="X139" s="81">
        <f t="shared" si="14"/>
        <v>0</v>
      </c>
      <c r="Y139" s="81">
        <f t="shared" si="15"/>
        <v>0</v>
      </c>
      <c r="Z139" s="81">
        <f t="shared" si="16"/>
        <v>1</v>
      </c>
    </row>
    <row r="140" spans="1:26" ht="16.5" thickBot="1">
      <c r="A140" s="89">
        <v>138</v>
      </c>
      <c r="B140" s="90">
        <v>12.3</v>
      </c>
      <c r="F140" s="91">
        <v>138</v>
      </c>
      <c r="G140" s="91">
        <v>12.3</v>
      </c>
      <c r="V140" s="81">
        <f t="shared" si="13"/>
        <v>0</v>
      </c>
      <c r="X140" s="81">
        <f t="shared" si="14"/>
        <v>0</v>
      </c>
      <c r="Y140" s="81">
        <f t="shared" si="15"/>
        <v>0</v>
      </c>
      <c r="Z140" s="81">
        <f t="shared" si="16"/>
        <v>1</v>
      </c>
    </row>
    <row r="141" spans="1:26" ht="16.5" thickBot="1">
      <c r="A141" s="89">
        <v>139</v>
      </c>
      <c r="B141" s="90">
        <v>12.3</v>
      </c>
      <c r="F141" s="91">
        <v>139</v>
      </c>
      <c r="G141" s="91">
        <v>12.3</v>
      </c>
      <c r="V141" s="81">
        <f t="shared" si="13"/>
        <v>0</v>
      </c>
      <c r="X141" s="81">
        <f t="shared" si="14"/>
        <v>0</v>
      </c>
      <c r="Y141" s="81">
        <f t="shared" si="15"/>
        <v>0</v>
      </c>
      <c r="Z141" s="81">
        <f t="shared" si="16"/>
        <v>1</v>
      </c>
    </row>
    <row r="142" spans="1:26" ht="16.5" thickBot="1">
      <c r="A142" s="89">
        <v>141</v>
      </c>
      <c r="B142" s="90">
        <v>12.7</v>
      </c>
      <c r="F142" s="91">
        <v>141</v>
      </c>
      <c r="G142" s="91">
        <v>12.7</v>
      </c>
      <c r="V142" s="81">
        <f t="shared" si="13"/>
        <v>0</v>
      </c>
      <c r="X142" s="81">
        <f t="shared" si="14"/>
        <v>0</v>
      </c>
      <c r="Y142" s="81">
        <f t="shared" si="15"/>
        <v>0</v>
      </c>
      <c r="Z142" s="81">
        <f t="shared" si="16"/>
        <v>1</v>
      </c>
    </row>
    <row r="143" spans="1:26" ht="16.5" thickBot="1">
      <c r="A143" s="89">
        <v>142</v>
      </c>
      <c r="B143" s="90">
        <v>12.7</v>
      </c>
      <c r="F143" s="91">
        <v>142</v>
      </c>
      <c r="G143" s="91">
        <v>12.7</v>
      </c>
      <c r="V143" s="81">
        <f t="shared" si="13"/>
        <v>0</v>
      </c>
      <c r="X143" s="81">
        <f t="shared" si="14"/>
        <v>0</v>
      </c>
      <c r="Y143" s="81">
        <f t="shared" si="15"/>
        <v>0</v>
      </c>
      <c r="Z143" s="81">
        <f t="shared" si="16"/>
        <v>1</v>
      </c>
    </row>
    <row r="144" spans="1:26" ht="16.5" thickBot="1">
      <c r="A144" s="89">
        <v>143</v>
      </c>
      <c r="B144" s="90">
        <v>12.6</v>
      </c>
      <c r="F144" s="91">
        <v>143</v>
      </c>
      <c r="G144" s="91">
        <v>12.6</v>
      </c>
      <c r="V144" s="81">
        <f t="shared" si="13"/>
        <v>0</v>
      </c>
      <c r="X144" s="81">
        <f t="shared" si="14"/>
        <v>0</v>
      </c>
      <c r="Y144" s="81">
        <f t="shared" si="15"/>
        <v>0</v>
      </c>
      <c r="Z144" s="81">
        <f t="shared" si="16"/>
        <v>1</v>
      </c>
    </row>
    <row r="145" spans="1:26" ht="16.5" thickBot="1">
      <c r="A145" s="89">
        <v>145</v>
      </c>
      <c r="B145" s="90">
        <v>12.8</v>
      </c>
      <c r="F145" s="91">
        <v>145</v>
      </c>
      <c r="G145" s="91">
        <v>12.8</v>
      </c>
      <c r="V145" s="81">
        <f t="shared" si="13"/>
        <v>0</v>
      </c>
      <c r="X145" s="81">
        <f t="shared" si="14"/>
        <v>0</v>
      </c>
      <c r="Y145" s="81">
        <f t="shared" si="15"/>
        <v>0</v>
      </c>
      <c r="Z145" s="81">
        <f t="shared" si="16"/>
        <v>1</v>
      </c>
    </row>
    <row r="146" spans="1:26" ht="16.5" thickBot="1">
      <c r="A146" s="89">
        <v>146</v>
      </c>
      <c r="B146" s="90">
        <v>12.9</v>
      </c>
      <c r="F146" s="91">
        <v>146</v>
      </c>
      <c r="G146" s="91">
        <v>12.9</v>
      </c>
      <c r="V146" s="81">
        <f t="shared" si="13"/>
        <v>0</v>
      </c>
      <c r="X146" s="81">
        <f t="shared" si="14"/>
        <v>0</v>
      </c>
      <c r="Y146" s="81">
        <f t="shared" si="15"/>
        <v>0</v>
      </c>
      <c r="Z146" s="81">
        <f t="shared" si="16"/>
        <v>1</v>
      </c>
    </row>
    <row r="147" spans="1:26" ht="16.5" thickBot="1">
      <c r="A147" s="89">
        <v>147</v>
      </c>
      <c r="B147" s="90">
        <v>12.3</v>
      </c>
      <c r="F147" s="91">
        <v>147</v>
      </c>
      <c r="G147" s="91">
        <v>12.3</v>
      </c>
      <c r="V147" s="81">
        <f t="shared" si="13"/>
        <v>0</v>
      </c>
      <c r="X147" s="81">
        <f t="shared" si="14"/>
        <v>0</v>
      </c>
      <c r="Y147" s="81">
        <f t="shared" si="15"/>
        <v>0</v>
      </c>
      <c r="Z147" s="81">
        <f t="shared" si="16"/>
        <v>1</v>
      </c>
    </row>
    <row r="148" spans="1:26" ht="16.5" thickBot="1">
      <c r="A148" s="89">
        <v>148</v>
      </c>
      <c r="B148" s="90">
        <v>12.4</v>
      </c>
      <c r="F148" s="91">
        <v>148</v>
      </c>
      <c r="G148" s="91">
        <v>12.4</v>
      </c>
      <c r="V148" s="81">
        <f t="shared" si="13"/>
        <v>0</v>
      </c>
      <c r="X148" s="81">
        <f t="shared" si="14"/>
        <v>0</v>
      </c>
      <c r="Y148" s="81">
        <f t="shared" si="15"/>
        <v>0</v>
      </c>
      <c r="Z148" s="81">
        <f t="shared" si="16"/>
        <v>1</v>
      </c>
    </row>
    <row r="149" spans="1:26" ht="16.5" thickBot="1">
      <c r="A149" s="89">
        <v>150</v>
      </c>
      <c r="B149" s="90">
        <v>12.2</v>
      </c>
      <c r="F149" s="91">
        <v>150</v>
      </c>
      <c r="G149" s="91">
        <v>12.2</v>
      </c>
      <c r="V149" s="81">
        <f t="shared" si="13"/>
        <v>0</v>
      </c>
      <c r="X149" s="81">
        <f t="shared" si="14"/>
        <v>0</v>
      </c>
      <c r="Y149" s="81">
        <f t="shared" si="15"/>
        <v>0</v>
      </c>
      <c r="Z149" s="81">
        <f t="shared" si="16"/>
        <v>1</v>
      </c>
    </row>
    <row r="150" spans="1:26" ht="16.5" thickBot="1">
      <c r="A150" s="89">
        <v>151</v>
      </c>
      <c r="B150" s="90">
        <v>12.2</v>
      </c>
      <c r="F150" s="91">
        <v>151</v>
      </c>
      <c r="G150" s="91">
        <v>12.2</v>
      </c>
      <c r="V150" s="81">
        <f t="shared" si="13"/>
        <v>0</v>
      </c>
      <c r="X150" s="81">
        <f t="shared" si="14"/>
        <v>0</v>
      </c>
      <c r="Y150" s="81">
        <f t="shared" si="15"/>
        <v>0</v>
      </c>
      <c r="Z150" s="81">
        <f t="shared" si="16"/>
        <v>1</v>
      </c>
    </row>
    <row r="151" spans="1:26" ht="16.5" thickBot="1">
      <c r="A151" s="89">
        <v>152</v>
      </c>
      <c r="B151" s="90">
        <v>12.5</v>
      </c>
      <c r="F151" s="91">
        <v>152</v>
      </c>
      <c r="G151" s="91">
        <v>12.5</v>
      </c>
      <c r="V151" s="81">
        <f t="shared" si="13"/>
        <v>0</v>
      </c>
      <c r="X151" s="81">
        <f t="shared" si="14"/>
        <v>0</v>
      </c>
      <c r="Y151" s="81">
        <f t="shared" si="15"/>
        <v>0</v>
      </c>
      <c r="Z151" s="81">
        <f t="shared" si="16"/>
        <v>1</v>
      </c>
    </row>
    <row r="152" spans="1:26" ht="16.5" thickBot="1">
      <c r="A152" s="89">
        <v>153</v>
      </c>
      <c r="B152" s="90">
        <v>12.7</v>
      </c>
      <c r="F152" s="91">
        <v>153</v>
      </c>
      <c r="G152" s="91">
        <v>12.7</v>
      </c>
      <c r="V152" s="81">
        <f t="shared" si="13"/>
        <v>0</v>
      </c>
      <c r="X152" s="81">
        <f t="shared" si="14"/>
        <v>0</v>
      </c>
      <c r="Y152" s="81">
        <f t="shared" si="15"/>
        <v>0</v>
      </c>
      <c r="Z152" s="81">
        <f t="shared" si="16"/>
        <v>1</v>
      </c>
    </row>
    <row r="153" spans="1:26" ht="16.5" thickBot="1">
      <c r="A153" s="89">
        <v>155</v>
      </c>
      <c r="B153" s="90">
        <v>12.4</v>
      </c>
      <c r="F153" s="91">
        <v>155</v>
      </c>
      <c r="G153" s="91">
        <v>12.4</v>
      </c>
      <c r="V153" s="81">
        <f t="shared" si="13"/>
        <v>0</v>
      </c>
      <c r="X153" s="81">
        <f t="shared" si="14"/>
        <v>0</v>
      </c>
      <c r="Y153" s="81">
        <f t="shared" si="15"/>
        <v>0</v>
      </c>
      <c r="Z153" s="81">
        <f t="shared" si="16"/>
        <v>1</v>
      </c>
    </row>
    <row r="154" spans="1:26" ht="16.5" thickBot="1">
      <c r="A154" s="89">
        <v>156</v>
      </c>
      <c r="B154" s="90">
        <v>12.3</v>
      </c>
      <c r="F154" s="91">
        <v>156</v>
      </c>
      <c r="G154" s="91">
        <v>12.3</v>
      </c>
      <c r="V154" s="81">
        <f t="shared" si="13"/>
        <v>0</v>
      </c>
      <c r="X154" s="81">
        <f t="shared" si="14"/>
        <v>0</v>
      </c>
      <c r="Y154" s="81">
        <f t="shared" si="15"/>
        <v>0</v>
      </c>
      <c r="Z154" s="81">
        <f t="shared" si="16"/>
        <v>1</v>
      </c>
    </row>
    <row r="155" spans="1:26" ht="16.5" thickBot="1">
      <c r="A155" s="89">
        <v>157</v>
      </c>
      <c r="B155" s="90">
        <v>12.3</v>
      </c>
      <c r="F155" s="91">
        <v>157</v>
      </c>
      <c r="G155" s="91">
        <v>12.3</v>
      </c>
      <c r="V155" s="81">
        <f t="shared" si="13"/>
        <v>0</v>
      </c>
      <c r="X155" s="81">
        <f t="shared" si="14"/>
        <v>0</v>
      </c>
      <c r="Y155" s="81">
        <f t="shared" si="15"/>
        <v>0</v>
      </c>
      <c r="Z155" s="81">
        <f t="shared" si="16"/>
        <v>1</v>
      </c>
    </row>
    <row r="156" spans="1:26" ht="16.5" thickBot="1">
      <c r="A156" s="89">
        <v>158</v>
      </c>
      <c r="B156" s="90">
        <v>12.2</v>
      </c>
      <c r="F156" s="91">
        <v>158</v>
      </c>
      <c r="G156" s="91">
        <v>12.2</v>
      </c>
      <c r="V156" s="81">
        <f t="shared" si="13"/>
        <v>0</v>
      </c>
      <c r="X156" s="81">
        <f t="shared" si="14"/>
        <v>0</v>
      </c>
      <c r="Y156" s="81">
        <f t="shared" si="15"/>
        <v>0</v>
      </c>
      <c r="Z156" s="81">
        <f t="shared" si="16"/>
        <v>1</v>
      </c>
    </row>
    <row r="157" spans="1:26" ht="16.5" thickBot="1">
      <c r="A157" s="89">
        <v>159</v>
      </c>
      <c r="B157" s="90">
        <v>12.2</v>
      </c>
      <c r="F157" s="91">
        <v>159</v>
      </c>
      <c r="G157" s="91">
        <v>12.2</v>
      </c>
      <c r="V157" s="81">
        <f t="shared" si="13"/>
        <v>0</v>
      </c>
      <c r="X157" s="81">
        <f t="shared" si="14"/>
        <v>0</v>
      </c>
      <c r="Y157" s="81">
        <f t="shared" si="15"/>
        <v>0</v>
      </c>
      <c r="Z157" s="81">
        <f t="shared" si="16"/>
        <v>1</v>
      </c>
    </row>
    <row r="158" spans="1:26" ht="16.5" thickBot="1">
      <c r="A158" s="89">
        <v>160</v>
      </c>
      <c r="B158" s="90">
        <v>12.3</v>
      </c>
      <c r="F158" s="91">
        <v>160</v>
      </c>
      <c r="G158" s="91">
        <v>12.3</v>
      </c>
      <c r="V158" s="81">
        <f t="shared" si="13"/>
        <v>0</v>
      </c>
      <c r="X158" s="81">
        <f t="shared" si="14"/>
        <v>0</v>
      </c>
      <c r="Y158" s="81">
        <f t="shared" si="15"/>
        <v>0</v>
      </c>
      <c r="Z158" s="81">
        <f t="shared" si="16"/>
        <v>1</v>
      </c>
    </row>
    <row r="159" spans="1:26" ht="16.5" thickBot="1">
      <c r="A159" s="89">
        <v>161</v>
      </c>
      <c r="B159" s="90">
        <v>12.5</v>
      </c>
      <c r="F159" s="91">
        <v>161</v>
      </c>
      <c r="G159" s="91">
        <v>12.5</v>
      </c>
      <c r="V159" s="81">
        <f t="shared" si="13"/>
        <v>0</v>
      </c>
      <c r="X159" s="81">
        <f t="shared" si="14"/>
        <v>0</v>
      </c>
      <c r="Y159" s="81">
        <f t="shared" si="15"/>
        <v>0</v>
      </c>
      <c r="Z159" s="81">
        <f t="shared" si="16"/>
        <v>1</v>
      </c>
    </row>
    <row r="160" spans="1:26" ht="16.5" thickBot="1">
      <c r="A160" s="89">
        <v>162</v>
      </c>
      <c r="B160" s="90">
        <v>12.6</v>
      </c>
      <c r="F160" s="91">
        <v>162</v>
      </c>
      <c r="G160" s="91">
        <v>12.6</v>
      </c>
      <c r="V160" s="81">
        <f t="shared" si="13"/>
        <v>0</v>
      </c>
      <c r="X160" s="81">
        <f t="shared" si="14"/>
        <v>0</v>
      </c>
      <c r="Y160" s="81">
        <f t="shared" si="15"/>
        <v>0</v>
      </c>
      <c r="Z160" s="81">
        <f t="shared" si="16"/>
        <v>1</v>
      </c>
    </row>
    <row r="161" spans="1:26" ht="16.5" thickBot="1">
      <c r="A161" s="89">
        <v>163</v>
      </c>
      <c r="B161" s="90">
        <v>12.7</v>
      </c>
      <c r="F161" s="91">
        <v>163</v>
      </c>
      <c r="G161" s="91">
        <v>12.7</v>
      </c>
      <c r="V161" s="81">
        <f t="shared" si="13"/>
        <v>0</v>
      </c>
      <c r="X161" s="81">
        <f t="shared" si="14"/>
        <v>0</v>
      </c>
      <c r="Y161" s="81">
        <f t="shared" si="15"/>
        <v>0</v>
      </c>
      <c r="Z161" s="81">
        <f t="shared" si="16"/>
        <v>1</v>
      </c>
    </row>
    <row r="162" spans="1:26" ht="16.5" thickBot="1">
      <c r="A162" s="89">
        <v>164</v>
      </c>
      <c r="B162" s="90">
        <v>12.9</v>
      </c>
      <c r="F162" s="91">
        <v>164</v>
      </c>
      <c r="G162" s="91">
        <v>12.9</v>
      </c>
      <c r="V162" s="81">
        <f t="shared" si="13"/>
        <v>0</v>
      </c>
      <c r="X162" s="81">
        <f t="shared" si="14"/>
        <v>0</v>
      </c>
      <c r="Y162" s="81">
        <f t="shared" si="15"/>
        <v>0</v>
      </c>
      <c r="Z162" s="81">
        <f t="shared" si="16"/>
        <v>1</v>
      </c>
    </row>
    <row r="163" spans="1:26" ht="16.5" thickBot="1">
      <c r="A163" s="89">
        <v>165</v>
      </c>
      <c r="B163" s="90">
        <v>12.5</v>
      </c>
      <c r="F163" s="91">
        <v>165</v>
      </c>
      <c r="G163" s="91">
        <v>12.5</v>
      </c>
      <c r="V163" s="81">
        <f t="shared" si="13"/>
        <v>0</v>
      </c>
      <c r="X163" s="81">
        <f t="shared" si="14"/>
        <v>0</v>
      </c>
      <c r="Y163" s="81">
        <f t="shared" si="15"/>
        <v>0</v>
      </c>
      <c r="Z163" s="81">
        <f t="shared" si="16"/>
        <v>1</v>
      </c>
    </row>
    <row r="164" spans="1:26" ht="16.5" thickBot="1">
      <c r="A164" s="89">
        <v>166</v>
      </c>
      <c r="B164" s="90">
        <v>12.4</v>
      </c>
      <c r="F164" s="91">
        <v>166</v>
      </c>
      <c r="G164" s="91">
        <v>12.4</v>
      </c>
      <c r="V164" s="81">
        <f t="shared" si="13"/>
        <v>0</v>
      </c>
      <c r="X164" s="81">
        <f t="shared" si="14"/>
        <v>0</v>
      </c>
      <c r="Y164" s="81">
        <f t="shared" si="15"/>
        <v>0</v>
      </c>
      <c r="Z164" s="81">
        <f t="shared" si="16"/>
        <v>1</v>
      </c>
    </row>
    <row r="165" spans="1:26" ht="16.5" thickBot="1">
      <c r="A165" s="89">
        <v>167</v>
      </c>
      <c r="B165" s="90">
        <v>12.4</v>
      </c>
      <c r="F165" s="91">
        <v>167</v>
      </c>
      <c r="G165" s="91">
        <v>12.4</v>
      </c>
      <c r="V165" s="81">
        <f t="shared" si="13"/>
        <v>0</v>
      </c>
      <c r="X165" s="81">
        <f t="shared" si="14"/>
        <v>0</v>
      </c>
      <c r="Y165" s="81">
        <f t="shared" si="15"/>
        <v>0</v>
      </c>
      <c r="Z165" s="81">
        <f t="shared" si="16"/>
        <v>1</v>
      </c>
    </row>
    <row r="166" spans="1:26" ht="16.5" thickBot="1">
      <c r="A166" s="89">
        <v>168</v>
      </c>
      <c r="B166" s="90">
        <v>12.3</v>
      </c>
      <c r="F166" s="91">
        <v>168</v>
      </c>
      <c r="G166" s="91">
        <v>12.3</v>
      </c>
      <c r="V166" s="81">
        <f t="shared" si="13"/>
        <v>0</v>
      </c>
      <c r="X166" s="81">
        <f t="shared" si="14"/>
        <v>0</v>
      </c>
      <c r="Y166" s="81">
        <f t="shared" si="15"/>
        <v>0</v>
      </c>
      <c r="Z166" s="81">
        <f t="shared" si="16"/>
        <v>1</v>
      </c>
    </row>
    <row r="167" spans="1:26" ht="16.5" thickBot="1">
      <c r="A167" s="89">
        <v>169</v>
      </c>
      <c r="B167" s="90">
        <v>12.3</v>
      </c>
      <c r="F167" s="91">
        <v>169</v>
      </c>
      <c r="G167" s="91">
        <v>12.3</v>
      </c>
      <c r="V167" s="81">
        <f t="shared" si="13"/>
        <v>0</v>
      </c>
      <c r="X167" s="81">
        <f t="shared" si="14"/>
        <v>0</v>
      </c>
      <c r="Y167" s="81">
        <f t="shared" si="15"/>
        <v>0</v>
      </c>
      <c r="Z167" s="81">
        <f t="shared" si="16"/>
        <v>1</v>
      </c>
    </row>
    <row r="168" spans="1:26" ht="16.5" thickBot="1">
      <c r="A168" s="89">
        <v>170</v>
      </c>
      <c r="B168" s="90">
        <v>12.2</v>
      </c>
      <c r="F168" s="91">
        <v>170</v>
      </c>
      <c r="G168" s="91">
        <v>12.2</v>
      </c>
      <c r="V168" s="81">
        <f t="shared" si="13"/>
        <v>0</v>
      </c>
      <c r="X168" s="81">
        <f t="shared" si="14"/>
        <v>0</v>
      </c>
      <c r="Y168" s="81">
        <f t="shared" si="15"/>
        <v>0</v>
      </c>
      <c r="Z168" s="81">
        <f t="shared" si="16"/>
        <v>1</v>
      </c>
    </row>
    <row r="169" spans="1:26" ht="16.5" thickBot="1">
      <c r="A169" s="89">
        <v>171</v>
      </c>
      <c r="B169" s="90">
        <v>12.2</v>
      </c>
      <c r="F169" s="91">
        <v>171</v>
      </c>
      <c r="G169" s="91">
        <v>12.2</v>
      </c>
      <c r="V169" s="81">
        <f t="shared" si="13"/>
        <v>0</v>
      </c>
      <c r="X169" s="81">
        <f t="shared" si="14"/>
        <v>0</v>
      </c>
      <c r="Y169" s="81">
        <f t="shared" si="15"/>
        <v>0</v>
      </c>
      <c r="Z169" s="81">
        <f t="shared" si="16"/>
        <v>1</v>
      </c>
    </row>
    <row r="170" spans="1:26" ht="16.5" thickBot="1">
      <c r="A170" s="89">
        <v>172</v>
      </c>
      <c r="B170" s="90">
        <v>12.3</v>
      </c>
      <c r="F170" s="91">
        <v>172</v>
      </c>
      <c r="G170" s="91">
        <v>12.3</v>
      </c>
      <c r="V170" s="81">
        <f t="shared" si="13"/>
        <v>0</v>
      </c>
      <c r="X170" s="81">
        <f t="shared" si="14"/>
        <v>0</v>
      </c>
      <c r="Y170" s="81">
        <f t="shared" si="15"/>
        <v>0</v>
      </c>
      <c r="Z170" s="81">
        <f t="shared" si="16"/>
        <v>1</v>
      </c>
    </row>
    <row r="171" spans="1:26" ht="16.5" thickBot="1">
      <c r="A171" s="89">
        <v>173</v>
      </c>
      <c r="B171" s="90">
        <v>12.4</v>
      </c>
      <c r="F171" s="91">
        <v>173</v>
      </c>
      <c r="G171" s="91">
        <v>12.4</v>
      </c>
      <c r="V171" s="81">
        <f t="shared" si="13"/>
        <v>0</v>
      </c>
      <c r="X171" s="81">
        <f t="shared" si="14"/>
        <v>0</v>
      </c>
      <c r="Y171" s="81">
        <f t="shared" si="15"/>
        <v>0</v>
      </c>
      <c r="Z171" s="81">
        <f t="shared" si="16"/>
        <v>1</v>
      </c>
    </row>
    <row r="172" spans="1:26" ht="16.5" thickBot="1">
      <c r="A172" s="89">
        <v>174</v>
      </c>
      <c r="B172" s="90">
        <v>12.5</v>
      </c>
      <c r="F172" s="91">
        <v>174</v>
      </c>
      <c r="G172" s="91">
        <v>12.5</v>
      </c>
      <c r="V172" s="81">
        <f t="shared" si="13"/>
        <v>0</v>
      </c>
      <c r="X172" s="81">
        <f t="shared" si="14"/>
        <v>0</v>
      </c>
      <c r="Y172" s="81">
        <f t="shared" si="15"/>
        <v>0</v>
      </c>
      <c r="Z172" s="81">
        <f t="shared" si="16"/>
        <v>1</v>
      </c>
    </row>
    <row r="173" spans="1:26" ht="16.5" thickBot="1">
      <c r="A173" s="89">
        <v>175</v>
      </c>
      <c r="B173" s="90">
        <v>12.6</v>
      </c>
      <c r="F173" s="91">
        <v>175</v>
      </c>
      <c r="G173" s="91">
        <v>12.6</v>
      </c>
      <c r="V173" s="81">
        <f t="shared" si="13"/>
        <v>0</v>
      </c>
      <c r="X173" s="81">
        <f t="shared" si="14"/>
        <v>0</v>
      </c>
      <c r="Y173" s="81">
        <f t="shared" si="15"/>
        <v>0</v>
      </c>
      <c r="Z173" s="81">
        <f t="shared" si="16"/>
        <v>1</v>
      </c>
    </row>
    <row r="174" spans="1:26" ht="16.5" thickBot="1">
      <c r="A174" s="89">
        <v>176</v>
      </c>
      <c r="B174" s="90">
        <v>12.9</v>
      </c>
      <c r="F174" s="91">
        <v>176</v>
      </c>
      <c r="G174" s="91">
        <v>12.9</v>
      </c>
      <c r="V174" s="81">
        <f t="shared" si="13"/>
        <v>0</v>
      </c>
      <c r="X174" s="81">
        <f t="shared" si="14"/>
        <v>0</v>
      </c>
      <c r="Y174" s="81">
        <f t="shared" si="15"/>
        <v>0</v>
      </c>
      <c r="Z174" s="81">
        <f t="shared" si="16"/>
        <v>1</v>
      </c>
    </row>
    <row r="175" spans="1:26" ht="16.5" thickBot="1">
      <c r="A175" s="89">
        <v>177</v>
      </c>
      <c r="B175" s="90">
        <v>12.7</v>
      </c>
      <c r="F175" s="91">
        <v>177</v>
      </c>
      <c r="G175" s="91">
        <v>12.7</v>
      </c>
      <c r="V175" s="81">
        <f t="shared" si="13"/>
        <v>0</v>
      </c>
      <c r="X175" s="81">
        <f t="shared" si="14"/>
        <v>0</v>
      </c>
      <c r="Y175" s="81">
        <f t="shared" si="15"/>
        <v>0</v>
      </c>
      <c r="Z175" s="81">
        <f t="shared" si="16"/>
        <v>1</v>
      </c>
    </row>
    <row r="176" spans="1:26" ht="16.5" thickBot="1">
      <c r="A176" s="89">
        <v>178</v>
      </c>
      <c r="B176" s="90">
        <v>12.5</v>
      </c>
      <c r="F176" s="91">
        <v>178</v>
      </c>
      <c r="G176" s="91">
        <v>12.5</v>
      </c>
      <c r="V176" s="81">
        <f t="shared" si="13"/>
        <v>0</v>
      </c>
      <c r="X176" s="81">
        <f t="shared" si="14"/>
        <v>0</v>
      </c>
      <c r="Y176" s="81">
        <f t="shared" si="15"/>
        <v>0</v>
      </c>
      <c r="Z176" s="81">
        <f t="shared" si="16"/>
        <v>1</v>
      </c>
    </row>
    <row r="177" spans="1:26" ht="16.5" thickBot="1">
      <c r="A177" s="89">
        <v>179</v>
      </c>
      <c r="B177" s="90">
        <v>12.5</v>
      </c>
      <c r="F177" s="91">
        <v>179</v>
      </c>
      <c r="G177" s="91">
        <v>12.5</v>
      </c>
      <c r="V177" s="81">
        <f t="shared" si="13"/>
        <v>0</v>
      </c>
      <c r="X177" s="81">
        <f t="shared" si="14"/>
        <v>0</v>
      </c>
      <c r="Y177" s="81">
        <f t="shared" si="15"/>
        <v>0</v>
      </c>
      <c r="Z177" s="81">
        <f t="shared" si="16"/>
        <v>1</v>
      </c>
    </row>
    <row r="178" spans="1:26" ht="16.5" thickBot="1">
      <c r="A178" s="89">
        <v>180</v>
      </c>
      <c r="B178" s="90">
        <v>12.5</v>
      </c>
      <c r="F178" s="91">
        <v>180</v>
      </c>
      <c r="G178" s="91">
        <v>12.5</v>
      </c>
      <c r="V178" s="81">
        <f t="shared" si="13"/>
        <v>0</v>
      </c>
      <c r="X178" s="81">
        <f t="shared" si="14"/>
        <v>0</v>
      </c>
      <c r="Y178" s="81">
        <f t="shared" si="15"/>
        <v>0</v>
      </c>
      <c r="Z178" s="81">
        <f t="shared" si="16"/>
        <v>1</v>
      </c>
    </row>
    <row r="179" spans="1:26" ht="16.5" thickBot="1">
      <c r="A179" s="89">
        <v>181</v>
      </c>
      <c r="B179" s="90">
        <v>12.4</v>
      </c>
      <c r="F179" s="91">
        <v>181</v>
      </c>
      <c r="G179" s="91">
        <v>12.4</v>
      </c>
      <c r="V179" s="81">
        <f t="shared" si="13"/>
        <v>0</v>
      </c>
      <c r="X179" s="81">
        <f t="shared" si="14"/>
        <v>0</v>
      </c>
      <c r="Y179" s="81">
        <f t="shared" si="15"/>
        <v>0</v>
      </c>
      <c r="Z179" s="81">
        <f t="shared" si="16"/>
        <v>1</v>
      </c>
    </row>
    <row r="180" spans="1:26" ht="16.5" thickBot="1">
      <c r="A180" s="89">
        <v>182</v>
      </c>
      <c r="B180" s="90">
        <v>12.3</v>
      </c>
      <c r="F180" s="91">
        <v>182</v>
      </c>
      <c r="G180" s="91">
        <v>12.3</v>
      </c>
      <c r="V180" s="81">
        <f t="shared" si="13"/>
        <v>0</v>
      </c>
      <c r="X180" s="81">
        <f t="shared" si="14"/>
        <v>0</v>
      </c>
      <c r="Y180" s="81">
        <f t="shared" si="15"/>
        <v>0</v>
      </c>
      <c r="Z180" s="81">
        <f t="shared" si="16"/>
        <v>1</v>
      </c>
    </row>
    <row r="181" spans="1:26" ht="16.5" thickBot="1">
      <c r="A181" s="89">
        <v>183</v>
      </c>
      <c r="B181" s="90">
        <v>12.2</v>
      </c>
      <c r="F181" s="91">
        <v>183</v>
      </c>
      <c r="G181" s="91">
        <v>12.2</v>
      </c>
      <c r="V181" s="81">
        <f t="shared" si="13"/>
        <v>0</v>
      </c>
      <c r="X181" s="81">
        <f t="shared" si="14"/>
        <v>0</v>
      </c>
      <c r="Y181" s="81">
        <f t="shared" si="15"/>
        <v>0</v>
      </c>
      <c r="Z181" s="81">
        <f t="shared" si="16"/>
        <v>1</v>
      </c>
    </row>
    <row r="182" spans="1:26" ht="16.5" thickBot="1">
      <c r="A182" s="89">
        <v>184</v>
      </c>
      <c r="B182" s="90">
        <v>12.2</v>
      </c>
      <c r="F182" s="91">
        <v>184</v>
      </c>
      <c r="G182" s="91">
        <v>12.2</v>
      </c>
      <c r="V182" s="81">
        <f t="shared" si="13"/>
        <v>0</v>
      </c>
      <c r="X182" s="81">
        <f t="shared" si="14"/>
        <v>0</v>
      </c>
      <c r="Y182" s="81">
        <f t="shared" si="15"/>
        <v>0</v>
      </c>
      <c r="Z182" s="81">
        <f t="shared" si="16"/>
        <v>1</v>
      </c>
    </row>
    <row r="183" spans="1:26" ht="16.5" thickBot="1">
      <c r="A183" s="89">
        <v>185</v>
      </c>
      <c r="B183" s="90">
        <v>12.2</v>
      </c>
      <c r="F183" s="91">
        <v>185</v>
      </c>
      <c r="G183" s="91">
        <v>12.2</v>
      </c>
      <c r="V183" s="81">
        <f t="shared" si="13"/>
        <v>0</v>
      </c>
      <c r="X183" s="81">
        <f t="shared" si="14"/>
        <v>0</v>
      </c>
      <c r="Y183" s="81">
        <f t="shared" si="15"/>
        <v>0</v>
      </c>
      <c r="Z183" s="81">
        <f t="shared" si="16"/>
        <v>1</v>
      </c>
    </row>
    <row r="184" spans="1:26" ht="16.5" thickBot="1">
      <c r="A184" s="89">
        <v>189</v>
      </c>
      <c r="B184" s="90">
        <v>12.8</v>
      </c>
      <c r="F184" s="91">
        <v>189</v>
      </c>
      <c r="G184" s="91">
        <v>12.8</v>
      </c>
      <c r="V184" s="81">
        <f t="shared" si="13"/>
        <v>0</v>
      </c>
      <c r="X184" s="81">
        <f t="shared" si="14"/>
        <v>0</v>
      </c>
      <c r="Y184" s="81">
        <f t="shared" si="15"/>
        <v>0</v>
      </c>
      <c r="Z184" s="81">
        <f t="shared" si="16"/>
        <v>1</v>
      </c>
    </row>
    <row r="185" spans="1:26" ht="16.5" thickBot="1">
      <c r="A185" s="89">
        <v>190</v>
      </c>
      <c r="B185" s="90">
        <v>13</v>
      </c>
      <c r="F185" s="91">
        <v>190</v>
      </c>
      <c r="G185" s="91">
        <v>13</v>
      </c>
      <c r="V185" s="81">
        <f t="shared" si="13"/>
        <v>0</v>
      </c>
      <c r="X185" s="81">
        <f t="shared" si="14"/>
        <v>0</v>
      </c>
      <c r="Y185" s="81">
        <f t="shared" si="15"/>
        <v>0</v>
      </c>
      <c r="Z185" s="81">
        <f t="shared" si="16"/>
        <v>1</v>
      </c>
    </row>
    <row r="186" spans="1:26" ht="16.5" thickBot="1">
      <c r="A186" s="89">
        <v>191</v>
      </c>
      <c r="B186" s="90">
        <v>12.6</v>
      </c>
      <c r="F186" s="91">
        <v>191</v>
      </c>
      <c r="G186" s="91">
        <v>12.6</v>
      </c>
      <c r="V186" s="81">
        <f t="shared" si="13"/>
        <v>0</v>
      </c>
      <c r="X186" s="81">
        <f t="shared" si="14"/>
        <v>0</v>
      </c>
      <c r="Y186" s="81">
        <f t="shared" si="15"/>
        <v>0</v>
      </c>
      <c r="Z186" s="81">
        <f t="shared" si="16"/>
        <v>1</v>
      </c>
    </row>
    <row r="187" spans="1:26" ht="16.5" thickBot="1">
      <c r="A187" s="89">
        <v>192</v>
      </c>
      <c r="B187" s="90">
        <v>12.6</v>
      </c>
      <c r="F187" s="91">
        <v>192</v>
      </c>
      <c r="G187" s="91">
        <v>12.6</v>
      </c>
      <c r="V187" s="81">
        <f t="shared" si="13"/>
        <v>0</v>
      </c>
      <c r="X187" s="81">
        <f t="shared" si="14"/>
        <v>0</v>
      </c>
      <c r="Y187" s="81">
        <f t="shared" si="15"/>
        <v>0</v>
      </c>
      <c r="Z187" s="81">
        <f t="shared" si="16"/>
        <v>1</v>
      </c>
    </row>
    <row r="188" spans="1:26" ht="16.5" thickBot="1">
      <c r="A188" s="89">
        <v>193</v>
      </c>
      <c r="B188" s="90">
        <v>12.5</v>
      </c>
      <c r="F188" s="91">
        <v>193</v>
      </c>
      <c r="G188" s="91">
        <v>12.5</v>
      </c>
      <c r="V188" s="81">
        <f t="shared" si="13"/>
        <v>0</v>
      </c>
      <c r="X188" s="81">
        <f t="shared" si="14"/>
        <v>0</v>
      </c>
      <c r="Y188" s="81">
        <f t="shared" si="15"/>
        <v>0</v>
      </c>
      <c r="Z188" s="81">
        <f t="shared" si="16"/>
        <v>1</v>
      </c>
    </row>
    <row r="189" spans="1:26" ht="16.5" thickBot="1">
      <c r="A189" s="89">
        <v>194</v>
      </c>
      <c r="B189" s="90">
        <v>12.5</v>
      </c>
      <c r="F189" s="91">
        <v>194</v>
      </c>
      <c r="G189" s="91">
        <v>12.5</v>
      </c>
      <c r="V189" s="81">
        <f t="shared" si="13"/>
        <v>0</v>
      </c>
      <c r="X189" s="81">
        <f t="shared" si="14"/>
        <v>0</v>
      </c>
      <c r="Y189" s="81">
        <f t="shared" si="15"/>
        <v>0</v>
      </c>
      <c r="Z189" s="81">
        <f t="shared" si="16"/>
        <v>1</v>
      </c>
    </row>
    <row r="190" spans="1:26" ht="16.5" thickBot="1">
      <c r="A190" s="89">
        <v>195</v>
      </c>
      <c r="B190" s="90">
        <v>12.6</v>
      </c>
      <c r="F190" s="91">
        <v>195</v>
      </c>
      <c r="G190" s="91">
        <v>12.6</v>
      </c>
      <c r="V190" s="81">
        <f t="shared" si="13"/>
        <v>0</v>
      </c>
      <c r="X190" s="81">
        <f t="shared" si="14"/>
        <v>0</v>
      </c>
      <c r="Y190" s="81">
        <f t="shared" si="15"/>
        <v>0</v>
      </c>
      <c r="Z190" s="81">
        <f t="shared" si="16"/>
        <v>1</v>
      </c>
    </row>
    <row r="191" spans="1:26" ht="16.5" thickBot="1">
      <c r="A191" s="89">
        <v>196</v>
      </c>
      <c r="B191" s="90">
        <v>12.4</v>
      </c>
      <c r="F191" s="91">
        <v>196</v>
      </c>
      <c r="G191" s="91">
        <v>12.4</v>
      </c>
      <c r="V191" s="81">
        <f t="shared" si="13"/>
        <v>0</v>
      </c>
      <c r="X191" s="81">
        <f t="shared" si="14"/>
        <v>0</v>
      </c>
      <c r="Y191" s="81">
        <f t="shared" si="15"/>
        <v>0</v>
      </c>
      <c r="Z191" s="81">
        <f t="shared" si="16"/>
        <v>1</v>
      </c>
    </row>
    <row r="192" spans="1:26" ht="16.5" thickBot="1">
      <c r="A192" s="89">
        <v>197</v>
      </c>
      <c r="B192" s="90">
        <v>12.2</v>
      </c>
      <c r="F192" s="91">
        <v>197</v>
      </c>
      <c r="G192" s="91">
        <v>12.2</v>
      </c>
      <c r="V192" s="81">
        <f t="shared" si="13"/>
        <v>0</v>
      </c>
      <c r="X192" s="81">
        <f t="shared" si="14"/>
        <v>0</v>
      </c>
      <c r="Y192" s="81">
        <f t="shared" si="15"/>
        <v>0</v>
      </c>
      <c r="Z192" s="81">
        <f t="shared" si="16"/>
        <v>1</v>
      </c>
    </row>
    <row r="193" spans="1:26" ht="16.5" thickBot="1">
      <c r="A193" s="89">
        <v>198</v>
      </c>
      <c r="B193" s="90">
        <v>12.2</v>
      </c>
      <c r="F193" s="91">
        <v>198</v>
      </c>
      <c r="G193" s="91">
        <v>12.2</v>
      </c>
      <c r="V193" s="81">
        <f t="shared" si="13"/>
        <v>0</v>
      </c>
      <c r="X193" s="81">
        <f t="shared" si="14"/>
        <v>0</v>
      </c>
      <c r="Y193" s="81">
        <f t="shared" si="15"/>
        <v>0</v>
      </c>
      <c r="Z193" s="81">
        <f t="shared" si="16"/>
        <v>1</v>
      </c>
    </row>
    <row r="194" spans="1:26" ht="16.5" thickBot="1">
      <c r="A194" s="89">
        <v>203</v>
      </c>
      <c r="B194" s="90">
        <v>13.3</v>
      </c>
      <c r="F194" s="91">
        <v>203</v>
      </c>
      <c r="G194" s="91">
        <v>13.3</v>
      </c>
      <c r="V194" s="81">
        <f t="shared" si="13"/>
        <v>0</v>
      </c>
      <c r="X194" s="81">
        <f t="shared" si="14"/>
        <v>0</v>
      </c>
      <c r="Y194" s="81">
        <f t="shared" si="15"/>
        <v>0</v>
      </c>
      <c r="Z194" s="81">
        <f t="shared" si="16"/>
        <v>1</v>
      </c>
    </row>
    <row r="195" spans="1:26" ht="16.5" thickBot="1">
      <c r="A195" s="89">
        <v>204</v>
      </c>
      <c r="B195" s="90">
        <v>13.2</v>
      </c>
      <c r="F195" s="91">
        <v>204</v>
      </c>
      <c r="G195" s="91">
        <v>13.2</v>
      </c>
      <c r="V195" s="81">
        <f t="shared" si="13"/>
        <v>0</v>
      </c>
      <c r="X195" s="81">
        <f t="shared" si="14"/>
        <v>0</v>
      </c>
      <c r="Y195" s="81">
        <f t="shared" si="15"/>
        <v>0</v>
      </c>
      <c r="Z195" s="81">
        <f t="shared" si="16"/>
        <v>1</v>
      </c>
    </row>
    <row r="196" spans="1:26" ht="16.5" thickBot="1">
      <c r="A196" s="89">
        <v>205</v>
      </c>
      <c r="B196" s="90">
        <v>14</v>
      </c>
      <c r="F196" s="91">
        <v>205</v>
      </c>
      <c r="G196" s="91">
        <v>14</v>
      </c>
      <c r="V196" s="81">
        <f t="shared" si="13"/>
        <v>0</v>
      </c>
      <c r="X196" s="81">
        <f t="shared" si="14"/>
        <v>0</v>
      </c>
      <c r="Y196" s="81">
        <f t="shared" si="15"/>
        <v>0</v>
      </c>
      <c r="Z196" s="81">
        <f t="shared" si="16"/>
        <v>1</v>
      </c>
    </row>
    <row r="197" spans="1:26" ht="16.5" thickBot="1">
      <c r="A197" s="89">
        <v>206</v>
      </c>
      <c r="B197" s="90">
        <v>14.5</v>
      </c>
      <c r="F197" s="91">
        <v>206</v>
      </c>
      <c r="G197" s="91">
        <v>14.5</v>
      </c>
      <c r="V197" s="81">
        <f t="shared" ref="V197:V260" si="17">G197-B197</f>
        <v>0</v>
      </c>
      <c r="X197" s="81">
        <f t="shared" ref="X197:X241" si="18">IF($V197&lt;-$AA$4,1,0)</f>
        <v>0</v>
      </c>
      <c r="Y197" s="81">
        <f t="shared" ref="Y197:Y241" si="19">IF($V197&gt;$AA$4,1,0)</f>
        <v>0</v>
      </c>
      <c r="Z197" s="81">
        <f t="shared" ref="Z197:Z260" si="20">IF($V197&gt;=-$AA$4,IF(V197&lt;=$AA$4,1,""),"")</f>
        <v>1</v>
      </c>
    </row>
    <row r="198" spans="1:26" ht="16.5" thickBot="1">
      <c r="A198" s="89">
        <v>207</v>
      </c>
      <c r="B198" s="90">
        <v>14.9</v>
      </c>
      <c r="F198" s="91">
        <v>207</v>
      </c>
      <c r="G198" s="91">
        <v>14.9</v>
      </c>
      <c r="V198" s="81">
        <f t="shared" si="17"/>
        <v>0</v>
      </c>
      <c r="X198" s="81">
        <f t="shared" si="18"/>
        <v>0</v>
      </c>
      <c r="Y198" s="81">
        <f t="shared" si="19"/>
        <v>0</v>
      </c>
      <c r="Z198" s="81">
        <f t="shared" si="20"/>
        <v>1</v>
      </c>
    </row>
    <row r="199" spans="1:26" ht="16.5" thickBot="1">
      <c r="A199" s="89">
        <v>208</v>
      </c>
      <c r="B199" s="90">
        <v>15.2</v>
      </c>
      <c r="F199" s="91">
        <v>208</v>
      </c>
      <c r="G199" s="91">
        <v>15.2</v>
      </c>
      <c r="V199" s="81">
        <f t="shared" si="17"/>
        <v>0</v>
      </c>
      <c r="X199" s="81">
        <f t="shared" si="18"/>
        <v>0</v>
      </c>
      <c r="Y199" s="81">
        <f t="shared" si="19"/>
        <v>0</v>
      </c>
      <c r="Z199" s="81">
        <f t="shared" si="20"/>
        <v>1</v>
      </c>
    </row>
    <row r="200" spans="1:26" ht="16.5" thickBot="1">
      <c r="A200" s="89">
        <v>209</v>
      </c>
      <c r="B200" s="90">
        <v>15.8</v>
      </c>
      <c r="F200" s="91">
        <v>209</v>
      </c>
      <c r="G200" s="91">
        <v>15.8</v>
      </c>
      <c r="V200" s="81">
        <f t="shared" si="17"/>
        <v>0</v>
      </c>
      <c r="X200" s="81">
        <f t="shared" si="18"/>
        <v>0</v>
      </c>
      <c r="Y200" s="81">
        <f t="shared" si="19"/>
        <v>0</v>
      </c>
      <c r="Z200" s="81">
        <f t="shared" si="20"/>
        <v>1</v>
      </c>
    </row>
    <row r="201" spans="1:26" ht="16.5" thickBot="1">
      <c r="A201" s="89">
        <v>210</v>
      </c>
      <c r="B201" s="90">
        <v>16</v>
      </c>
      <c r="F201" s="91">
        <v>210</v>
      </c>
      <c r="G201" s="91">
        <v>16</v>
      </c>
      <c r="V201" s="81">
        <f t="shared" si="17"/>
        <v>0</v>
      </c>
      <c r="X201" s="81">
        <f t="shared" si="18"/>
        <v>0</v>
      </c>
      <c r="Y201" s="81">
        <f t="shared" si="19"/>
        <v>0</v>
      </c>
      <c r="Z201" s="81">
        <f t="shared" si="20"/>
        <v>1</v>
      </c>
    </row>
    <row r="202" spans="1:26" ht="16.5" thickBot="1">
      <c r="A202" s="89">
        <v>211</v>
      </c>
      <c r="B202" s="90">
        <v>16.3</v>
      </c>
      <c r="F202" s="91">
        <v>211</v>
      </c>
      <c r="G202" s="91">
        <v>16.3</v>
      </c>
      <c r="V202" s="81">
        <f t="shared" si="17"/>
        <v>0</v>
      </c>
      <c r="X202" s="81">
        <f t="shared" si="18"/>
        <v>0</v>
      </c>
      <c r="Y202" s="81">
        <f t="shared" si="19"/>
        <v>0</v>
      </c>
      <c r="Z202" s="81">
        <f t="shared" si="20"/>
        <v>1</v>
      </c>
    </row>
    <row r="203" spans="1:26" ht="16.5" thickBot="1">
      <c r="A203" s="89">
        <v>212</v>
      </c>
      <c r="B203" s="90">
        <v>16.3</v>
      </c>
      <c r="F203" s="91">
        <v>212</v>
      </c>
      <c r="G203" s="91">
        <v>16.3</v>
      </c>
      <c r="V203" s="81">
        <f t="shared" si="17"/>
        <v>0</v>
      </c>
      <c r="X203" s="81">
        <f t="shared" si="18"/>
        <v>0</v>
      </c>
      <c r="Y203" s="81">
        <f t="shared" si="19"/>
        <v>0</v>
      </c>
      <c r="Z203" s="81">
        <f t="shared" si="20"/>
        <v>1</v>
      </c>
    </row>
    <row r="204" spans="1:26" ht="16.5" thickBot="1">
      <c r="A204" s="89">
        <v>213</v>
      </c>
      <c r="B204" s="90">
        <v>12.4</v>
      </c>
      <c r="F204" s="91">
        <v>213</v>
      </c>
      <c r="G204" s="91">
        <v>12.4</v>
      </c>
      <c r="V204" s="81">
        <f t="shared" si="17"/>
        <v>0</v>
      </c>
      <c r="X204" s="81">
        <f t="shared" si="18"/>
        <v>0</v>
      </c>
      <c r="Y204" s="81">
        <f t="shared" si="19"/>
        <v>0</v>
      </c>
      <c r="Z204" s="81">
        <f t="shared" si="20"/>
        <v>1</v>
      </c>
    </row>
    <row r="205" spans="1:26" ht="16.5" thickBot="1">
      <c r="A205" s="89">
        <v>214</v>
      </c>
      <c r="B205" s="90">
        <v>12.3</v>
      </c>
      <c r="F205" s="91">
        <v>214</v>
      </c>
      <c r="G205" s="91">
        <v>12.3</v>
      </c>
      <c r="V205" s="81">
        <f t="shared" si="17"/>
        <v>0</v>
      </c>
      <c r="X205" s="81">
        <f t="shared" si="18"/>
        <v>0</v>
      </c>
      <c r="Y205" s="81">
        <f t="shared" si="19"/>
        <v>0</v>
      </c>
      <c r="Z205" s="81">
        <f t="shared" si="20"/>
        <v>1</v>
      </c>
    </row>
    <row r="206" spans="1:26" ht="16.5" thickBot="1">
      <c r="A206" s="89">
        <v>215</v>
      </c>
      <c r="B206" s="90">
        <v>12.2</v>
      </c>
      <c r="F206" s="91">
        <v>215</v>
      </c>
      <c r="G206" s="91">
        <v>12.2</v>
      </c>
      <c r="V206" s="81">
        <f t="shared" si="17"/>
        <v>0</v>
      </c>
      <c r="X206" s="81">
        <f t="shared" si="18"/>
        <v>0</v>
      </c>
      <c r="Y206" s="81">
        <f t="shared" si="19"/>
        <v>0</v>
      </c>
      <c r="Z206" s="81">
        <f t="shared" si="20"/>
        <v>1</v>
      </c>
    </row>
    <row r="207" spans="1:26" ht="16.5" thickBot="1">
      <c r="A207" s="89">
        <v>222</v>
      </c>
      <c r="B207" s="90">
        <v>13.7</v>
      </c>
      <c r="F207" s="91">
        <v>222</v>
      </c>
      <c r="G207" s="91">
        <v>13.7</v>
      </c>
      <c r="V207" s="81">
        <f t="shared" si="17"/>
        <v>0</v>
      </c>
      <c r="X207" s="81">
        <f t="shared" si="18"/>
        <v>0</v>
      </c>
      <c r="Y207" s="81">
        <f t="shared" si="19"/>
        <v>0</v>
      </c>
      <c r="Z207" s="81">
        <f t="shared" si="20"/>
        <v>1</v>
      </c>
    </row>
    <row r="208" spans="1:26" ht="16.5" thickBot="1">
      <c r="A208" s="89">
        <v>223</v>
      </c>
      <c r="B208" s="90">
        <v>14.2</v>
      </c>
      <c r="F208" s="91">
        <v>223</v>
      </c>
      <c r="G208" s="91">
        <v>14.2</v>
      </c>
      <c r="V208" s="81">
        <f t="shared" si="17"/>
        <v>0</v>
      </c>
      <c r="X208" s="81">
        <f t="shared" si="18"/>
        <v>0</v>
      </c>
      <c r="Y208" s="81">
        <f t="shared" si="19"/>
        <v>0</v>
      </c>
      <c r="Z208" s="81">
        <f t="shared" si="20"/>
        <v>1</v>
      </c>
    </row>
    <row r="209" spans="1:26" ht="16.5" thickBot="1">
      <c r="A209" s="89">
        <v>224</v>
      </c>
      <c r="B209" s="90">
        <v>14.6</v>
      </c>
      <c r="F209" s="91">
        <v>224</v>
      </c>
      <c r="G209" s="91">
        <v>14.6</v>
      </c>
      <c r="V209" s="81">
        <f t="shared" si="17"/>
        <v>0</v>
      </c>
      <c r="X209" s="81">
        <f t="shared" si="18"/>
        <v>0</v>
      </c>
      <c r="Y209" s="81">
        <f t="shared" si="19"/>
        <v>0</v>
      </c>
      <c r="Z209" s="81">
        <f t="shared" si="20"/>
        <v>1</v>
      </c>
    </row>
    <row r="210" spans="1:26" ht="16.5" thickBot="1">
      <c r="A210" s="89">
        <v>225</v>
      </c>
      <c r="B210" s="90">
        <v>15</v>
      </c>
      <c r="F210" s="91">
        <v>225</v>
      </c>
      <c r="G210" s="91">
        <v>15</v>
      </c>
      <c r="V210" s="81">
        <f t="shared" si="17"/>
        <v>0</v>
      </c>
      <c r="X210" s="81">
        <f t="shared" si="18"/>
        <v>0</v>
      </c>
      <c r="Y210" s="81">
        <f t="shared" si="19"/>
        <v>0</v>
      </c>
      <c r="Z210" s="81">
        <f t="shared" si="20"/>
        <v>1</v>
      </c>
    </row>
    <row r="211" spans="1:26" ht="16.5" thickBot="1">
      <c r="A211" s="89">
        <v>226</v>
      </c>
      <c r="B211" s="90">
        <v>15.7</v>
      </c>
      <c r="F211" s="91">
        <v>226</v>
      </c>
      <c r="G211" s="91">
        <v>15.7</v>
      </c>
      <c r="V211" s="81">
        <f t="shared" si="17"/>
        <v>0</v>
      </c>
      <c r="X211" s="81">
        <f t="shared" si="18"/>
        <v>0</v>
      </c>
      <c r="Y211" s="81">
        <f t="shared" si="19"/>
        <v>0</v>
      </c>
      <c r="Z211" s="81">
        <f t="shared" si="20"/>
        <v>1</v>
      </c>
    </row>
    <row r="212" spans="1:26" ht="16.5" thickBot="1">
      <c r="A212" s="89">
        <v>227</v>
      </c>
      <c r="B212" s="90">
        <v>16.100000000000001</v>
      </c>
      <c r="F212" s="91">
        <v>227</v>
      </c>
      <c r="G212" s="91">
        <v>16.100000000000001</v>
      </c>
      <c r="V212" s="81">
        <f t="shared" si="17"/>
        <v>0</v>
      </c>
      <c r="X212" s="81">
        <f t="shared" si="18"/>
        <v>0</v>
      </c>
      <c r="Y212" s="81">
        <f t="shared" si="19"/>
        <v>0</v>
      </c>
      <c r="Z212" s="81">
        <f t="shared" si="20"/>
        <v>1</v>
      </c>
    </row>
    <row r="213" spans="1:26" ht="16.5" thickBot="1">
      <c r="A213" s="89">
        <v>228</v>
      </c>
      <c r="B213" s="90">
        <v>16.899999999999999</v>
      </c>
      <c r="F213" s="91">
        <v>228</v>
      </c>
      <c r="G213" s="91">
        <v>16.899999999999999</v>
      </c>
      <c r="V213" s="81">
        <f t="shared" si="17"/>
        <v>0</v>
      </c>
      <c r="X213" s="81">
        <f t="shared" si="18"/>
        <v>0</v>
      </c>
      <c r="Y213" s="81">
        <f t="shared" si="19"/>
        <v>0</v>
      </c>
      <c r="Z213" s="81">
        <f t="shared" si="20"/>
        <v>1</v>
      </c>
    </row>
    <row r="214" spans="1:26" ht="16.5" thickBot="1">
      <c r="A214" s="89">
        <v>229</v>
      </c>
      <c r="B214" s="90">
        <v>12.4</v>
      </c>
      <c r="F214" s="91">
        <v>229</v>
      </c>
      <c r="G214" s="91">
        <v>12.4</v>
      </c>
      <c r="V214" s="81">
        <f t="shared" si="17"/>
        <v>0</v>
      </c>
      <c r="X214" s="81">
        <f t="shared" si="18"/>
        <v>0</v>
      </c>
      <c r="Y214" s="81">
        <f t="shared" si="19"/>
        <v>0</v>
      </c>
      <c r="Z214" s="81">
        <f t="shared" si="20"/>
        <v>1</v>
      </c>
    </row>
    <row r="215" spans="1:26" ht="16.5" thickBot="1">
      <c r="A215" s="89">
        <v>230</v>
      </c>
      <c r="B215" s="90">
        <v>12.3</v>
      </c>
      <c r="F215" s="91">
        <v>230</v>
      </c>
      <c r="G215" s="91">
        <v>12.3</v>
      </c>
      <c r="V215" s="81">
        <f t="shared" si="17"/>
        <v>0</v>
      </c>
      <c r="X215" s="81">
        <f t="shared" si="18"/>
        <v>0</v>
      </c>
      <c r="Y215" s="81">
        <f t="shared" si="19"/>
        <v>0</v>
      </c>
      <c r="Z215" s="81">
        <f t="shared" si="20"/>
        <v>1</v>
      </c>
    </row>
    <row r="216" spans="1:26" ht="16.5" thickBot="1">
      <c r="A216" s="89">
        <v>233</v>
      </c>
      <c r="B216" s="90">
        <v>14.4</v>
      </c>
      <c r="F216" s="91">
        <v>233</v>
      </c>
      <c r="G216" s="91">
        <v>14.4</v>
      </c>
      <c r="V216" s="81">
        <f t="shared" si="17"/>
        <v>0</v>
      </c>
      <c r="X216" s="81">
        <f t="shared" si="18"/>
        <v>0</v>
      </c>
      <c r="Y216" s="81">
        <f t="shared" si="19"/>
        <v>0</v>
      </c>
      <c r="Z216" s="81">
        <f t="shared" si="20"/>
        <v>1</v>
      </c>
    </row>
    <row r="217" spans="1:26" ht="16.5" thickBot="1">
      <c r="A217" s="89">
        <v>234</v>
      </c>
      <c r="B217" s="90">
        <v>14.8</v>
      </c>
      <c r="F217" s="91">
        <v>234</v>
      </c>
      <c r="G217" s="91">
        <v>14.8</v>
      </c>
      <c r="V217" s="81">
        <f t="shared" si="17"/>
        <v>0</v>
      </c>
      <c r="X217" s="81">
        <f t="shared" si="18"/>
        <v>0</v>
      </c>
      <c r="Y217" s="81">
        <f t="shared" si="19"/>
        <v>0</v>
      </c>
      <c r="Z217" s="81">
        <f t="shared" si="20"/>
        <v>1</v>
      </c>
    </row>
    <row r="218" spans="1:26" ht="16.5" thickBot="1">
      <c r="A218" s="89">
        <v>235</v>
      </c>
      <c r="B218" s="90">
        <v>15.4</v>
      </c>
      <c r="F218" s="91">
        <v>235</v>
      </c>
      <c r="G218" s="91">
        <v>15.4</v>
      </c>
      <c r="V218" s="81">
        <f t="shared" si="17"/>
        <v>0</v>
      </c>
      <c r="X218" s="81">
        <f t="shared" si="18"/>
        <v>0</v>
      </c>
      <c r="Y218" s="81">
        <f t="shared" si="19"/>
        <v>0</v>
      </c>
      <c r="Z218" s="81">
        <f t="shared" si="20"/>
        <v>1</v>
      </c>
    </row>
    <row r="219" spans="1:26" ht="16.5" thickBot="1">
      <c r="A219" s="89">
        <v>236</v>
      </c>
      <c r="B219" s="90">
        <v>16</v>
      </c>
      <c r="F219" s="91">
        <v>236</v>
      </c>
      <c r="G219" s="91">
        <v>16</v>
      </c>
      <c r="V219" s="81">
        <f t="shared" si="17"/>
        <v>0</v>
      </c>
      <c r="X219" s="81">
        <f t="shared" si="18"/>
        <v>0</v>
      </c>
      <c r="Y219" s="81">
        <f t="shared" si="19"/>
        <v>0</v>
      </c>
      <c r="Z219" s="81">
        <f t="shared" si="20"/>
        <v>1</v>
      </c>
    </row>
    <row r="220" spans="1:26" ht="16.5" thickBot="1">
      <c r="A220" s="89">
        <v>237</v>
      </c>
      <c r="B220" s="90">
        <v>16.3</v>
      </c>
      <c r="F220" s="91">
        <v>237</v>
      </c>
      <c r="G220" s="91">
        <v>16.3</v>
      </c>
      <c r="V220" s="81">
        <f t="shared" si="17"/>
        <v>0</v>
      </c>
      <c r="X220" s="81">
        <f t="shared" si="18"/>
        <v>0</v>
      </c>
      <c r="Y220" s="81">
        <f t="shared" si="19"/>
        <v>0</v>
      </c>
      <c r="Z220" s="81">
        <f t="shared" si="20"/>
        <v>1</v>
      </c>
    </row>
    <row r="221" spans="1:26" ht="16.5" thickBot="1">
      <c r="A221" s="89">
        <v>238</v>
      </c>
      <c r="B221" s="90">
        <v>16.399999999999999</v>
      </c>
      <c r="F221" s="91">
        <v>238</v>
      </c>
      <c r="G221" s="91">
        <v>16.399999999999999</v>
      </c>
      <c r="V221" s="81">
        <f t="shared" si="17"/>
        <v>0</v>
      </c>
      <c r="X221" s="81">
        <f t="shared" si="18"/>
        <v>0</v>
      </c>
      <c r="Y221" s="81">
        <f t="shared" si="19"/>
        <v>0</v>
      </c>
      <c r="Z221" s="81">
        <f t="shared" si="20"/>
        <v>1</v>
      </c>
    </row>
    <row r="222" spans="1:26" ht="16.5" thickBot="1">
      <c r="A222" s="89">
        <v>239</v>
      </c>
      <c r="B222" s="90">
        <v>17.100000000000001</v>
      </c>
      <c r="F222" s="91">
        <v>239</v>
      </c>
      <c r="G222" s="91">
        <v>17.100000000000001</v>
      </c>
      <c r="V222" s="81">
        <f t="shared" si="17"/>
        <v>0</v>
      </c>
      <c r="X222" s="81">
        <f t="shared" si="18"/>
        <v>0</v>
      </c>
      <c r="Y222" s="81">
        <f t="shared" si="19"/>
        <v>0</v>
      </c>
      <c r="Z222" s="81">
        <f t="shared" si="20"/>
        <v>1</v>
      </c>
    </row>
    <row r="223" spans="1:26" ht="16.5" thickBot="1">
      <c r="A223" s="89">
        <v>240</v>
      </c>
      <c r="B223" s="90">
        <v>16.7</v>
      </c>
      <c r="F223" s="91">
        <v>240</v>
      </c>
      <c r="G223" s="91">
        <v>16.7</v>
      </c>
      <c r="V223" s="81">
        <f t="shared" si="17"/>
        <v>0</v>
      </c>
      <c r="X223" s="81">
        <f t="shared" si="18"/>
        <v>0</v>
      </c>
      <c r="Y223" s="81">
        <f t="shared" si="19"/>
        <v>0</v>
      </c>
      <c r="Z223" s="81">
        <f t="shared" si="20"/>
        <v>1</v>
      </c>
    </row>
    <row r="224" spans="1:26" ht="16.5" thickBot="1">
      <c r="A224" s="89">
        <v>241</v>
      </c>
      <c r="B224" s="90">
        <v>12.4</v>
      </c>
      <c r="F224" s="91">
        <v>241</v>
      </c>
      <c r="G224" s="91">
        <v>12.4</v>
      </c>
      <c r="V224" s="81">
        <f t="shared" si="17"/>
        <v>0</v>
      </c>
      <c r="X224" s="81">
        <f t="shared" si="18"/>
        <v>0</v>
      </c>
      <c r="Y224" s="81">
        <f t="shared" si="19"/>
        <v>0</v>
      </c>
      <c r="Z224" s="81">
        <f t="shared" si="20"/>
        <v>1</v>
      </c>
    </row>
    <row r="225" spans="1:26" ht="16.5" thickBot="1">
      <c r="A225" s="89">
        <v>243</v>
      </c>
      <c r="B225" s="90">
        <v>14.7</v>
      </c>
      <c r="F225" s="91">
        <v>243</v>
      </c>
      <c r="G225" s="91">
        <v>14.7</v>
      </c>
      <c r="V225" s="81">
        <f t="shared" si="17"/>
        <v>0</v>
      </c>
      <c r="X225" s="81">
        <f t="shared" si="18"/>
        <v>0</v>
      </c>
      <c r="Y225" s="81">
        <f t="shared" si="19"/>
        <v>0</v>
      </c>
      <c r="Z225" s="81">
        <f t="shared" si="20"/>
        <v>1</v>
      </c>
    </row>
    <row r="226" spans="1:26" ht="16.5" thickBot="1">
      <c r="A226" s="89">
        <v>244</v>
      </c>
      <c r="B226" s="90">
        <v>15.2</v>
      </c>
      <c r="F226" s="91">
        <v>244</v>
      </c>
      <c r="G226" s="91">
        <v>15.2</v>
      </c>
      <c r="V226" s="81">
        <f t="shared" si="17"/>
        <v>0</v>
      </c>
      <c r="X226" s="81">
        <f t="shared" si="18"/>
        <v>0</v>
      </c>
      <c r="Y226" s="81">
        <f t="shared" si="19"/>
        <v>0</v>
      </c>
      <c r="Z226" s="81">
        <f t="shared" si="20"/>
        <v>1</v>
      </c>
    </row>
    <row r="227" spans="1:26" ht="16.5" thickBot="1">
      <c r="A227" s="89">
        <v>245</v>
      </c>
      <c r="B227" s="90">
        <v>15.7</v>
      </c>
      <c r="F227" s="91">
        <v>245</v>
      </c>
      <c r="G227" s="91">
        <v>15.7</v>
      </c>
      <c r="V227" s="81">
        <f t="shared" si="17"/>
        <v>0</v>
      </c>
      <c r="X227" s="81">
        <f t="shared" si="18"/>
        <v>0</v>
      </c>
      <c r="Y227" s="81">
        <f t="shared" si="19"/>
        <v>0</v>
      </c>
      <c r="Z227" s="81">
        <f t="shared" si="20"/>
        <v>1</v>
      </c>
    </row>
    <row r="228" spans="1:26" ht="16.5" thickBot="1">
      <c r="A228" s="89">
        <v>246</v>
      </c>
      <c r="B228" s="90">
        <v>16.2</v>
      </c>
      <c r="F228" s="91">
        <v>246</v>
      </c>
      <c r="G228" s="91">
        <v>16.2</v>
      </c>
      <c r="V228" s="81">
        <f t="shared" si="17"/>
        <v>0</v>
      </c>
      <c r="X228" s="81">
        <f t="shared" si="18"/>
        <v>0</v>
      </c>
      <c r="Y228" s="81">
        <f t="shared" si="19"/>
        <v>0</v>
      </c>
      <c r="Z228" s="81">
        <f t="shared" si="20"/>
        <v>1</v>
      </c>
    </row>
    <row r="229" spans="1:26" ht="16.5" thickBot="1">
      <c r="A229" s="89">
        <v>247</v>
      </c>
      <c r="B229" s="90">
        <v>16.600000000000001</v>
      </c>
      <c r="F229" s="91">
        <v>247</v>
      </c>
      <c r="G229" s="91">
        <v>16.600000000000001</v>
      </c>
      <c r="V229" s="81">
        <f t="shared" si="17"/>
        <v>0</v>
      </c>
      <c r="X229" s="81">
        <f t="shared" si="18"/>
        <v>0</v>
      </c>
      <c r="Y229" s="81">
        <f t="shared" si="19"/>
        <v>0</v>
      </c>
      <c r="Z229" s="81">
        <f t="shared" si="20"/>
        <v>1</v>
      </c>
    </row>
    <row r="230" spans="1:26" ht="16.5" thickBot="1">
      <c r="A230" s="89">
        <v>248</v>
      </c>
      <c r="B230" s="90">
        <v>17.5</v>
      </c>
      <c r="F230" s="91">
        <v>248</v>
      </c>
      <c r="G230" s="91">
        <v>17.5</v>
      </c>
      <c r="V230" s="81">
        <f t="shared" si="17"/>
        <v>0</v>
      </c>
      <c r="X230" s="81">
        <f t="shared" si="18"/>
        <v>0</v>
      </c>
      <c r="Y230" s="81">
        <f t="shared" si="19"/>
        <v>0</v>
      </c>
      <c r="Z230" s="81">
        <f t="shared" si="20"/>
        <v>1</v>
      </c>
    </row>
    <row r="231" spans="1:26" ht="16.5" thickBot="1">
      <c r="A231" s="89">
        <v>249</v>
      </c>
      <c r="B231" s="90">
        <v>16.899999999999999</v>
      </c>
      <c r="F231" s="91">
        <v>249</v>
      </c>
      <c r="G231" s="91">
        <v>16.899999999999999</v>
      </c>
      <c r="V231" s="81">
        <f t="shared" si="17"/>
        <v>0</v>
      </c>
      <c r="X231" s="81">
        <f t="shared" si="18"/>
        <v>0</v>
      </c>
      <c r="Y231" s="81">
        <f t="shared" si="19"/>
        <v>0</v>
      </c>
      <c r="Z231" s="81">
        <f t="shared" si="20"/>
        <v>1</v>
      </c>
    </row>
    <row r="232" spans="1:26" ht="16.5" thickBot="1">
      <c r="A232" s="89">
        <v>250</v>
      </c>
      <c r="B232" s="90">
        <v>15</v>
      </c>
      <c r="F232" s="91">
        <v>250</v>
      </c>
      <c r="G232" s="91">
        <v>15</v>
      </c>
      <c r="V232" s="81">
        <f t="shared" si="17"/>
        <v>0</v>
      </c>
      <c r="X232" s="81">
        <f t="shared" si="18"/>
        <v>0</v>
      </c>
      <c r="Y232" s="81">
        <f t="shared" si="19"/>
        <v>0</v>
      </c>
      <c r="Z232" s="81">
        <f t="shared" si="20"/>
        <v>1</v>
      </c>
    </row>
    <row r="233" spans="1:26" ht="16.5" thickBot="1">
      <c r="A233" s="89">
        <v>251</v>
      </c>
      <c r="B233" s="90">
        <v>15.5</v>
      </c>
      <c r="F233" s="91">
        <v>251</v>
      </c>
      <c r="G233" s="91">
        <v>15.5</v>
      </c>
      <c r="V233" s="81">
        <f t="shared" si="17"/>
        <v>0</v>
      </c>
      <c r="X233" s="81">
        <f t="shared" si="18"/>
        <v>0</v>
      </c>
      <c r="Y233" s="81">
        <f t="shared" si="19"/>
        <v>0</v>
      </c>
      <c r="Z233" s="81">
        <f t="shared" si="20"/>
        <v>1</v>
      </c>
    </row>
    <row r="234" spans="1:26" ht="16.5" thickBot="1">
      <c r="A234" s="89">
        <v>252</v>
      </c>
      <c r="B234" s="90">
        <v>16</v>
      </c>
      <c r="F234" s="91">
        <v>252</v>
      </c>
      <c r="G234" s="91">
        <v>16</v>
      </c>
      <c r="V234" s="81">
        <f t="shared" si="17"/>
        <v>0</v>
      </c>
      <c r="X234" s="81">
        <f t="shared" si="18"/>
        <v>0</v>
      </c>
      <c r="Y234" s="81">
        <f t="shared" si="19"/>
        <v>0</v>
      </c>
      <c r="Z234" s="81">
        <f t="shared" si="20"/>
        <v>1</v>
      </c>
    </row>
    <row r="235" spans="1:26" ht="16.5" thickBot="1">
      <c r="A235" s="89">
        <v>253</v>
      </c>
      <c r="B235" s="90">
        <v>16.399999999999999</v>
      </c>
      <c r="F235" s="91">
        <v>253</v>
      </c>
      <c r="G235" s="91">
        <v>16.399999999999999</v>
      </c>
      <c r="V235" s="81">
        <f t="shared" si="17"/>
        <v>0</v>
      </c>
      <c r="X235" s="81">
        <f t="shared" si="18"/>
        <v>0</v>
      </c>
      <c r="Y235" s="81">
        <f t="shared" si="19"/>
        <v>0</v>
      </c>
      <c r="Z235" s="81">
        <f t="shared" si="20"/>
        <v>1</v>
      </c>
    </row>
    <row r="236" spans="1:26" ht="16.5" thickBot="1">
      <c r="A236" s="89">
        <v>254</v>
      </c>
      <c r="B236" s="90">
        <v>16.899999999999999</v>
      </c>
      <c r="F236" s="91">
        <v>254</v>
      </c>
      <c r="G236" s="91">
        <v>16.899999999999999</v>
      </c>
      <c r="V236" s="81">
        <f t="shared" si="17"/>
        <v>0</v>
      </c>
      <c r="X236" s="81">
        <f t="shared" si="18"/>
        <v>0</v>
      </c>
      <c r="Y236" s="81">
        <f t="shared" si="19"/>
        <v>0</v>
      </c>
      <c r="Z236" s="81">
        <f t="shared" si="20"/>
        <v>1</v>
      </c>
    </row>
    <row r="237" spans="1:26" ht="16.5" thickBot="1">
      <c r="A237" s="89">
        <v>255</v>
      </c>
      <c r="B237" s="90">
        <v>15.4</v>
      </c>
      <c r="F237" s="91">
        <v>255</v>
      </c>
      <c r="G237" s="91">
        <v>15.4</v>
      </c>
      <c r="V237" s="81">
        <f t="shared" si="17"/>
        <v>0</v>
      </c>
      <c r="X237" s="81">
        <f t="shared" si="18"/>
        <v>0</v>
      </c>
      <c r="Y237" s="81">
        <f t="shared" si="19"/>
        <v>0</v>
      </c>
      <c r="Z237" s="81">
        <f t="shared" si="20"/>
        <v>1</v>
      </c>
    </row>
    <row r="238" spans="1:26" ht="16.5" thickBot="1">
      <c r="A238" s="89">
        <v>256</v>
      </c>
      <c r="B238" s="90">
        <v>15.7</v>
      </c>
      <c r="F238" s="91">
        <v>256</v>
      </c>
      <c r="G238" s="91">
        <v>15.7</v>
      </c>
      <c r="V238" s="81">
        <f t="shared" si="17"/>
        <v>0</v>
      </c>
      <c r="X238" s="81">
        <f t="shared" si="18"/>
        <v>0</v>
      </c>
      <c r="Y238" s="81">
        <f t="shared" si="19"/>
        <v>0</v>
      </c>
      <c r="Z238" s="81">
        <f t="shared" si="20"/>
        <v>1</v>
      </c>
    </row>
    <row r="239" spans="1:26" ht="16.5" thickBot="1">
      <c r="A239" s="89">
        <v>257</v>
      </c>
      <c r="B239" s="90">
        <v>16.2</v>
      </c>
      <c r="F239" s="91">
        <v>257</v>
      </c>
      <c r="G239" s="91">
        <v>16.2</v>
      </c>
      <c r="V239" s="81">
        <f t="shared" si="17"/>
        <v>0</v>
      </c>
      <c r="X239" s="81">
        <f t="shared" si="18"/>
        <v>0</v>
      </c>
      <c r="Y239" s="81">
        <f t="shared" si="19"/>
        <v>0</v>
      </c>
      <c r="Z239" s="81">
        <f t="shared" si="20"/>
        <v>1</v>
      </c>
    </row>
    <row r="240" spans="1:26" ht="16.5" thickBot="1">
      <c r="A240" s="89">
        <v>258</v>
      </c>
      <c r="B240" s="90">
        <v>15.6</v>
      </c>
      <c r="F240" s="91">
        <v>258</v>
      </c>
      <c r="G240" s="91">
        <v>15.6</v>
      </c>
      <c r="V240" s="81">
        <f t="shared" si="17"/>
        <v>0</v>
      </c>
      <c r="X240" s="81">
        <f t="shared" si="18"/>
        <v>0</v>
      </c>
      <c r="Y240" s="81">
        <f t="shared" si="19"/>
        <v>0</v>
      </c>
      <c r="Z240" s="81">
        <f t="shared" si="20"/>
        <v>1</v>
      </c>
    </row>
    <row r="241" spans="22:26">
      <c r="V241" s="81"/>
      <c r="X241" s="81"/>
      <c r="Y241" s="81"/>
      <c r="Z241" s="81"/>
    </row>
    <row r="242" spans="22:26">
      <c r="V242" s="81"/>
      <c r="X242" s="81"/>
      <c r="Y242" s="81"/>
      <c r="Z242" s="81"/>
    </row>
    <row r="243" spans="22:26">
      <c r="V243" s="81"/>
      <c r="X243" s="81"/>
      <c r="Y243" s="81"/>
      <c r="Z243" s="81"/>
    </row>
    <row r="244" spans="22:26">
      <c r="V244" s="81"/>
      <c r="X244" s="81"/>
      <c r="Y244" s="81"/>
      <c r="Z244" s="81"/>
    </row>
  </sheetData>
  <mergeCells count="15">
    <mergeCell ref="I6:K6"/>
    <mergeCell ref="N6:P6"/>
    <mergeCell ref="D21:D22"/>
    <mergeCell ref="AC29:AD29"/>
    <mergeCell ref="AF29:AG29"/>
    <mergeCell ref="A2:B2"/>
    <mergeCell ref="F2:G2"/>
    <mergeCell ref="I2:Q2"/>
    <mergeCell ref="I3:K3"/>
    <mergeCell ref="N3:P3"/>
    <mergeCell ref="D4:D19"/>
    <mergeCell ref="I4:K4"/>
    <mergeCell ref="N4:P4"/>
    <mergeCell ref="I5:K5"/>
    <mergeCell ref="N5:P5"/>
  </mergeCells>
  <conditionalFormatting sqref="A2">
    <cfRule type="containsErrors" dxfId="34" priority="11">
      <formula>ISERROR(A2)</formula>
    </cfRule>
  </conditionalFormatting>
  <conditionalFormatting sqref="A3:B3">
    <cfRule type="containsErrors" dxfId="33" priority="4">
      <formula>ISERROR(A3)</formula>
    </cfRule>
  </conditionalFormatting>
  <conditionalFormatting sqref="F2:F3">
    <cfRule type="containsErrors" dxfId="32" priority="10">
      <formula>ISERROR(F2)</formula>
    </cfRule>
  </conditionalFormatting>
  <conditionalFormatting sqref="G3">
    <cfRule type="containsErrors" dxfId="31" priority="9">
      <formula>ISERROR(G3)</formula>
    </cfRule>
  </conditionalFormatting>
  <conditionalFormatting sqref="I2">
    <cfRule type="containsErrors" dxfId="30" priority="5">
      <formula>ISERROR(I2)</formula>
    </cfRule>
  </conditionalFormatting>
  <conditionalFormatting sqref="Q4:Q5">
    <cfRule type="containsErrors" dxfId="29" priority="8">
      <formula>ISERROR(Q4)</formula>
    </cfRule>
  </conditionalFormatting>
  <conditionalFormatting sqref="AA25:AA63">
    <cfRule type="containsErrors" dxfId="28" priority="7">
      <formula>ISERROR(AA25)</formula>
    </cfRule>
  </conditionalFormatting>
  <conditionalFormatting sqref="AB25:AC28 AB29:AB63">
    <cfRule type="containsErrors" dxfId="27" priority="6">
      <formula>ISERROR(AB25)</formula>
    </cfRule>
  </conditionalFormatting>
  <conditionalFormatting sqref="AC29:AD71">
    <cfRule type="containsErrors" dxfId="26" priority="3">
      <formula>ISERROR(AC29)</formula>
    </cfRule>
  </conditionalFormatting>
  <conditionalFormatting sqref="AE31:AE71">
    <cfRule type="containsErrors" dxfId="25" priority="2">
      <formula>ISERROR(AE31)</formula>
    </cfRule>
  </conditionalFormatting>
  <conditionalFormatting sqref="AF29:AG71">
    <cfRule type="containsErrors" dxfId="24" priority="1">
      <formula>ISERROR(AF29)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BC37-B3D7-4482-9A40-86C35A2EB4A6}">
  <dimension ref="A1:AJ264"/>
  <sheetViews>
    <sheetView workbookViewId="0">
      <selection sqref="A1:XFD1048576"/>
    </sheetView>
  </sheetViews>
  <sheetFormatPr defaultColWidth="8" defaultRowHeight="15.75"/>
  <cols>
    <col min="2" max="2" width="11.875" customWidth="1"/>
    <col min="6" max="6" width="8.875" customWidth="1"/>
    <col min="7" max="7" width="12.25" customWidth="1"/>
    <col min="11" max="11" width="10.375" customWidth="1"/>
    <col min="12" max="12" width="8.125" customWidth="1"/>
    <col min="16" max="16" width="20.75" customWidth="1"/>
    <col min="17" max="17" width="11.375" customWidth="1"/>
    <col min="24" max="24" width="11.875" bestFit="1" customWidth="1"/>
    <col min="25" max="25" width="10.75" bestFit="1" customWidth="1"/>
    <col min="26" max="26" width="6.875" customWidth="1"/>
    <col min="33" max="34" width="15.25" bestFit="1" customWidth="1"/>
    <col min="35" max="35" width="9.875" bestFit="1" customWidth="1"/>
  </cols>
  <sheetData>
    <row r="1" spans="1:36" ht="16.5" thickBot="1"/>
    <row r="2" spans="1:36" ht="16.5" thickBot="1">
      <c r="A2" s="40" t="s">
        <v>2</v>
      </c>
      <c r="B2" s="41"/>
      <c r="C2" s="45"/>
      <c r="D2" s="45"/>
      <c r="E2" s="45"/>
      <c r="F2" s="40" t="s">
        <v>3</v>
      </c>
      <c r="G2" s="41"/>
      <c r="I2" s="64" t="s">
        <v>72</v>
      </c>
      <c r="J2" s="64"/>
      <c r="K2" s="64"/>
      <c r="L2" s="64"/>
      <c r="M2" s="64"/>
      <c r="N2" s="64"/>
      <c r="O2" s="64"/>
      <c r="P2" s="64"/>
      <c r="Q2" s="64"/>
      <c r="V2" s="65"/>
      <c r="W2" s="65"/>
      <c r="AA2" s="66"/>
      <c r="AB2" s="65"/>
      <c r="AC2" s="67"/>
      <c r="AD2" s="67"/>
      <c r="AE2" s="68"/>
      <c r="AG2" t="s">
        <v>73</v>
      </c>
      <c r="AH2" t="s">
        <v>74</v>
      </c>
      <c r="AI2" t="s">
        <v>56</v>
      </c>
    </row>
    <row r="3" spans="1:36" ht="48" thickBot="1">
      <c r="A3" s="10" t="s">
        <v>9</v>
      </c>
      <c r="B3" s="11" t="s">
        <v>75</v>
      </c>
      <c r="C3" s="45"/>
      <c r="D3" s="45"/>
      <c r="E3" s="45"/>
      <c r="F3" s="12" t="s">
        <v>9</v>
      </c>
      <c r="G3" s="11" t="s">
        <v>75</v>
      </c>
      <c r="I3" s="69" t="s">
        <v>58</v>
      </c>
      <c r="J3" s="69"/>
      <c r="K3" s="69"/>
      <c r="L3" s="95">
        <f>AD17</f>
        <v>237</v>
      </c>
      <c r="M3" s="71"/>
      <c r="N3" s="69" t="s">
        <v>76</v>
      </c>
      <c r="O3" s="69"/>
      <c r="P3" s="69"/>
      <c r="Q3" s="70">
        <f>AA4</f>
        <v>50</v>
      </c>
      <c r="V3" s="72" t="s">
        <v>60</v>
      </c>
      <c r="W3" s="72"/>
      <c r="X3" s="73" t="s">
        <v>77</v>
      </c>
      <c r="Y3" s="73" t="s">
        <v>78</v>
      </c>
      <c r="Z3" s="73" t="s">
        <v>63</v>
      </c>
      <c r="AA3" s="74" t="s">
        <v>19</v>
      </c>
      <c r="AB3" s="75"/>
      <c r="AC3" s="53" t="s">
        <v>8</v>
      </c>
      <c r="AD3" s="53"/>
      <c r="AE3" s="76"/>
      <c r="AF3" s="77"/>
      <c r="AG3" s="77" t="s">
        <v>77</v>
      </c>
      <c r="AH3" s="77" t="s">
        <v>79</v>
      </c>
      <c r="AI3" s="77" t="s">
        <v>64</v>
      </c>
    </row>
    <row r="4" spans="1:36" ht="16.5" thickBot="1">
      <c r="A4" s="96">
        <v>1</v>
      </c>
      <c r="B4" s="96">
        <v>500.7</v>
      </c>
      <c r="C4" s="45"/>
      <c r="D4" s="54" t="s">
        <v>13</v>
      </c>
      <c r="E4" s="45"/>
      <c r="F4" s="97">
        <v>1</v>
      </c>
      <c r="G4" s="98">
        <v>500</v>
      </c>
      <c r="I4" s="69" t="s">
        <v>80</v>
      </c>
      <c r="J4" s="69"/>
      <c r="K4" s="69"/>
      <c r="L4" s="95">
        <f>AD15</f>
        <v>117.69999999999999</v>
      </c>
      <c r="M4" s="71"/>
      <c r="N4" s="69" t="s">
        <v>66</v>
      </c>
      <c r="O4" s="69"/>
      <c r="P4" s="69"/>
      <c r="Q4" s="18">
        <f>AI4</f>
        <v>221</v>
      </c>
      <c r="V4" s="81">
        <f>G4-B4</f>
        <v>-0.69999999999998863</v>
      </c>
      <c r="W4" s="81">
        <f>SUMIF(V4:V87,"&gt;0.5",V4:V87)</f>
        <v>0</v>
      </c>
      <c r="X4" s="81">
        <f>IF($V4&lt;-$AA$4,1,0)</f>
        <v>0</v>
      </c>
      <c r="Y4" s="81">
        <f>IF($V4&gt;$AA$4,1,0)</f>
        <v>0</v>
      </c>
      <c r="Z4" s="81">
        <f>IF($V4&gt;=-$AA$4,IF(V4&lt;=$AA$4,1,""),"")</f>
        <v>1</v>
      </c>
      <c r="AA4" s="82">
        <v>50</v>
      </c>
      <c r="AB4" s="75"/>
      <c r="AE4" s="77"/>
      <c r="AF4" s="77" t="s">
        <v>67</v>
      </c>
      <c r="AG4" s="77">
        <f>SUM(X:X)</f>
        <v>0</v>
      </c>
      <c r="AH4" s="77">
        <f>SUM(Y:Y)</f>
        <v>16</v>
      </c>
      <c r="AI4" s="77">
        <f>SUM(Z:Z)</f>
        <v>221</v>
      </c>
      <c r="AJ4">
        <f>SUM(AG4:AI4)</f>
        <v>237</v>
      </c>
    </row>
    <row r="5" spans="1:36" ht="16.5" thickBot="1">
      <c r="A5" s="96">
        <v>2</v>
      </c>
      <c r="B5" s="96">
        <v>500.7</v>
      </c>
      <c r="C5" s="45"/>
      <c r="D5" s="54"/>
      <c r="E5" s="45"/>
      <c r="F5" s="96">
        <v>2</v>
      </c>
      <c r="G5" s="98">
        <v>500</v>
      </c>
      <c r="I5" s="69" t="s">
        <v>81</v>
      </c>
      <c r="J5" s="69"/>
      <c r="K5" s="69"/>
      <c r="L5" s="95">
        <f>AD14</f>
        <v>-12.100000000000023</v>
      </c>
      <c r="M5" s="71"/>
      <c r="N5" s="69" t="s">
        <v>82</v>
      </c>
      <c r="O5" s="69"/>
      <c r="P5" s="69"/>
      <c r="Q5" s="18">
        <f>AH4</f>
        <v>16</v>
      </c>
      <c r="V5" s="81">
        <f t="shared" ref="V5:V68" si="0">G5-B5</f>
        <v>-0.69999999999998863</v>
      </c>
      <c r="W5" s="81"/>
      <c r="X5" s="81">
        <f t="shared" ref="X5:X68" si="1">IF($V5&lt;-$AA$4,1,0)</f>
        <v>0</v>
      </c>
      <c r="Y5" s="81">
        <f t="shared" ref="Y5:Y68" si="2">IF($V5&gt;$AA$4,1,0)</f>
        <v>0</v>
      </c>
      <c r="Z5" s="81">
        <f t="shared" ref="Z5:Z68" si="3">IF($V5&gt;=-$AA$4,IF(V5&lt;=$AA$4,1,""),"")</f>
        <v>1</v>
      </c>
      <c r="AA5" s="75"/>
      <c r="AB5" s="75"/>
      <c r="AC5" t="s">
        <v>23</v>
      </c>
      <c r="AD5">
        <v>5.467088607594933</v>
      </c>
      <c r="AE5" s="77"/>
      <c r="AF5" s="77" t="s">
        <v>70</v>
      </c>
      <c r="AG5" s="77">
        <f>AG4/$AJ$4</f>
        <v>0</v>
      </c>
      <c r="AH5" s="77">
        <f t="shared" ref="AH5:AI5" si="4">AH4/$AJ$4</f>
        <v>6.7510548523206745E-2</v>
      </c>
      <c r="AI5" s="77">
        <f t="shared" si="4"/>
        <v>0.9324894514767933</v>
      </c>
    </row>
    <row r="6" spans="1:36" ht="16.5" thickBot="1">
      <c r="A6" s="96">
        <v>3</v>
      </c>
      <c r="B6" s="96">
        <v>466.8</v>
      </c>
      <c r="C6" s="45"/>
      <c r="D6" s="54"/>
      <c r="E6" s="45"/>
      <c r="F6" s="96">
        <v>3</v>
      </c>
      <c r="G6" s="98">
        <v>510</v>
      </c>
      <c r="I6" s="86"/>
      <c r="J6" s="86"/>
      <c r="K6" s="86"/>
      <c r="L6" s="87"/>
      <c r="M6" s="71"/>
      <c r="N6" s="69" t="s">
        <v>83</v>
      </c>
      <c r="O6" s="69"/>
      <c r="P6" s="69"/>
      <c r="Q6" s="70">
        <f>AG4</f>
        <v>0</v>
      </c>
      <c r="V6" s="81">
        <f t="shared" si="0"/>
        <v>43.199999999999989</v>
      </c>
      <c r="W6" s="81"/>
      <c r="X6" s="81">
        <f t="shared" si="1"/>
        <v>0</v>
      </c>
      <c r="Y6" s="81">
        <f t="shared" si="2"/>
        <v>0</v>
      </c>
      <c r="Z6" s="81">
        <f t="shared" si="3"/>
        <v>1</v>
      </c>
      <c r="AA6" s="75"/>
      <c r="AB6" s="75"/>
      <c r="AC6" t="s">
        <v>24</v>
      </c>
      <c r="AD6">
        <v>1.5262120316231542</v>
      </c>
      <c r="AE6" s="77"/>
      <c r="AF6" s="77"/>
      <c r="AG6" s="77"/>
      <c r="AH6" s="77"/>
      <c r="AI6" s="75"/>
    </row>
    <row r="7" spans="1:36" ht="16.5" thickBot="1">
      <c r="A7" s="96">
        <v>4</v>
      </c>
      <c r="B7" s="96">
        <v>468.3</v>
      </c>
      <c r="C7" s="45"/>
      <c r="D7" s="54"/>
      <c r="E7" s="45"/>
      <c r="F7" s="96">
        <v>4</v>
      </c>
      <c r="G7" s="98">
        <v>460</v>
      </c>
      <c r="V7" s="81">
        <f t="shared" si="0"/>
        <v>-8.3000000000000114</v>
      </c>
      <c r="W7" s="81"/>
      <c r="X7" s="81">
        <f t="shared" si="1"/>
        <v>0</v>
      </c>
      <c r="Y7" s="81">
        <f t="shared" si="2"/>
        <v>0</v>
      </c>
      <c r="Z7" s="81">
        <f t="shared" si="3"/>
        <v>1</v>
      </c>
      <c r="AA7" s="75"/>
      <c r="AB7" s="75"/>
      <c r="AC7" t="s">
        <v>25</v>
      </c>
      <c r="AD7">
        <v>-1.1999999999999886</v>
      </c>
      <c r="AE7" s="77"/>
      <c r="AF7" s="77"/>
      <c r="AG7" s="77"/>
      <c r="AH7" s="77"/>
      <c r="AI7" s="75"/>
    </row>
    <row r="8" spans="1:36" ht="16.5" thickBot="1">
      <c r="A8" s="96">
        <v>5</v>
      </c>
      <c r="B8" s="96">
        <v>464.7</v>
      </c>
      <c r="C8" s="45"/>
      <c r="D8" s="54"/>
      <c r="E8" s="45"/>
      <c r="F8" s="96">
        <v>5</v>
      </c>
      <c r="G8" s="98">
        <v>460</v>
      </c>
      <c r="V8" s="81">
        <f t="shared" si="0"/>
        <v>-4.6999999999999886</v>
      </c>
      <c r="W8" s="81"/>
      <c r="X8" s="81">
        <f t="shared" si="1"/>
        <v>0</v>
      </c>
      <c r="Y8" s="81">
        <f t="shared" si="2"/>
        <v>0</v>
      </c>
      <c r="Z8" s="81">
        <f t="shared" si="3"/>
        <v>1</v>
      </c>
      <c r="AA8" s="75"/>
      <c r="AB8" s="75"/>
      <c r="AC8" t="s">
        <v>26</v>
      </c>
      <c r="AD8">
        <v>-0.69999999999998863</v>
      </c>
      <c r="AE8" s="77"/>
      <c r="AF8" s="77"/>
      <c r="AG8" s="77"/>
      <c r="AH8" s="77"/>
      <c r="AI8" s="75"/>
    </row>
    <row r="9" spans="1:36" ht="16.5" thickBot="1">
      <c r="A9" s="96">
        <v>6</v>
      </c>
      <c r="B9" s="96">
        <v>466</v>
      </c>
      <c r="C9" s="45"/>
      <c r="D9" s="54"/>
      <c r="E9" s="45"/>
      <c r="F9" s="96">
        <v>6</v>
      </c>
      <c r="G9" s="98">
        <v>460</v>
      </c>
      <c r="V9" s="81">
        <f t="shared" si="0"/>
        <v>-6</v>
      </c>
      <c r="W9" s="81"/>
      <c r="X9" s="81">
        <f t="shared" si="1"/>
        <v>0</v>
      </c>
      <c r="Y9" s="81">
        <f t="shared" si="2"/>
        <v>0</v>
      </c>
      <c r="Z9" s="81">
        <f t="shared" si="3"/>
        <v>1</v>
      </c>
      <c r="AA9" s="75"/>
      <c r="AB9" s="75"/>
      <c r="AC9" t="s">
        <v>27</v>
      </c>
      <c r="AD9">
        <v>23.495735575135594</v>
      </c>
      <c r="AE9" s="77"/>
      <c r="AF9" s="77"/>
      <c r="AG9" s="77"/>
      <c r="AH9" s="77"/>
      <c r="AI9" s="75"/>
    </row>
    <row r="10" spans="1:36" ht="16.5" thickBot="1">
      <c r="A10" s="96">
        <v>7</v>
      </c>
      <c r="B10" s="96">
        <v>458.3</v>
      </c>
      <c r="C10" s="45"/>
      <c r="D10" s="54"/>
      <c r="E10" s="45"/>
      <c r="F10" s="96">
        <v>7</v>
      </c>
      <c r="G10" s="98">
        <v>480</v>
      </c>
      <c r="V10" s="81">
        <f t="shared" si="0"/>
        <v>21.699999999999989</v>
      </c>
      <c r="W10" s="81"/>
      <c r="X10" s="81">
        <f t="shared" si="1"/>
        <v>0</v>
      </c>
      <c r="Y10" s="81">
        <f t="shared" si="2"/>
        <v>0</v>
      </c>
      <c r="Z10" s="81">
        <f t="shared" si="3"/>
        <v>1</v>
      </c>
      <c r="AA10" s="75"/>
      <c r="AB10" s="75"/>
      <c r="AC10" t="s">
        <v>28</v>
      </c>
      <c r="AD10">
        <v>552.04959021669231</v>
      </c>
      <c r="AE10" s="77"/>
      <c r="AF10" s="77"/>
      <c r="AG10" s="77"/>
      <c r="AH10" s="77"/>
      <c r="AI10" s="75"/>
    </row>
    <row r="11" spans="1:36" ht="16.5" thickBot="1">
      <c r="A11" s="96">
        <v>8</v>
      </c>
      <c r="B11" s="96">
        <v>458.9</v>
      </c>
      <c r="C11" s="45"/>
      <c r="D11" s="54"/>
      <c r="E11" s="45"/>
      <c r="F11" s="96">
        <v>8</v>
      </c>
      <c r="G11" s="98">
        <v>510</v>
      </c>
      <c r="V11" s="81">
        <f t="shared" si="0"/>
        <v>51.100000000000023</v>
      </c>
      <c r="W11" s="81"/>
      <c r="X11" s="81">
        <f t="shared" si="1"/>
        <v>0</v>
      </c>
      <c r="Y11" s="81">
        <f t="shared" si="2"/>
        <v>1</v>
      </c>
      <c r="Z11" s="81" t="str">
        <f t="shared" si="3"/>
        <v/>
      </c>
      <c r="AA11" s="75"/>
      <c r="AB11" s="75"/>
      <c r="AC11" t="s">
        <v>29</v>
      </c>
      <c r="AD11">
        <v>7.7160769886241933</v>
      </c>
      <c r="AE11" s="77"/>
      <c r="AF11" s="77"/>
      <c r="AG11" s="77"/>
      <c r="AH11" s="77"/>
      <c r="AI11" s="75"/>
    </row>
    <row r="12" spans="1:36" ht="16.5" thickBot="1">
      <c r="A12" s="96">
        <v>9</v>
      </c>
      <c r="B12" s="96">
        <v>451.4</v>
      </c>
      <c r="C12" s="45"/>
      <c r="D12" s="54"/>
      <c r="E12" s="45"/>
      <c r="F12" s="96">
        <v>9</v>
      </c>
      <c r="G12" s="98">
        <v>450</v>
      </c>
      <c r="V12" s="81">
        <f t="shared" si="0"/>
        <v>-1.3999999999999773</v>
      </c>
      <c r="W12" s="81"/>
      <c r="X12" s="81">
        <f t="shared" si="1"/>
        <v>0</v>
      </c>
      <c r="Y12" s="81">
        <f t="shared" si="2"/>
        <v>0</v>
      </c>
      <c r="Z12" s="81">
        <f t="shared" si="3"/>
        <v>1</v>
      </c>
      <c r="AA12" s="75"/>
      <c r="AB12" s="75"/>
      <c r="AC12" t="s">
        <v>30</v>
      </c>
      <c r="AD12">
        <v>2.7875391175511397</v>
      </c>
      <c r="AE12" s="77"/>
      <c r="AF12" s="77"/>
      <c r="AG12" s="77"/>
      <c r="AH12" s="77"/>
      <c r="AI12" s="75"/>
    </row>
    <row r="13" spans="1:36" ht="16.5" thickBot="1">
      <c r="A13" s="96">
        <v>10</v>
      </c>
      <c r="B13" s="96">
        <v>450.8</v>
      </c>
      <c r="C13" s="45"/>
      <c r="D13" s="54"/>
      <c r="E13" s="45"/>
      <c r="F13" s="96">
        <v>10</v>
      </c>
      <c r="G13" s="98">
        <v>450</v>
      </c>
      <c r="V13" s="81">
        <f t="shared" si="0"/>
        <v>-0.80000000000001137</v>
      </c>
      <c r="W13" s="81"/>
      <c r="X13" s="81">
        <f t="shared" si="1"/>
        <v>0</v>
      </c>
      <c r="Y13" s="81">
        <f t="shared" si="2"/>
        <v>0</v>
      </c>
      <c r="Z13" s="81">
        <f t="shared" si="3"/>
        <v>1</v>
      </c>
      <c r="AA13" s="75"/>
      <c r="AB13" s="75"/>
      <c r="AC13" t="s">
        <v>31</v>
      </c>
      <c r="AD13">
        <v>129.80000000000001</v>
      </c>
      <c r="AE13" s="77"/>
      <c r="AF13" s="77"/>
      <c r="AG13" s="77"/>
      <c r="AH13" s="77"/>
      <c r="AI13" s="75"/>
    </row>
    <row r="14" spans="1:36" ht="16.5" thickBot="1">
      <c r="A14" s="96">
        <v>11</v>
      </c>
      <c r="B14" s="96">
        <v>454.9</v>
      </c>
      <c r="C14" s="45"/>
      <c r="D14" s="54"/>
      <c r="E14" s="45"/>
      <c r="F14" s="96">
        <v>11</v>
      </c>
      <c r="G14" s="98">
        <v>450</v>
      </c>
      <c r="V14" s="81">
        <f t="shared" si="0"/>
        <v>-4.8999999999999773</v>
      </c>
      <c r="W14" s="81"/>
      <c r="X14" s="81">
        <f t="shared" si="1"/>
        <v>0</v>
      </c>
      <c r="Y14" s="81">
        <f t="shared" si="2"/>
        <v>0</v>
      </c>
      <c r="Z14" s="81">
        <f t="shared" si="3"/>
        <v>1</v>
      </c>
      <c r="AA14" s="75"/>
      <c r="AB14" s="75"/>
      <c r="AC14" t="s">
        <v>32</v>
      </c>
      <c r="AD14">
        <v>-12.100000000000023</v>
      </c>
      <c r="AE14" s="77"/>
      <c r="AF14" s="77"/>
      <c r="AG14" s="77"/>
      <c r="AH14" s="77"/>
      <c r="AI14" s="75"/>
    </row>
    <row r="15" spans="1:36" ht="16.5" thickBot="1">
      <c r="A15" s="96">
        <v>12</v>
      </c>
      <c r="B15" s="96">
        <v>457.3</v>
      </c>
      <c r="C15" s="45"/>
      <c r="D15" s="54"/>
      <c r="E15" s="45"/>
      <c r="F15" s="96">
        <v>12</v>
      </c>
      <c r="G15" s="98">
        <v>490</v>
      </c>
      <c r="V15" s="81">
        <f t="shared" si="0"/>
        <v>32.699999999999989</v>
      </c>
      <c r="W15" s="81"/>
      <c r="X15" s="81">
        <f t="shared" si="1"/>
        <v>0</v>
      </c>
      <c r="Y15" s="81">
        <f t="shared" si="2"/>
        <v>0</v>
      </c>
      <c r="Z15" s="81">
        <f t="shared" si="3"/>
        <v>1</v>
      </c>
      <c r="AA15" s="75"/>
      <c r="AB15" s="75"/>
      <c r="AC15" t="s">
        <v>33</v>
      </c>
      <c r="AD15">
        <v>117.69999999999999</v>
      </c>
      <c r="AE15" s="77"/>
      <c r="AF15" s="77"/>
      <c r="AG15" s="77"/>
      <c r="AH15" s="77"/>
      <c r="AI15" s="75"/>
    </row>
    <row r="16" spans="1:36" ht="16.5" thickBot="1">
      <c r="A16" s="96">
        <v>13</v>
      </c>
      <c r="B16" s="96">
        <v>461.3</v>
      </c>
      <c r="C16" s="45"/>
      <c r="D16" s="54"/>
      <c r="E16" s="45"/>
      <c r="F16" s="96">
        <v>13</v>
      </c>
      <c r="G16" s="98">
        <v>450</v>
      </c>
      <c r="V16" s="81">
        <f t="shared" si="0"/>
        <v>-11.300000000000011</v>
      </c>
      <c r="W16" s="81"/>
      <c r="X16" s="81">
        <f t="shared" si="1"/>
        <v>0</v>
      </c>
      <c r="Y16" s="81">
        <f t="shared" si="2"/>
        <v>0</v>
      </c>
      <c r="Z16" s="81">
        <f t="shared" si="3"/>
        <v>1</v>
      </c>
      <c r="AA16" s="75"/>
      <c r="AB16" s="75"/>
      <c r="AC16" t="s">
        <v>34</v>
      </c>
      <c r="AD16">
        <v>1295.6999999999991</v>
      </c>
      <c r="AE16" s="77"/>
      <c r="AF16" s="77"/>
      <c r="AG16" s="77"/>
      <c r="AH16" s="77"/>
      <c r="AI16" s="75"/>
    </row>
    <row r="17" spans="1:35" ht="16.5" thickBot="1">
      <c r="A17" s="96">
        <v>14</v>
      </c>
      <c r="B17" s="96">
        <v>463.5</v>
      </c>
      <c r="C17" s="45"/>
      <c r="D17" s="54"/>
      <c r="E17" s="45"/>
      <c r="F17" s="96">
        <v>14</v>
      </c>
      <c r="G17" s="98">
        <v>460</v>
      </c>
      <c r="V17" s="81">
        <f t="shared" si="0"/>
        <v>-3.5</v>
      </c>
      <c r="W17" s="81"/>
      <c r="X17" s="81">
        <f t="shared" si="1"/>
        <v>0</v>
      </c>
      <c r="Y17" s="81">
        <f t="shared" si="2"/>
        <v>0</v>
      </c>
      <c r="Z17" s="81">
        <f t="shared" si="3"/>
        <v>1</v>
      </c>
      <c r="AA17" s="75"/>
      <c r="AB17" s="75"/>
      <c r="AC17" s="56" t="s">
        <v>35</v>
      </c>
      <c r="AD17" s="56">
        <v>237</v>
      </c>
      <c r="AE17" s="77"/>
      <c r="AF17" s="77"/>
      <c r="AG17" s="77"/>
      <c r="AH17" s="77"/>
      <c r="AI17" s="75"/>
    </row>
    <row r="18" spans="1:35" ht="16.5" thickBot="1">
      <c r="A18" s="96">
        <v>15</v>
      </c>
      <c r="B18" s="96">
        <v>468.1</v>
      </c>
      <c r="C18" s="45"/>
      <c r="D18" s="54"/>
      <c r="E18" s="45"/>
      <c r="F18" s="96">
        <v>15</v>
      </c>
      <c r="G18" s="98">
        <v>460</v>
      </c>
      <c r="V18" s="81">
        <f t="shared" si="0"/>
        <v>-8.1000000000000227</v>
      </c>
      <c r="W18" s="81"/>
      <c r="X18" s="81">
        <f t="shared" si="1"/>
        <v>0</v>
      </c>
      <c r="Y18" s="81">
        <f t="shared" si="2"/>
        <v>0</v>
      </c>
      <c r="Z18" s="81">
        <f t="shared" si="3"/>
        <v>1</v>
      </c>
      <c r="AA18" s="75"/>
      <c r="AB18" s="75"/>
      <c r="AC18" s="88" t="s">
        <v>84</v>
      </c>
      <c r="AD18" s="88"/>
      <c r="AE18" s="77"/>
      <c r="AF18" s="77"/>
      <c r="AG18" s="77"/>
      <c r="AH18" s="77"/>
      <c r="AI18" s="75"/>
    </row>
    <row r="19" spans="1:35" ht="16.5" thickBot="1">
      <c r="A19" s="99">
        <v>16</v>
      </c>
      <c r="B19" s="99">
        <v>499.5</v>
      </c>
      <c r="C19" s="45"/>
      <c r="D19" s="54"/>
      <c r="E19" s="45"/>
      <c r="F19" s="99">
        <v>16</v>
      </c>
      <c r="G19" s="99">
        <v>500</v>
      </c>
      <c r="V19" s="81">
        <f t="shared" si="0"/>
        <v>0.5</v>
      </c>
      <c r="W19" s="81"/>
      <c r="X19" s="81">
        <f t="shared" si="1"/>
        <v>0</v>
      </c>
      <c r="Y19" s="81">
        <f t="shared" si="2"/>
        <v>0</v>
      </c>
      <c r="Z19" s="81">
        <f t="shared" si="3"/>
        <v>1</v>
      </c>
      <c r="AA19" s="75"/>
      <c r="AB19" s="75"/>
      <c r="AC19" s="75"/>
      <c r="AD19" s="75"/>
      <c r="AE19" s="75"/>
      <c r="AF19" s="75"/>
      <c r="AG19" s="75"/>
      <c r="AH19" s="75"/>
      <c r="AI19" s="75"/>
    </row>
    <row r="20" spans="1:35" ht="17.25" thickBot="1">
      <c r="A20" s="99">
        <v>17</v>
      </c>
      <c r="B20" s="99">
        <v>471.2</v>
      </c>
      <c r="C20" s="45"/>
      <c r="D20" s="57" t="s">
        <v>36</v>
      </c>
      <c r="E20" s="45"/>
      <c r="F20" s="99">
        <v>17</v>
      </c>
      <c r="G20" s="99">
        <v>470</v>
      </c>
      <c r="V20" s="81">
        <f t="shared" si="0"/>
        <v>-1.1999999999999886</v>
      </c>
      <c r="W20" s="81"/>
      <c r="X20" s="81">
        <f t="shared" si="1"/>
        <v>0</v>
      </c>
      <c r="Y20" s="81">
        <f t="shared" si="2"/>
        <v>0</v>
      </c>
      <c r="Z20" s="81">
        <f t="shared" si="3"/>
        <v>1</v>
      </c>
      <c r="AA20" s="75"/>
      <c r="AB20" s="75"/>
      <c r="AC20" s="75"/>
      <c r="AD20" s="75"/>
      <c r="AE20" s="75"/>
      <c r="AF20" s="75"/>
      <c r="AG20" s="75"/>
      <c r="AH20" s="75"/>
      <c r="AI20" s="75"/>
    </row>
    <row r="21" spans="1:35" ht="16.5" thickBot="1">
      <c r="A21" s="99">
        <v>18</v>
      </c>
      <c r="B21" s="99">
        <v>471.2</v>
      </c>
      <c r="C21" s="45"/>
      <c r="D21" s="58"/>
      <c r="E21" s="45"/>
      <c r="F21" s="99">
        <v>18</v>
      </c>
      <c r="G21" s="99">
        <v>470</v>
      </c>
      <c r="V21" s="81">
        <f t="shared" si="0"/>
        <v>-1.1999999999999886</v>
      </c>
      <c r="W21" s="81"/>
      <c r="X21" s="81">
        <f t="shared" si="1"/>
        <v>0</v>
      </c>
      <c r="Y21" s="81">
        <f t="shared" si="2"/>
        <v>0</v>
      </c>
      <c r="Z21" s="81">
        <f t="shared" si="3"/>
        <v>1</v>
      </c>
      <c r="AA21" s="75"/>
      <c r="AB21" s="75"/>
      <c r="AC21" s="75"/>
      <c r="AD21" s="75"/>
      <c r="AE21" s="75"/>
      <c r="AF21" s="75"/>
      <c r="AG21" s="75"/>
      <c r="AH21" s="75"/>
      <c r="AI21" s="75"/>
    </row>
    <row r="22" spans="1:35" ht="16.5" thickBot="1">
      <c r="A22" s="99">
        <v>19</v>
      </c>
      <c r="B22" s="99">
        <v>412.3</v>
      </c>
      <c r="C22" s="45"/>
      <c r="D22" s="58"/>
      <c r="E22" s="45"/>
      <c r="F22" s="99">
        <v>19</v>
      </c>
      <c r="G22" s="99">
        <v>410</v>
      </c>
      <c r="V22" s="81">
        <f t="shared" si="0"/>
        <v>-2.3000000000000114</v>
      </c>
      <c r="W22" s="81"/>
      <c r="X22" s="81">
        <f t="shared" si="1"/>
        <v>0</v>
      </c>
      <c r="Y22" s="81">
        <f t="shared" si="2"/>
        <v>0</v>
      </c>
      <c r="Z22" s="81">
        <f t="shared" si="3"/>
        <v>1</v>
      </c>
      <c r="AA22" s="75"/>
      <c r="AB22" s="75"/>
      <c r="AC22" s="75"/>
      <c r="AD22" s="75"/>
      <c r="AE22" s="75"/>
      <c r="AF22" s="75"/>
      <c r="AG22" s="75"/>
      <c r="AH22" s="75"/>
      <c r="AI22" s="75"/>
    </row>
    <row r="23" spans="1:35" ht="16.5" thickBot="1">
      <c r="A23" s="99">
        <v>20</v>
      </c>
      <c r="B23" s="99">
        <v>500.7</v>
      </c>
      <c r="C23" s="45"/>
      <c r="D23" s="45"/>
      <c r="E23" s="45"/>
      <c r="F23" s="99">
        <v>20</v>
      </c>
      <c r="G23" s="99">
        <v>500</v>
      </c>
      <c r="V23" s="81">
        <f t="shared" si="0"/>
        <v>-0.69999999999998863</v>
      </c>
      <c r="W23" s="81"/>
      <c r="X23" s="81">
        <f t="shared" si="1"/>
        <v>0</v>
      </c>
      <c r="Y23" s="81">
        <f t="shared" si="2"/>
        <v>0</v>
      </c>
      <c r="Z23" s="81">
        <f t="shared" si="3"/>
        <v>1</v>
      </c>
      <c r="AA23" s="75"/>
      <c r="AB23" s="75"/>
      <c r="AC23" s="75"/>
      <c r="AD23" s="75"/>
      <c r="AE23" s="75"/>
      <c r="AF23" s="75"/>
      <c r="AG23" s="75"/>
      <c r="AH23" s="75"/>
      <c r="AI23" s="75"/>
    </row>
    <row r="24" spans="1:35" ht="16.5" thickBot="1">
      <c r="A24" s="99">
        <v>21</v>
      </c>
      <c r="B24" s="99">
        <v>496.8</v>
      </c>
      <c r="C24" s="45"/>
      <c r="D24" s="45"/>
      <c r="E24" s="45"/>
      <c r="F24" s="99">
        <v>21</v>
      </c>
      <c r="G24" s="99">
        <v>490</v>
      </c>
      <c r="V24" s="81">
        <f t="shared" si="0"/>
        <v>-6.8000000000000114</v>
      </c>
      <c r="W24" s="81"/>
      <c r="X24" s="81">
        <f t="shared" si="1"/>
        <v>0</v>
      </c>
      <c r="Y24" s="81">
        <f t="shared" si="2"/>
        <v>0</v>
      </c>
      <c r="Z24" s="81">
        <f t="shared" si="3"/>
        <v>1</v>
      </c>
      <c r="AA24" s="75"/>
      <c r="AB24" s="75"/>
      <c r="AC24" s="75"/>
      <c r="AD24" s="75"/>
      <c r="AE24" s="75"/>
      <c r="AF24" s="75"/>
      <c r="AG24" s="75"/>
      <c r="AH24" s="75"/>
      <c r="AI24" s="75"/>
    </row>
    <row r="25" spans="1:35" ht="16.5" thickBot="1">
      <c r="A25" s="99">
        <v>22</v>
      </c>
      <c r="B25" s="99">
        <v>487.1</v>
      </c>
      <c r="C25" s="45"/>
      <c r="D25" s="45"/>
      <c r="E25" s="45"/>
      <c r="F25" s="99">
        <v>22</v>
      </c>
      <c r="G25" s="99">
        <v>510</v>
      </c>
      <c r="V25" s="81">
        <f t="shared" si="0"/>
        <v>22.899999999999977</v>
      </c>
      <c r="W25" s="81"/>
      <c r="X25" s="81">
        <f t="shared" si="1"/>
        <v>0</v>
      </c>
      <c r="Y25" s="81">
        <f t="shared" si="2"/>
        <v>0</v>
      </c>
      <c r="Z25" s="81">
        <f t="shared" si="3"/>
        <v>1</v>
      </c>
      <c r="AA25" s="75"/>
      <c r="AB25" s="75"/>
      <c r="AC25" s="75"/>
      <c r="AD25" s="75"/>
      <c r="AE25" s="75"/>
      <c r="AF25" s="75"/>
      <c r="AG25" s="75"/>
      <c r="AH25" s="75"/>
      <c r="AI25" s="75"/>
    </row>
    <row r="26" spans="1:35" ht="16.5" thickBot="1">
      <c r="A26" s="99">
        <v>23</v>
      </c>
      <c r="B26" s="99">
        <v>482.6</v>
      </c>
      <c r="C26" s="45"/>
      <c r="D26" s="45"/>
      <c r="E26" s="45"/>
      <c r="F26" s="99">
        <v>23</v>
      </c>
      <c r="G26" s="99">
        <v>480</v>
      </c>
      <c r="V26" s="81">
        <f t="shared" si="0"/>
        <v>-2.6000000000000227</v>
      </c>
      <c r="W26" s="65"/>
      <c r="X26" s="81">
        <f t="shared" si="1"/>
        <v>0</v>
      </c>
      <c r="Y26" s="81">
        <f t="shared" si="2"/>
        <v>0</v>
      </c>
      <c r="Z26" s="81">
        <f t="shared" si="3"/>
        <v>1</v>
      </c>
      <c r="AA26" s="13"/>
      <c r="AB26" s="14"/>
      <c r="AC26" s="14"/>
      <c r="AD26" s="65"/>
      <c r="AE26" s="65"/>
    </row>
    <row r="27" spans="1:35" ht="16.5" thickBot="1">
      <c r="A27" s="99">
        <v>24</v>
      </c>
      <c r="B27" s="99">
        <v>483.6</v>
      </c>
      <c r="C27" s="45"/>
      <c r="D27" s="45"/>
      <c r="E27" s="45"/>
      <c r="F27" s="99">
        <v>24</v>
      </c>
      <c r="G27" s="99">
        <v>520</v>
      </c>
      <c r="V27" s="81">
        <f t="shared" si="0"/>
        <v>36.399999999999977</v>
      </c>
      <c r="W27" s="65"/>
      <c r="X27" s="81">
        <f t="shared" si="1"/>
        <v>0</v>
      </c>
      <c r="Y27" s="81">
        <f t="shared" si="2"/>
        <v>0</v>
      </c>
      <c r="Z27" s="81">
        <f t="shared" si="3"/>
        <v>1</v>
      </c>
      <c r="AA27" s="13"/>
      <c r="AB27" s="14"/>
      <c r="AC27" s="14"/>
      <c r="AD27" s="92">
        <f>SUM(AD31:AD71)</f>
        <v>223</v>
      </c>
      <c r="AE27" s="65"/>
      <c r="AG27" s="92">
        <f>SUM(AG31:AG71)</f>
        <v>12</v>
      </c>
    </row>
    <row r="28" spans="1:35" ht="16.5" thickBot="1">
      <c r="A28" s="99">
        <v>25</v>
      </c>
      <c r="B28" s="99">
        <v>484.5</v>
      </c>
      <c r="C28" s="45"/>
      <c r="D28" s="45"/>
      <c r="E28" s="45"/>
      <c r="F28" s="99">
        <v>25</v>
      </c>
      <c r="G28" s="99">
        <v>480</v>
      </c>
      <c r="V28" s="81">
        <f t="shared" si="0"/>
        <v>-4.5</v>
      </c>
      <c r="W28" s="65"/>
      <c r="X28" s="81">
        <f t="shared" si="1"/>
        <v>0</v>
      </c>
      <c r="Y28" s="81">
        <f t="shared" si="2"/>
        <v>0</v>
      </c>
      <c r="Z28" s="81">
        <f t="shared" si="3"/>
        <v>1</v>
      </c>
      <c r="AA28" s="13"/>
      <c r="AB28" s="14"/>
      <c r="AC28" s="14"/>
      <c r="AD28" s="65"/>
      <c r="AE28" s="65"/>
    </row>
    <row r="29" spans="1:35" ht="16.5" thickBot="1">
      <c r="A29" s="99">
        <v>26</v>
      </c>
      <c r="B29" s="99">
        <v>486.4</v>
      </c>
      <c r="C29" s="45"/>
      <c r="D29" s="45"/>
      <c r="E29" s="45"/>
      <c r="F29" s="99">
        <v>26</v>
      </c>
      <c r="G29" s="99">
        <v>480</v>
      </c>
      <c r="V29" s="81">
        <f t="shared" si="0"/>
        <v>-6.3999999999999773</v>
      </c>
      <c r="W29" s="65"/>
      <c r="X29" s="81">
        <f t="shared" si="1"/>
        <v>0</v>
      </c>
      <c r="Y29" s="81">
        <f t="shared" si="2"/>
        <v>0</v>
      </c>
      <c r="Z29" s="81">
        <f t="shared" si="3"/>
        <v>1</v>
      </c>
      <c r="AA29" s="13"/>
      <c r="AB29" s="14"/>
      <c r="AC29" s="93" t="s">
        <v>37</v>
      </c>
      <c r="AD29" s="94"/>
      <c r="AE29" s="65"/>
      <c r="AF29" s="93" t="s">
        <v>38</v>
      </c>
      <c r="AG29" s="94"/>
    </row>
    <row r="30" spans="1:35" ht="16.5" thickBot="1">
      <c r="A30" s="99">
        <v>27</v>
      </c>
      <c r="B30" s="99">
        <v>487.7</v>
      </c>
      <c r="C30" s="45"/>
      <c r="D30" s="45"/>
      <c r="E30" s="45"/>
      <c r="F30" s="99">
        <v>27</v>
      </c>
      <c r="G30" s="99">
        <v>480</v>
      </c>
      <c r="V30" s="81">
        <f t="shared" si="0"/>
        <v>-7.6999999999999886</v>
      </c>
      <c r="W30" s="65"/>
      <c r="X30" s="81">
        <f t="shared" si="1"/>
        <v>0</v>
      </c>
      <c r="Y30" s="81">
        <f t="shared" si="2"/>
        <v>0</v>
      </c>
      <c r="Z30" s="81">
        <f t="shared" si="3"/>
        <v>1</v>
      </c>
      <c r="AA30" s="13"/>
      <c r="AB30" s="14"/>
      <c r="AC30" s="20" t="s">
        <v>39</v>
      </c>
      <c r="AD30" s="21" t="s">
        <v>40</v>
      </c>
      <c r="AE30" s="65"/>
      <c r="AF30" s="20" t="s">
        <v>39</v>
      </c>
      <c r="AG30" s="21" t="s">
        <v>40</v>
      </c>
    </row>
    <row r="31" spans="1:35" ht="16.5" thickBot="1">
      <c r="A31" s="99">
        <v>28</v>
      </c>
      <c r="B31" s="99">
        <v>488.8</v>
      </c>
      <c r="C31" s="45"/>
      <c r="D31" s="45"/>
      <c r="E31" s="45"/>
      <c r="F31" s="99">
        <v>28</v>
      </c>
      <c r="G31" s="99">
        <v>480</v>
      </c>
      <c r="V31" s="81">
        <f t="shared" si="0"/>
        <v>-8.8000000000000114</v>
      </c>
      <c r="W31" s="65"/>
      <c r="X31" s="81">
        <f t="shared" si="1"/>
        <v>0</v>
      </c>
      <c r="Y31" s="81">
        <f t="shared" si="2"/>
        <v>0</v>
      </c>
      <c r="Z31" s="81">
        <f t="shared" si="3"/>
        <v>1</v>
      </c>
      <c r="AA31" s="13"/>
      <c r="AB31" s="14"/>
      <c r="AC31" s="22">
        <f>IF($AE31&lt;=$AA$4,$AE31,"")</f>
        <v>-100</v>
      </c>
      <c r="AD31" s="23">
        <f t="shared" ref="AD31:AD77" si="5">IF(AC31="","",COUNTIF($V$4:$V$929,"&gt;="&amp;$AE31)-COUNTIF($V$4:$V$929,"&gt;="&amp;$AE32))</f>
        <v>0</v>
      </c>
      <c r="AE31" s="26">
        <v>-100</v>
      </c>
      <c r="AF31" s="22" t="str">
        <f>IF($AE31&gt;$AA$4,$AE31,"")</f>
        <v/>
      </c>
      <c r="AG31" s="23" t="str">
        <f>IF(AF31="","",COUNTIF($V$5:$V$930,"&gt;="&amp;$AH31)-COUNTIF($V$5:$V$930,"&gt;="&amp;$AH32))</f>
        <v/>
      </c>
    </row>
    <row r="32" spans="1:35" ht="16.5" thickBot="1">
      <c r="A32" s="99">
        <v>29</v>
      </c>
      <c r="B32" s="99">
        <v>490.7</v>
      </c>
      <c r="C32" s="45"/>
      <c r="D32" s="45"/>
      <c r="E32" s="45"/>
      <c r="F32" s="99">
        <v>29</v>
      </c>
      <c r="G32" s="99">
        <v>510</v>
      </c>
      <c r="V32" s="81">
        <f t="shared" si="0"/>
        <v>19.300000000000011</v>
      </c>
      <c r="W32" s="65"/>
      <c r="X32" s="81">
        <f t="shared" si="1"/>
        <v>0</v>
      </c>
      <c r="Y32" s="81">
        <f t="shared" si="2"/>
        <v>0</v>
      </c>
      <c r="Z32" s="81">
        <f t="shared" si="3"/>
        <v>1</v>
      </c>
      <c r="AA32" s="13"/>
      <c r="AB32" s="14"/>
      <c r="AC32" s="22">
        <f t="shared" ref="AC32:AC77" si="6">IF($AE32&lt;=$AA$4,$AE32,"")</f>
        <v>-95</v>
      </c>
      <c r="AD32" s="23">
        <f t="shared" si="5"/>
        <v>0</v>
      </c>
      <c r="AE32" s="26">
        <v>-95</v>
      </c>
      <c r="AF32" s="22" t="str">
        <f t="shared" ref="AF32:AF77" si="7">IF($AE32&gt;$AA$4,$AE32,"")</f>
        <v/>
      </c>
      <c r="AG32" s="23" t="str">
        <f>IF(AF32="","",COUNTIF($V$5:$V$930,"&gt;="&amp;$AH32)-COUNTIF($V$5:$V$930,"&gt;="&amp;$AH33))</f>
        <v/>
      </c>
    </row>
    <row r="33" spans="1:33" ht="16.5" thickBot="1">
      <c r="A33" s="99">
        <v>30</v>
      </c>
      <c r="B33" s="99">
        <v>493.8</v>
      </c>
      <c r="C33" s="45"/>
      <c r="D33" s="45"/>
      <c r="E33" s="45"/>
      <c r="F33" s="99">
        <v>30</v>
      </c>
      <c r="G33" s="99">
        <v>490</v>
      </c>
      <c r="V33" s="81">
        <f t="shared" si="0"/>
        <v>-3.8000000000000114</v>
      </c>
      <c r="W33" s="65"/>
      <c r="X33" s="81">
        <f t="shared" si="1"/>
        <v>0</v>
      </c>
      <c r="Y33" s="81">
        <f t="shared" si="2"/>
        <v>0</v>
      </c>
      <c r="Z33" s="81">
        <f t="shared" si="3"/>
        <v>1</v>
      </c>
      <c r="AA33" s="13"/>
      <c r="AB33" s="14"/>
      <c r="AC33" s="22">
        <f t="shared" si="6"/>
        <v>-90</v>
      </c>
      <c r="AD33" s="23">
        <f t="shared" si="5"/>
        <v>0</v>
      </c>
      <c r="AE33" s="26">
        <v>-90</v>
      </c>
      <c r="AF33" s="22" t="str">
        <f t="shared" si="7"/>
        <v/>
      </c>
      <c r="AG33" s="23" t="str">
        <f>IF(AF33="","",COUNTIF($V$5:$V$930,"&gt;="&amp;$AH33)-COUNTIF($V$5:$V$930,"&gt;="&amp;$AH34))</f>
        <v/>
      </c>
    </row>
    <row r="34" spans="1:33" ht="16.5" thickBot="1">
      <c r="A34" s="99">
        <v>31</v>
      </c>
      <c r="B34" s="99">
        <v>499.1</v>
      </c>
      <c r="C34" s="45"/>
      <c r="D34" s="45"/>
      <c r="E34" s="45"/>
      <c r="F34" s="99">
        <v>31</v>
      </c>
      <c r="G34" s="99">
        <v>500</v>
      </c>
      <c r="V34" s="81">
        <f t="shared" si="0"/>
        <v>0.89999999999997726</v>
      </c>
      <c r="W34" s="65"/>
      <c r="X34" s="81">
        <f t="shared" si="1"/>
        <v>0</v>
      </c>
      <c r="Y34" s="81">
        <f t="shared" si="2"/>
        <v>0</v>
      </c>
      <c r="Z34" s="81">
        <f t="shared" si="3"/>
        <v>1</v>
      </c>
      <c r="AA34" s="13"/>
      <c r="AB34" s="14"/>
      <c r="AC34" s="22">
        <f t="shared" si="6"/>
        <v>-85</v>
      </c>
      <c r="AD34" s="23">
        <f t="shared" si="5"/>
        <v>0</v>
      </c>
      <c r="AE34" s="26">
        <v>-85</v>
      </c>
      <c r="AF34" s="22" t="str">
        <f t="shared" si="7"/>
        <v/>
      </c>
      <c r="AG34" s="23" t="str">
        <f>IF(AF34="","",COUNTIF($V$5:$V$930,"&gt;="&amp;$AH34)-COUNTIF($V$5:$V$930,"&gt;="&amp;$AH35))</f>
        <v/>
      </c>
    </row>
    <row r="35" spans="1:33" ht="16.5" thickBot="1">
      <c r="A35" s="99">
        <v>32</v>
      </c>
      <c r="B35" s="99">
        <v>412.3</v>
      </c>
      <c r="C35" s="45"/>
      <c r="D35" s="45"/>
      <c r="E35" s="45"/>
      <c r="F35" s="99">
        <v>32</v>
      </c>
      <c r="G35" s="99">
        <v>410</v>
      </c>
      <c r="V35" s="81">
        <f t="shared" si="0"/>
        <v>-2.3000000000000114</v>
      </c>
      <c r="W35" s="65"/>
      <c r="X35" s="81">
        <f t="shared" si="1"/>
        <v>0</v>
      </c>
      <c r="Y35" s="81">
        <f t="shared" si="2"/>
        <v>0</v>
      </c>
      <c r="Z35" s="81">
        <f t="shared" si="3"/>
        <v>1</v>
      </c>
      <c r="AA35" s="13"/>
      <c r="AB35" s="14"/>
      <c r="AC35" s="22">
        <f t="shared" si="6"/>
        <v>-80</v>
      </c>
      <c r="AD35" s="23">
        <f t="shared" si="5"/>
        <v>0</v>
      </c>
      <c r="AE35" s="26">
        <v>-80</v>
      </c>
      <c r="AF35" s="22" t="str">
        <f t="shared" si="7"/>
        <v/>
      </c>
      <c r="AG35" s="23" t="str">
        <f>IF(AF35="","",COUNTIF($V$5:$V$930,"&gt;="&amp;$AH35)-COUNTIF($V$5:$V$930,"&gt;="&amp;$AH36))</f>
        <v/>
      </c>
    </row>
    <row r="36" spans="1:33" ht="16.5" thickBot="1">
      <c r="A36" s="99">
        <v>33</v>
      </c>
      <c r="B36" s="99">
        <v>493.5</v>
      </c>
      <c r="C36" s="45"/>
      <c r="D36" s="45"/>
      <c r="E36" s="45"/>
      <c r="F36" s="99">
        <v>33</v>
      </c>
      <c r="G36" s="99">
        <v>540</v>
      </c>
      <c r="V36" s="81">
        <f t="shared" si="0"/>
        <v>46.5</v>
      </c>
      <c r="W36" s="65"/>
      <c r="X36" s="81">
        <f t="shared" si="1"/>
        <v>0</v>
      </c>
      <c r="Y36" s="81">
        <f t="shared" si="2"/>
        <v>0</v>
      </c>
      <c r="Z36" s="81">
        <f t="shared" si="3"/>
        <v>1</v>
      </c>
      <c r="AA36" s="13"/>
      <c r="AB36" s="14"/>
      <c r="AC36" s="22">
        <f t="shared" si="6"/>
        <v>-75</v>
      </c>
      <c r="AD36" s="23">
        <f t="shared" si="5"/>
        <v>0</v>
      </c>
      <c r="AE36" s="26">
        <v>-75</v>
      </c>
      <c r="AF36" s="22" t="str">
        <f t="shared" si="7"/>
        <v/>
      </c>
      <c r="AG36" s="23" t="str">
        <f t="shared" ref="AG36:AG77" si="8">IF(AF36="","",COUNTIF($V$5:$V$930,"&gt;="&amp;$AF36)-COUNTIF($V$5:$V$930,"&gt;="&amp;$AF37))</f>
        <v/>
      </c>
    </row>
    <row r="37" spans="1:33" ht="16.5" thickBot="1">
      <c r="A37" s="99">
        <v>34</v>
      </c>
      <c r="B37" s="99">
        <v>488.3</v>
      </c>
      <c r="C37" s="45"/>
      <c r="D37" s="45"/>
      <c r="E37" s="45"/>
      <c r="F37" s="99">
        <v>34</v>
      </c>
      <c r="G37" s="99">
        <v>480</v>
      </c>
      <c r="V37" s="81">
        <f t="shared" si="0"/>
        <v>-8.3000000000000114</v>
      </c>
      <c r="W37" s="65"/>
      <c r="X37" s="81">
        <f t="shared" si="1"/>
        <v>0</v>
      </c>
      <c r="Y37" s="81">
        <f t="shared" si="2"/>
        <v>0</v>
      </c>
      <c r="Z37" s="81">
        <f t="shared" si="3"/>
        <v>1</v>
      </c>
      <c r="AA37" s="13"/>
      <c r="AB37" s="14"/>
      <c r="AC37" s="22">
        <f t="shared" si="6"/>
        <v>-70</v>
      </c>
      <c r="AD37" s="23">
        <f t="shared" si="5"/>
        <v>0</v>
      </c>
      <c r="AE37" s="26">
        <v>-70</v>
      </c>
      <c r="AF37" s="22" t="str">
        <f t="shared" si="7"/>
        <v/>
      </c>
      <c r="AG37" s="23" t="str">
        <f t="shared" si="8"/>
        <v/>
      </c>
    </row>
    <row r="38" spans="1:33" ht="16.5" thickBot="1">
      <c r="A38" s="99">
        <v>35</v>
      </c>
      <c r="B38" s="99">
        <v>486.4</v>
      </c>
      <c r="C38" s="45"/>
      <c r="D38" s="45"/>
      <c r="E38" s="45"/>
      <c r="F38" s="99">
        <v>35</v>
      </c>
      <c r="G38" s="99">
        <v>510</v>
      </c>
      <c r="V38" s="81">
        <f t="shared" si="0"/>
        <v>23.600000000000023</v>
      </c>
      <c r="W38" s="65"/>
      <c r="X38" s="81">
        <f t="shared" si="1"/>
        <v>0</v>
      </c>
      <c r="Y38" s="81">
        <f t="shared" si="2"/>
        <v>0</v>
      </c>
      <c r="Z38" s="81">
        <f t="shared" si="3"/>
        <v>1</v>
      </c>
      <c r="AA38" s="13"/>
      <c r="AB38" s="14"/>
      <c r="AC38" s="22">
        <f t="shared" si="6"/>
        <v>-65</v>
      </c>
      <c r="AD38" s="23">
        <f t="shared" si="5"/>
        <v>0</v>
      </c>
      <c r="AE38" s="26">
        <v>-65</v>
      </c>
      <c r="AF38" s="22" t="str">
        <f t="shared" si="7"/>
        <v/>
      </c>
      <c r="AG38" s="23" t="str">
        <f t="shared" si="8"/>
        <v/>
      </c>
    </row>
    <row r="39" spans="1:33" ht="16.5" thickBot="1">
      <c r="A39" s="99">
        <v>36</v>
      </c>
      <c r="B39" s="99">
        <v>487</v>
      </c>
      <c r="C39" s="45"/>
      <c r="D39" s="45"/>
      <c r="E39" s="45"/>
      <c r="F39" s="99">
        <v>36</v>
      </c>
      <c r="G39" s="99">
        <v>480</v>
      </c>
      <c r="V39" s="81">
        <f t="shared" si="0"/>
        <v>-7</v>
      </c>
      <c r="W39" s="65"/>
      <c r="X39" s="81">
        <f t="shared" si="1"/>
        <v>0</v>
      </c>
      <c r="Y39" s="81">
        <f t="shared" si="2"/>
        <v>0</v>
      </c>
      <c r="Z39" s="81">
        <f t="shared" si="3"/>
        <v>1</v>
      </c>
      <c r="AA39" s="13"/>
      <c r="AB39" s="14"/>
      <c r="AC39" s="22">
        <f t="shared" si="6"/>
        <v>-60</v>
      </c>
      <c r="AD39" s="23">
        <f t="shared" si="5"/>
        <v>0</v>
      </c>
      <c r="AE39" s="26">
        <v>-60</v>
      </c>
      <c r="AF39" s="22" t="str">
        <f t="shared" si="7"/>
        <v/>
      </c>
      <c r="AG39" s="23" t="str">
        <f t="shared" si="8"/>
        <v/>
      </c>
    </row>
    <row r="40" spans="1:33" ht="16.5" thickBot="1">
      <c r="A40" s="99">
        <v>37</v>
      </c>
      <c r="B40" s="99">
        <v>486.9</v>
      </c>
      <c r="C40" s="45"/>
      <c r="D40" s="45"/>
      <c r="E40" s="45"/>
      <c r="F40" s="99">
        <v>37</v>
      </c>
      <c r="G40" s="99">
        <v>480</v>
      </c>
      <c r="V40" s="81">
        <f t="shared" si="0"/>
        <v>-6.8999999999999773</v>
      </c>
      <c r="W40" s="65"/>
      <c r="X40" s="81">
        <f t="shared" si="1"/>
        <v>0</v>
      </c>
      <c r="Y40" s="81">
        <f t="shared" si="2"/>
        <v>0</v>
      </c>
      <c r="Z40" s="81">
        <f t="shared" si="3"/>
        <v>1</v>
      </c>
      <c r="AA40" s="13"/>
      <c r="AB40" s="14"/>
      <c r="AC40" s="22">
        <f t="shared" si="6"/>
        <v>-55</v>
      </c>
      <c r="AD40" s="23">
        <f t="shared" si="5"/>
        <v>0</v>
      </c>
      <c r="AE40" s="26">
        <v>-55</v>
      </c>
      <c r="AF40" s="22" t="str">
        <f t="shared" si="7"/>
        <v/>
      </c>
      <c r="AG40" s="23" t="str">
        <f t="shared" si="8"/>
        <v/>
      </c>
    </row>
    <row r="41" spans="1:33" ht="16.5" thickBot="1">
      <c r="A41" s="99">
        <v>38</v>
      </c>
      <c r="B41" s="99">
        <v>486.7</v>
      </c>
      <c r="C41" s="45"/>
      <c r="D41" s="45"/>
      <c r="E41" s="45"/>
      <c r="F41" s="99">
        <v>38</v>
      </c>
      <c r="G41" s="99">
        <v>600</v>
      </c>
      <c r="V41" s="81">
        <f t="shared" si="0"/>
        <v>113.30000000000001</v>
      </c>
      <c r="W41" s="65"/>
      <c r="X41" s="81">
        <f t="shared" si="1"/>
        <v>0</v>
      </c>
      <c r="Y41" s="81">
        <f t="shared" si="2"/>
        <v>1</v>
      </c>
      <c r="Z41" s="81" t="str">
        <f t="shared" si="3"/>
        <v/>
      </c>
      <c r="AA41" s="13"/>
      <c r="AB41" s="14"/>
      <c r="AC41" s="22">
        <f t="shared" si="6"/>
        <v>-50</v>
      </c>
      <c r="AD41" s="23">
        <f t="shared" si="5"/>
        <v>0</v>
      </c>
      <c r="AE41" s="26">
        <v>-50</v>
      </c>
      <c r="AF41" s="22" t="str">
        <f t="shared" si="7"/>
        <v/>
      </c>
      <c r="AG41" s="23" t="str">
        <f t="shared" si="8"/>
        <v/>
      </c>
    </row>
    <row r="42" spans="1:33" ht="16.5" thickBot="1">
      <c r="A42" s="99">
        <v>39</v>
      </c>
      <c r="B42" s="99">
        <v>487.8</v>
      </c>
      <c r="C42" s="45"/>
      <c r="D42" s="45"/>
      <c r="E42" s="45"/>
      <c r="F42" s="99">
        <v>39</v>
      </c>
      <c r="G42" s="99">
        <v>580</v>
      </c>
      <c r="V42" s="81">
        <f t="shared" si="0"/>
        <v>92.199999999999989</v>
      </c>
      <c r="W42" s="65"/>
      <c r="X42" s="81">
        <f t="shared" si="1"/>
        <v>0</v>
      </c>
      <c r="Y42" s="81">
        <f t="shared" si="2"/>
        <v>1</v>
      </c>
      <c r="Z42" s="81" t="str">
        <f t="shared" si="3"/>
        <v/>
      </c>
      <c r="AA42" s="13"/>
      <c r="AB42" s="14"/>
      <c r="AC42" s="22">
        <f t="shared" si="6"/>
        <v>-45</v>
      </c>
      <c r="AD42" s="23">
        <f t="shared" si="5"/>
        <v>0</v>
      </c>
      <c r="AE42" s="26">
        <v>-45</v>
      </c>
      <c r="AF42" s="22" t="str">
        <f t="shared" si="7"/>
        <v/>
      </c>
      <c r="AG42" s="23" t="str">
        <f t="shared" si="8"/>
        <v/>
      </c>
    </row>
    <row r="43" spans="1:33" ht="16.5" thickBot="1">
      <c r="A43" s="99">
        <v>40</v>
      </c>
      <c r="B43" s="99">
        <v>487</v>
      </c>
      <c r="C43" s="45"/>
      <c r="D43" s="45"/>
      <c r="E43" s="45"/>
      <c r="F43" s="99">
        <v>40</v>
      </c>
      <c r="G43" s="99">
        <v>480</v>
      </c>
      <c r="V43" s="81">
        <f t="shared" si="0"/>
        <v>-7</v>
      </c>
      <c r="W43" s="65"/>
      <c r="X43" s="81">
        <f t="shared" si="1"/>
        <v>0</v>
      </c>
      <c r="Y43" s="81">
        <f t="shared" si="2"/>
        <v>0</v>
      </c>
      <c r="Z43" s="81">
        <f t="shared" si="3"/>
        <v>1</v>
      </c>
      <c r="AA43" s="13"/>
      <c r="AB43" s="14"/>
      <c r="AC43" s="22">
        <f t="shared" si="6"/>
        <v>-40</v>
      </c>
      <c r="AD43" s="23">
        <f t="shared" si="5"/>
        <v>0</v>
      </c>
      <c r="AE43" s="26">
        <v>-40</v>
      </c>
      <c r="AF43" s="22" t="str">
        <f t="shared" si="7"/>
        <v/>
      </c>
      <c r="AG43" s="23" t="str">
        <f t="shared" si="8"/>
        <v/>
      </c>
    </row>
    <row r="44" spans="1:33" ht="16.5" thickBot="1">
      <c r="A44" s="99">
        <v>41</v>
      </c>
      <c r="B44" s="99">
        <v>486.8</v>
      </c>
      <c r="C44" s="45"/>
      <c r="D44" s="45"/>
      <c r="E44" s="45"/>
      <c r="F44" s="99">
        <v>41</v>
      </c>
      <c r="G44" s="99">
        <v>480</v>
      </c>
      <c r="V44" s="81">
        <f t="shared" si="0"/>
        <v>-6.8000000000000114</v>
      </c>
      <c r="W44" s="65"/>
      <c r="X44" s="81">
        <f t="shared" si="1"/>
        <v>0</v>
      </c>
      <c r="Y44" s="81">
        <f t="shared" si="2"/>
        <v>0</v>
      </c>
      <c r="Z44" s="81">
        <f t="shared" si="3"/>
        <v>1</v>
      </c>
      <c r="AA44" s="13"/>
      <c r="AB44" s="14"/>
      <c r="AC44" s="22">
        <f t="shared" si="6"/>
        <v>-35</v>
      </c>
      <c r="AD44" s="23">
        <f t="shared" si="5"/>
        <v>0</v>
      </c>
      <c r="AE44" s="26">
        <v>-35</v>
      </c>
      <c r="AF44" s="22" t="str">
        <f t="shared" si="7"/>
        <v/>
      </c>
      <c r="AG44" s="23" t="str">
        <f t="shared" si="8"/>
        <v/>
      </c>
    </row>
    <row r="45" spans="1:33" ht="16.5" thickBot="1">
      <c r="A45" s="99">
        <v>42</v>
      </c>
      <c r="B45" s="99">
        <v>486.8</v>
      </c>
      <c r="C45" s="45"/>
      <c r="D45" s="45"/>
      <c r="E45" s="45"/>
      <c r="F45" s="99">
        <v>42</v>
      </c>
      <c r="G45" s="99">
        <v>480</v>
      </c>
      <c r="V45" s="81">
        <f t="shared" si="0"/>
        <v>-6.8000000000000114</v>
      </c>
      <c r="W45" s="65"/>
      <c r="X45" s="81">
        <f t="shared" si="1"/>
        <v>0</v>
      </c>
      <c r="Y45" s="81">
        <f t="shared" si="2"/>
        <v>0</v>
      </c>
      <c r="Z45" s="81">
        <f t="shared" si="3"/>
        <v>1</v>
      </c>
      <c r="AA45" s="13"/>
      <c r="AB45" s="14"/>
      <c r="AC45" s="22">
        <f t="shared" si="6"/>
        <v>-30</v>
      </c>
      <c r="AD45" s="23">
        <f t="shared" si="5"/>
        <v>0</v>
      </c>
      <c r="AE45" s="26">
        <v>-30</v>
      </c>
      <c r="AF45" s="22" t="str">
        <f t="shared" si="7"/>
        <v/>
      </c>
      <c r="AG45" s="23" t="str">
        <f t="shared" si="8"/>
        <v/>
      </c>
    </row>
    <row r="46" spans="1:33" ht="16.5" thickBot="1">
      <c r="A46" s="99">
        <v>43</v>
      </c>
      <c r="B46" s="99">
        <v>492.2</v>
      </c>
      <c r="C46" s="45"/>
      <c r="D46" s="45"/>
      <c r="E46" s="45"/>
      <c r="F46" s="99">
        <v>43</v>
      </c>
      <c r="G46" s="99">
        <v>490</v>
      </c>
      <c r="V46" s="81">
        <f t="shared" si="0"/>
        <v>-2.1999999999999886</v>
      </c>
      <c r="W46" s="65"/>
      <c r="X46" s="81">
        <f t="shared" si="1"/>
        <v>0</v>
      </c>
      <c r="Y46" s="81">
        <f t="shared" si="2"/>
        <v>0</v>
      </c>
      <c r="Z46" s="81">
        <f t="shared" si="3"/>
        <v>1</v>
      </c>
      <c r="AA46" s="13"/>
      <c r="AB46" s="14"/>
      <c r="AC46" s="22">
        <f t="shared" si="6"/>
        <v>-25</v>
      </c>
      <c r="AD46" s="23">
        <f t="shared" si="5"/>
        <v>0</v>
      </c>
      <c r="AE46" s="26">
        <v>-25</v>
      </c>
      <c r="AF46" s="22" t="str">
        <f t="shared" si="7"/>
        <v/>
      </c>
      <c r="AG46" s="23" t="str">
        <f t="shared" si="8"/>
        <v/>
      </c>
    </row>
    <row r="47" spans="1:33" ht="16.5" thickBot="1">
      <c r="A47" s="99">
        <v>44</v>
      </c>
      <c r="B47" s="99">
        <v>411.1</v>
      </c>
      <c r="C47" s="45"/>
      <c r="D47" s="45"/>
      <c r="E47" s="45"/>
      <c r="F47" s="99">
        <v>44</v>
      </c>
      <c r="G47" s="99">
        <v>410</v>
      </c>
      <c r="V47" s="81">
        <f t="shared" si="0"/>
        <v>-1.1000000000000227</v>
      </c>
      <c r="W47" s="65"/>
      <c r="X47" s="81">
        <f t="shared" si="1"/>
        <v>0</v>
      </c>
      <c r="Y47" s="81">
        <f t="shared" si="2"/>
        <v>0</v>
      </c>
      <c r="Z47" s="81">
        <f t="shared" si="3"/>
        <v>1</v>
      </c>
      <c r="AA47" s="13"/>
      <c r="AB47" s="14"/>
      <c r="AC47" s="22">
        <f t="shared" si="6"/>
        <v>-20</v>
      </c>
      <c r="AD47" s="23">
        <f t="shared" si="5"/>
        <v>0</v>
      </c>
      <c r="AE47" s="26">
        <v>-20</v>
      </c>
      <c r="AF47" s="22" t="str">
        <f t="shared" si="7"/>
        <v/>
      </c>
      <c r="AG47" s="23" t="str">
        <f t="shared" si="8"/>
        <v/>
      </c>
    </row>
    <row r="48" spans="1:33" ht="16.5" thickBot="1">
      <c r="A48" s="99">
        <v>45</v>
      </c>
      <c r="B48" s="99">
        <v>408.3</v>
      </c>
      <c r="C48" s="45"/>
      <c r="D48" s="45"/>
      <c r="E48" s="45"/>
      <c r="F48" s="99">
        <v>45</v>
      </c>
      <c r="G48" s="99">
        <v>400</v>
      </c>
      <c r="V48" s="81">
        <f t="shared" si="0"/>
        <v>-8.3000000000000114</v>
      </c>
      <c r="W48" s="65"/>
      <c r="X48" s="81">
        <f t="shared" si="1"/>
        <v>0</v>
      </c>
      <c r="Y48" s="81">
        <f t="shared" si="2"/>
        <v>0</v>
      </c>
      <c r="Z48" s="81">
        <f t="shared" si="3"/>
        <v>1</v>
      </c>
      <c r="AA48" s="13"/>
      <c r="AB48" s="14"/>
      <c r="AC48" s="22">
        <f t="shared" si="6"/>
        <v>-15</v>
      </c>
      <c r="AD48" s="23">
        <f t="shared" si="5"/>
        <v>11</v>
      </c>
      <c r="AE48" s="26">
        <v>-15</v>
      </c>
      <c r="AF48" s="22" t="str">
        <f t="shared" si="7"/>
        <v/>
      </c>
      <c r="AG48" s="23" t="str">
        <f t="shared" si="8"/>
        <v/>
      </c>
    </row>
    <row r="49" spans="1:33" ht="16.5" thickBot="1">
      <c r="A49" s="99">
        <v>46</v>
      </c>
      <c r="B49" s="99">
        <v>490.6</v>
      </c>
      <c r="C49" s="45"/>
      <c r="D49" s="45"/>
      <c r="E49" s="45"/>
      <c r="F49" s="99">
        <v>46</v>
      </c>
      <c r="G49" s="99">
        <v>480</v>
      </c>
      <c r="V49" s="81">
        <f t="shared" si="0"/>
        <v>-10.600000000000023</v>
      </c>
      <c r="W49" s="65"/>
      <c r="X49" s="81">
        <f t="shared" si="1"/>
        <v>0</v>
      </c>
      <c r="Y49" s="81">
        <f t="shared" si="2"/>
        <v>0</v>
      </c>
      <c r="Z49" s="81">
        <f t="shared" si="3"/>
        <v>1</v>
      </c>
      <c r="AA49" s="13"/>
      <c r="AB49" s="14"/>
      <c r="AC49" s="22">
        <f t="shared" si="6"/>
        <v>-10</v>
      </c>
      <c r="AD49" s="23">
        <f t="shared" si="5"/>
        <v>47</v>
      </c>
      <c r="AE49" s="26">
        <v>-10</v>
      </c>
      <c r="AF49" s="22" t="str">
        <f t="shared" si="7"/>
        <v/>
      </c>
      <c r="AG49" s="23" t="str">
        <f t="shared" si="8"/>
        <v/>
      </c>
    </row>
    <row r="50" spans="1:33" ht="16.5" thickBot="1">
      <c r="A50" s="99">
        <v>47</v>
      </c>
      <c r="B50" s="99">
        <v>490.6</v>
      </c>
      <c r="C50" s="45"/>
      <c r="D50" s="45"/>
      <c r="E50" s="45"/>
      <c r="F50" s="99">
        <v>47</v>
      </c>
      <c r="G50" s="99">
        <v>480</v>
      </c>
      <c r="V50" s="81">
        <f t="shared" si="0"/>
        <v>-10.600000000000023</v>
      </c>
      <c r="W50" s="65"/>
      <c r="X50" s="81">
        <f t="shared" si="1"/>
        <v>0</v>
      </c>
      <c r="Y50" s="81">
        <f t="shared" si="2"/>
        <v>0</v>
      </c>
      <c r="Z50" s="81">
        <f t="shared" si="3"/>
        <v>1</v>
      </c>
      <c r="AA50" s="13"/>
      <c r="AB50" s="14"/>
      <c r="AC50" s="22">
        <f t="shared" si="6"/>
        <v>-5</v>
      </c>
      <c r="AD50" s="23">
        <f t="shared" si="5"/>
        <v>128</v>
      </c>
      <c r="AE50" s="26">
        <v>-5</v>
      </c>
      <c r="AF50" s="22" t="str">
        <f t="shared" si="7"/>
        <v/>
      </c>
      <c r="AG50" s="23" t="str">
        <f t="shared" si="8"/>
        <v/>
      </c>
    </row>
    <row r="51" spans="1:33" ht="16.5" thickBot="1">
      <c r="A51" s="99">
        <v>48</v>
      </c>
      <c r="B51" s="99">
        <v>491.8</v>
      </c>
      <c r="C51" s="45"/>
      <c r="D51" s="45"/>
      <c r="E51" s="45"/>
      <c r="F51" s="99">
        <v>48</v>
      </c>
      <c r="G51" s="99">
        <v>480</v>
      </c>
      <c r="V51" s="81">
        <f t="shared" si="0"/>
        <v>-11.800000000000011</v>
      </c>
      <c r="W51" s="65"/>
      <c r="X51" s="81">
        <f t="shared" si="1"/>
        <v>0</v>
      </c>
      <c r="Y51" s="81">
        <f t="shared" si="2"/>
        <v>0</v>
      </c>
      <c r="Z51" s="81">
        <f t="shared" si="3"/>
        <v>1</v>
      </c>
      <c r="AA51" s="13"/>
      <c r="AB51" s="14"/>
      <c r="AC51" s="22">
        <f t="shared" si="6"/>
        <v>0</v>
      </c>
      <c r="AD51" s="23">
        <f t="shared" si="5"/>
        <v>13</v>
      </c>
      <c r="AE51" s="26">
        <v>0</v>
      </c>
      <c r="AF51" s="22" t="str">
        <f t="shared" si="7"/>
        <v/>
      </c>
      <c r="AG51" s="23" t="str">
        <f t="shared" si="8"/>
        <v/>
      </c>
    </row>
    <row r="52" spans="1:33" ht="16.5" thickBot="1">
      <c r="A52" s="99">
        <v>49</v>
      </c>
      <c r="B52" s="99">
        <v>489.4</v>
      </c>
      <c r="C52" s="45"/>
      <c r="D52" s="45"/>
      <c r="E52" s="45"/>
      <c r="F52" s="99">
        <v>49</v>
      </c>
      <c r="G52" s="99">
        <v>480</v>
      </c>
      <c r="V52" s="81">
        <f t="shared" si="0"/>
        <v>-9.3999999999999773</v>
      </c>
      <c r="W52" s="65"/>
      <c r="X52" s="81">
        <f t="shared" si="1"/>
        <v>0</v>
      </c>
      <c r="Y52" s="81">
        <f t="shared" si="2"/>
        <v>0</v>
      </c>
      <c r="Z52" s="81">
        <f t="shared" si="3"/>
        <v>1</v>
      </c>
      <c r="AA52" s="13"/>
      <c r="AB52" s="14"/>
      <c r="AC52" s="22">
        <f t="shared" si="6"/>
        <v>5</v>
      </c>
      <c r="AD52" s="23">
        <f t="shared" si="5"/>
        <v>0</v>
      </c>
      <c r="AE52" s="26">
        <v>5</v>
      </c>
      <c r="AF52" s="22" t="str">
        <f t="shared" si="7"/>
        <v/>
      </c>
      <c r="AG52" s="23" t="str">
        <f t="shared" si="8"/>
        <v/>
      </c>
    </row>
    <row r="53" spans="1:33" ht="16.5" thickBot="1">
      <c r="A53" s="99">
        <v>50</v>
      </c>
      <c r="B53" s="99">
        <v>488.8</v>
      </c>
      <c r="C53" s="45"/>
      <c r="D53" s="45"/>
      <c r="E53" s="45"/>
      <c r="F53" s="99">
        <v>50</v>
      </c>
      <c r="G53" s="99">
        <v>480</v>
      </c>
      <c r="V53" s="81">
        <f t="shared" si="0"/>
        <v>-8.8000000000000114</v>
      </c>
      <c r="W53" s="65"/>
      <c r="X53" s="81">
        <f t="shared" si="1"/>
        <v>0</v>
      </c>
      <c r="Y53" s="81">
        <f t="shared" si="2"/>
        <v>0</v>
      </c>
      <c r="Z53" s="81">
        <f t="shared" si="3"/>
        <v>1</v>
      </c>
      <c r="AA53" s="13"/>
      <c r="AB53" s="14"/>
      <c r="AC53" s="22">
        <f t="shared" si="6"/>
        <v>10</v>
      </c>
      <c r="AD53" s="23">
        <f t="shared" si="5"/>
        <v>0</v>
      </c>
      <c r="AE53" s="26">
        <v>10</v>
      </c>
      <c r="AF53" s="22" t="str">
        <f t="shared" si="7"/>
        <v/>
      </c>
      <c r="AG53" s="23" t="str">
        <f t="shared" si="8"/>
        <v/>
      </c>
    </row>
    <row r="54" spans="1:33" ht="16.5" thickBot="1">
      <c r="A54" s="99">
        <v>51</v>
      </c>
      <c r="B54" s="99">
        <v>487.3</v>
      </c>
      <c r="C54" s="45"/>
      <c r="D54" s="45"/>
      <c r="E54" s="45"/>
      <c r="F54" s="99">
        <v>51</v>
      </c>
      <c r="G54" s="99">
        <v>480</v>
      </c>
      <c r="V54" s="81">
        <f t="shared" si="0"/>
        <v>-7.3000000000000114</v>
      </c>
      <c r="W54" s="65"/>
      <c r="X54" s="81">
        <f t="shared" si="1"/>
        <v>0</v>
      </c>
      <c r="Y54" s="81">
        <f t="shared" si="2"/>
        <v>0</v>
      </c>
      <c r="Z54" s="81">
        <f t="shared" si="3"/>
        <v>1</v>
      </c>
      <c r="AA54" s="13"/>
      <c r="AB54" s="14"/>
      <c r="AC54" s="22">
        <f t="shared" si="6"/>
        <v>15</v>
      </c>
      <c r="AD54" s="23">
        <f t="shared" si="5"/>
        <v>2</v>
      </c>
      <c r="AE54" s="26">
        <v>15</v>
      </c>
      <c r="AF54" s="22" t="str">
        <f t="shared" si="7"/>
        <v/>
      </c>
      <c r="AG54" s="23" t="str">
        <f t="shared" si="8"/>
        <v/>
      </c>
    </row>
    <row r="55" spans="1:33" ht="16.5" thickBot="1">
      <c r="A55" s="99">
        <v>52</v>
      </c>
      <c r="B55" s="99">
        <v>486.2</v>
      </c>
      <c r="C55" s="45"/>
      <c r="D55" s="45"/>
      <c r="E55" s="45"/>
      <c r="F55" s="99">
        <v>52</v>
      </c>
      <c r="G55" s="99">
        <v>480</v>
      </c>
      <c r="V55" s="81">
        <f t="shared" si="0"/>
        <v>-6.1999999999999886</v>
      </c>
      <c r="W55" s="65"/>
      <c r="X55" s="81">
        <f t="shared" si="1"/>
        <v>0</v>
      </c>
      <c r="Y55" s="81">
        <f t="shared" si="2"/>
        <v>0</v>
      </c>
      <c r="Z55" s="81">
        <f t="shared" si="3"/>
        <v>1</v>
      </c>
      <c r="AA55" s="13"/>
      <c r="AB55" s="14"/>
      <c r="AC55" s="22">
        <f t="shared" si="6"/>
        <v>20</v>
      </c>
      <c r="AD55" s="23">
        <f t="shared" si="5"/>
        <v>4</v>
      </c>
      <c r="AE55" s="26">
        <v>20</v>
      </c>
      <c r="AF55" s="22" t="str">
        <f t="shared" si="7"/>
        <v/>
      </c>
      <c r="AG55" s="23" t="str">
        <f t="shared" si="8"/>
        <v/>
      </c>
    </row>
    <row r="56" spans="1:33" ht="16.5" thickBot="1">
      <c r="A56" s="99">
        <v>53</v>
      </c>
      <c r="B56" s="99">
        <v>485.7</v>
      </c>
      <c r="C56" s="45"/>
      <c r="D56" s="45"/>
      <c r="E56" s="45"/>
      <c r="F56" s="99">
        <v>53</v>
      </c>
      <c r="G56" s="99">
        <v>480</v>
      </c>
      <c r="V56" s="81">
        <f t="shared" si="0"/>
        <v>-5.6999999999999886</v>
      </c>
      <c r="W56" s="65"/>
      <c r="X56" s="81">
        <f t="shared" si="1"/>
        <v>0</v>
      </c>
      <c r="Y56" s="81">
        <f t="shared" si="2"/>
        <v>0</v>
      </c>
      <c r="Z56" s="81">
        <f t="shared" si="3"/>
        <v>1</v>
      </c>
      <c r="AA56" s="13"/>
      <c r="AB56" s="14"/>
      <c r="AC56" s="22">
        <f t="shared" si="6"/>
        <v>25</v>
      </c>
      <c r="AD56" s="23">
        <f t="shared" si="5"/>
        <v>6</v>
      </c>
      <c r="AE56" s="26">
        <v>25</v>
      </c>
      <c r="AF56" s="22" t="str">
        <f t="shared" si="7"/>
        <v/>
      </c>
      <c r="AG56" s="23" t="str">
        <f t="shared" si="8"/>
        <v/>
      </c>
    </row>
    <row r="57" spans="1:33" ht="16.5" thickBot="1">
      <c r="A57" s="99">
        <v>54</v>
      </c>
      <c r="B57" s="99">
        <v>490.9</v>
      </c>
      <c r="C57" s="45"/>
      <c r="D57" s="45"/>
      <c r="E57" s="45"/>
      <c r="F57" s="99">
        <v>54</v>
      </c>
      <c r="G57" s="99">
        <v>480</v>
      </c>
      <c r="V57" s="81">
        <f t="shared" si="0"/>
        <v>-10.899999999999977</v>
      </c>
      <c r="W57" s="65"/>
      <c r="X57" s="81">
        <f t="shared" si="1"/>
        <v>0</v>
      </c>
      <c r="Y57" s="81">
        <f t="shared" si="2"/>
        <v>0</v>
      </c>
      <c r="Z57" s="81">
        <f t="shared" si="3"/>
        <v>1</v>
      </c>
      <c r="AA57" s="13"/>
      <c r="AB57" s="14"/>
      <c r="AC57" s="22">
        <f t="shared" si="6"/>
        <v>30</v>
      </c>
      <c r="AD57" s="23">
        <f t="shared" si="5"/>
        <v>2</v>
      </c>
      <c r="AE57" s="26">
        <v>30</v>
      </c>
      <c r="AF57" s="22" t="str">
        <f t="shared" si="7"/>
        <v/>
      </c>
      <c r="AG57" s="23" t="str">
        <f t="shared" si="8"/>
        <v/>
      </c>
    </row>
    <row r="58" spans="1:33" ht="16.5" thickBot="1">
      <c r="A58" s="99">
        <v>55</v>
      </c>
      <c r="B58" s="99">
        <v>498</v>
      </c>
      <c r="C58" s="45"/>
      <c r="D58" s="45"/>
      <c r="E58" s="45"/>
      <c r="F58" s="99">
        <v>55</v>
      </c>
      <c r="G58" s="99">
        <v>500</v>
      </c>
      <c r="V58" s="81">
        <f t="shared" si="0"/>
        <v>2</v>
      </c>
      <c r="W58" s="65"/>
      <c r="X58" s="81">
        <f t="shared" si="1"/>
        <v>0</v>
      </c>
      <c r="Y58" s="81">
        <f t="shared" si="2"/>
        <v>0</v>
      </c>
      <c r="Z58" s="81">
        <f t="shared" si="3"/>
        <v>1</v>
      </c>
      <c r="AA58" s="13"/>
      <c r="AB58" s="14"/>
      <c r="AC58" s="22">
        <f t="shared" si="6"/>
        <v>35</v>
      </c>
      <c r="AD58" s="23">
        <f t="shared" si="5"/>
        <v>1</v>
      </c>
      <c r="AE58" s="26">
        <v>35</v>
      </c>
      <c r="AF58" s="22" t="str">
        <f t="shared" si="7"/>
        <v/>
      </c>
      <c r="AG58" s="23" t="str">
        <f t="shared" si="8"/>
        <v/>
      </c>
    </row>
    <row r="59" spans="1:33" ht="16.5" thickBot="1">
      <c r="A59" s="99">
        <v>56</v>
      </c>
      <c r="B59" s="99">
        <v>403.7</v>
      </c>
      <c r="C59" s="45"/>
      <c r="D59" s="45"/>
      <c r="E59" s="45"/>
      <c r="F59" s="99">
        <v>56</v>
      </c>
      <c r="G59" s="99">
        <v>400</v>
      </c>
      <c r="V59" s="81">
        <f t="shared" si="0"/>
        <v>-3.6999999999999886</v>
      </c>
      <c r="W59" s="65"/>
      <c r="X59" s="81">
        <f t="shared" si="1"/>
        <v>0</v>
      </c>
      <c r="Y59" s="81">
        <f t="shared" si="2"/>
        <v>0</v>
      </c>
      <c r="Z59" s="81">
        <f t="shared" si="3"/>
        <v>1</v>
      </c>
      <c r="AA59" s="13"/>
      <c r="AB59" s="14"/>
      <c r="AC59" s="22">
        <f t="shared" si="6"/>
        <v>40</v>
      </c>
      <c r="AD59" s="23">
        <f t="shared" si="5"/>
        <v>4</v>
      </c>
      <c r="AE59" s="26">
        <v>40</v>
      </c>
      <c r="AF59" s="22" t="str">
        <f t="shared" si="7"/>
        <v/>
      </c>
      <c r="AG59" s="23" t="str">
        <f t="shared" si="8"/>
        <v/>
      </c>
    </row>
    <row r="60" spans="1:33" ht="16.5" thickBot="1">
      <c r="A60" s="99">
        <v>57</v>
      </c>
      <c r="B60" s="99">
        <v>404.5</v>
      </c>
      <c r="C60" s="45"/>
      <c r="D60" s="45"/>
      <c r="E60" s="45"/>
      <c r="F60" s="99">
        <v>57</v>
      </c>
      <c r="G60" s="99">
        <v>400</v>
      </c>
      <c r="V60" s="81">
        <f t="shared" si="0"/>
        <v>-4.5</v>
      </c>
      <c r="W60" s="65"/>
      <c r="X60" s="81">
        <f t="shared" si="1"/>
        <v>0</v>
      </c>
      <c r="Y60" s="81">
        <f t="shared" si="2"/>
        <v>0</v>
      </c>
      <c r="Z60" s="81">
        <f t="shared" si="3"/>
        <v>1</v>
      </c>
      <c r="AA60" s="13"/>
      <c r="AB60" s="14"/>
      <c r="AC60" s="22">
        <f t="shared" si="6"/>
        <v>45</v>
      </c>
      <c r="AD60" s="23">
        <f t="shared" si="5"/>
        <v>3</v>
      </c>
      <c r="AE60" s="26">
        <v>45</v>
      </c>
      <c r="AF60" s="22" t="str">
        <f t="shared" si="7"/>
        <v/>
      </c>
      <c r="AG60" s="23" t="str">
        <f t="shared" si="8"/>
        <v/>
      </c>
    </row>
    <row r="61" spans="1:33" ht="16.5" thickBot="1">
      <c r="A61" s="99">
        <v>58</v>
      </c>
      <c r="B61" s="99">
        <v>497.6</v>
      </c>
      <c r="C61" s="45"/>
      <c r="D61" s="45"/>
      <c r="E61" s="45"/>
      <c r="F61" s="99">
        <v>58</v>
      </c>
      <c r="G61" s="99">
        <v>490</v>
      </c>
      <c r="V61" s="81">
        <f t="shared" si="0"/>
        <v>-7.6000000000000227</v>
      </c>
      <c r="W61" s="65"/>
      <c r="X61" s="81">
        <f t="shared" si="1"/>
        <v>0</v>
      </c>
      <c r="Y61" s="81">
        <f t="shared" si="2"/>
        <v>0</v>
      </c>
      <c r="Z61" s="81">
        <f t="shared" si="3"/>
        <v>1</v>
      </c>
      <c r="AA61" s="13"/>
      <c r="AB61" s="14"/>
      <c r="AC61" s="22">
        <f t="shared" si="6"/>
        <v>50</v>
      </c>
      <c r="AD61" s="23">
        <f t="shared" si="5"/>
        <v>2</v>
      </c>
      <c r="AE61" s="26">
        <v>50</v>
      </c>
      <c r="AF61" s="22" t="str">
        <f t="shared" si="7"/>
        <v/>
      </c>
      <c r="AG61" s="23" t="str">
        <f t="shared" si="8"/>
        <v/>
      </c>
    </row>
    <row r="62" spans="1:33" ht="16.5" thickBot="1">
      <c r="A62" s="99">
        <v>59</v>
      </c>
      <c r="B62" s="99">
        <v>497.4</v>
      </c>
      <c r="C62" s="45"/>
      <c r="D62" s="45"/>
      <c r="E62" s="45"/>
      <c r="F62" s="99">
        <v>59</v>
      </c>
      <c r="G62" s="99">
        <v>490</v>
      </c>
      <c r="V62" s="81">
        <f t="shared" si="0"/>
        <v>-7.3999999999999773</v>
      </c>
      <c r="W62" s="65"/>
      <c r="X62" s="81">
        <f t="shared" si="1"/>
        <v>0</v>
      </c>
      <c r="Y62" s="81">
        <f t="shared" si="2"/>
        <v>0</v>
      </c>
      <c r="Z62" s="81">
        <f t="shared" si="3"/>
        <v>1</v>
      </c>
      <c r="AA62" s="13"/>
      <c r="AB62" s="14"/>
      <c r="AC62" s="22" t="str">
        <f t="shared" si="6"/>
        <v/>
      </c>
      <c r="AD62" s="23" t="str">
        <f t="shared" si="5"/>
        <v/>
      </c>
      <c r="AE62" s="26">
        <v>55</v>
      </c>
      <c r="AF62" s="22">
        <f t="shared" si="7"/>
        <v>55</v>
      </c>
      <c r="AG62" s="23">
        <f t="shared" si="8"/>
        <v>4</v>
      </c>
    </row>
    <row r="63" spans="1:33" ht="16.5" thickBot="1">
      <c r="A63" s="99">
        <v>60</v>
      </c>
      <c r="B63" s="99">
        <v>495.1</v>
      </c>
      <c r="C63" s="45"/>
      <c r="D63" s="45"/>
      <c r="E63" s="45"/>
      <c r="F63" s="99">
        <v>60</v>
      </c>
      <c r="G63" s="99">
        <v>490</v>
      </c>
      <c r="V63" s="81">
        <f t="shared" si="0"/>
        <v>-5.1000000000000227</v>
      </c>
      <c r="W63" s="65"/>
      <c r="X63" s="81">
        <f t="shared" si="1"/>
        <v>0</v>
      </c>
      <c r="Y63" s="81">
        <f t="shared" si="2"/>
        <v>0</v>
      </c>
      <c r="Z63" s="81">
        <f t="shared" si="3"/>
        <v>1</v>
      </c>
      <c r="AA63" s="13"/>
      <c r="AB63" s="14"/>
      <c r="AC63" s="22" t="str">
        <f t="shared" si="6"/>
        <v/>
      </c>
      <c r="AD63" s="23" t="str">
        <f t="shared" si="5"/>
        <v/>
      </c>
      <c r="AE63" s="26">
        <v>60</v>
      </c>
      <c r="AF63" s="22">
        <f t="shared" si="7"/>
        <v>60</v>
      </c>
      <c r="AG63" s="23">
        <f t="shared" si="8"/>
        <v>1</v>
      </c>
    </row>
    <row r="64" spans="1:33" ht="16.5" thickBot="1">
      <c r="A64" s="99">
        <v>61</v>
      </c>
      <c r="B64" s="99">
        <v>493.3</v>
      </c>
      <c r="C64" s="45"/>
      <c r="D64" s="45"/>
      <c r="E64" s="45"/>
      <c r="F64" s="99">
        <v>61</v>
      </c>
      <c r="G64" s="99">
        <v>490</v>
      </c>
      <c r="V64" s="81">
        <f t="shared" si="0"/>
        <v>-3.3000000000000114</v>
      </c>
      <c r="X64" s="81">
        <f t="shared" si="1"/>
        <v>0</v>
      </c>
      <c r="Y64" s="81">
        <f t="shared" si="2"/>
        <v>0</v>
      </c>
      <c r="Z64" s="81">
        <f t="shared" si="3"/>
        <v>1</v>
      </c>
      <c r="AB64" s="14"/>
      <c r="AC64" s="22" t="str">
        <f t="shared" si="6"/>
        <v/>
      </c>
      <c r="AD64" s="23" t="str">
        <f t="shared" si="5"/>
        <v/>
      </c>
      <c r="AE64" s="26">
        <v>65</v>
      </c>
      <c r="AF64" s="22">
        <f t="shared" si="7"/>
        <v>65</v>
      </c>
      <c r="AG64" s="23">
        <f t="shared" si="8"/>
        <v>1</v>
      </c>
    </row>
    <row r="65" spans="1:33" ht="16.5" thickBot="1">
      <c r="A65" s="99">
        <v>62</v>
      </c>
      <c r="B65" s="99">
        <v>492.1</v>
      </c>
      <c r="C65" s="45"/>
      <c r="D65" s="45"/>
      <c r="E65" s="45"/>
      <c r="F65" s="99">
        <v>62</v>
      </c>
      <c r="G65" s="99">
        <v>490</v>
      </c>
      <c r="V65" s="81">
        <f t="shared" si="0"/>
        <v>-2.1000000000000227</v>
      </c>
      <c r="X65" s="81">
        <f t="shared" si="1"/>
        <v>0</v>
      </c>
      <c r="Y65" s="81">
        <f t="shared" si="2"/>
        <v>0</v>
      </c>
      <c r="Z65" s="81">
        <f t="shared" si="3"/>
        <v>1</v>
      </c>
      <c r="AB65" s="14"/>
      <c r="AC65" s="22" t="str">
        <f t="shared" si="6"/>
        <v/>
      </c>
      <c r="AD65" s="23" t="str">
        <f t="shared" si="5"/>
        <v/>
      </c>
      <c r="AE65" s="26">
        <v>70</v>
      </c>
      <c r="AF65" s="22">
        <f t="shared" si="7"/>
        <v>70</v>
      </c>
      <c r="AG65" s="23">
        <f t="shared" si="8"/>
        <v>0</v>
      </c>
    </row>
    <row r="66" spans="1:33" ht="16.5" thickBot="1">
      <c r="A66" s="99">
        <v>63</v>
      </c>
      <c r="B66" s="99">
        <v>493.9</v>
      </c>
      <c r="C66" s="45"/>
      <c r="D66" s="45"/>
      <c r="E66" s="45"/>
      <c r="F66" s="99">
        <v>63</v>
      </c>
      <c r="G66" s="99">
        <v>490</v>
      </c>
      <c r="V66" s="81">
        <f t="shared" si="0"/>
        <v>-3.8999999999999773</v>
      </c>
      <c r="X66" s="81">
        <f t="shared" si="1"/>
        <v>0</v>
      </c>
      <c r="Y66" s="81">
        <f t="shared" si="2"/>
        <v>0</v>
      </c>
      <c r="Z66" s="81">
        <f t="shared" si="3"/>
        <v>1</v>
      </c>
      <c r="AB66" s="14"/>
      <c r="AC66" s="22" t="str">
        <f t="shared" si="6"/>
        <v/>
      </c>
      <c r="AD66" s="23" t="str">
        <f t="shared" si="5"/>
        <v/>
      </c>
      <c r="AE66" s="26">
        <v>75</v>
      </c>
      <c r="AF66" s="22">
        <f t="shared" si="7"/>
        <v>75</v>
      </c>
      <c r="AG66" s="23">
        <f t="shared" si="8"/>
        <v>0</v>
      </c>
    </row>
    <row r="67" spans="1:33" ht="16.5" thickBot="1">
      <c r="A67" s="99">
        <v>64</v>
      </c>
      <c r="B67" s="99">
        <v>497.2</v>
      </c>
      <c r="C67" s="45"/>
      <c r="D67" s="45"/>
      <c r="E67" s="45"/>
      <c r="F67" s="99">
        <v>64</v>
      </c>
      <c r="G67" s="99">
        <v>490</v>
      </c>
      <c r="V67" s="81">
        <f t="shared" si="0"/>
        <v>-7.1999999999999886</v>
      </c>
      <c r="X67" s="81">
        <f t="shared" si="1"/>
        <v>0</v>
      </c>
      <c r="Y67" s="81">
        <f t="shared" si="2"/>
        <v>0</v>
      </c>
      <c r="Z67" s="81">
        <f t="shared" si="3"/>
        <v>1</v>
      </c>
      <c r="AB67" s="14"/>
      <c r="AC67" s="22" t="str">
        <f t="shared" si="6"/>
        <v/>
      </c>
      <c r="AD67" s="23" t="str">
        <f t="shared" si="5"/>
        <v/>
      </c>
      <c r="AE67" s="26">
        <v>80</v>
      </c>
      <c r="AF67" s="22">
        <f t="shared" si="7"/>
        <v>80</v>
      </c>
      <c r="AG67" s="23">
        <f t="shared" si="8"/>
        <v>0</v>
      </c>
    </row>
    <row r="68" spans="1:33" ht="16.5" thickBot="1">
      <c r="A68" s="99">
        <v>65</v>
      </c>
      <c r="B68" s="99">
        <v>500.7</v>
      </c>
      <c r="C68" s="45"/>
      <c r="D68" s="45"/>
      <c r="E68" s="45"/>
      <c r="F68" s="99">
        <v>65</v>
      </c>
      <c r="G68" s="99">
        <v>500</v>
      </c>
      <c r="V68" s="81">
        <f t="shared" si="0"/>
        <v>-0.69999999999998863</v>
      </c>
      <c r="X68" s="81">
        <f t="shared" si="1"/>
        <v>0</v>
      </c>
      <c r="Y68" s="81">
        <f t="shared" si="2"/>
        <v>0</v>
      </c>
      <c r="Z68" s="81">
        <f t="shared" si="3"/>
        <v>1</v>
      </c>
      <c r="AB68" s="14"/>
      <c r="AC68" s="22" t="str">
        <f t="shared" si="6"/>
        <v/>
      </c>
      <c r="AD68" s="23" t="str">
        <f t="shared" si="5"/>
        <v/>
      </c>
      <c r="AE68" s="26">
        <v>85</v>
      </c>
      <c r="AF68" s="22">
        <f t="shared" si="7"/>
        <v>85</v>
      </c>
      <c r="AG68" s="23">
        <f t="shared" si="8"/>
        <v>1</v>
      </c>
    </row>
    <row r="69" spans="1:33" ht="16.5" thickBot="1">
      <c r="A69" s="99">
        <v>66</v>
      </c>
      <c r="B69" s="99">
        <v>408.7</v>
      </c>
      <c r="C69" s="45"/>
      <c r="D69" s="45"/>
      <c r="E69" s="45"/>
      <c r="F69" s="99">
        <v>66</v>
      </c>
      <c r="G69" s="99">
        <v>400</v>
      </c>
      <c r="V69" s="81">
        <f t="shared" ref="V69:V132" si="9">G69-B69</f>
        <v>-8.6999999999999886</v>
      </c>
      <c r="X69" s="81">
        <f t="shared" ref="X69:X132" si="10">IF($V69&lt;-$AA$4,1,0)</f>
        <v>0</v>
      </c>
      <c r="Y69" s="81">
        <f t="shared" ref="Y69:Y132" si="11">IF($V69&gt;$AA$4,1,0)</f>
        <v>0</v>
      </c>
      <c r="Z69" s="81">
        <f t="shared" ref="Z69:Z132" si="12">IF($V69&gt;=-$AA$4,IF(V69&lt;=$AA$4,1,""),"")</f>
        <v>1</v>
      </c>
      <c r="AB69" s="14"/>
      <c r="AC69" s="22" t="str">
        <f t="shared" si="6"/>
        <v/>
      </c>
      <c r="AD69" s="23" t="str">
        <f t="shared" si="5"/>
        <v/>
      </c>
      <c r="AE69" s="26">
        <v>90</v>
      </c>
      <c r="AF69" s="22">
        <f t="shared" si="7"/>
        <v>90</v>
      </c>
      <c r="AG69" s="23">
        <f t="shared" si="8"/>
        <v>2</v>
      </c>
    </row>
    <row r="70" spans="1:33" ht="16.5" thickBot="1">
      <c r="A70" s="99">
        <v>67</v>
      </c>
      <c r="B70" s="99">
        <v>500.7</v>
      </c>
      <c r="C70" s="45"/>
      <c r="D70" s="45"/>
      <c r="E70" s="45"/>
      <c r="F70" s="99">
        <v>67</v>
      </c>
      <c r="G70" s="99">
        <v>500</v>
      </c>
      <c r="V70" s="81">
        <f t="shared" si="9"/>
        <v>-0.69999999999998863</v>
      </c>
      <c r="X70" s="81">
        <f t="shared" si="10"/>
        <v>0</v>
      </c>
      <c r="Y70" s="81">
        <f t="shared" si="11"/>
        <v>0</v>
      </c>
      <c r="Z70" s="81">
        <f t="shared" si="12"/>
        <v>1</v>
      </c>
      <c r="AB70" s="14"/>
      <c r="AC70" s="22" t="str">
        <f t="shared" si="6"/>
        <v/>
      </c>
      <c r="AD70" s="23" t="str">
        <f t="shared" si="5"/>
        <v/>
      </c>
      <c r="AE70" s="26">
        <v>95</v>
      </c>
      <c r="AF70" s="22">
        <f t="shared" si="7"/>
        <v>95</v>
      </c>
      <c r="AG70" s="23">
        <f t="shared" si="8"/>
        <v>3</v>
      </c>
    </row>
    <row r="71" spans="1:33" ht="16.5" thickBot="1">
      <c r="A71" s="99">
        <v>68</v>
      </c>
      <c r="B71" s="99">
        <v>500.7</v>
      </c>
      <c r="C71" s="45"/>
      <c r="D71" s="45"/>
      <c r="E71" s="45"/>
      <c r="F71" s="99">
        <v>68</v>
      </c>
      <c r="G71" s="99">
        <v>500</v>
      </c>
      <c r="V71" s="81">
        <f t="shared" si="9"/>
        <v>-0.69999999999998863</v>
      </c>
      <c r="X71" s="81">
        <f t="shared" si="10"/>
        <v>0</v>
      </c>
      <c r="Y71" s="81">
        <f t="shared" si="11"/>
        <v>0</v>
      </c>
      <c r="Z71" s="81">
        <f t="shared" si="12"/>
        <v>1</v>
      </c>
      <c r="AB71" s="14"/>
      <c r="AC71" s="22" t="str">
        <f t="shared" si="6"/>
        <v/>
      </c>
      <c r="AD71" s="23" t="str">
        <f t="shared" si="5"/>
        <v/>
      </c>
      <c r="AE71" s="26">
        <v>100</v>
      </c>
      <c r="AF71" s="22">
        <f t="shared" si="7"/>
        <v>100</v>
      </c>
      <c r="AG71" s="23">
        <f t="shared" si="8"/>
        <v>0</v>
      </c>
    </row>
    <row r="72" spans="1:33" ht="16.5" thickBot="1">
      <c r="A72" s="99">
        <v>69</v>
      </c>
      <c r="B72" s="99">
        <v>500.7</v>
      </c>
      <c r="C72" s="45"/>
      <c r="D72" s="45"/>
      <c r="E72" s="45"/>
      <c r="F72" s="99">
        <v>69</v>
      </c>
      <c r="G72" s="99">
        <v>500</v>
      </c>
      <c r="V72" s="81">
        <f t="shared" si="9"/>
        <v>-0.69999999999998863</v>
      </c>
      <c r="X72" s="81">
        <f t="shared" si="10"/>
        <v>0</v>
      </c>
      <c r="Y72" s="81">
        <f t="shared" si="11"/>
        <v>0</v>
      </c>
      <c r="Z72" s="81">
        <f t="shared" si="12"/>
        <v>1</v>
      </c>
      <c r="AC72" s="22" t="str">
        <f t="shared" si="6"/>
        <v/>
      </c>
      <c r="AD72" s="23" t="str">
        <f t="shared" si="5"/>
        <v/>
      </c>
      <c r="AE72" s="26">
        <v>105</v>
      </c>
      <c r="AF72" s="22">
        <f t="shared" si="7"/>
        <v>105</v>
      </c>
      <c r="AG72" s="23">
        <f t="shared" si="8"/>
        <v>0</v>
      </c>
    </row>
    <row r="73" spans="1:33" ht="16.5" thickBot="1">
      <c r="A73" s="99">
        <v>70</v>
      </c>
      <c r="B73" s="99">
        <v>499.6</v>
      </c>
      <c r="C73" s="45"/>
      <c r="D73" s="45"/>
      <c r="E73" s="45"/>
      <c r="F73" s="99">
        <v>70</v>
      </c>
      <c r="G73" s="99">
        <v>500</v>
      </c>
      <c r="V73" s="81">
        <f t="shared" si="9"/>
        <v>0.39999999999997726</v>
      </c>
      <c r="X73" s="81">
        <f t="shared" si="10"/>
        <v>0</v>
      </c>
      <c r="Y73" s="81">
        <f t="shared" si="11"/>
        <v>0</v>
      </c>
      <c r="Z73" s="81">
        <f t="shared" si="12"/>
        <v>1</v>
      </c>
      <c r="AC73" s="22" t="str">
        <f t="shared" si="6"/>
        <v/>
      </c>
      <c r="AD73" s="23" t="str">
        <f t="shared" si="5"/>
        <v/>
      </c>
      <c r="AE73" s="26">
        <v>110</v>
      </c>
      <c r="AF73" s="22">
        <f t="shared" si="7"/>
        <v>110</v>
      </c>
      <c r="AG73" s="23">
        <f t="shared" si="8"/>
        <v>1</v>
      </c>
    </row>
    <row r="74" spans="1:33" ht="16.5" thickBot="1">
      <c r="A74" s="99">
        <v>71</v>
      </c>
      <c r="B74" s="99">
        <v>498.6</v>
      </c>
      <c r="C74" s="45"/>
      <c r="D74" s="45"/>
      <c r="E74" s="45"/>
      <c r="F74" s="99">
        <v>71</v>
      </c>
      <c r="G74" s="99">
        <v>500</v>
      </c>
      <c r="V74" s="81">
        <f t="shared" si="9"/>
        <v>1.3999999999999773</v>
      </c>
      <c r="X74" s="81">
        <f t="shared" si="10"/>
        <v>0</v>
      </c>
      <c r="Y74" s="81">
        <f t="shared" si="11"/>
        <v>0</v>
      </c>
      <c r="Z74" s="81">
        <f t="shared" si="12"/>
        <v>1</v>
      </c>
      <c r="AC74" s="22" t="str">
        <f t="shared" si="6"/>
        <v/>
      </c>
      <c r="AD74" s="23" t="str">
        <f t="shared" si="5"/>
        <v/>
      </c>
      <c r="AE74" s="26">
        <v>115</v>
      </c>
      <c r="AF74" s="22">
        <f t="shared" si="7"/>
        <v>115</v>
      </c>
      <c r="AG74" s="23">
        <f t="shared" si="8"/>
        <v>1</v>
      </c>
    </row>
    <row r="75" spans="1:33" ht="16.5" thickBot="1">
      <c r="A75" s="99">
        <v>72</v>
      </c>
      <c r="B75" s="99">
        <v>498</v>
      </c>
      <c r="C75" s="45"/>
      <c r="D75" s="45"/>
      <c r="E75" s="45"/>
      <c r="F75" s="99">
        <v>72</v>
      </c>
      <c r="G75" s="99">
        <v>500</v>
      </c>
      <c r="V75" s="81">
        <f t="shared" si="9"/>
        <v>2</v>
      </c>
      <c r="X75" s="81">
        <f t="shared" si="10"/>
        <v>0</v>
      </c>
      <c r="Y75" s="81">
        <f t="shared" si="11"/>
        <v>0</v>
      </c>
      <c r="Z75" s="81">
        <f t="shared" si="12"/>
        <v>1</v>
      </c>
      <c r="AC75" s="22" t="str">
        <f t="shared" si="6"/>
        <v/>
      </c>
      <c r="AD75" s="23" t="str">
        <f t="shared" si="5"/>
        <v/>
      </c>
      <c r="AE75" s="26">
        <v>120</v>
      </c>
      <c r="AF75" s="22">
        <f t="shared" si="7"/>
        <v>120</v>
      </c>
      <c r="AG75" s="23">
        <f t="shared" si="8"/>
        <v>0</v>
      </c>
    </row>
    <row r="76" spans="1:33" ht="16.5" thickBot="1">
      <c r="A76" s="99">
        <v>73</v>
      </c>
      <c r="B76" s="99">
        <v>500.7</v>
      </c>
      <c r="C76" s="45"/>
      <c r="D76" s="45"/>
      <c r="E76" s="45"/>
      <c r="F76" s="99">
        <v>73</v>
      </c>
      <c r="G76" s="99">
        <v>530</v>
      </c>
      <c r="V76" s="81">
        <f t="shared" si="9"/>
        <v>29.300000000000011</v>
      </c>
      <c r="X76" s="81">
        <f t="shared" si="10"/>
        <v>0</v>
      </c>
      <c r="Y76" s="81">
        <f t="shared" si="11"/>
        <v>0</v>
      </c>
      <c r="Z76" s="81">
        <f t="shared" si="12"/>
        <v>1</v>
      </c>
      <c r="AC76" s="22" t="str">
        <f t="shared" si="6"/>
        <v/>
      </c>
      <c r="AD76" s="23" t="str">
        <f t="shared" si="5"/>
        <v/>
      </c>
      <c r="AE76" s="26">
        <v>125</v>
      </c>
      <c r="AF76" s="22">
        <f t="shared" si="7"/>
        <v>125</v>
      </c>
      <c r="AG76" s="23">
        <f t="shared" si="8"/>
        <v>0</v>
      </c>
    </row>
    <row r="77" spans="1:33" ht="16.5" thickBot="1">
      <c r="A77" s="99">
        <v>74</v>
      </c>
      <c r="B77" s="99">
        <v>500.7</v>
      </c>
      <c r="C77" s="45"/>
      <c r="D77" s="45"/>
      <c r="E77" s="45"/>
      <c r="F77" s="99">
        <v>74</v>
      </c>
      <c r="G77" s="99">
        <v>500</v>
      </c>
      <c r="V77" s="81">
        <f t="shared" si="9"/>
        <v>-0.69999999999998863</v>
      </c>
      <c r="X77" s="81">
        <f t="shared" si="10"/>
        <v>0</v>
      </c>
      <c r="Y77" s="81">
        <f t="shared" si="11"/>
        <v>0</v>
      </c>
      <c r="Z77" s="81">
        <f t="shared" si="12"/>
        <v>1</v>
      </c>
      <c r="AC77" s="22" t="str">
        <f t="shared" si="6"/>
        <v/>
      </c>
      <c r="AD77" s="23" t="str">
        <f t="shared" si="5"/>
        <v/>
      </c>
      <c r="AE77" s="26">
        <v>130</v>
      </c>
      <c r="AF77" s="22">
        <f t="shared" si="7"/>
        <v>130</v>
      </c>
      <c r="AG77" s="23">
        <f t="shared" si="8"/>
        <v>0</v>
      </c>
    </row>
    <row r="78" spans="1:33" ht="16.5" thickBot="1">
      <c r="A78" s="99">
        <v>75</v>
      </c>
      <c r="B78" s="99">
        <v>412.3</v>
      </c>
      <c r="C78" s="45"/>
      <c r="D78" s="45"/>
      <c r="E78" s="45"/>
      <c r="F78" s="99">
        <v>75</v>
      </c>
      <c r="G78" s="99">
        <v>410</v>
      </c>
      <c r="V78" s="81">
        <f t="shared" si="9"/>
        <v>-2.3000000000000114</v>
      </c>
      <c r="X78" s="81">
        <f t="shared" si="10"/>
        <v>0</v>
      </c>
      <c r="Y78" s="81">
        <f t="shared" si="11"/>
        <v>0</v>
      </c>
      <c r="Z78" s="81">
        <f t="shared" si="12"/>
        <v>1</v>
      </c>
    </row>
    <row r="79" spans="1:33" ht="16.5" thickBot="1">
      <c r="A79" s="99">
        <v>76</v>
      </c>
      <c r="B79" s="99">
        <v>412.3</v>
      </c>
      <c r="C79" s="45"/>
      <c r="D79" s="45"/>
      <c r="E79" s="45"/>
      <c r="F79" s="99">
        <v>76</v>
      </c>
      <c r="G79" s="99">
        <v>410</v>
      </c>
      <c r="V79" s="81">
        <f t="shared" si="9"/>
        <v>-2.3000000000000114</v>
      </c>
      <c r="X79" s="81">
        <f t="shared" si="10"/>
        <v>0</v>
      </c>
      <c r="Y79" s="81">
        <f t="shared" si="11"/>
        <v>0</v>
      </c>
      <c r="Z79" s="81">
        <f t="shared" si="12"/>
        <v>1</v>
      </c>
    </row>
    <row r="80" spans="1:33" ht="16.5" thickBot="1">
      <c r="A80" s="99">
        <v>77</v>
      </c>
      <c r="B80" s="99">
        <v>412.3</v>
      </c>
      <c r="C80" s="45"/>
      <c r="D80" s="45"/>
      <c r="E80" s="45"/>
      <c r="F80" s="99">
        <v>77</v>
      </c>
      <c r="G80" s="99">
        <v>410</v>
      </c>
      <c r="V80" s="81">
        <f t="shared" si="9"/>
        <v>-2.3000000000000114</v>
      </c>
      <c r="X80" s="81">
        <f t="shared" si="10"/>
        <v>0</v>
      </c>
      <c r="Y80" s="81">
        <f t="shared" si="11"/>
        <v>0</v>
      </c>
      <c r="Z80" s="81">
        <f t="shared" si="12"/>
        <v>1</v>
      </c>
    </row>
    <row r="81" spans="1:26" ht="16.5" thickBot="1">
      <c r="A81" s="99">
        <v>78</v>
      </c>
      <c r="B81" s="99">
        <v>500.7</v>
      </c>
      <c r="C81" s="45"/>
      <c r="D81" s="45"/>
      <c r="E81" s="45"/>
      <c r="F81" s="99">
        <v>78</v>
      </c>
      <c r="G81" s="99">
        <v>500</v>
      </c>
      <c r="V81" s="81">
        <f t="shared" si="9"/>
        <v>-0.69999999999998863</v>
      </c>
      <c r="X81" s="81">
        <f t="shared" si="10"/>
        <v>0</v>
      </c>
      <c r="Y81" s="81">
        <f t="shared" si="11"/>
        <v>0</v>
      </c>
      <c r="Z81" s="81">
        <f t="shared" si="12"/>
        <v>1</v>
      </c>
    </row>
    <row r="82" spans="1:26" ht="16.5" thickBot="1">
      <c r="A82" s="99">
        <v>79</v>
      </c>
      <c r="B82" s="99">
        <v>500.7</v>
      </c>
      <c r="C82" s="45"/>
      <c r="D82" s="45"/>
      <c r="E82" s="45"/>
      <c r="F82" s="99">
        <v>79</v>
      </c>
      <c r="G82" s="99">
        <v>500</v>
      </c>
      <c r="V82" s="81">
        <f t="shared" si="9"/>
        <v>-0.69999999999998863</v>
      </c>
      <c r="X82" s="81">
        <f t="shared" si="10"/>
        <v>0</v>
      </c>
      <c r="Y82" s="81">
        <f t="shared" si="11"/>
        <v>0</v>
      </c>
      <c r="Z82" s="81">
        <f t="shared" si="12"/>
        <v>1</v>
      </c>
    </row>
    <row r="83" spans="1:26" ht="16.5" thickBot="1">
      <c r="A83" s="99">
        <v>80</v>
      </c>
      <c r="B83" s="99">
        <v>499.3</v>
      </c>
      <c r="C83" s="45"/>
      <c r="D83" s="45"/>
      <c r="E83" s="45"/>
      <c r="F83" s="99">
        <v>80</v>
      </c>
      <c r="G83" s="99">
        <v>500</v>
      </c>
      <c r="V83" s="81">
        <f t="shared" si="9"/>
        <v>0.69999999999998863</v>
      </c>
      <c r="X83" s="81">
        <f t="shared" si="10"/>
        <v>0</v>
      </c>
      <c r="Y83" s="81">
        <f t="shared" si="11"/>
        <v>0</v>
      </c>
      <c r="Z83" s="81">
        <f t="shared" si="12"/>
        <v>1</v>
      </c>
    </row>
    <row r="84" spans="1:26" ht="16.5" thickBot="1">
      <c r="A84" s="99">
        <v>81</v>
      </c>
      <c r="B84" s="99">
        <v>497.1</v>
      </c>
      <c r="C84" s="45"/>
      <c r="D84" s="45"/>
      <c r="E84" s="45"/>
      <c r="F84" s="99">
        <v>81</v>
      </c>
      <c r="G84" s="99">
        <v>490</v>
      </c>
      <c r="V84" s="81">
        <f t="shared" si="9"/>
        <v>-7.1000000000000227</v>
      </c>
      <c r="X84" s="81">
        <f t="shared" si="10"/>
        <v>0</v>
      </c>
      <c r="Y84" s="81">
        <f t="shared" si="11"/>
        <v>0</v>
      </c>
      <c r="Z84" s="81">
        <f t="shared" si="12"/>
        <v>1</v>
      </c>
    </row>
    <row r="85" spans="1:26" ht="16.5" thickBot="1">
      <c r="A85" s="99">
        <v>82</v>
      </c>
      <c r="B85" s="99">
        <v>500.7</v>
      </c>
      <c r="C85" s="45"/>
      <c r="D85" s="45"/>
      <c r="E85" s="45"/>
      <c r="F85" s="99">
        <v>82</v>
      </c>
      <c r="G85" s="99">
        <v>500</v>
      </c>
      <c r="V85" s="81">
        <f t="shared" si="9"/>
        <v>-0.69999999999998863</v>
      </c>
      <c r="X85" s="81">
        <f t="shared" si="10"/>
        <v>0</v>
      </c>
      <c r="Y85" s="81">
        <f t="shared" si="11"/>
        <v>0</v>
      </c>
      <c r="Z85" s="81">
        <f t="shared" si="12"/>
        <v>1</v>
      </c>
    </row>
    <row r="86" spans="1:26" ht="16.5" thickBot="1">
      <c r="A86" s="99">
        <v>83</v>
      </c>
      <c r="B86" s="99">
        <v>412.3</v>
      </c>
      <c r="C86" s="45"/>
      <c r="D86" s="45"/>
      <c r="E86" s="45"/>
      <c r="F86" s="99">
        <v>83</v>
      </c>
      <c r="G86" s="99">
        <v>410</v>
      </c>
      <c r="V86" s="81">
        <f t="shared" si="9"/>
        <v>-2.3000000000000114</v>
      </c>
      <c r="X86" s="81">
        <f t="shared" si="10"/>
        <v>0</v>
      </c>
      <c r="Y86" s="81">
        <f t="shared" si="11"/>
        <v>0</v>
      </c>
      <c r="Z86" s="81">
        <f t="shared" si="12"/>
        <v>1</v>
      </c>
    </row>
    <row r="87" spans="1:26" ht="16.5" thickBot="1">
      <c r="A87" s="99">
        <v>84</v>
      </c>
      <c r="B87" s="99">
        <v>412.3</v>
      </c>
      <c r="C87" s="45"/>
      <c r="D87" s="45"/>
      <c r="E87" s="45"/>
      <c r="F87" s="99">
        <v>84</v>
      </c>
      <c r="G87" s="99">
        <v>410</v>
      </c>
      <c r="V87" s="81">
        <f t="shared" si="9"/>
        <v>-2.3000000000000114</v>
      </c>
      <c r="X87" s="81">
        <f t="shared" si="10"/>
        <v>0</v>
      </c>
      <c r="Y87" s="81">
        <f t="shared" si="11"/>
        <v>0</v>
      </c>
      <c r="Z87" s="81">
        <f t="shared" si="12"/>
        <v>1</v>
      </c>
    </row>
    <row r="88" spans="1:26" ht="16.5" thickBot="1">
      <c r="A88" s="99">
        <v>85</v>
      </c>
      <c r="B88" s="99">
        <v>412.3</v>
      </c>
      <c r="F88" s="99">
        <v>85</v>
      </c>
      <c r="G88" s="99">
        <v>410</v>
      </c>
      <c r="V88" s="81">
        <f t="shared" si="9"/>
        <v>-2.3000000000000114</v>
      </c>
      <c r="X88" s="81">
        <f t="shared" si="10"/>
        <v>0</v>
      </c>
      <c r="Y88" s="81">
        <f t="shared" si="11"/>
        <v>0</v>
      </c>
      <c r="Z88" s="81">
        <f t="shared" si="12"/>
        <v>1</v>
      </c>
    </row>
    <row r="89" spans="1:26" ht="16.5" thickBot="1">
      <c r="A89" s="99">
        <v>86</v>
      </c>
      <c r="B89" s="99">
        <v>494.3</v>
      </c>
      <c r="F89" s="99">
        <v>86</v>
      </c>
      <c r="G89" s="99">
        <v>490</v>
      </c>
      <c r="V89" s="81">
        <f t="shared" si="9"/>
        <v>-4.3000000000000114</v>
      </c>
      <c r="X89" s="81">
        <f t="shared" si="10"/>
        <v>0</v>
      </c>
      <c r="Y89" s="81">
        <f t="shared" si="11"/>
        <v>0</v>
      </c>
      <c r="Z89" s="81">
        <f t="shared" si="12"/>
        <v>1</v>
      </c>
    </row>
    <row r="90" spans="1:26" ht="16.5" thickBot="1">
      <c r="A90" s="99">
        <v>87</v>
      </c>
      <c r="B90" s="99">
        <v>499.5</v>
      </c>
      <c r="F90" s="99">
        <v>87</v>
      </c>
      <c r="G90" s="99">
        <v>500</v>
      </c>
      <c r="V90" s="81">
        <f t="shared" si="9"/>
        <v>0.5</v>
      </c>
      <c r="X90" s="81">
        <f t="shared" si="10"/>
        <v>0</v>
      </c>
      <c r="Y90" s="81">
        <f t="shared" si="11"/>
        <v>0</v>
      </c>
      <c r="Z90" s="81">
        <f t="shared" si="12"/>
        <v>1</v>
      </c>
    </row>
    <row r="91" spans="1:26" ht="16.5" thickBot="1">
      <c r="A91" s="99">
        <v>88</v>
      </c>
      <c r="B91" s="99">
        <v>500.7</v>
      </c>
      <c r="F91" s="99">
        <v>88</v>
      </c>
      <c r="G91" s="99">
        <v>500</v>
      </c>
      <c r="V91" s="81">
        <f t="shared" si="9"/>
        <v>-0.69999999999998863</v>
      </c>
      <c r="X91" s="81">
        <f t="shared" si="10"/>
        <v>0</v>
      </c>
      <c r="Y91" s="81">
        <f t="shared" si="11"/>
        <v>0</v>
      </c>
      <c r="Z91" s="81">
        <f t="shared" si="12"/>
        <v>1</v>
      </c>
    </row>
    <row r="92" spans="1:26" ht="16.5" thickBot="1">
      <c r="A92" s="99">
        <v>89</v>
      </c>
      <c r="B92" s="99">
        <v>406</v>
      </c>
      <c r="F92" s="99">
        <v>89</v>
      </c>
      <c r="G92" s="99">
        <v>400</v>
      </c>
      <c r="V92" s="81">
        <f t="shared" si="9"/>
        <v>-6</v>
      </c>
      <c r="X92" s="81">
        <f t="shared" si="10"/>
        <v>0</v>
      </c>
      <c r="Y92" s="81">
        <f t="shared" si="11"/>
        <v>0</v>
      </c>
      <c r="Z92" s="81">
        <f t="shared" si="12"/>
        <v>1</v>
      </c>
    </row>
    <row r="93" spans="1:26" ht="16.5" thickBot="1">
      <c r="A93" s="99">
        <v>90</v>
      </c>
      <c r="B93" s="99">
        <v>405.9</v>
      </c>
      <c r="F93" s="99">
        <v>90</v>
      </c>
      <c r="G93" s="99">
        <v>400</v>
      </c>
      <c r="V93" s="81">
        <f t="shared" si="9"/>
        <v>-5.8999999999999773</v>
      </c>
      <c r="X93" s="81">
        <f t="shared" si="10"/>
        <v>0</v>
      </c>
      <c r="Y93" s="81">
        <f t="shared" si="11"/>
        <v>0</v>
      </c>
      <c r="Z93" s="81">
        <f t="shared" si="12"/>
        <v>1</v>
      </c>
    </row>
    <row r="94" spans="1:26" ht="16.5" thickBot="1">
      <c r="A94" s="99">
        <v>91</v>
      </c>
      <c r="B94" s="99">
        <v>411.1</v>
      </c>
      <c r="F94" s="99">
        <v>91</v>
      </c>
      <c r="G94" s="99">
        <v>410</v>
      </c>
      <c r="V94" s="81">
        <f t="shared" si="9"/>
        <v>-1.1000000000000227</v>
      </c>
      <c r="X94" s="81">
        <f t="shared" si="10"/>
        <v>0</v>
      </c>
      <c r="Y94" s="81">
        <f t="shared" si="11"/>
        <v>0</v>
      </c>
      <c r="Z94" s="81">
        <f t="shared" si="12"/>
        <v>1</v>
      </c>
    </row>
    <row r="95" spans="1:26" ht="16.5" thickBot="1">
      <c r="A95" s="99">
        <v>92</v>
      </c>
      <c r="B95" s="99">
        <v>500.7</v>
      </c>
      <c r="F95" s="99">
        <v>92</v>
      </c>
      <c r="G95" s="99">
        <v>500</v>
      </c>
      <c r="V95" s="81">
        <f t="shared" si="9"/>
        <v>-0.69999999999998863</v>
      </c>
      <c r="X95" s="81">
        <f t="shared" si="10"/>
        <v>0</v>
      </c>
      <c r="Y95" s="81">
        <f t="shared" si="11"/>
        <v>0</v>
      </c>
      <c r="Z95" s="81">
        <f t="shared" si="12"/>
        <v>1</v>
      </c>
    </row>
    <row r="96" spans="1:26" ht="16.5" thickBot="1">
      <c r="A96" s="99">
        <v>93</v>
      </c>
      <c r="B96" s="99">
        <v>500.7</v>
      </c>
      <c r="F96" s="99">
        <v>93</v>
      </c>
      <c r="G96" s="99">
        <v>500</v>
      </c>
      <c r="V96" s="81">
        <f t="shared" si="9"/>
        <v>-0.69999999999998863</v>
      </c>
      <c r="X96" s="81">
        <f t="shared" si="10"/>
        <v>0</v>
      </c>
      <c r="Y96" s="81">
        <f t="shared" si="11"/>
        <v>0</v>
      </c>
      <c r="Z96" s="81">
        <f t="shared" si="12"/>
        <v>1</v>
      </c>
    </row>
    <row r="97" spans="1:26" ht="16.5" thickBot="1">
      <c r="A97" s="99">
        <v>94</v>
      </c>
      <c r="B97" s="99">
        <v>500.7</v>
      </c>
      <c r="F97" s="99">
        <v>94</v>
      </c>
      <c r="G97" s="99">
        <v>500</v>
      </c>
      <c r="V97" s="81">
        <f t="shared" si="9"/>
        <v>-0.69999999999998863</v>
      </c>
      <c r="X97" s="81">
        <f t="shared" si="10"/>
        <v>0</v>
      </c>
      <c r="Y97" s="81">
        <f t="shared" si="11"/>
        <v>0</v>
      </c>
      <c r="Z97" s="81">
        <f t="shared" si="12"/>
        <v>1</v>
      </c>
    </row>
    <row r="98" spans="1:26" ht="16.5" thickBot="1">
      <c r="A98" s="99">
        <v>95</v>
      </c>
      <c r="B98" s="99">
        <v>494.8</v>
      </c>
      <c r="F98" s="99">
        <v>95</v>
      </c>
      <c r="G98" s="99">
        <v>490</v>
      </c>
      <c r="V98" s="81">
        <f t="shared" si="9"/>
        <v>-4.8000000000000114</v>
      </c>
      <c r="X98" s="81">
        <f t="shared" si="10"/>
        <v>0</v>
      </c>
      <c r="Y98" s="81">
        <f t="shared" si="11"/>
        <v>0</v>
      </c>
      <c r="Z98" s="81">
        <f t="shared" si="12"/>
        <v>1</v>
      </c>
    </row>
    <row r="99" spans="1:26" ht="16.5" thickBot="1">
      <c r="A99" s="99">
        <v>96</v>
      </c>
      <c r="B99" s="99">
        <v>500.7</v>
      </c>
      <c r="F99" s="99">
        <v>96</v>
      </c>
      <c r="G99" s="99">
        <v>500</v>
      </c>
      <c r="V99" s="81">
        <f t="shared" si="9"/>
        <v>-0.69999999999998863</v>
      </c>
      <c r="X99" s="81">
        <f t="shared" si="10"/>
        <v>0</v>
      </c>
      <c r="Y99" s="81">
        <f t="shared" si="11"/>
        <v>0</v>
      </c>
      <c r="Z99" s="81">
        <f t="shared" si="12"/>
        <v>1</v>
      </c>
    </row>
    <row r="100" spans="1:26" ht="16.5" thickBot="1">
      <c r="A100" s="99">
        <v>97</v>
      </c>
      <c r="B100" s="99">
        <v>500.7</v>
      </c>
      <c r="F100" s="99">
        <v>97</v>
      </c>
      <c r="G100" s="99">
        <v>500</v>
      </c>
      <c r="V100" s="81">
        <f t="shared" si="9"/>
        <v>-0.69999999999998863</v>
      </c>
      <c r="X100" s="81">
        <f t="shared" si="10"/>
        <v>0</v>
      </c>
      <c r="Y100" s="81">
        <f t="shared" si="11"/>
        <v>0</v>
      </c>
      <c r="Z100" s="81">
        <f t="shared" si="12"/>
        <v>1</v>
      </c>
    </row>
    <row r="101" spans="1:26" ht="16.5" thickBot="1">
      <c r="A101" s="99">
        <v>98</v>
      </c>
      <c r="B101" s="99">
        <v>500.7</v>
      </c>
      <c r="F101" s="99">
        <v>98</v>
      </c>
      <c r="G101" s="99">
        <v>500</v>
      </c>
      <c r="V101" s="81">
        <f t="shared" si="9"/>
        <v>-0.69999999999998863</v>
      </c>
      <c r="X101" s="81">
        <f t="shared" si="10"/>
        <v>0</v>
      </c>
      <c r="Y101" s="81">
        <f t="shared" si="11"/>
        <v>0</v>
      </c>
      <c r="Z101" s="81">
        <f t="shared" si="12"/>
        <v>1</v>
      </c>
    </row>
    <row r="102" spans="1:26" ht="16.5" thickBot="1">
      <c r="A102" s="99">
        <v>99</v>
      </c>
      <c r="B102" s="99">
        <v>500.7</v>
      </c>
      <c r="F102" s="99">
        <v>99</v>
      </c>
      <c r="G102" s="99">
        <v>500</v>
      </c>
      <c r="V102" s="81">
        <f t="shared" si="9"/>
        <v>-0.69999999999998863</v>
      </c>
      <c r="X102" s="81">
        <f t="shared" si="10"/>
        <v>0</v>
      </c>
      <c r="Y102" s="81">
        <f t="shared" si="11"/>
        <v>0</v>
      </c>
      <c r="Z102" s="81">
        <f t="shared" si="12"/>
        <v>1</v>
      </c>
    </row>
    <row r="103" spans="1:26" ht="16.5" thickBot="1">
      <c r="A103" s="99">
        <v>100</v>
      </c>
      <c r="B103" s="99">
        <v>500.7</v>
      </c>
      <c r="F103" s="99">
        <v>100</v>
      </c>
      <c r="G103" s="99">
        <v>500</v>
      </c>
      <c r="V103" s="81">
        <f t="shared" si="9"/>
        <v>-0.69999999999998863</v>
      </c>
      <c r="X103" s="81">
        <f t="shared" si="10"/>
        <v>0</v>
      </c>
      <c r="Y103" s="81">
        <f t="shared" si="11"/>
        <v>0</v>
      </c>
      <c r="Z103" s="81">
        <f t="shared" si="12"/>
        <v>1</v>
      </c>
    </row>
    <row r="104" spans="1:26" ht="16.5" thickBot="1">
      <c r="A104" s="99">
        <v>101</v>
      </c>
      <c r="B104" s="99">
        <v>500.7</v>
      </c>
      <c r="F104" s="99">
        <v>101</v>
      </c>
      <c r="G104" s="99">
        <v>500</v>
      </c>
      <c r="V104" s="81">
        <f t="shared" si="9"/>
        <v>-0.69999999999998863</v>
      </c>
      <c r="X104" s="81">
        <f t="shared" si="10"/>
        <v>0</v>
      </c>
      <c r="Y104" s="81">
        <f t="shared" si="11"/>
        <v>0</v>
      </c>
      <c r="Z104" s="81">
        <f t="shared" si="12"/>
        <v>1</v>
      </c>
    </row>
    <row r="105" spans="1:26" ht="16.5" thickBot="1">
      <c r="A105" s="99">
        <v>102</v>
      </c>
      <c r="B105" s="99">
        <v>500.7</v>
      </c>
      <c r="F105" s="99">
        <v>102</v>
      </c>
      <c r="G105" s="99">
        <v>500</v>
      </c>
      <c r="V105" s="81">
        <f t="shared" si="9"/>
        <v>-0.69999999999998863</v>
      </c>
      <c r="X105" s="81">
        <f t="shared" si="10"/>
        <v>0</v>
      </c>
      <c r="Y105" s="81">
        <f t="shared" si="11"/>
        <v>0</v>
      </c>
      <c r="Z105" s="81">
        <f t="shared" si="12"/>
        <v>1</v>
      </c>
    </row>
    <row r="106" spans="1:26" ht="16.5" thickBot="1">
      <c r="A106" s="99">
        <v>103</v>
      </c>
      <c r="B106" s="99">
        <v>500.7</v>
      </c>
      <c r="F106" s="99">
        <v>103</v>
      </c>
      <c r="G106" s="99">
        <v>500</v>
      </c>
      <c r="V106" s="81">
        <f t="shared" si="9"/>
        <v>-0.69999999999998863</v>
      </c>
      <c r="X106" s="81">
        <f t="shared" si="10"/>
        <v>0</v>
      </c>
      <c r="Y106" s="81">
        <f t="shared" si="11"/>
        <v>0</v>
      </c>
      <c r="Z106" s="81">
        <f t="shared" si="12"/>
        <v>1</v>
      </c>
    </row>
    <row r="107" spans="1:26" ht="16.5" thickBot="1">
      <c r="A107" s="99">
        <v>104</v>
      </c>
      <c r="B107" s="99">
        <v>500.7</v>
      </c>
      <c r="F107" s="99">
        <v>104</v>
      </c>
      <c r="G107" s="99">
        <v>500</v>
      </c>
      <c r="V107" s="81">
        <f t="shared" si="9"/>
        <v>-0.69999999999998863</v>
      </c>
      <c r="X107" s="81">
        <f t="shared" si="10"/>
        <v>0</v>
      </c>
      <c r="Y107" s="81">
        <f t="shared" si="11"/>
        <v>0</v>
      </c>
      <c r="Z107" s="81">
        <f t="shared" si="12"/>
        <v>1</v>
      </c>
    </row>
    <row r="108" spans="1:26" ht="16.5" thickBot="1">
      <c r="A108" s="99">
        <v>105</v>
      </c>
      <c r="B108" s="99">
        <v>500.7</v>
      </c>
      <c r="F108" s="99">
        <v>105</v>
      </c>
      <c r="G108" s="99">
        <v>530</v>
      </c>
      <c r="V108" s="81">
        <f t="shared" si="9"/>
        <v>29.300000000000011</v>
      </c>
      <c r="X108" s="81">
        <f t="shared" si="10"/>
        <v>0</v>
      </c>
      <c r="Y108" s="81">
        <f t="shared" si="11"/>
        <v>0</v>
      </c>
      <c r="Z108" s="81">
        <f t="shared" si="12"/>
        <v>1</v>
      </c>
    </row>
    <row r="109" spans="1:26" ht="16.5" thickBot="1">
      <c r="A109" s="99">
        <v>106</v>
      </c>
      <c r="B109" s="99">
        <v>500.7</v>
      </c>
      <c r="F109" s="99">
        <v>106</v>
      </c>
      <c r="G109" s="99">
        <v>500</v>
      </c>
      <c r="V109" s="81">
        <f t="shared" si="9"/>
        <v>-0.69999999999998863</v>
      </c>
      <c r="X109" s="81">
        <f t="shared" si="10"/>
        <v>0</v>
      </c>
      <c r="Y109" s="81">
        <f t="shared" si="11"/>
        <v>0</v>
      </c>
      <c r="Z109" s="81">
        <f t="shared" si="12"/>
        <v>1</v>
      </c>
    </row>
    <row r="110" spans="1:26" ht="16.5" thickBot="1">
      <c r="A110" s="99">
        <v>107</v>
      </c>
      <c r="B110" s="99">
        <v>500.7</v>
      </c>
      <c r="F110" s="99">
        <v>107</v>
      </c>
      <c r="G110" s="99">
        <v>500</v>
      </c>
      <c r="V110" s="81">
        <f t="shared" si="9"/>
        <v>-0.69999999999998863</v>
      </c>
      <c r="X110" s="81">
        <f t="shared" si="10"/>
        <v>0</v>
      </c>
      <c r="Y110" s="81">
        <f t="shared" si="11"/>
        <v>0</v>
      </c>
      <c r="Z110" s="81">
        <f t="shared" si="12"/>
        <v>1</v>
      </c>
    </row>
    <row r="111" spans="1:26" ht="16.5" thickBot="1">
      <c r="A111" s="99">
        <v>108</v>
      </c>
      <c r="B111" s="99">
        <v>500.7</v>
      </c>
      <c r="F111" s="99">
        <v>108</v>
      </c>
      <c r="G111" s="99">
        <v>500</v>
      </c>
      <c r="V111" s="81">
        <f t="shared" si="9"/>
        <v>-0.69999999999998863</v>
      </c>
      <c r="X111" s="81">
        <f t="shared" si="10"/>
        <v>0</v>
      </c>
      <c r="Y111" s="81">
        <f t="shared" si="11"/>
        <v>0</v>
      </c>
      <c r="Z111" s="81">
        <f t="shared" si="12"/>
        <v>1</v>
      </c>
    </row>
    <row r="112" spans="1:26" ht="16.5" thickBot="1">
      <c r="A112" s="99">
        <v>109</v>
      </c>
      <c r="B112" s="99">
        <v>500.7</v>
      </c>
      <c r="F112" s="99">
        <v>109</v>
      </c>
      <c r="G112" s="99">
        <v>500</v>
      </c>
      <c r="V112" s="81">
        <f t="shared" si="9"/>
        <v>-0.69999999999998863</v>
      </c>
      <c r="X112" s="81">
        <f t="shared" si="10"/>
        <v>0</v>
      </c>
      <c r="Y112" s="81">
        <f t="shared" si="11"/>
        <v>0</v>
      </c>
      <c r="Z112" s="81">
        <f t="shared" si="12"/>
        <v>1</v>
      </c>
    </row>
    <row r="113" spans="1:26" ht="16.5" thickBot="1">
      <c r="A113" s="99">
        <v>110</v>
      </c>
      <c r="B113" s="99">
        <v>500.7</v>
      </c>
      <c r="F113" s="99">
        <v>110</v>
      </c>
      <c r="G113" s="99">
        <v>500</v>
      </c>
      <c r="V113" s="81">
        <f t="shared" si="9"/>
        <v>-0.69999999999998863</v>
      </c>
      <c r="X113" s="81">
        <f t="shared" si="10"/>
        <v>0</v>
      </c>
      <c r="Y113" s="81">
        <f t="shared" si="11"/>
        <v>0</v>
      </c>
      <c r="Z113" s="81">
        <f t="shared" si="12"/>
        <v>1</v>
      </c>
    </row>
    <row r="114" spans="1:26" ht="16.5" thickBot="1">
      <c r="A114" s="99">
        <v>111</v>
      </c>
      <c r="B114" s="99">
        <v>500.7</v>
      </c>
      <c r="F114" s="99">
        <v>111</v>
      </c>
      <c r="G114" s="99">
        <v>500</v>
      </c>
      <c r="V114" s="81">
        <f t="shared" si="9"/>
        <v>-0.69999999999998863</v>
      </c>
      <c r="X114" s="81">
        <f t="shared" si="10"/>
        <v>0</v>
      </c>
      <c r="Y114" s="81">
        <f t="shared" si="11"/>
        <v>0</v>
      </c>
      <c r="Z114" s="81">
        <f t="shared" si="12"/>
        <v>1</v>
      </c>
    </row>
    <row r="115" spans="1:26" ht="16.5" thickBot="1">
      <c r="A115" s="99">
        <v>112</v>
      </c>
      <c r="B115" s="99">
        <v>412.3</v>
      </c>
      <c r="F115" s="99">
        <v>112</v>
      </c>
      <c r="G115" s="99">
        <v>410</v>
      </c>
      <c r="V115" s="81">
        <f t="shared" si="9"/>
        <v>-2.3000000000000114</v>
      </c>
      <c r="X115" s="81">
        <f t="shared" si="10"/>
        <v>0</v>
      </c>
      <c r="Y115" s="81">
        <f t="shared" si="11"/>
        <v>0</v>
      </c>
      <c r="Z115" s="81">
        <f t="shared" si="12"/>
        <v>1</v>
      </c>
    </row>
    <row r="116" spans="1:26" ht="16.5" thickBot="1">
      <c r="A116" s="99">
        <v>113</v>
      </c>
      <c r="B116" s="99">
        <v>500.7</v>
      </c>
      <c r="F116" s="99">
        <v>113</v>
      </c>
      <c r="G116" s="99">
        <v>500</v>
      </c>
      <c r="V116" s="81">
        <f t="shared" si="9"/>
        <v>-0.69999999999998863</v>
      </c>
      <c r="X116" s="81">
        <f t="shared" si="10"/>
        <v>0</v>
      </c>
      <c r="Y116" s="81">
        <f t="shared" si="11"/>
        <v>0</v>
      </c>
      <c r="Z116" s="81">
        <f t="shared" si="12"/>
        <v>1</v>
      </c>
    </row>
    <row r="117" spans="1:26" ht="16.5" thickBot="1">
      <c r="A117" s="99">
        <v>114</v>
      </c>
      <c r="B117" s="99">
        <v>500.7</v>
      </c>
      <c r="F117" s="99">
        <v>114</v>
      </c>
      <c r="G117" s="99">
        <v>500</v>
      </c>
      <c r="V117" s="81">
        <f t="shared" si="9"/>
        <v>-0.69999999999998863</v>
      </c>
      <c r="X117" s="81">
        <f t="shared" si="10"/>
        <v>0</v>
      </c>
      <c r="Y117" s="81">
        <f t="shared" si="11"/>
        <v>0</v>
      </c>
      <c r="Z117" s="81">
        <f t="shared" si="12"/>
        <v>1</v>
      </c>
    </row>
    <row r="118" spans="1:26" ht="16.5" thickBot="1">
      <c r="A118" s="99">
        <v>115</v>
      </c>
      <c r="B118" s="99">
        <v>500.7</v>
      </c>
      <c r="F118" s="99">
        <v>115</v>
      </c>
      <c r="G118" s="99">
        <v>500</v>
      </c>
      <c r="V118" s="81">
        <f t="shared" si="9"/>
        <v>-0.69999999999998863</v>
      </c>
      <c r="X118" s="81">
        <f t="shared" si="10"/>
        <v>0</v>
      </c>
      <c r="Y118" s="81">
        <f t="shared" si="11"/>
        <v>0</v>
      </c>
      <c r="Z118" s="81">
        <f t="shared" si="12"/>
        <v>1</v>
      </c>
    </row>
    <row r="119" spans="1:26" ht="16.5" thickBot="1">
      <c r="A119" s="99">
        <v>116</v>
      </c>
      <c r="B119" s="99">
        <v>412.3</v>
      </c>
      <c r="F119" s="99">
        <v>116</v>
      </c>
      <c r="G119" s="99">
        <v>410</v>
      </c>
      <c r="V119" s="81">
        <f t="shared" si="9"/>
        <v>-2.3000000000000114</v>
      </c>
      <c r="X119" s="81">
        <f t="shared" si="10"/>
        <v>0</v>
      </c>
      <c r="Y119" s="81">
        <f t="shared" si="11"/>
        <v>0</v>
      </c>
      <c r="Z119" s="81">
        <f t="shared" si="12"/>
        <v>1</v>
      </c>
    </row>
    <row r="120" spans="1:26" ht="16.5" thickBot="1">
      <c r="A120" s="99">
        <v>117</v>
      </c>
      <c r="B120" s="99">
        <v>412.3</v>
      </c>
      <c r="F120" s="99">
        <v>117</v>
      </c>
      <c r="G120" s="99">
        <v>440</v>
      </c>
      <c r="V120" s="81">
        <f t="shared" si="9"/>
        <v>27.699999999999989</v>
      </c>
      <c r="X120" s="81">
        <f t="shared" si="10"/>
        <v>0</v>
      </c>
      <c r="Y120" s="81">
        <f t="shared" si="11"/>
        <v>0</v>
      </c>
      <c r="Z120" s="81">
        <f t="shared" si="12"/>
        <v>1</v>
      </c>
    </row>
    <row r="121" spans="1:26" ht="16.5" thickBot="1">
      <c r="A121" s="99">
        <v>118</v>
      </c>
      <c r="B121" s="99">
        <v>500.7</v>
      </c>
      <c r="F121" s="99">
        <v>118</v>
      </c>
      <c r="G121" s="99">
        <v>500</v>
      </c>
      <c r="V121" s="81">
        <f t="shared" si="9"/>
        <v>-0.69999999999998863</v>
      </c>
      <c r="X121" s="81">
        <f t="shared" si="10"/>
        <v>0</v>
      </c>
      <c r="Y121" s="81">
        <f t="shared" si="11"/>
        <v>0</v>
      </c>
      <c r="Z121" s="81">
        <f t="shared" si="12"/>
        <v>1</v>
      </c>
    </row>
    <row r="122" spans="1:26" ht="16.5" thickBot="1">
      <c r="A122" s="99">
        <v>119</v>
      </c>
      <c r="B122" s="99">
        <v>412.3</v>
      </c>
      <c r="F122" s="99">
        <v>119</v>
      </c>
      <c r="G122" s="99">
        <v>410</v>
      </c>
      <c r="V122" s="81">
        <f t="shared" si="9"/>
        <v>-2.3000000000000114</v>
      </c>
      <c r="X122" s="81">
        <f t="shared" si="10"/>
        <v>0</v>
      </c>
      <c r="Y122" s="81">
        <f t="shared" si="11"/>
        <v>0</v>
      </c>
      <c r="Z122" s="81">
        <f t="shared" si="12"/>
        <v>1</v>
      </c>
    </row>
    <row r="123" spans="1:26" ht="16.5" thickBot="1">
      <c r="A123" s="99">
        <v>120</v>
      </c>
      <c r="B123" s="99">
        <v>412.3</v>
      </c>
      <c r="F123" s="99">
        <v>120</v>
      </c>
      <c r="G123" s="99">
        <v>410</v>
      </c>
      <c r="V123" s="81">
        <f t="shared" si="9"/>
        <v>-2.3000000000000114</v>
      </c>
      <c r="X123" s="81">
        <f t="shared" si="10"/>
        <v>0</v>
      </c>
      <c r="Y123" s="81">
        <f t="shared" si="11"/>
        <v>0</v>
      </c>
      <c r="Z123" s="81">
        <f t="shared" si="12"/>
        <v>1</v>
      </c>
    </row>
    <row r="124" spans="1:26" ht="16.5" thickBot="1">
      <c r="A124" s="99">
        <v>121</v>
      </c>
      <c r="B124" s="99">
        <v>412.3</v>
      </c>
      <c r="F124" s="99">
        <v>121</v>
      </c>
      <c r="G124" s="99">
        <v>410</v>
      </c>
      <c r="V124" s="81">
        <f t="shared" si="9"/>
        <v>-2.3000000000000114</v>
      </c>
      <c r="X124" s="81">
        <f t="shared" si="10"/>
        <v>0</v>
      </c>
      <c r="Y124" s="81">
        <f t="shared" si="11"/>
        <v>0</v>
      </c>
      <c r="Z124" s="81">
        <f t="shared" si="12"/>
        <v>1</v>
      </c>
    </row>
    <row r="125" spans="1:26" ht="16.5" thickBot="1">
      <c r="A125" s="99">
        <v>122</v>
      </c>
      <c r="B125" s="99">
        <v>412.3</v>
      </c>
      <c r="F125" s="99">
        <v>122</v>
      </c>
      <c r="G125" s="99">
        <v>410</v>
      </c>
      <c r="V125" s="81">
        <f t="shared" si="9"/>
        <v>-2.3000000000000114</v>
      </c>
      <c r="X125" s="81">
        <f t="shared" si="10"/>
        <v>0</v>
      </c>
      <c r="Y125" s="81">
        <f t="shared" si="11"/>
        <v>0</v>
      </c>
      <c r="Z125" s="81">
        <f t="shared" si="12"/>
        <v>1</v>
      </c>
    </row>
    <row r="126" spans="1:26" ht="16.5" thickBot="1">
      <c r="A126" s="99">
        <v>123</v>
      </c>
      <c r="B126" s="99">
        <v>471.2</v>
      </c>
      <c r="F126" s="99">
        <v>123</v>
      </c>
      <c r="G126" s="99">
        <v>470</v>
      </c>
      <c r="V126" s="81">
        <f t="shared" si="9"/>
        <v>-1.1999999999999886</v>
      </c>
      <c r="X126" s="81">
        <f t="shared" si="10"/>
        <v>0</v>
      </c>
      <c r="Y126" s="81">
        <f t="shared" si="11"/>
        <v>0</v>
      </c>
      <c r="Z126" s="81">
        <f t="shared" si="12"/>
        <v>1</v>
      </c>
    </row>
    <row r="127" spans="1:26" ht="16.5" thickBot="1">
      <c r="A127" s="99">
        <v>125</v>
      </c>
      <c r="B127" s="99">
        <v>467.5</v>
      </c>
      <c r="F127" s="99">
        <v>125</v>
      </c>
      <c r="G127" s="99">
        <v>460</v>
      </c>
      <c r="V127" s="81">
        <f t="shared" si="9"/>
        <v>-7.5</v>
      </c>
      <c r="X127" s="81">
        <f t="shared" si="10"/>
        <v>0</v>
      </c>
      <c r="Y127" s="81">
        <f t="shared" si="11"/>
        <v>0</v>
      </c>
      <c r="Z127" s="81">
        <f t="shared" si="12"/>
        <v>1</v>
      </c>
    </row>
    <row r="128" spans="1:26" ht="16.5" thickBot="1">
      <c r="A128" s="99">
        <v>126</v>
      </c>
      <c r="B128" s="99">
        <v>471.2</v>
      </c>
      <c r="F128" s="99">
        <v>126</v>
      </c>
      <c r="G128" s="99">
        <v>470</v>
      </c>
      <c r="V128" s="81">
        <f t="shared" si="9"/>
        <v>-1.1999999999999886</v>
      </c>
      <c r="X128" s="81">
        <f t="shared" si="10"/>
        <v>0</v>
      </c>
      <c r="Y128" s="81">
        <f t="shared" si="11"/>
        <v>0</v>
      </c>
      <c r="Z128" s="81">
        <f t="shared" si="12"/>
        <v>1</v>
      </c>
    </row>
    <row r="129" spans="1:26" ht="16.5" thickBot="1">
      <c r="A129" s="99">
        <v>127</v>
      </c>
      <c r="B129" s="99">
        <v>467.3</v>
      </c>
      <c r="F129" s="99">
        <v>127</v>
      </c>
      <c r="G129" s="99">
        <v>460</v>
      </c>
      <c r="V129" s="81">
        <f t="shared" si="9"/>
        <v>-7.3000000000000114</v>
      </c>
      <c r="X129" s="81">
        <f t="shared" si="10"/>
        <v>0</v>
      </c>
      <c r="Y129" s="81">
        <f t="shared" si="11"/>
        <v>0</v>
      </c>
      <c r="Z129" s="81">
        <f t="shared" si="12"/>
        <v>1</v>
      </c>
    </row>
    <row r="130" spans="1:26" ht="16.5" thickBot="1">
      <c r="A130" s="99">
        <v>128</v>
      </c>
      <c r="B130" s="99">
        <v>513.79999999999995</v>
      </c>
      <c r="F130" s="99">
        <v>128</v>
      </c>
      <c r="G130" s="99">
        <v>510</v>
      </c>
      <c r="V130" s="81">
        <f t="shared" si="9"/>
        <v>-3.7999999999999545</v>
      </c>
      <c r="X130" s="81">
        <f t="shared" si="10"/>
        <v>0</v>
      </c>
      <c r="Y130" s="81">
        <f t="shared" si="11"/>
        <v>0</v>
      </c>
      <c r="Z130" s="81">
        <f t="shared" si="12"/>
        <v>1</v>
      </c>
    </row>
    <row r="131" spans="1:26" ht="16.5" thickBot="1">
      <c r="A131" s="99">
        <v>129</v>
      </c>
      <c r="B131" s="99">
        <v>517.5</v>
      </c>
      <c r="F131" s="99">
        <v>129</v>
      </c>
      <c r="G131" s="99">
        <v>510</v>
      </c>
      <c r="V131" s="81">
        <f t="shared" si="9"/>
        <v>-7.5</v>
      </c>
      <c r="X131" s="81">
        <f t="shared" si="10"/>
        <v>0</v>
      </c>
      <c r="Y131" s="81">
        <f t="shared" si="11"/>
        <v>0</v>
      </c>
      <c r="Z131" s="81">
        <f t="shared" si="12"/>
        <v>1</v>
      </c>
    </row>
    <row r="132" spans="1:26" ht="16.5" thickBot="1">
      <c r="A132" s="99">
        <v>130</v>
      </c>
      <c r="B132" s="99">
        <v>460.3</v>
      </c>
      <c r="F132" s="99">
        <v>130</v>
      </c>
      <c r="G132" s="99">
        <v>450</v>
      </c>
      <c r="V132" s="81">
        <f t="shared" si="9"/>
        <v>-10.300000000000011</v>
      </c>
      <c r="X132" s="81">
        <f t="shared" si="10"/>
        <v>0</v>
      </c>
      <c r="Y132" s="81">
        <f t="shared" si="11"/>
        <v>0</v>
      </c>
      <c r="Z132" s="81">
        <f t="shared" si="12"/>
        <v>1</v>
      </c>
    </row>
    <row r="133" spans="1:26" ht="16.5" thickBot="1">
      <c r="A133" s="99">
        <v>131</v>
      </c>
      <c r="B133" s="99">
        <v>454.5</v>
      </c>
      <c r="F133" s="99">
        <v>131</v>
      </c>
      <c r="G133" s="99">
        <v>450</v>
      </c>
      <c r="V133" s="81">
        <f t="shared" ref="V133:V196" si="13">G133-B133</f>
        <v>-4.5</v>
      </c>
      <c r="X133" s="81">
        <f t="shared" ref="X133:X196" si="14">IF($V133&lt;-$AA$4,1,0)</f>
        <v>0</v>
      </c>
      <c r="Y133" s="81">
        <f t="shared" ref="Y133:Y196" si="15">IF($V133&gt;$AA$4,1,0)</f>
        <v>0</v>
      </c>
      <c r="Z133" s="81">
        <f t="shared" ref="Z133:Z196" si="16">IF($V133&gt;=-$AA$4,IF(V133&lt;=$AA$4,1,""),"")</f>
        <v>1</v>
      </c>
    </row>
    <row r="134" spans="1:26" ht="16.5" thickBot="1">
      <c r="A134" s="99">
        <v>132</v>
      </c>
      <c r="B134" s="99">
        <v>450.8</v>
      </c>
      <c r="F134" s="99">
        <v>132</v>
      </c>
      <c r="G134" s="99">
        <v>450</v>
      </c>
      <c r="V134" s="81">
        <f t="shared" si="13"/>
        <v>-0.80000000000001137</v>
      </c>
      <c r="X134" s="81">
        <f t="shared" si="14"/>
        <v>0</v>
      </c>
      <c r="Y134" s="81">
        <f t="shared" si="15"/>
        <v>0</v>
      </c>
      <c r="Z134" s="81">
        <f t="shared" si="16"/>
        <v>1</v>
      </c>
    </row>
    <row r="135" spans="1:26" ht="16.5" thickBot="1">
      <c r="A135" s="99">
        <v>133</v>
      </c>
      <c r="B135" s="99">
        <v>444.2</v>
      </c>
      <c r="F135" s="99">
        <v>133</v>
      </c>
      <c r="G135" s="99">
        <v>440</v>
      </c>
      <c r="V135" s="81">
        <f t="shared" si="13"/>
        <v>-4.1999999999999886</v>
      </c>
      <c r="X135" s="81">
        <f t="shared" si="14"/>
        <v>0</v>
      </c>
      <c r="Y135" s="81">
        <f t="shared" si="15"/>
        <v>0</v>
      </c>
      <c r="Z135" s="81">
        <f t="shared" si="16"/>
        <v>1</v>
      </c>
    </row>
    <row r="136" spans="1:26" ht="16.5" thickBot="1">
      <c r="A136" s="99">
        <v>134</v>
      </c>
      <c r="B136" s="99">
        <v>440.2</v>
      </c>
      <c r="F136" s="99">
        <v>134</v>
      </c>
      <c r="G136" s="99">
        <v>440</v>
      </c>
      <c r="V136" s="81">
        <f t="shared" si="13"/>
        <v>-0.19999999999998863</v>
      </c>
      <c r="X136" s="81">
        <f t="shared" si="14"/>
        <v>0</v>
      </c>
      <c r="Y136" s="81">
        <f t="shared" si="15"/>
        <v>0</v>
      </c>
      <c r="Z136" s="81">
        <f t="shared" si="16"/>
        <v>1</v>
      </c>
    </row>
    <row r="137" spans="1:26" ht="16.5" thickBot="1">
      <c r="A137" s="99">
        <v>135</v>
      </c>
      <c r="B137" s="99">
        <v>437.9</v>
      </c>
      <c r="F137" s="99">
        <v>135</v>
      </c>
      <c r="G137" s="99">
        <v>430</v>
      </c>
      <c r="V137" s="81">
        <f t="shared" si="13"/>
        <v>-7.8999999999999773</v>
      </c>
      <c r="X137" s="81">
        <f t="shared" si="14"/>
        <v>0</v>
      </c>
      <c r="Y137" s="81">
        <f t="shared" si="15"/>
        <v>0</v>
      </c>
      <c r="Z137" s="81">
        <f t="shared" si="16"/>
        <v>1</v>
      </c>
    </row>
    <row r="138" spans="1:26" ht="16.5" thickBot="1">
      <c r="A138" s="99">
        <v>136</v>
      </c>
      <c r="B138" s="99">
        <v>434.5</v>
      </c>
      <c r="F138" s="99">
        <v>136</v>
      </c>
      <c r="G138" s="99">
        <v>430</v>
      </c>
      <c r="V138" s="81">
        <f t="shared" si="13"/>
        <v>-4.5</v>
      </c>
      <c r="X138" s="81">
        <f t="shared" si="14"/>
        <v>0</v>
      </c>
      <c r="Y138" s="81">
        <f t="shared" si="15"/>
        <v>0</v>
      </c>
      <c r="Z138" s="81">
        <f t="shared" si="16"/>
        <v>1</v>
      </c>
    </row>
    <row r="139" spans="1:26" ht="16.5" thickBot="1">
      <c r="A139" s="99">
        <v>137</v>
      </c>
      <c r="B139" s="99">
        <v>430.7</v>
      </c>
      <c r="F139" s="99">
        <v>137</v>
      </c>
      <c r="G139" s="99">
        <v>430</v>
      </c>
      <c r="V139" s="81">
        <f t="shared" si="13"/>
        <v>-0.69999999999998863</v>
      </c>
      <c r="X139" s="81">
        <f t="shared" si="14"/>
        <v>0</v>
      </c>
      <c r="Y139" s="81">
        <f t="shared" si="15"/>
        <v>0</v>
      </c>
      <c r="Z139" s="81">
        <f t="shared" si="16"/>
        <v>1</v>
      </c>
    </row>
    <row r="140" spans="1:26" ht="16.5" thickBot="1">
      <c r="A140" s="99">
        <v>138</v>
      </c>
      <c r="B140" s="99">
        <v>429.6</v>
      </c>
      <c r="F140" s="99">
        <v>138</v>
      </c>
      <c r="G140" s="99">
        <v>430</v>
      </c>
      <c r="V140" s="81">
        <f t="shared" si="13"/>
        <v>0.39999999999997726</v>
      </c>
      <c r="X140" s="81">
        <f t="shared" si="14"/>
        <v>0</v>
      </c>
      <c r="Y140" s="81">
        <f t="shared" si="15"/>
        <v>0</v>
      </c>
      <c r="Z140" s="81">
        <f t="shared" si="16"/>
        <v>1</v>
      </c>
    </row>
    <row r="141" spans="1:26" ht="16.5" thickBot="1">
      <c r="A141" s="99">
        <v>139</v>
      </c>
      <c r="B141" s="99">
        <v>427.8</v>
      </c>
      <c r="F141" s="99">
        <v>139</v>
      </c>
      <c r="G141" s="99">
        <v>430</v>
      </c>
      <c r="V141" s="81">
        <f t="shared" si="13"/>
        <v>2.1999999999999886</v>
      </c>
      <c r="X141" s="81">
        <f t="shared" si="14"/>
        <v>0</v>
      </c>
      <c r="Y141" s="81">
        <f t="shared" si="15"/>
        <v>0</v>
      </c>
      <c r="Z141" s="81">
        <f t="shared" si="16"/>
        <v>1</v>
      </c>
    </row>
    <row r="142" spans="1:26" ht="16.5" thickBot="1">
      <c r="A142" s="99">
        <v>141</v>
      </c>
      <c r="B142" s="99">
        <v>422.1</v>
      </c>
      <c r="F142" s="99">
        <v>141</v>
      </c>
      <c r="G142" s="99">
        <v>420</v>
      </c>
      <c r="V142" s="81">
        <f t="shared" si="13"/>
        <v>-2.1000000000000227</v>
      </c>
      <c r="X142" s="81">
        <f t="shared" si="14"/>
        <v>0</v>
      </c>
      <c r="Y142" s="81">
        <f t="shared" si="15"/>
        <v>0</v>
      </c>
      <c r="Z142" s="81">
        <f t="shared" si="16"/>
        <v>1</v>
      </c>
    </row>
    <row r="143" spans="1:26" ht="16.5" thickBot="1">
      <c r="A143" s="99">
        <v>142</v>
      </c>
      <c r="B143" s="99">
        <v>424.7</v>
      </c>
      <c r="F143" s="99">
        <v>142</v>
      </c>
      <c r="G143" s="99">
        <v>420</v>
      </c>
      <c r="V143" s="81">
        <f t="shared" si="13"/>
        <v>-4.6999999999999886</v>
      </c>
      <c r="X143" s="81">
        <f t="shared" si="14"/>
        <v>0</v>
      </c>
      <c r="Y143" s="81">
        <f t="shared" si="15"/>
        <v>0</v>
      </c>
      <c r="Z143" s="81">
        <f t="shared" si="16"/>
        <v>1</v>
      </c>
    </row>
    <row r="144" spans="1:26" ht="16.5" thickBot="1">
      <c r="A144" s="99">
        <v>143</v>
      </c>
      <c r="B144" s="99">
        <v>444.9</v>
      </c>
      <c r="F144" s="99">
        <v>143</v>
      </c>
      <c r="G144" s="99">
        <v>440</v>
      </c>
      <c r="V144" s="81">
        <f t="shared" si="13"/>
        <v>-4.8999999999999773</v>
      </c>
      <c r="X144" s="81">
        <f t="shared" si="14"/>
        <v>0</v>
      </c>
      <c r="Y144" s="81">
        <f t="shared" si="15"/>
        <v>0</v>
      </c>
      <c r="Z144" s="81">
        <f t="shared" si="16"/>
        <v>1</v>
      </c>
    </row>
    <row r="145" spans="1:26" ht="16.5" thickBot="1">
      <c r="A145" s="99">
        <v>145</v>
      </c>
      <c r="B145" s="99">
        <v>461.5</v>
      </c>
      <c r="F145" s="99">
        <v>145</v>
      </c>
      <c r="G145" s="99">
        <v>450</v>
      </c>
      <c r="V145" s="81">
        <f t="shared" si="13"/>
        <v>-11.5</v>
      </c>
      <c r="X145" s="81">
        <f t="shared" si="14"/>
        <v>0</v>
      </c>
      <c r="Y145" s="81">
        <f t="shared" si="15"/>
        <v>0</v>
      </c>
      <c r="Z145" s="81">
        <f t="shared" si="16"/>
        <v>1</v>
      </c>
    </row>
    <row r="146" spans="1:26" ht="16.5" thickBot="1">
      <c r="A146" s="99">
        <v>146</v>
      </c>
      <c r="B146" s="99">
        <v>463</v>
      </c>
      <c r="F146" s="99">
        <v>146</v>
      </c>
      <c r="G146" s="99">
        <v>460</v>
      </c>
      <c r="V146" s="81">
        <f t="shared" si="13"/>
        <v>-3</v>
      </c>
      <c r="X146" s="81">
        <f t="shared" si="14"/>
        <v>0</v>
      </c>
      <c r="Y146" s="81">
        <f t="shared" si="15"/>
        <v>0</v>
      </c>
      <c r="Z146" s="81">
        <f t="shared" si="16"/>
        <v>1</v>
      </c>
    </row>
    <row r="147" spans="1:26" ht="16.5" thickBot="1">
      <c r="A147" s="99">
        <v>147</v>
      </c>
      <c r="B147" s="99">
        <v>457.2</v>
      </c>
      <c r="F147" s="99">
        <v>147</v>
      </c>
      <c r="G147" s="99">
        <v>450</v>
      </c>
      <c r="V147" s="81">
        <f t="shared" si="13"/>
        <v>-7.1999999999999886</v>
      </c>
      <c r="X147" s="81">
        <f t="shared" si="14"/>
        <v>0</v>
      </c>
      <c r="Y147" s="81">
        <f t="shared" si="15"/>
        <v>0</v>
      </c>
      <c r="Z147" s="81">
        <f t="shared" si="16"/>
        <v>1</v>
      </c>
    </row>
    <row r="148" spans="1:26" ht="16.5" thickBot="1">
      <c r="A148" s="99">
        <v>148</v>
      </c>
      <c r="B148" s="99">
        <v>463.9</v>
      </c>
      <c r="F148" s="99">
        <v>148</v>
      </c>
      <c r="G148" s="99">
        <v>460</v>
      </c>
      <c r="V148" s="81">
        <f t="shared" si="13"/>
        <v>-3.8999999999999773</v>
      </c>
      <c r="X148" s="81">
        <f t="shared" si="14"/>
        <v>0</v>
      </c>
      <c r="Y148" s="81">
        <f t="shared" si="15"/>
        <v>0</v>
      </c>
      <c r="Z148" s="81">
        <f t="shared" si="16"/>
        <v>1</v>
      </c>
    </row>
    <row r="149" spans="1:26" ht="16.5" thickBot="1">
      <c r="A149" s="99">
        <v>150</v>
      </c>
      <c r="B149" s="99">
        <v>455.8</v>
      </c>
      <c r="F149" s="99">
        <v>150</v>
      </c>
      <c r="G149" s="99">
        <v>450</v>
      </c>
      <c r="V149" s="81">
        <f t="shared" si="13"/>
        <v>-5.8000000000000114</v>
      </c>
      <c r="X149" s="81">
        <f t="shared" si="14"/>
        <v>0</v>
      </c>
      <c r="Y149" s="81">
        <f t="shared" si="15"/>
        <v>0</v>
      </c>
      <c r="Z149" s="81">
        <f t="shared" si="16"/>
        <v>1</v>
      </c>
    </row>
    <row r="150" spans="1:26" ht="16.5" thickBot="1">
      <c r="A150" s="99">
        <v>151</v>
      </c>
      <c r="B150" s="99">
        <v>454.6</v>
      </c>
      <c r="F150" s="99">
        <v>151</v>
      </c>
      <c r="G150" s="99">
        <v>450</v>
      </c>
      <c r="V150" s="81">
        <f t="shared" si="13"/>
        <v>-4.6000000000000227</v>
      </c>
      <c r="X150" s="81">
        <f t="shared" si="14"/>
        <v>0</v>
      </c>
      <c r="Y150" s="81">
        <f t="shared" si="15"/>
        <v>0</v>
      </c>
      <c r="Z150" s="81">
        <f t="shared" si="16"/>
        <v>1</v>
      </c>
    </row>
    <row r="151" spans="1:26" ht="16.5" thickBot="1">
      <c r="A151" s="99">
        <v>152</v>
      </c>
      <c r="B151" s="99">
        <v>469.4</v>
      </c>
      <c r="F151" s="99">
        <v>152</v>
      </c>
      <c r="G151" s="99">
        <v>470</v>
      </c>
      <c r="V151" s="81">
        <f t="shared" si="13"/>
        <v>0.60000000000002274</v>
      </c>
      <c r="X151" s="81">
        <f t="shared" si="14"/>
        <v>0</v>
      </c>
      <c r="Y151" s="81">
        <f t="shared" si="15"/>
        <v>0</v>
      </c>
      <c r="Z151" s="81">
        <f t="shared" si="16"/>
        <v>1</v>
      </c>
    </row>
    <row r="152" spans="1:26" ht="16.5" thickBot="1">
      <c r="A152" s="99">
        <v>153</v>
      </c>
      <c r="B152" s="99">
        <v>483.4</v>
      </c>
      <c r="F152" s="99">
        <v>153</v>
      </c>
      <c r="G152" s="99">
        <v>480</v>
      </c>
      <c r="V152" s="81">
        <f t="shared" si="13"/>
        <v>-3.3999999999999773</v>
      </c>
      <c r="X152" s="81">
        <f t="shared" si="14"/>
        <v>0</v>
      </c>
      <c r="Y152" s="81">
        <f t="shared" si="15"/>
        <v>0</v>
      </c>
      <c r="Z152" s="81">
        <f t="shared" si="16"/>
        <v>1</v>
      </c>
    </row>
    <row r="153" spans="1:26" ht="16.5" thickBot="1">
      <c r="A153" s="99">
        <v>155</v>
      </c>
      <c r="B153" s="99">
        <v>465.9</v>
      </c>
      <c r="F153" s="99">
        <v>155</v>
      </c>
      <c r="G153" s="99">
        <v>510</v>
      </c>
      <c r="V153" s="81">
        <f t="shared" si="13"/>
        <v>44.100000000000023</v>
      </c>
      <c r="X153" s="81">
        <f t="shared" si="14"/>
        <v>0</v>
      </c>
      <c r="Y153" s="81">
        <f t="shared" si="15"/>
        <v>0</v>
      </c>
      <c r="Z153" s="81">
        <f t="shared" si="16"/>
        <v>1</v>
      </c>
    </row>
    <row r="154" spans="1:26" ht="16.5" thickBot="1">
      <c r="A154" s="99">
        <v>156</v>
      </c>
      <c r="B154" s="99">
        <v>461.2</v>
      </c>
      <c r="F154" s="99">
        <v>156</v>
      </c>
      <c r="G154" s="99">
        <v>450</v>
      </c>
      <c r="V154" s="81">
        <f t="shared" si="13"/>
        <v>-11.199999999999989</v>
      </c>
      <c r="X154" s="81">
        <f t="shared" si="14"/>
        <v>0</v>
      </c>
      <c r="Y154" s="81">
        <f t="shared" si="15"/>
        <v>0</v>
      </c>
      <c r="Z154" s="81">
        <f t="shared" si="16"/>
        <v>1</v>
      </c>
    </row>
    <row r="155" spans="1:26" ht="16.5" thickBot="1">
      <c r="A155" s="99">
        <v>157</v>
      </c>
      <c r="B155" s="99">
        <v>459.4</v>
      </c>
      <c r="F155" s="99">
        <v>157</v>
      </c>
      <c r="G155" s="99">
        <v>450</v>
      </c>
      <c r="V155" s="81">
        <f t="shared" si="13"/>
        <v>-9.3999999999999773</v>
      </c>
      <c r="X155" s="81">
        <f t="shared" si="14"/>
        <v>0</v>
      </c>
      <c r="Y155" s="81">
        <f t="shared" si="15"/>
        <v>0</v>
      </c>
      <c r="Z155" s="81">
        <f t="shared" si="16"/>
        <v>1</v>
      </c>
    </row>
    <row r="156" spans="1:26" ht="16.5" thickBot="1">
      <c r="A156" s="99">
        <v>158</v>
      </c>
      <c r="B156" s="99">
        <v>456</v>
      </c>
      <c r="F156" s="99">
        <v>158</v>
      </c>
      <c r="G156" s="99">
        <v>450</v>
      </c>
      <c r="V156" s="81">
        <f t="shared" si="13"/>
        <v>-6</v>
      </c>
      <c r="X156" s="81">
        <f t="shared" si="14"/>
        <v>0</v>
      </c>
      <c r="Y156" s="81">
        <f t="shared" si="15"/>
        <v>0</v>
      </c>
      <c r="Z156" s="81">
        <f t="shared" si="16"/>
        <v>1</v>
      </c>
    </row>
    <row r="157" spans="1:26" ht="16.5" thickBot="1">
      <c r="A157" s="99">
        <v>159</v>
      </c>
      <c r="B157" s="99">
        <v>453.4</v>
      </c>
      <c r="F157" s="99">
        <v>159</v>
      </c>
      <c r="G157" s="99">
        <v>450</v>
      </c>
      <c r="V157" s="81">
        <f t="shared" si="13"/>
        <v>-3.3999999999999773</v>
      </c>
      <c r="X157" s="81">
        <f t="shared" si="14"/>
        <v>0</v>
      </c>
      <c r="Y157" s="81">
        <f t="shared" si="15"/>
        <v>0</v>
      </c>
      <c r="Z157" s="81">
        <f t="shared" si="16"/>
        <v>1</v>
      </c>
    </row>
    <row r="158" spans="1:26" ht="16.5" thickBot="1">
      <c r="A158" s="99">
        <v>160</v>
      </c>
      <c r="B158" s="99">
        <v>459.2</v>
      </c>
      <c r="F158" s="99">
        <v>160</v>
      </c>
      <c r="G158" s="99">
        <v>450</v>
      </c>
      <c r="V158" s="81">
        <f t="shared" si="13"/>
        <v>-9.1999999999999886</v>
      </c>
      <c r="X158" s="81">
        <f t="shared" si="14"/>
        <v>0</v>
      </c>
      <c r="Y158" s="81">
        <f t="shared" si="15"/>
        <v>0</v>
      </c>
      <c r="Z158" s="81">
        <f t="shared" si="16"/>
        <v>1</v>
      </c>
    </row>
    <row r="159" spans="1:26" ht="16.5" thickBot="1">
      <c r="A159" s="99">
        <v>161</v>
      </c>
      <c r="B159" s="99">
        <v>472.2</v>
      </c>
      <c r="F159" s="99">
        <v>161</v>
      </c>
      <c r="G159" s="99">
        <v>470</v>
      </c>
      <c r="V159" s="81">
        <f t="shared" si="13"/>
        <v>-2.1999999999999886</v>
      </c>
      <c r="X159" s="81">
        <f t="shared" si="14"/>
        <v>0</v>
      </c>
      <c r="Y159" s="81">
        <f t="shared" si="15"/>
        <v>0</v>
      </c>
      <c r="Z159" s="81">
        <f t="shared" si="16"/>
        <v>1</v>
      </c>
    </row>
    <row r="160" spans="1:26" ht="16.5" thickBot="1">
      <c r="A160" s="99">
        <v>162</v>
      </c>
      <c r="B160" s="99">
        <v>476.3</v>
      </c>
      <c r="F160" s="99">
        <v>162</v>
      </c>
      <c r="G160" s="99">
        <v>470</v>
      </c>
      <c r="V160" s="81">
        <f t="shared" si="13"/>
        <v>-6.3000000000000114</v>
      </c>
      <c r="X160" s="81">
        <f t="shared" si="14"/>
        <v>0</v>
      </c>
      <c r="Y160" s="81">
        <f t="shared" si="15"/>
        <v>0</v>
      </c>
      <c r="Z160" s="81">
        <f t="shared" si="16"/>
        <v>1</v>
      </c>
    </row>
    <row r="161" spans="1:26" ht="16.5" thickBot="1">
      <c r="A161" s="99">
        <v>163</v>
      </c>
      <c r="B161" s="99">
        <v>480.2</v>
      </c>
      <c r="F161" s="99">
        <v>163</v>
      </c>
      <c r="G161" s="99">
        <v>480</v>
      </c>
      <c r="V161" s="81">
        <f t="shared" si="13"/>
        <v>-0.19999999999998863</v>
      </c>
      <c r="X161" s="81">
        <f t="shared" si="14"/>
        <v>0</v>
      </c>
      <c r="Y161" s="81">
        <f t="shared" si="15"/>
        <v>0</v>
      </c>
      <c r="Z161" s="81">
        <f t="shared" si="16"/>
        <v>1</v>
      </c>
    </row>
    <row r="162" spans="1:26" ht="16.5" thickBot="1">
      <c r="A162" s="99">
        <v>164</v>
      </c>
      <c r="B162" s="99">
        <v>497.6</v>
      </c>
      <c r="F162" s="99">
        <v>164</v>
      </c>
      <c r="G162" s="99">
        <v>490</v>
      </c>
      <c r="V162" s="81">
        <f t="shared" si="13"/>
        <v>-7.6000000000000227</v>
      </c>
      <c r="X162" s="81">
        <f t="shared" si="14"/>
        <v>0</v>
      </c>
      <c r="Y162" s="81">
        <f t="shared" si="15"/>
        <v>0</v>
      </c>
      <c r="Z162" s="81">
        <f t="shared" si="16"/>
        <v>1</v>
      </c>
    </row>
    <row r="163" spans="1:26" ht="16.5" thickBot="1">
      <c r="A163" s="99">
        <v>165</v>
      </c>
      <c r="B163" s="99">
        <v>473.3</v>
      </c>
      <c r="F163" s="99">
        <v>165</v>
      </c>
      <c r="G163" s="99">
        <v>470</v>
      </c>
      <c r="V163" s="81">
        <f t="shared" si="13"/>
        <v>-3.3000000000000114</v>
      </c>
      <c r="X163" s="81">
        <f t="shared" si="14"/>
        <v>0</v>
      </c>
      <c r="Y163" s="81">
        <f t="shared" si="15"/>
        <v>0</v>
      </c>
      <c r="Z163" s="81">
        <f t="shared" si="16"/>
        <v>1</v>
      </c>
    </row>
    <row r="164" spans="1:26" ht="16.5" thickBot="1">
      <c r="A164" s="99">
        <v>166</v>
      </c>
      <c r="B164" s="99">
        <v>466</v>
      </c>
      <c r="F164" s="99">
        <v>166</v>
      </c>
      <c r="G164" s="99">
        <v>490</v>
      </c>
      <c r="V164" s="81">
        <f t="shared" si="13"/>
        <v>24</v>
      </c>
      <c r="X164" s="81">
        <f t="shared" si="14"/>
        <v>0</v>
      </c>
      <c r="Y164" s="81">
        <f t="shared" si="15"/>
        <v>0</v>
      </c>
      <c r="Z164" s="81">
        <f t="shared" si="16"/>
        <v>1</v>
      </c>
    </row>
    <row r="165" spans="1:26" ht="16.5" thickBot="1">
      <c r="A165" s="99">
        <v>167</v>
      </c>
      <c r="B165" s="99">
        <v>462.5</v>
      </c>
      <c r="F165" s="99">
        <v>167</v>
      </c>
      <c r="G165" s="99">
        <v>460</v>
      </c>
      <c r="V165" s="81">
        <f t="shared" si="13"/>
        <v>-2.5</v>
      </c>
      <c r="X165" s="81">
        <f t="shared" si="14"/>
        <v>0</v>
      </c>
      <c r="Y165" s="81">
        <f t="shared" si="15"/>
        <v>0</v>
      </c>
      <c r="Z165" s="81">
        <f t="shared" si="16"/>
        <v>1</v>
      </c>
    </row>
    <row r="166" spans="1:26" ht="16.5" thickBot="1">
      <c r="A166" s="99">
        <v>168</v>
      </c>
      <c r="B166" s="99">
        <v>462</v>
      </c>
      <c r="F166" s="99">
        <v>168</v>
      </c>
      <c r="G166" s="99">
        <v>450</v>
      </c>
      <c r="V166" s="81">
        <f t="shared" si="13"/>
        <v>-12</v>
      </c>
      <c r="X166" s="81">
        <f t="shared" si="14"/>
        <v>0</v>
      </c>
      <c r="Y166" s="81">
        <f t="shared" si="15"/>
        <v>0</v>
      </c>
      <c r="Z166" s="81">
        <f t="shared" si="16"/>
        <v>1</v>
      </c>
    </row>
    <row r="167" spans="1:26" ht="16.5" thickBot="1">
      <c r="A167" s="99">
        <v>169</v>
      </c>
      <c r="B167" s="99">
        <v>457.2</v>
      </c>
      <c r="F167" s="99">
        <v>169</v>
      </c>
      <c r="G167" s="99">
        <v>500</v>
      </c>
      <c r="V167" s="81">
        <f t="shared" si="13"/>
        <v>42.800000000000011</v>
      </c>
      <c r="X167" s="81">
        <f t="shared" si="14"/>
        <v>0</v>
      </c>
      <c r="Y167" s="81">
        <f t="shared" si="15"/>
        <v>0</v>
      </c>
      <c r="Z167" s="81">
        <f t="shared" si="16"/>
        <v>1</v>
      </c>
    </row>
    <row r="168" spans="1:26" ht="16.5" thickBot="1">
      <c r="A168" s="99">
        <v>170</v>
      </c>
      <c r="B168" s="99">
        <v>451.8</v>
      </c>
      <c r="F168" s="99">
        <v>170</v>
      </c>
      <c r="G168" s="99">
        <v>450</v>
      </c>
      <c r="V168" s="81">
        <f t="shared" si="13"/>
        <v>-1.8000000000000114</v>
      </c>
      <c r="X168" s="81">
        <f t="shared" si="14"/>
        <v>0</v>
      </c>
      <c r="Y168" s="81">
        <f t="shared" si="15"/>
        <v>0</v>
      </c>
      <c r="Z168" s="81">
        <f t="shared" si="16"/>
        <v>1</v>
      </c>
    </row>
    <row r="169" spans="1:26" ht="16.5" thickBot="1">
      <c r="A169" s="99">
        <v>171</v>
      </c>
      <c r="B169" s="99">
        <v>454.1</v>
      </c>
      <c r="F169" s="99">
        <v>171</v>
      </c>
      <c r="G169" s="99">
        <v>450</v>
      </c>
      <c r="V169" s="81">
        <f t="shared" si="13"/>
        <v>-4.1000000000000227</v>
      </c>
      <c r="X169" s="81">
        <f t="shared" si="14"/>
        <v>0</v>
      </c>
      <c r="Y169" s="81">
        <f t="shared" si="15"/>
        <v>0</v>
      </c>
      <c r="Z169" s="81">
        <f t="shared" si="16"/>
        <v>1</v>
      </c>
    </row>
    <row r="170" spans="1:26" ht="16.5" thickBot="1">
      <c r="A170" s="99">
        <v>172</v>
      </c>
      <c r="B170" s="99">
        <v>461</v>
      </c>
      <c r="F170" s="99">
        <v>172</v>
      </c>
      <c r="G170" s="99">
        <v>480</v>
      </c>
      <c r="V170" s="81">
        <f t="shared" si="13"/>
        <v>19</v>
      </c>
      <c r="X170" s="81">
        <f t="shared" si="14"/>
        <v>0</v>
      </c>
      <c r="Y170" s="81">
        <f t="shared" si="15"/>
        <v>0</v>
      </c>
      <c r="Z170" s="81">
        <f t="shared" si="16"/>
        <v>1</v>
      </c>
    </row>
    <row r="171" spans="1:26" ht="16.5" thickBot="1">
      <c r="A171" s="99">
        <v>173</v>
      </c>
      <c r="B171" s="99">
        <v>465.1</v>
      </c>
      <c r="F171" s="99">
        <v>173</v>
      </c>
      <c r="G171" s="99">
        <v>460</v>
      </c>
      <c r="V171" s="81">
        <f t="shared" si="13"/>
        <v>-5.1000000000000227</v>
      </c>
      <c r="X171" s="81">
        <f t="shared" si="14"/>
        <v>0</v>
      </c>
      <c r="Y171" s="81">
        <f t="shared" si="15"/>
        <v>0</v>
      </c>
      <c r="Z171" s="81">
        <f t="shared" si="16"/>
        <v>1</v>
      </c>
    </row>
    <row r="172" spans="1:26" ht="16.5" thickBot="1">
      <c r="A172" s="99">
        <v>174</v>
      </c>
      <c r="B172" s="99">
        <v>469.1</v>
      </c>
      <c r="F172" s="99">
        <v>174</v>
      </c>
      <c r="G172" s="99">
        <v>470</v>
      </c>
      <c r="V172" s="81">
        <f t="shared" si="13"/>
        <v>0.89999999999997726</v>
      </c>
      <c r="X172" s="81">
        <f t="shared" si="14"/>
        <v>0</v>
      </c>
      <c r="Y172" s="81">
        <f t="shared" si="15"/>
        <v>0</v>
      </c>
      <c r="Z172" s="81">
        <f t="shared" si="16"/>
        <v>1</v>
      </c>
    </row>
    <row r="173" spans="1:26" ht="16.5" thickBot="1">
      <c r="A173" s="99">
        <v>175</v>
      </c>
      <c r="B173" s="99">
        <v>478</v>
      </c>
      <c r="F173" s="99">
        <v>175</v>
      </c>
      <c r="G173" s="99">
        <v>470</v>
      </c>
      <c r="V173" s="81">
        <f t="shared" si="13"/>
        <v>-8</v>
      </c>
      <c r="X173" s="81">
        <f t="shared" si="14"/>
        <v>0</v>
      </c>
      <c r="Y173" s="81">
        <f t="shared" si="15"/>
        <v>0</v>
      </c>
      <c r="Z173" s="81">
        <f t="shared" si="16"/>
        <v>1</v>
      </c>
    </row>
    <row r="174" spans="1:26" ht="16.5" thickBot="1">
      <c r="A174" s="99">
        <v>176</v>
      </c>
      <c r="B174" s="99">
        <v>496</v>
      </c>
      <c r="F174" s="99">
        <v>176</v>
      </c>
      <c r="G174" s="99">
        <v>530</v>
      </c>
      <c r="V174" s="81">
        <f t="shared" si="13"/>
        <v>34</v>
      </c>
      <c r="X174" s="81">
        <f t="shared" si="14"/>
        <v>0</v>
      </c>
      <c r="Y174" s="81">
        <f t="shared" si="15"/>
        <v>0</v>
      </c>
      <c r="Z174" s="81">
        <f t="shared" si="16"/>
        <v>1</v>
      </c>
    </row>
    <row r="175" spans="1:26" ht="16.5" thickBot="1">
      <c r="A175" s="99">
        <v>177</v>
      </c>
      <c r="B175" s="99">
        <v>485.3</v>
      </c>
      <c r="F175" s="99">
        <v>177</v>
      </c>
      <c r="G175" s="99">
        <v>480</v>
      </c>
      <c r="V175" s="81">
        <f t="shared" si="13"/>
        <v>-5.3000000000000114</v>
      </c>
      <c r="X175" s="81">
        <f t="shared" si="14"/>
        <v>0</v>
      </c>
      <c r="Y175" s="81">
        <f t="shared" si="15"/>
        <v>0</v>
      </c>
      <c r="Z175" s="81">
        <f t="shared" si="16"/>
        <v>1</v>
      </c>
    </row>
    <row r="176" spans="1:26" ht="16.5" thickBot="1">
      <c r="A176" s="99">
        <v>178</v>
      </c>
      <c r="B176" s="99">
        <v>471.9</v>
      </c>
      <c r="F176" s="99">
        <v>178</v>
      </c>
      <c r="G176" s="99">
        <v>470</v>
      </c>
      <c r="V176" s="81">
        <f t="shared" si="13"/>
        <v>-1.8999999999999773</v>
      </c>
      <c r="X176" s="81">
        <f t="shared" si="14"/>
        <v>0</v>
      </c>
      <c r="Y176" s="81">
        <f t="shared" si="15"/>
        <v>0</v>
      </c>
      <c r="Z176" s="81">
        <f t="shared" si="16"/>
        <v>1</v>
      </c>
    </row>
    <row r="177" spans="1:26" ht="16.5" thickBot="1">
      <c r="A177" s="99">
        <v>179</v>
      </c>
      <c r="B177" s="99">
        <v>469.6</v>
      </c>
      <c r="F177" s="99">
        <v>179</v>
      </c>
      <c r="G177" s="99">
        <v>470</v>
      </c>
      <c r="V177" s="81">
        <f t="shared" si="13"/>
        <v>0.39999999999997726</v>
      </c>
      <c r="X177" s="81">
        <f t="shared" si="14"/>
        <v>0</v>
      </c>
      <c r="Y177" s="81">
        <f t="shared" si="15"/>
        <v>0</v>
      </c>
      <c r="Z177" s="81">
        <f t="shared" si="16"/>
        <v>1</v>
      </c>
    </row>
    <row r="178" spans="1:26" ht="16.5" thickBot="1">
      <c r="A178" s="99">
        <v>180</v>
      </c>
      <c r="B178" s="99">
        <v>468.4</v>
      </c>
      <c r="F178" s="99">
        <v>180</v>
      </c>
      <c r="G178" s="99">
        <v>520</v>
      </c>
      <c r="V178" s="81">
        <f t="shared" si="13"/>
        <v>51.600000000000023</v>
      </c>
      <c r="X178" s="81">
        <f t="shared" si="14"/>
        <v>0</v>
      </c>
      <c r="Y178" s="81">
        <f t="shared" si="15"/>
        <v>1</v>
      </c>
      <c r="Z178" s="81" t="str">
        <f t="shared" si="16"/>
        <v/>
      </c>
    </row>
    <row r="179" spans="1:26" ht="16.5" thickBot="1">
      <c r="A179" s="99">
        <v>181</v>
      </c>
      <c r="B179" s="99">
        <v>465.4</v>
      </c>
      <c r="F179" s="99">
        <v>181</v>
      </c>
      <c r="G179" s="99">
        <v>530</v>
      </c>
      <c r="V179" s="81">
        <f t="shared" si="13"/>
        <v>64.600000000000023</v>
      </c>
      <c r="X179" s="81">
        <f t="shared" si="14"/>
        <v>0</v>
      </c>
      <c r="Y179" s="81">
        <f t="shared" si="15"/>
        <v>1</v>
      </c>
      <c r="Z179" s="81" t="str">
        <f t="shared" si="16"/>
        <v/>
      </c>
    </row>
    <row r="180" spans="1:26" ht="16.5" thickBot="1">
      <c r="A180" s="99">
        <v>182</v>
      </c>
      <c r="B180" s="99">
        <v>459.8</v>
      </c>
      <c r="F180" s="99">
        <v>182</v>
      </c>
      <c r="G180" s="99">
        <v>500</v>
      </c>
      <c r="V180" s="81">
        <f t="shared" si="13"/>
        <v>40.199999999999989</v>
      </c>
      <c r="X180" s="81">
        <f t="shared" si="14"/>
        <v>0</v>
      </c>
      <c r="Y180" s="81">
        <f t="shared" si="15"/>
        <v>0</v>
      </c>
      <c r="Z180" s="81">
        <f t="shared" si="16"/>
        <v>1</v>
      </c>
    </row>
    <row r="181" spans="1:26" ht="16.5" thickBot="1">
      <c r="A181" s="99">
        <v>183</v>
      </c>
      <c r="B181" s="99">
        <v>453.8</v>
      </c>
      <c r="F181" s="99">
        <v>183</v>
      </c>
      <c r="G181" s="99">
        <v>510</v>
      </c>
      <c r="V181" s="81">
        <f t="shared" si="13"/>
        <v>56.199999999999989</v>
      </c>
      <c r="X181" s="81">
        <f t="shared" si="14"/>
        <v>0</v>
      </c>
      <c r="Y181" s="81">
        <f t="shared" si="15"/>
        <v>1</v>
      </c>
      <c r="Z181" s="81" t="str">
        <f t="shared" si="16"/>
        <v/>
      </c>
    </row>
    <row r="182" spans="1:26" ht="16.5" thickBot="1">
      <c r="A182" s="99">
        <v>184</v>
      </c>
      <c r="B182" s="99">
        <v>453.5</v>
      </c>
      <c r="F182" s="99">
        <v>184</v>
      </c>
      <c r="G182" s="99">
        <v>450</v>
      </c>
      <c r="V182" s="81">
        <f t="shared" si="13"/>
        <v>-3.5</v>
      </c>
      <c r="X182" s="81">
        <f t="shared" si="14"/>
        <v>0</v>
      </c>
      <c r="Y182" s="81">
        <f t="shared" si="15"/>
        <v>0</v>
      </c>
      <c r="Z182" s="81">
        <f t="shared" si="16"/>
        <v>1</v>
      </c>
    </row>
    <row r="183" spans="1:26" ht="16.5" thickBot="1">
      <c r="A183" s="99">
        <v>185</v>
      </c>
      <c r="B183" s="99">
        <v>453</v>
      </c>
      <c r="F183" s="99">
        <v>185</v>
      </c>
      <c r="G183" s="99">
        <v>450</v>
      </c>
      <c r="V183" s="81">
        <f t="shared" si="13"/>
        <v>-3</v>
      </c>
      <c r="X183" s="81">
        <f t="shared" si="14"/>
        <v>0</v>
      </c>
      <c r="Y183" s="81">
        <f t="shared" si="15"/>
        <v>0</v>
      </c>
      <c r="Z183" s="81">
        <f t="shared" si="16"/>
        <v>1</v>
      </c>
    </row>
    <row r="184" spans="1:26" ht="16.5" thickBot="1">
      <c r="A184" s="99">
        <v>189</v>
      </c>
      <c r="B184" s="99">
        <v>487.4</v>
      </c>
      <c r="F184" s="99">
        <v>189</v>
      </c>
      <c r="G184" s="99">
        <v>480</v>
      </c>
      <c r="V184" s="81">
        <f t="shared" si="13"/>
        <v>-7.3999999999999773</v>
      </c>
      <c r="X184" s="81">
        <f t="shared" si="14"/>
        <v>0</v>
      </c>
      <c r="Y184" s="81">
        <f t="shared" si="15"/>
        <v>0</v>
      </c>
      <c r="Z184" s="81">
        <f t="shared" si="16"/>
        <v>1</v>
      </c>
    </row>
    <row r="185" spans="1:26" ht="16.5" thickBot="1">
      <c r="A185" s="99">
        <v>190</v>
      </c>
      <c r="B185" s="99">
        <v>500.7</v>
      </c>
      <c r="F185" s="99">
        <v>190</v>
      </c>
      <c r="G185" s="99">
        <v>500</v>
      </c>
      <c r="V185" s="81">
        <f t="shared" si="13"/>
        <v>-0.69999999999998863</v>
      </c>
      <c r="X185" s="81">
        <f t="shared" si="14"/>
        <v>0</v>
      </c>
      <c r="Y185" s="81">
        <f t="shared" si="15"/>
        <v>0</v>
      </c>
      <c r="Z185" s="81">
        <f t="shared" si="16"/>
        <v>1</v>
      </c>
    </row>
    <row r="186" spans="1:26" ht="16.5" thickBot="1">
      <c r="A186" s="99">
        <v>191</v>
      </c>
      <c r="B186" s="99">
        <v>479.4</v>
      </c>
      <c r="F186" s="99">
        <v>191</v>
      </c>
      <c r="G186" s="99">
        <v>570</v>
      </c>
      <c r="V186" s="81">
        <f t="shared" si="13"/>
        <v>90.600000000000023</v>
      </c>
      <c r="X186" s="81">
        <f t="shared" si="14"/>
        <v>0</v>
      </c>
      <c r="Y186" s="81">
        <f t="shared" si="15"/>
        <v>1</v>
      </c>
      <c r="Z186" s="81" t="str">
        <f t="shared" si="16"/>
        <v/>
      </c>
    </row>
    <row r="187" spans="1:26" ht="16.5" thickBot="1">
      <c r="A187" s="99">
        <v>192</v>
      </c>
      <c r="B187" s="99">
        <v>474.6</v>
      </c>
      <c r="F187" s="99">
        <v>192</v>
      </c>
      <c r="G187" s="99">
        <v>570</v>
      </c>
      <c r="V187" s="81">
        <f t="shared" si="13"/>
        <v>95.399999999999977</v>
      </c>
      <c r="X187" s="81">
        <f t="shared" si="14"/>
        <v>0</v>
      </c>
      <c r="Y187" s="81">
        <f t="shared" si="15"/>
        <v>1</v>
      </c>
      <c r="Z187" s="81" t="str">
        <f t="shared" si="16"/>
        <v/>
      </c>
    </row>
    <row r="188" spans="1:26" ht="16.5" thickBot="1">
      <c r="A188" s="99">
        <v>193</v>
      </c>
      <c r="B188" s="99">
        <v>472.9</v>
      </c>
      <c r="F188" s="99">
        <v>193</v>
      </c>
      <c r="G188" s="99">
        <v>570</v>
      </c>
      <c r="V188" s="81">
        <f t="shared" si="13"/>
        <v>97.100000000000023</v>
      </c>
      <c r="X188" s="81">
        <f t="shared" si="14"/>
        <v>0</v>
      </c>
      <c r="Y188" s="81">
        <f t="shared" si="15"/>
        <v>1</v>
      </c>
      <c r="Z188" s="81" t="str">
        <f t="shared" si="16"/>
        <v/>
      </c>
    </row>
    <row r="189" spans="1:26" ht="16.5" thickBot="1">
      <c r="A189" s="99">
        <v>194</v>
      </c>
      <c r="B189" s="99">
        <v>472.3</v>
      </c>
      <c r="F189" s="99">
        <v>194</v>
      </c>
      <c r="G189" s="99">
        <v>590</v>
      </c>
      <c r="V189" s="81">
        <f t="shared" si="13"/>
        <v>117.69999999999999</v>
      </c>
      <c r="X189" s="81">
        <f t="shared" si="14"/>
        <v>0</v>
      </c>
      <c r="Y189" s="81">
        <f t="shared" si="15"/>
        <v>1</v>
      </c>
      <c r="Z189" s="81" t="str">
        <f t="shared" si="16"/>
        <v/>
      </c>
    </row>
    <row r="190" spans="1:26" ht="16.5" thickBot="1">
      <c r="A190" s="99">
        <v>195</v>
      </c>
      <c r="B190" s="99">
        <v>475.5</v>
      </c>
      <c r="F190" s="99">
        <v>195</v>
      </c>
      <c r="G190" s="99">
        <v>470</v>
      </c>
      <c r="V190" s="81">
        <f t="shared" si="13"/>
        <v>-5.5</v>
      </c>
      <c r="X190" s="81">
        <f t="shared" si="14"/>
        <v>0</v>
      </c>
      <c r="Y190" s="81">
        <f t="shared" si="15"/>
        <v>0</v>
      </c>
      <c r="Z190" s="81">
        <f t="shared" si="16"/>
        <v>1</v>
      </c>
    </row>
    <row r="191" spans="1:26" ht="16.5" thickBot="1">
      <c r="A191" s="99">
        <v>196</v>
      </c>
      <c r="B191" s="99">
        <v>462.5</v>
      </c>
      <c r="F191" s="99">
        <v>196</v>
      </c>
      <c r="G191" s="99">
        <v>460</v>
      </c>
      <c r="V191" s="81">
        <f t="shared" si="13"/>
        <v>-2.5</v>
      </c>
      <c r="X191" s="81">
        <f t="shared" si="14"/>
        <v>0</v>
      </c>
      <c r="Y191" s="81">
        <f t="shared" si="15"/>
        <v>0</v>
      </c>
      <c r="Z191" s="81">
        <f t="shared" si="16"/>
        <v>1</v>
      </c>
    </row>
    <row r="192" spans="1:26" ht="16.5" thickBot="1">
      <c r="A192" s="99">
        <v>197</v>
      </c>
      <c r="B192" s="99">
        <v>454.1</v>
      </c>
      <c r="F192" s="99">
        <v>197</v>
      </c>
      <c r="G192" s="99">
        <v>450</v>
      </c>
      <c r="V192" s="81">
        <f t="shared" si="13"/>
        <v>-4.1000000000000227</v>
      </c>
      <c r="X192" s="81">
        <f t="shared" si="14"/>
        <v>0</v>
      </c>
      <c r="Y192" s="81">
        <f t="shared" si="15"/>
        <v>0</v>
      </c>
      <c r="Z192" s="81">
        <f t="shared" si="16"/>
        <v>1</v>
      </c>
    </row>
    <row r="193" spans="1:26" ht="16.5" thickBot="1">
      <c r="A193" s="99">
        <v>198</v>
      </c>
      <c r="B193" s="99">
        <v>453.9</v>
      </c>
      <c r="F193" s="99">
        <v>198</v>
      </c>
      <c r="G193" s="99">
        <v>450</v>
      </c>
      <c r="V193" s="81">
        <f t="shared" si="13"/>
        <v>-3.8999999999999773</v>
      </c>
      <c r="X193" s="81">
        <f t="shared" si="14"/>
        <v>0</v>
      </c>
      <c r="Y193" s="81">
        <f t="shared" si="15"/>
        <v>0</v>
      </c>
      <c r="Z193" s="81">
        <f t="shared" si="16"/>
        <v>1</v>
      </c>
    </row>
    <row r="194" spans="1:26" ht="16.5" thickBot="1">
      <c r="A194" s="99">
        <v>203</v>
      </c>
      <c r="B194" s="99">
        <v>500.7</v>
      </c>
      <c r="F194" s="99">
        <v>203</v>
      </c>
      <c r="G194" s="99">
        <v>500</v>
      </c>
      <c r="V194" s="81">
        <f t="shared" si="13"/>
        <v>-0.69999999999998863</v>
      </c>
      <c r="X194" s="81">
        <f t="shared" si="14"/>
        <v>0</v>
      </c>
      <c r="Y194" s="81">
        <f t="shared" si="15"/>
        <v>0</v>
      </c>
      <c r="Z194" s="81">
        <f t="shared" si="16"/>
        <v>1</v>
      </c>
    </row>
    <row r="195" spans="1:26" ht="16.5" thickBot="1">
      <c r="A195" s="99">
        <v>204</v>
      </c>
      <c r="B195" s="99">
        <v>500.7</v>
      </c>
      <c r="F195" s="99">
        <v>204</v>
      </c>
      <c r="G195" s="99">
        <v>500</v>
      </c>
      <c r="V195" s="81">
        <f t="shared" si="13"/>
        <v>-0.69999999999998863</v>
      </c>
      <c r="X195" s="81">
        <f t="shared" si="14"/>
        <v>0</v>
      </c>
      <c r="Y195" s="81">
        <f t="shared" si="15"/>
        <v>0</v>
      </c>
      <c r="Z195" s="81">
        <f t="shared" si="16"/>
        <v>1</v>
      </c>
    </row>
    <row r="196" spans="1:26" ht="16.5" thickBot="1">
      <c r="A196" s="99">
        <v>205</v>
      </c>
      <c r="B196" s="99">
        <v>500.7</v>
      </c>
      <c r="F196" s="99">
        <v>205</v>
      </c>
      <c r="G196" s="99">
        <v>500</v>
      </c>
      <c r="V196" s="81">
        <f t="shared" si="13"/>
        <v>-0.69999999999998863</v>
      </c>
      <c r="X196" s="81">
        <f t="shared" si="14"/>
        <v>0</v>
      </c>
      <c r="Y196" s="81">
        <f t="shared" si="15"/>
        <v>0</v>
      </c>
      <c r="Z196" s="81">
        <f t="shared" si="16"/>
        <v>1</v>
      </c>
    </row>
    <row r="197" spans="1:26" ht="16.5" thickBot="1">
      <c r="A197" s="99">
        <v>206</v>
      </c>
      <c r="B197" s="99">
        <v>500.7</v>
      </c>
      <c r="F197" s="99">
        <v>206</v>
      </c>
      <c r="G197" s="99">
        <v>500</v>
      </c>
      <c r="V197" s="81">
        <f t="shared" ref="V197:V260" si="17">G197-B197</f>
        <v>-0.69999999999998863</v>
      </c>
      <c r="X197" s="81">
        <f t="shared" ref="X197:X241" si="18">IF($V197&lt;-$AA$4,1,0)</f>
        <v>0</v>
      </c>
      <c r="Y197" s="81">
        <f t="shared" ref="Y197:Y241" si="19">IF($V197&gt;$AA$4,1,0)</f>
        <v>0</v>
      </c>
      <c r="Z197" s="81">
        <f t="shared" ref="Z197:Z260" si="20">IF($V197&gt;=-$AA$4,IF(V197&lt;=$AA$4,1,""),"")</f>
        <v>1</v>
      </c>
    </row>
    <row r="198" spans="1:26" ht="16.5" thickBot="1">
      <c r="A198" s="99">
        <v>207</v>
      </c>
      <c r="B198" s="99">
        <v>500.7</v>
      </c>
      <c r="F198" s="99">
        <v>207</v>
      </c>
      <c r="G198" s="99">
        <v>500</v>
      </c>
      <c r="V198" s="81">
        <f t="shared" si="17"/>
        <v>-0.69999999999998863</v>
      </c>
      <c r="X198" s="81">
        <f t="shared" si="18"/>
        <v>0</v>
      </c>
      <c r="Y198" s="81">
        <f t="shared" si="19"/>
        <v>0</v>
      </c>
      <c r="Z198" s="81">
        <f t="shared" si="20"/>
        <v>1</v>
      </c>
    </row>
    <row r="199" spans="1:26" ht="16.5" thickBot="1">
      <c r="A199" s="99">
        <v>208</v>
      </c>
      <c r="B199" s="99">
        <v>500.7</v>
      </c>
      <c r="F199" s="99">
        <v>208</v>
      </c>
      <c r="G199" s="99">
        <v>500</v>
      </c>
      <c r="V199" s="81">
        <f t="shared" si="17"/>
        <v>-0.69999999999998863</v>
      </c>
      <c r="X199" s="81">
        <f t="shared" si="18"/>
        <v>0</v>
      </c>
      <c r="Y199" s="81">
        <f t="shared" si="19"/>
        <v>0</v>
      </c>
      <c r="Z199" s="81">
        <f t="shared" si="20"/>
        <v>1</v>
      </c>
    </row>
    <row r="200" spans="1:26" ht="16.5" thickBot="1">
      <c r="A200" s="99">
        <v>209</v>
      </c>
      <c r="B200" s="99">
        <v>500.7</v>
      </c>
      <c r="F200" s="99">
        <v>209</v>
      </c>
      <c r="G200" s="99">
        <v>500</v>
      </c>
      <c r="V200" s="81">
        <f t="shared" si="17"/>
        <v>-0.69999999999998863</v>
      </c>
      <c r="X200" s="81">
        <f t="shared" si="18"/>
        <v>0</v>
      </c>
      <c r="Y200" s="81">
        <f t="shared" si="19"/>
        <v>0</v>
      </c>
      <c r="Z200" s="81">
        <f t="shared" si="20"/>
        <v>1</v>
      </c>
    </row>
    <row r="201" spans="1:26" ht="16.5" thickBot="1">
      <c r="A201" s="99">
        <v>210</v>
      </c>
      <c r="B201" s="99">
        <v>500.7</v>
      </c>
      <c r="F201" s="99">
        <v>210</v>
      </c>
      <c r="G201" s="99">
        <v>500</v>
      </c>
      <c r="V201" s="81">
        <f t="shared" si="17"/>
        <v>-0.69999999999998863</v>
      </c>
      <c r="X201" s="81">
        <f t="shared" si="18"/>
        <v>0</v>
      </c>
      <c r="Y201" s="81">
        <f t="shared" si="19"/>
        <v>0</v>
      </c>
      <c r="Z201" s="81">
        <f t="shared" si="20"/>
        <v>1</v>
      </c>
    </row>
    <row r="202" spans="1:26" ht="16.5" thickBot="1">
      <c r="A202" s="99">
        <v>211</v>
      </c>
      <c r="B202" s="99">
        <v>500.7</v>
      </c>
      <c r="F202" s="99">
        <v>211</v>
      </c>
      <c r="G202" s="99">
        <v>500</v>
      </c>
      <c r="V202" s="81">
        <f t="shared" si="17"/>
        <v>-0.69999999999998863</v>
      </c>
      <c r="X202" s="81">
        <f t="shared" si="18"/>
        <v>0</v>
      </c>
      <c r="Y202" s="81">
        <f t="shared" si="19"/>
        <v>0</v>
      </c>
      <c r="Z202" s="81">
        <f t="shared" si="20"/>
        <v>1</v>
      </c>
    </row>
    <row r="203" spans="1:26" ht="16.5" thickBot="1">
      <c r="A203" s="99">
        <v>212</v>
      </c>
      <c r="B203" s="99">
        <v>500.7</v>
      </c>
      <c r="F203" s="99">
        <v>212</v>
      </c>
      <c r="G203" s="99">
        <v>500</v>
      </c>
      <c r="V203" s="81">
        <f t="shared" si="17"/>
        <v>-0.69999999999998863</v>
      </c>
      <c r="X203" s="81">
        <f t="shared" si="18"/>
        <v>0</v>
      </c>
      <c r="Y203" s="81">
        <f t="shared" si="19"/>
        <v>0</v>
      </c>
      <c r="Z203" s="81">
        <f t="shared" si="20"/>
        <v>1</v>
      </c>
    </row>
    <row r="204" spans="1:26" ht="16.5" thickBot="1">
      <c r="A204" s="99">
        <v>213</v>
      </c>
      <c r="B204" s="99">
        <v>467.1</v>
      </c>
      <c r="F204" s="99">
        <v>213</v>
      </c>
      <c r="G204" s="99">
        <v>460</v>
      </c>
      <c r="V204" s="81">
        <f t="shared" si="17"/>
        <v>-7.1000000000000227</v>
      </c>
      <c r="X204" s="81">
        <f t="shared" si="18"/>
        <v>0</v>
      </c>
      <c r="Y204" s="81">
        <f t="shared" si="19"/>
        <v>0</v>
      </c>
      <c r="Z204" s="81">
        <f t="shared" si="20"/>
        <v>1</v>
      </c>
    </row>
    <row r="205" spans="1:26" ht="16.5" thickBot="1">
      <c r="A205" s="99">
        <v>214</v>
      </c>
      <c r="B205" s="99">
        <v>461.1</v>
      </c>
      <c r="F205" s="99">
        <v>214</v>
      </c>
      <c r="G205" s="99">
        <v>450</v>
      </c>
      <c r="V205" s="81">
        <f t="shared" si="17"/>
        <v>-11.100000000000023</v>
      </c>
      <c r="X205" s="81">
        <f t="shared" si="18"/>
        <v>0</v>
      </c>
      <c r="Y205" s="81">
        <f t="shared" si="19"/>
        <v>0</v>
      </c>
      <c r="Z205" s="81">
        <f t="shared" si="20"/>
        <v>1</v>
      </c>
    </row>
    <row r="206" spans="1:26" ht="16.5" thickBot="1">
      <c r="A206" s="99">
        <v>215</v>
      </c>
      <c r="B206" s="99">
        <v>454.9</v>
      </c>
      <c r="F206" s="99">
        <v>215</v>
      </c>
      <c r="G206" s="99">
        <v>450</v>
      </c>
      <c r="V206" s="81">
        <f t="shared" si="17"/>
        <v>-4.8999999999999773</v>
      </c>
      <c r="X206" s="81">
        <f t="shared" si="18"/>
        <v>0</v>
      </c>
      <c r="Y206" s="81">
        <f t="shared" si="19"/>
        <v>0</v>
      </c>
      <c r="Z206" s="81">
        <f t="shared" si="20"/>
        <v>1</v>
      </c>
    </row>
    <row r="207" spans="1:26" ht="16.5" thickBot="1">
      <c r="A207" s="99">
        <v>222</v>
      </c>
      <c r="B207" s="99">
        <v>500.7</v>
      </c>
      <c r="F207" s="99">
        <v>222</v>
      </c>
      <c r="G207" s="99">
        <v>530</v>
      </c>
      <c r="V207" s="81">
        <f t="shared" si="17"/>
        <v>29.300000000000011</v>
      </c>
      <c r="X207" s="81">
        <f t="shared" si="18"/>
        <v>0</v>
      </c>
      <c r="Y207" s="81">
        <f t="shared" si="19"/>
        <v>0</v>
      </c>
      <c r="Z207" s="81">
        <f t="shared" si="20"/>
        <v>1</v>
      </c>
    </row>
    <row r="208" spans="1:26" ht="16.5" thickBot="1">
      <c r="A208" s="99">
        <v>223</v>
      </c>
      <c r="B208" s="99">
        <v>500.7</v>
      </c>
      <c r="F208" s="99">
        <v>223</v>
      </c>
      <c r="G208" s="99">
        <v>570</v>
      </c>
      <c r="V208" s="81">
        <f t="shared" si="17"/>
        <v>69.300000000000011</v>
      </c>
      <c r="X208" s="81">
        <f t="shared" si="18"/>
        <v>0</v>
      </c>
      <c r="Y208" s="81">
        <f t="shared" si="19"/>
        <v>1</v>
      </c>
      <c r="Z208" s="81" t="str">
        <f t="shared" si="20"/>
        <v/>
      </c>
    </row>
    <row r="209" spans="1:26" ht="16.5" thickBot="1">
      <c r="A209" s="99">
        <v>224</v>
      </c>
      <c r="B209" s="99">
        <v>500.7</v>
      </c>
      <c r="F209" s="99">
        <v>224</v>
      </c>
      <c r="G209" s="99">
        <v>500</v>
      </c>
      <c r="V209" s="81">
        <f t="shared" si="17"/>
        <v>-0.69999999999998863</v>
      </c>
      <c r="X209" s="81">
        <f t="shared" si="18"/>
        <v>0</v>
      </c>
      <c r="Y209" s="81">
        <f t="shared" si="19"/>
        <v>0</v>
      </c>
      <c r="Z209" s="81">
        <f t="shared" si="20"/>
        <v>1</v>
      </c>
    </row>
    <row r="210" spans="1:26" ht="16.5" thickBot="1">
      <c r="A210" s="99">
        <v>225</v>
      </c>
      <c r="B210" s="99">
        <v>500.7</v>
      </c>
      <c r="F210" s="99">
        <v>225</v>
      </c>
      <c r="G210" s="99">
        <v>530</v>
      </c>
      <c r="V210" s="81">
        <f t="shared" si="17"/>
        <v>29.300000000000011</v>
      </c>
      <c r="X210" s="81">
        <f t="shared" si="18"/>
        <v>0</v>
      </c>
      <c r="Y210" s="81">
        <f t="shared" si="19"/>
        <v>0</v>
      </c>
      <c r="Z210" s="81">
        <f t="shared" si="20"/>
        <v>1</v>
      </c>
    </row>
    <row r="211" spans="1:26" ht="16.5" thickBot="1">
      <c r="A211" s="99">
        <v>226</v>
      </c>
      <c r="B211" s="99">
        <v>500.7</v>
      </c>
      <c r="F211" s="99">
        <v>226</v>
      </c>
      <c r="G211" s="99">
        <v>590</v>
      </c>
      <c r="V211" s="81">
        <f t="shared" si="17"/>
        <v>89.300000000000011</v>
      </c>
      <c r="X211" s="81">
        <f t="shared" si="18"/>
        <v>0</v>
      </c>
      <c r="Y211" s="81">
        <f t="shared" si="19"/>
        <v>1</v>
      </c>
      <c r="Z211" s="81" t="str">
        <f t="shared" si="20"/>
        <v/>
      </c>
    </row>
    <row r="212" spans="1:26" ht="16.5" thickBot="1">
      <c r="A212" s="99">
        <v>227</v>
      </c>
      <c r="B212" s="99">
        <v>500.7</v>
      </c>
      <c r="F212" s="99">
        <v>227</v>
      </c>
      <c r="G212" s="99">
        <v>500</v>
      </c>
      <c r="V212" s="81">
        <f t="shared" si="17"/>
        <v>-0.69999999999998863</v>
      </c>
      <c r="X212" s="81">
        <f t="shared" si="18"/>
        <v>0</v>
      </c>
      <c r="Y212" s="81">
        <f t="shared" si="19"/>
        <v>0</v>
      </c>
      <c r="Z212" s="81">
        <f t="shared" si="20"/>
        <v>1</v>
      </c>
    </row>
    <row r="213" spans="1:26" ht="16.5" thickBot="1">
      <c r="A213" s="99">
        <v>228</v>
      </c>
      <c r="B213" s="99">
        <v>488.3</v>
      </c>
      <c r="F213" s="99">
        <v>228</v>
      </c>
      <c r="G213" s="99">
        <v>480</v>
      </c>
      <c r="V213" s="81">
        <f t="shared" si="17"/>
        <v>-8.3000000000000114</v>
      </c>
      <c r="X213" s="81">
        <f t="shared" si="18"/>
        <v>0</v>
      </c>
      <c r="Y213" s="81">
        <f t="shared" si="19"/>
        <v>0</v>
      </c>
      <c r="Z213" s="81">
        <f t="shared" si="20"/>
        <v>1</v>
      </c>
    </row>
    <row r="214" spans="1:26" ht="16.5" thickBot="1">
      <c r="A214" s="99">
        <v>229</v>
      </c>
      <c r="B214" s="99">
        <v>465</v>
      </c>
      <c r="F214" s="99">
        <v>229</v>
      </c>
      <c r="G214" s="99">
        <v>460</v>
      </c>
      <c r="V214" s="81">
        <f t="shared" si="17"/>
        <v>-5</v>
      </c>
      <c r="X214" s="81">
        <f t="shared" si="18"/>
        <v>0</v>
      </c>
      <c r="Y214" s="81">
        <f t="shared" si="19"/>
        <v>0</v>
      </c>
      <c r="Z214" s="81">
        <f t="shared" si="20"/>
        <v>1</v>
      </c>
    </row>
    <row r="215" spans="1:26" ht="16.5" thickBot="1">
      <c r="A215" s="99">
        <v>230</v>
      </c>
      <c r="B215" s="99">
        <v>462.1</v>
      </c>
      <c r="F215" s="99">
        <v>230</v>
      </c>
      <c r="G215" s="99">
        <v>450</v>
      </c>
      <c r="V215" s="81">
        <f t="shared" si="17"/>
        <v>-12.100000000000023</v>
      </c>
      <c r="X215" s="81">
        <f t="shared" si="18"/>
        <v>0</v>
      </c>
      <c r="Y215" s="81">
        <f t="shared" si="19"/>
        <v>0</v>
      </c>
      <c r="Z215" s="81">
        <f t="shared" si="20"/>
        <v>1</v>
      </c>
    </row>
    <row r="216" spans="1:26" ht="16.5" thickBot="1">
      <c r="A216" s="99">
        <v>233</v>
      </c>
      <c r="B216" s="99">
        <v>500.7</v>
      </c>
      <c r="F216" s="99">
        <v>233</v>
      </c>
      <c r="G216" s="99">
        <v>500</v>
      </c>
      <c r="V216" s="81">
        <f t="shared" si="17"/>
        <v>-0.69999999999998863</v>
      </c>
      <c r="X216" s="81">
        <f t="shared" si="18"/>
        <v>0</v>
      </c>
      <c r="Y216" s="81">
        <f t="shared" si="19"/>
        <v>0</v>
      </c>
      <c r="Z216" s="81">
        <f t="shared" si="20"/>
        <v>1</v>
      </c>
    </row>
    <row r="217" spans="1:26" ht="16.5" thickBot="1">
      <c r="A217" s="99">
        <v>234</v>
      </c>
      <c r="B217" s="99">
        <v>500.7</v>
      </c>
      <c r="F217" s="99">
        <v>234</v>
      </c>
      <c r="G217" s="99">
        <v>500</v>
      </c>
      <c r="V217" s="81">
        <f t="shared" si="17"/>
        <v>-0.69999999999998863</v>
      </c>
      <c r="X217" s="81">
        <f t="shared" si="18"/>
        <v>0</v>
      </c>
      <c r="Y217" s="81">
        <f t="shared" si="19"/>
        <v>0</v>
      </c>
      <c r="Z217" s="81">
        <f t="shared" si="20"/>
        <v>1</v>
      </c>
    </row>
    <row r="218" spans="1:26" ht="16.5" thickBot="1">
      <c r="A218" s="99">
        <v>235</v>
      </c>
      <c r="B218" s="99">
        <v>500.7</v>
      </c>
      <c r="F218" s="99">
        <v>235</v>
      </c>
      <c r="G218" s="99">
        <v>560</v>
      </c>
      <c r="V218" s="81">
        <f t="shared" si="17"/>
        <v>59.300000000000011</v>
      </c>
      <c r="X218" s="81">
        <f t="shared" si="18"/>
        <v>0</v>
      </c>
      <c r="Y218" s="81">
        <f t="shared" si="19"/>
        <v>1</v>
      </c>
      <c r="Z218" s="81" t="str">
        <f t="shared" si="20"/>
        <v/>
      </c>
    </row>
    <row r="219" spans="1:26" ht="16.5" thickBot="1">
      <c r="A219" s="99">
        <v>236</v>
      </c>
      <c r="B219" s="99">
        <v>500.7</v>
      </c>
      <c r="F219" s="99">
        <v>236</v>
      </c>
      <c r="G219" s="99">
        <v>500</v>
      </c>
      <c r="V219" s="81">
        <f t="shared" si="17"/>
        <v>-0.69999999999998863</v>
      </c>
      <c r="X219" s="81">
        <f t="shared" si="18"/>
        <v>0</v>
      </c>
      <c r="Y219" s="81">
        <f t="shared" si="19"/>
        <v>0</v>
      </c>
      <c r="Z219" s="81">
        <f t="shared" si="20"/>
        <v>1</v>
      </c>
    </row>
    <row r="220" spans="1:26" ht="16.5" thickBot="1">
      <c r="A220" s="99">
        <v>237</v>
      </c>
      <c r="B220" s="99">
        <v>500.7</v>
      </c>
      <c r="F220" s="99">
        <v>237</v>
      </c>
      <c r="G220" s="99">
        <v>560</v>
      </c>
      <c r="V220" s="81">
        <f t="shared" si="17"/>
        <v>59.300000000000011</v>
      </c>
      <c r="X220" s="81">
        <f t="shared" si="18"/>
        <v>0</v>
      </c>
      <c r="Y220" s="81">
        <f t="shared" si="19"/>
        <v>1</v>
      </c>
      <c r="Z220" s="81" t="str">
        <f t="shared" si="20"/>
        <v/>
      </c>
    </row>
    <row r="221" spans="1:26" ht="16.5" thickBot="1">
      <c r="A221" s="99">
        <v>238</v>
      </c>
      <c r="B221" s="99">
        <v>500.7</v>
      </c>
      <c r="F221" s="99">
        <v>238</v>
      </c>
      <c r="G221" s="99">
        <v>500</v>
      </c>
      <c r="V221" s="81">
        <f t="shared" si="17"/>
        <v>-0.69999999999998863</v>
      </c>
      <c r="X221" s="81">
        <f t="shared" si="18"/>
        <v>0</v>
      </c>
      <c r="Y221" s="81">
        <f t="shared" si="19"/>
        <v>0</v>
      </c>
      <c r="Z221" s="81">
        <f t="shared" si="20"/>
        <v>1</v>
      </c>
    </row>
    <row r="222" spans="1:26" ht="16.5" thickBot="1">
      <c r="A222" s="99">
        <v>239</v>
      </c>
      <c r="B222" s="99">
        <v>500.7</v>
      </c>
      <c r="F222" s="99">
        <v>239</v>
      </c>
      <c r="G222" s="99">
        <v>560</v>
      </c>
      <c r="V222" s="81">
        <f t="shared" si="17"/>
        <v>59.300000000000011</v>
      </c>
      <c r="X222" s="81">
        <f t="shared" si="18"/>
        <v>0</v>
      </c>
      <c r="Y222" s="81">
        <f t="shared" si="19"/>
        <v>1</v>
      </c>
      <c r="Z222" s="81" t="str">
        <f t="shared" si="20"/>
        <v/>
      </c>
    </row>
    <row r="223" spans="1:26" ht="16.5" thickBot="1">
      <c r="A223" s="99">
        <v>240</v>
      </c>
      <c r="B223" s="99">
        <v>500.7</v>
      </c>
      <c r="F223" s="99">
        <v>240</v>
      </c>
      <c r="G223" s="99">
        <v>500</v>
      </c>
      <c r="V223" s="81">
        <f t="shared" si="17"/>
        <v>-0.69999999999998863</v>
      </c>
      <c r="X223" s="81">
        <f t="shared" si="18"/>
        <v>0</v>
      </c>
      <c r="Y223" s="81">
        <f t="shared" si="19"/>
        <v>0</v>
      </c>
      <c r="Z223" s="81">
        <f t="shared" si="20"/>
        <v>1</v>
      </c>
    </row>
    <row r="224" spans="1:26" ht="16.5" thickBot="1">
      <c r="A224" s="99">
        <v>241</v>
      </c>
      <c r="B224" s="99">
        <v>378.4</v>
      </c>
      <c r="F224" s="99">
        <v>241</v>
      </c>
      <c r="G224" s="99">
        <v>370</v>
      </c>
      <c r="V224" s="81">
        <f t="shared" si="17"/>
        <v>-8.3999999999999773</v>
      </c>
      <c r="X224" s="81">
        <f t="shared" si="18"/>
        <v>0</v>
      </c>
      <c r="Y224" s="81">
        <f t="shared" si="19"/>
        <v>0</v>
      </c>
      <c r="Z224" s="81">
        <f t="shared" si="20"/>
        <v>1</v>
      </c>
    </row>
    <row r="225" spans="1:26" ht="16.5" thickBot="1">
      <c r="A225" s="99">
        <v>243</v>
      </c>
      <c r="B225" s="99">
        <v>500.7</v>
      </c>
      <c r="F225" s="99">
        <v>243</v>
      </c>
      <c r="G225" s="99">
        <v>500</v>
      </c>
      <c r="V225" s="81">
        <f t="shared" si="17"/>
        <v>-0.69999999999998863</v>
      </c>
      <c r="X225" s="81">
        <f t="shared" si="18"/>
        <v>0</v>
      </c>
      <c r="Y225" s="81">
        <f t="shared" si="19"/>
        <v>0</v>
      </c>
      <c r="Z225" s="81">
        <f t="shared" si="20"/>
        <v>1</v>
      </c>
    </row>
    <row r="226" spans="1:26" ht="16.5" thickBot="1">
      <c r="A226" s="99">
        <v>244</v>
      </c>
      <c r="B226" s="99">
        <v>500.7</v>
      </c>
      <c r="F226" s="99">
        <v>244</v>
      </c>
      <c r="G226" s="99">
        <v>500</v>
      </c>
      <c r="V226" s="81">
        <f t="shared" si="17"/>
        <v>-0.69999999999998863</v>
      </c>
      <c r="X226" s="81">
        <f t="shared" si="18"/>
        <v>0</v>
      </c>
      <c r="Y226" s="81">
        <f t="shared" si="19"/>
        <v>0</v>
      </c>
      <c r="Z226" s="81">
        <f t="shared" si="20"/>
        <v>1</v>
      </c>
    </row>
    <row r="227" spans="1:26" ht="16.5" thickBot="1">
      <c r="A227" s="99">
        <v>245</v>
      </c>
      <c r="B227" s="99">
        <v>500.7</v>
      </c>
      <c r="F227" s="99">
        <v>245</v>
      </c>
      <c r="G227" s="99">
        <v>500</v>
      </c>
      <c r="V227" s="81">
        <f t="shared" si="17"/>
        <v>-0.69999999999998863</v>
      </c>
      <c r="X227" s="81">
        <f t="shared" si="18"/>
        <v>0</v>
      </c>
      <c r="Y227" s="81">
        <f t="shared" si="19"/>
        <v>0</v>
      </c>
      <c r="Z227" s="81">
        <f t="shared" si="20"/>
        <v>1</v>
      </c>
    </row>
    <row r="228" spans="1:26" ht="16.5" thickBot="1">
      <c r="A228" s="99">
        <v>246</v>
      </c>
      <c r="B228" s="99">
        <v>500.7</v>
      </c>
      <c r="F228" s="99">
        <v>246</v>
      </c>
      <c r="G228" s="99">
        <v>550</v>
      </c>
      <c r="V228" s="81">
        <f t="shared" si="17"/>
        <v>49.300000000000011</v>
      </c>
      <c r="X228" s="81">
        <f t="shared" si="18"/>
        <v>0</v>
      </c>
      <c r="Y228" s="81">
        <f t="shared" si="19"/>
        <v>0</v>
      </c>
      <c r="Z228" s="81">
        <f t="shared" si="20"/>
        <v>1</v>
      </c>
    </row>
    <row r="229" spans="1:26" ht="16.5" thickBot="1">
      <c r="A229" s="99">
        <v>247</v>
      </c>
      <c r="B229" s="99">
        <v>500.7</v>
      </c>
      <c r="F229" s="99">
        <v>247</v>
      </c>
      <c r="G229" s="99">
        <v>500</v>
      </c>
      <c r="V229" s="81">
        <f t="shared" si="17"/>
        <v>-0.69999999999998863</v>
      </c>
      <c r="X229" s="81">
        <f t="shared" si="18"/>
        <v>0</v>
      </c>
      <c r="Y229" s="81">
        <f t="shared" si="19"/>
        <v>0</v>
      </c>
      <c r="Z229" s="81">
        <f t="shared" si="20"/>
        <v>1</v>
      </c>
    </row>
    <row r="230" spans="1:26" ht="16.5" thickBot="1">
      <c r="A230" s="99">
        <v>248</v>
      </c>
      <c r="B230" s="99">
        <v>412.3</v>
      </c>
      <c r="F230" s="99">
        <v>248</v>
      </c>
      <c r="G230" s="99">
        <v>510</v>
      </c>
      <c r="V230" s="81">
        <f t="shared" si="17"/>
        <v>97.699999999999989</v>
      </c>
      <c r="X230" s="81">
        <f t="shared" si="18"/>
        <v>0</v>
      </c>
      <c r="Y230" s="81">
        <f t="shared" si="19"/>
        <v>1</v>
      </c>
      <c r="Z230" s="81" t="str">
        <f t="shared" si="20"/>
        <v/>
      </c>
    </row>
    <row r="231" spans="1:26" ht="16.5" thickBot="1">
      <c r="A231" s="99">
        <v>249</v>
      </c>
      <c r="B231" s="99">
        <v>462.7</v>
      </c>
      <c r="F231" s="99">
        <v>249</v>
      </c>
      <c r="G231" s="99">
        <v>460</v>
      </c>
      <c r="V231" s="81">
        <f t="shared" si="17"/>
        <v>-2.6999999999999886</v>
      </c>
      <c r="X231" s="81">
        <f t="shared" si="18"/>
        <v>0</v>
      </c>
      <c r="Y231" s="81">
        <f t="shared" si="19"/>
        <v>0</v>
      </c>
      <c r="Z231" s="81">
        <f t="shared" si="20"/>
        <v>1</v>
      </c>
    </row>
    <row r="232" spans="1:26" ht="16.5" thickBot="1">
      <c r="A232" s="99">
        <v>250</v>
      </c>
      <c r="B232" s="99">
        <v>500.7</v>
      </c>
      <c r="F232" s="99">
        <v>250</v>
      </c>
      <c r="G232" s="99">
        <v>500</v>
      </c>
      <c r="V232" s="81">
        <f t="shared" si="17"/>
        <v>-0.69999999999998863</v>
      </c>
      <c r="X232" s="81">
        <f t="shared" si="18"/>
        <v>0</v>
      </c>
      <c r="Y232" s="81">
        <f t="shared" si="19"/>
        <v>0</v>
      </c>
      <c r="Z232" s="81">
        <f t="shared" si="20"/>
        <v>1</v>
      </c>
    </row>
    <row r="233" spans="1:26" ht="16.5" thickBot="1">
      <c r="A233" s="99">
        <v>251</v>
      </c>
      <c r="B233" s="99">
        <v>500.7</v>
      </c>
      <c r="F233" s="99">
        <v>251</v>
      </c>
      <c r="G233" s="99">
        <v>500</v>
      </c>
      <c r="V233" s="81">
        <f t="shared" si="17"/>
        <v>-0.69999999999998863</v>
      </c>
      <c r="X233" s="81">
        <f t="shared" si="18"/>
        <v>0</v>
      </c>
      <c r="Y233" s="81">
        <f t="shared" si="19"/>
        <v>0</v>
      </c>
      <c r="Z233" s="81">
        <f t="shared" si="20"/>
        <v>1</v>
      </c>
    </row>
    <row r="234" spans="1:26" ht="16.5" thickBot="1">
      <c r="A234" s="99">
        <v>252</v>
      </c>
      <c r="B234" s="99">
        <v>500.7</v>
      </c>
      <c r="F234" s="99">
        <v>252</v>
      </c>
      <c r="G234" s="99">
        <v>500</v>
      </c>
      <c r="V234" s="81">
        <f t="shared" si="17"/>
        <v>-0.69999999999998863</v>
      </c>
      <c r="X234" s="81">
        <f t="shared" si="18"/>
        <v>0</v>
      </c>
      <c r="Y234" s="81">
        <f t="shared" si="19"/>
        <v>0</v>
      </c>
      <c r="Z234" s="81">
        <f t="shared" si="20"/>
        <v>1</v>
      </c>
    </row>
    <row r="235" spans="1:26" ht="16.5" thickBot="1">
      <c r="A235" s="99">
        <v>253</v>
      </c>
      <c r="B235" s="99">
        <v>438.2</v>
      </c>
      <c r="F235" s="99">
        <v>253</v>
      </c>
      <c r="G235" s="99">
        <v>430</v>
      </c>
      <c r="V235" s="81">
        <f t="shared" si="17"/>
        <v>-8.1999999999999886</v>
      </c>
      <c r="X235" s="81">
        <f t="shared" si="18"/>
        <v>0</v>
      </c>
      <c r="Y235" s="81">
        <f t="shared" si="19"/>
        <v>0</v>
      </c>
      <c r="Z235" s="81">
        <f t="shared" si="20"/>
        <v>1</v>
      </c>
    </row>
    <row r="236" spans="1:26" ht="16.5" thickBot="1">
      <c r="A236" s="99">
        <v>254</v>
      </c>
      <c r="B236" s="99">
        <v>463.7</v>
      </c>
      <c r="F236" s="99">
        <v>254</v>
      </c>
      <c r="G236" s="99">
        <v>510</v>
      </c>
      <c r="V236" s="81">
        <f t="shared" si="17"/>
        <v>46.300000000000011</v>
      </c>
      <c r="X236" s="81">
        <f t="shared" si="18"/>
        <v>0</v>
      </c>
      <c r="Y236" s="81">
        <f t="shared" si="19"/>
        <v>0</v>
      </c>
      <c r="Z236" s="81">
        <f t="shared" si="20"/>
        <v>1</v>
      </c>
    </row>
    <row r="237" spans="1:26" ht="16.5" thickBot="1">
      <c r="A237" s="99">
        <v>255</v>
      </c>
      <c r="B237" s="99">
        <v>500.7</v>
      </c>
      <c r="F237" s="99">
        <v>255</v>
      </c>
      <c r="G237" s="99">
        <v>500</v>
      </c>
      <c r="V237" s="81">
        <f t="shared" si="17"/>
        <v>-0.69999999999998863</v>
      </c>
      <c r="X237" s="81">
        <f t="shared" si="18"/>
        <v>0</v>
      </c>
      <c r="Y237" s="81">
        <f t="shared" si="19"/>
        <v>0</v>
      </c>
      <c r="Z237" s="81">
        <f t="shared" si="20"/>
        <v>1</v>
      </c>
    </row>
    <row r="238" spans="1:26" ht="16.5" thickBot="1">
      <c r="A238" s="99">
        <v>256</v>
      </c>
      <c r="B238" s="99">
        <v>412.3</v>
      </c>
      <c r="F238" s="99">
        <v>256</v>
      </c>
      <c r="G238" s="99">
        <v>410</v>
      </c>
      <c r="V238" s="81">
        <f t="shared" si="17"/>
        <v>-2.3000000000000114</v>
      </c>
      <c r="X238" s="81">
        <f t="shared" si="18"/>
        <v>0</v>
      </c>
      <c r="Y238" s="81">
        <f t="shared" si="19"/>
        <v>0</v>
      </c>
      <c r="Z238" s="81">
        <f t="shared" si="20"/>
        <v>1</v>
      </c>
    </row>
    <row r="239" spans="1:26" ht="16.5" thickBot="1">
      <c r="A239" s="99">
        <v>257</v>
      </c>
      <c r="B239" s="99">
        <v>423</v>
      </c>
      <c r="F239" s="99">
        <v>257</v>
      </c>
      <c r="G239" s="99">
        <v>450</v>
      </c>
      <c r="V239" s="81">
        <f t="shared" si="17"/>
        <v>27</v>
      </c>
      <c r="X239" s="81">
        <f t="shared" si="18"/>
        <v>0</v>
      </c>
      <c r="Y239" s="81">
        <f t="shared" si="19"/>
        <v>0</v>
      </c>
      <c r="Z239" s="81">
        <f t="shared" si="20"/>
        <v>1</v>
      </c>
    </row>
    <row r="240" spans="1:26" ht="16.5" thickBot="1">
      <c r="A240" s="99">
        <v>258</v>
      </c>
      <c r="B240" s="99">
        <v>412.3</v>
      </c>
      <c r="F240" s="99">
        <v>258</v>
      </c>
      <c r="G240" s="99">
        <v>410</v>
      </c>
      <c r="V240" s="81">
        <f t="shared" si="17"/>
        <v>-2.3000000000000114</v>
      </c>
      <c r="X240" s="81">
        <f t="shared" si="18"/>
        <v>0</v>
      </c>
      <c r="Y240" s="81">
        <f t="shared" si="19"/>
        <v>0</v>
      </c>
      <c r="Z240" s="81">
        <f t="shared" si="20"/>
        <v>1</v>
      </c>
    </row>
    <row r="241" spans="22:26">
      <c r="V241" s="81"/>
      <c r="X241" s="81"/>
      <c r="Y241" s="81"/>
      <c r="Z241" s="81"/>
    </row>
    <row r="242" spans="22:26">
      <c r="V242" s="81"/>
      <c r="X242" s="81"/>
      <c r="Y242" s="81"/>
      <c r="Z242" s="81"/>
    </row>
    <row r="243" spans="22:26">
      <c r="V243" s="81"/>
      <c r="X243" s="81"/>
      <c r="Y243" s="81"/>
      <c r="Z243" s="81"/>
    </row>
    <row r="244" spans="22:26">
      <c r="V244" s="81"/>
      <c r="X244" s="81"/>
      <c r="Y244" s="81"/>
      <c r="Z244" s="81"/>
    </row>
    <row r="245" spans="22:26">
      <c r="V245" s="81"/>
      <c r="X245" s="81"/>
      <c r="Y245" s="81"/>
      <c r="Z245" s="81"/>
    </row>
    <row r="246" spans="22:26">
      <c r="V246" s="81"/>
      <c r="X246" s="81"/>
      <c r="Y246" s="81"/>
      <c r="Z246" s="81"/>
    </row>
    <row r="247" spans="22:26">
      <c r="V247" s="81"/>
      <c r="X247" s="81"/>
      <c r="Y247" s="81"/>
      <c r="Z247" s="81"/>
    </row>
    <row r="248" spans="22:26">
      <c r="V248" s="81"/>
      <c r="X248" s="81"/>
      <c r="Y248" s="81"/>
      <c r="Z248" s="81"/>
    </row>
    <row r="249" spans="22:26">
      <c r="V249" s="81"/>
      <c r="X249" s="81"/>
      <c r="Y249" s="81"/>
      <c r="Z249" s="81"/>
    </row>
    <row r="250" spans="22:26">
      <c r="V250" s="81"/>
      <c r="X250" s="81"/>
      <c r="Y250" s="81"/>
      <c r="Z250" s="81"/>
    </row>
    <row r="251" spans="22:26">
      <c r="V251" s="81"/>
      <c r="X251" s="81"/>
      <c r="Y251" s="81"/>
      <c r="Z251" s="81"/>
    </row>
    <row r="252" spans="22:26">
      <c r="V252" s="81"/>
      <c r="X252" s="81"/>
      <c r="Y252" s="81"/>
      <c r="Z252" s="81"/>
    </row>
    <row r="253" spans="22:26">
      <c r="V253" s="81"/>
      <c r="X253" s="81"/>
      <c r="Y253" s="81"/>
      <c r="Z253" s="81"/>
    </row>
    <row r="254" spans="22:26">
      <c r="V254" s="81"/>
      <c r="X254" s="81"/>
      <c r="Y254" s="81"/>
      <c r="Z254" s="81"/>
    </row>
    <row r="255" spans="22:26">
      <c r="V255" s="81"/>
      <c r="X255" s="81"/>
      <c r="Y255" s="81"/>
      <c r="Z255" s="81"/>
    </row>
    <row r="256" spans="22:26">
      <c r="V256" s="81"/>
      <c r="X256" s="81"/>
      <c r="Y256" s="81"/>
      <c r="Z256" s="81"/>
    </row>
    <row r="257" spans="22:26">
      <c r="V257" s="81"/>
      <c r="X257" s="81"/>
      <c r="Y257" s="81"/>
      <c r="Z257" s="81"/>
    </row>
    <row r="258" spans="22:26">
      <c r="V258" s="81"/>
      <c r="X258" s="81"/>
      <c r="Y258" s="81"/>
      <c r="Z258" s="81"/>
    </row>
    <row r="259" spans="22:26">
      <c r="V259" s="81"/>
      <c r="X259" s="81"/>
      <c r="Y259" s="81"/>
      <c r="Z259" s="81"/>
    </row>
    <row r="260" spans="22:26">
      <c r="V260" s="81"/>
      <c r="X260" s="81"/>
      <c r="Y260" s="81"/>
      <c r="Z260" s="81"/>
    </row>
    <row r="261" spans="22:26">
      <c r="V261" s="81"/>
      <c r="X261" s="81"/>
      <c r="Y261" s="81"/>
      <c r="Z261" s="81"/>
    </row>
    <row r="262" spans="22:26">
      <c r="V262" s="81"/>
      <c r="X262" s="81"/>
      <c r="Y262" s="81"/>
      <c r="Z262" s="81"/>
    </row>
    <row r="263" spans="22:26">
      <c r="V263" s="81"/>
      <c r="X263" s="81"/>
      <c r="Y263" s="81"/>
      <c r="Z263" s="81"/>
    </row>
    <row r="264" spans="22:26">
      <c r="V264" s="81"/>
      <c r="X264" s="81"/>
      <c r="Y264" s="81"/>
      <c r="Z264" s="81"/>
    </row>
  </sheetData>
  <mergeCells count="15">
    <mergeCell ref="I6:K6"/>
    <mergeCell ref="N6:P6"/>
    <mergeCell ref="D21:D22"/>
    <mergeCell ref="AC29:AD29"/>
    <mergeCell ref="AF29:AG29"/>
    <mergeCell ref="A2:B2"/>
    <mergeCell ref="F2:G2"/>
    <mergeCell ref="I2:Q2"/>
    <mergeCell ref="I3:K3"/>
    <mergeCell ref="N3:P3"/>
    <mergeCell ref="D4:D19"/>
    <mergeCell ref="I4:K4"/>
    <mergeCell ref="N4:P4"/>
    <mergeCell ref="I5:K5"/>
    <mergeCell ref="N5:P5"/>
  </mergeCells>
  <conditionalFormatting sqref="A2">
    <cfRule type="containsErrors" dxfId="23" priority="13">
      <formula>ISERROR(A2)</formula>
    </cfRule>
  </conditionalFormatting>
  <conditionalFormatting sqref="A3:B3">
    <cfRule type="containsErrors" dxfId="22" priority="7">
      <formula>ISERROR(A3)</formula>
    </cfRule>
  </conditionalFormatting>
  <conditionalFormatting sqref="F2:F3">
    <cfRule type="containsErrors" dxfId="21" priority="12">
      <formula>ISERROR(F2)</formula>
    </cfRule>
  </conditionalFormatting>
  <conditionalFormatting sqref="G3">
    <cfRule type="containsErrors" dxfId="20" priority="1">
      <formula>ISERROR(G3)</formula>
    </cfRule>
  </conditionalFormatting>
  <conditionalFormatting sqref="I2">
    <cfRule type="containsErrors" dxfId="19" priority="11">
      <formula>ISERROR(I2)</formula>
    </cfRule>
  </conditionalFormatting>
  <conditionalFormatting sqref="Q4:Q5">
    <cfRule type="containsErrors" dxfId="18" priority="10">
      <formula>ISERROR(Q4)</formula>
    </cfRule>
  </conditionalFormatting>
  <conditionalFormatting sqref="AA25:AA63">
    <cfRule type="containsErrors" dxfId="17" priority="9">
      <formula>ISERROR(AA25)</formula>
    </cfRule>
  </conditionalFormatting>
  <conditionalFormatting sqref="AB27:AB71">
    <cfRule type="containsErrors" dxfId="16" priority="6">
      <formula>ISERROR(AB27)</formula>
    </cfRule>
  </conditionalFormatting>
  <conditionalFormatting sqref="AB25:AC26">
    <cfRule type="containsErrors" dxfId="15" priority="8">
      <formula>ISERROR(AB25)</formula>
    </cfRule>
  </conditionalFormatting>
  <conditionalFormatting sqref="AC27:AC28">
    <cfRule type="containsErrors" dxfId="14" priority="5">
      <formula>ISERROR(AC27)</formula>
    </cfRule>
  </conditionalFormatting>
  <conditionalFormatting sqref="AC29:AD77">
    <cfRule type="containsErrors" dxfId="13" priority="4">
      <formula>ISERROR(AC29)</formula>
    </cfRule>
  </conditionalFormatting>
  <conditionalFormatting sqref="AE31:AE77">
    <cfRule type="containsErrors" dxfId="12" priority="3">
      <formula>ISERROR(AE31)</formula>
    </cfRule>
  </conditionalFormatting>
  <conditionalFormatting sqref="AF29:AG77">
    <cfRule type="containsErrors" dxfId="11" priority="2">
      <formula>ISERROR(AF29)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C9A0-EFCC-452A-9FFC-537C6C6A13F6}">
  <dimension ref="A1:AJ243"/>
  <sheetViews>
    <sheetView tabSelected="1" topLeftCell="H1" workbookViewId="0">
      <selection activeCell="S5" sqref="S5"/>
    </sheetView>
  </sheetViews>
  <sheetFormatPr defaultColWidth="8" defaultRowHeight="15.75"/>
  <cols>
    <col min="2" max="2" width="13.75" customWidth="1"/>
    <col min="7" max="7" width="14.375" customWidth="1"/>
    <col min="11" max="11" width="11.125" customWidth="1"/>
    <col min="12" max="12" width="9.625" customWidth="1"/>
    <col min="16" max="16" width="7.875" customWidth="1"/>
    <col min="17" max="17" width="16.375" customWidth="1"/>
    <col min="23" max="23" width="14.375" customWidth="1"/>
    <col min="24" max="24" width="14.5" customWidth="1"/>
    <col min="25" max="25" width="11" bestFit="1" customWidth="1"/>
    <col min="31" max="31" width="14.375" bestFit="1" customWidth="1"/>
    <col min="32" max="32" width="13.75" bestFit="1" customWidth="1"/>
    <col min="33" max="33" width="13.125" bestFit="1" customWidth="1"/>
    <col min="34" max="34" width="12.125" bestFit="1" customWidth="1"/>
    <col min="35" max="35" width="9.625" bestFit="1" customWidth="1"/>
  </cols>
  <sheetData>
    <row r="1" spans="1:36" ht="16.5" thickBot="1"/>
    <row r="2" spans="1:36" ht="45.75" thickBot="1">
      <c r="A2" s="40" t="s">
        <v>2</v>
      </c>
      <c r="B2" s="41"/>
      <c r="C2" s="45"/>
      <c r="D2" s="45"/>
      <c r="E2" s="45"/>
      <c r="F2" s="40" t="s">
        <v>3</v>
      </c>
      <c r="G2" s="41"/>
      <c r="I2" s="64" t="s">
        <v>85</v>
      </c>
      <c r="J2" s="64"/>
      <c r="K2" s="64"/>
      <c r="L2" s="64"/>
      <c r="M2" s="64"/>
      <c r="N2" s="64"/>
      <c r="O2" s="64"/>
      <c r="P2" s="64"/>
      <c r="Q2" s="64"/>
      <c r="V2" s="100"/>
      <c r="W2" s="101"/>
      <c r="X2" s="101"/>
      <c r="Y2" s="101"/>
      <c r="Z2" s="66"/>
      <c r="AA2" s="67"/>
      <c r="AB2" s="67"/>
      <c r="AC2" s="65"/>
      <c r="AE2" s="101"/>
      <c r="AF2" s="101"/>
      <c r="AG2" s="101" t="s">
        <v>86</v>
      </c>
      <c r="AH2" s="101" t="s">
        <v>87</v>
      </c>
      <c r="AI2" t="s">
        <v>88</v>
      </c>
    </row>
    <row r="3" spans="1:36" ht="32.25" thickBot="1">
      <c r="A3" s="10" t="s">
        <v>9</v>
      </c>
      <c r="B3" s="11" t="s">
        <v>89</v>
      </c>
      <c r="C3" s="45"/>
      <c r="D3" s="45"/>
      <c r="E3" s="45"/>
      <c r="F3" s="12" t="s">
        <v>9</v>
      </c>
      <c r="G3" s="11" t="s">
        <v>89</v>
      </c>
      <c r="I3" s="69" t="s">
        <v>58</v>
      </c>
      <c r="J3" s="69"/>
      <c r="K3" s="69"/>
      <c r="L3" s="102">
        <f>AD17</f>
        <v>237</v>
      </c>
      <c r="M3" s="45"/>
      <c r="N3" s="69" t="s">
        <v>59</v>
      </c>
      <c r="O3" s="69"/>
      <c r="P3" s="69"/>
      <c r="Q3" s="103">
        <f>AA4</f>
        <v>0.5</v>
      </c>
      <c r="V3" s="72" t="s">
        <v>60</v>
      </c>
      <c r="W3" s="72"/>
      <c r="X3" s="73" t="s">
        <v>90</v>
      </c>
      <c r="Y3" s="73" t="s">
        <v>91</v>
      </c>
      <c r="Z3" s="73" t="s">
        <v>63</v>
      </c>
      <c r="AA3" s="74" t="s">
        <v>19</v>
      </c>
      <c r="AB3" s="75"/>
      <c r="AC3" s="53" t="s">
        <v>8</v>
      </c>
      <c r="AD3" s="53"/>
      <c r="AE3" s="76"/>
      <c r="AF3" s="77"/>
      <c r="AG3" s="77" t="s">
        <v>90</v>
      </c>
      <c r="AH3" s="77" t="s">
        <v>91</v>
      </c>
      <c r="AI3" s="77" t="s">
        <v>64</v>
      </c>
    </row>
    <row r="4" spans="1:36" ht="33" customHeight="1" thickBot="1">
      <c r="A4" s="83">
        <v>1</v>
      </c>
      <c r="B4" s="79">
        <v>4.7</v>
      </c>
      <c r="C4" s="45"/>
      <c r="D4" s="54" t="s">
        <v>13</v>
      </c>
      <c r="E4" s="45"/>
      <c r="F4" s="80">
        <v>1</v>
      </c>
      <c r="G4" s="91">
        <v>4.5999999999999996</v>
      </c>
      <c r="I4" s="104" t="s">
        <v>92</v>
      </c>
      <c r="J4" s="104"/>
      <c r="K4" s="104"/>
      <c r="L4" s="102">
        <f>AD15</f>
        <v>0.70000000000000018</v>
      </c>
      <c r="M4" s="45"/>
      <c r="N4" s="69" t="s">
        <v>93</v>
      </c>
      <c r="O4" s="69"/>
      <c r="P4" s="69"/>
      <c r="Q4" s="103" t="str">
        <f>AG4 &amp; " скважин"</f>
        <v>2 скважин</v>
      </c>
      <c r="V4" s="81">
        <f>G4-B4</f>
        <v>-0.10000000000000053</v>
      </c>
      <c r="W4" s="81">
        <f>SUMIF(V4:V125,"&gt;0.5",V4:V125)</f>
        <v>0</v>
      </c>
      <c r="X4" s="81">
        <f>IF($V4&lt;-$AA$4,1,0)</f>
        <v>0</v>
      </c>
      <c r="Y4" s="81">
        <f>IF($V4&gt;$AA$4,1,0)</f>
        <v>0</v>
      </c>
      <c r="Z4" s="81">
        <f>IF($V4&gt;=-$AA$4,IF(V4&lt;=$AA$4,1,""),"")</f>
        <v>1</v>
      </c>
      <c r="AA4" s="82">
        <v>0.5</v>
      </c>
      <c r="AB4" s="75"/>
      <c r="AE4" s="77"/>
      <c r="AF4" s="77" t="s">
        <v>67</v>
      </c>
      <c r="AG4" s="77">
        <f>SUM(X:X)</f>
        <v>2</v>
      </c>
      <c r="AH4" s="77">
        <f>SUM(Y:Y)</f>
        <v>2</v>
      </c>
      <c r="AI4" s="77">
        <f>SUM(Z:Z)</f>
        <v>233</v>
      </c>
      <c r="AJ4">
        <f>SUM(AG4:AI4)</f>
        <v>237</v>
      </c>
    </row>
    <row r="5" spans="1:36" ht="36.75" customHeight="1" thickBot="1">
      <c r="A5" s="83">
        <v>2</v>
      </c>
      <c r="B5" s="84">
        <v>4.7</v>
      </c>
      <c r="C5" s="45"/>
      <c r="D5" s="54"/>
      <c r="E5" s="45"/>
      <c r="F5" s="85">
        <v>2</v>
      </c>
      <c r="G5" s="91">
        <v>4.8</v>
      </c>
      <c r="I5" s="104" t="s">
        <v>94</v>
      </c>
      <c r="J5" s="104"/>
      <c r="K5" s="104"/>
      <c r="L5" s="102">
        <f>AD14</f>
        <v>-1.5</v>
      </c>
      <c r="M5" s="45"/>
      <c r="N5" s="69" t="s">
        <v>95</v>
      </c>
      <c r="O5" s="69"/>
      <c r="P5" s="69"/>
      <c r="Q5" s="103" t="str">
        <f>AH4 &amp; " скважин"</f>
        <v>2 скважин</v>
      </c>
      <c r="V5" s="81">
        <f t="shared" ref="V5:V68" si="0">G5-B5</f>
        <v>9.9999999999999645E-2</v>
      </c>
      <c r="W5" s="81"/>
      <c r="X5" s="81">
        <f t="shared" ref="X5:X68" si="1">IF($V5&lt;-$AA$4,1,0)</f>
        <v>0</v>
      </c>
      <c r="Y5" s="81">
        <f t="shared" ref="Y5:Y68" si="2">IF($V5&gt;$AA$4,1,0)</f>
        <v>0</v>
      </c>
      <c r="Z5" s="81">
        <f t="shared" ref="Z5:Z68" si="3">IF($V5&gt;=-$AA$4,IF(V5&lt;=$AA$4,1,""),"")</f>
        <v>1</v>
      </c>
      <c r="AA5" s="75"/>
      <c r="AB5" s="75"/>
      <c r="AC5" t="s">
        <v>23</v>
      </c>
      <c r="AD5">
        <v>0.12869198312236277</v>
      </c>
      <c r="AE5" s="77"/>
      <c r="AF5" s="77" t="s">
        <v>70</v>
      </c>
      <c r="AG5" s="77">
        <f>AG4/$AJ$4</f>
        <v>8.4388185654008432E-3</v>
      </c>
      <c r="AH5" s="77">
        <f t="shared" ref="AH5:AI5" si="4">AH4/$AJ$4</f>
        <v>8.4388185654008432E-3</v>
      </c>
      <c r="AI5" s="77">
        <f t="shared" si="4"/>
        <v>0.9831223628691983</v>
      </c>
    </row>
    <row r="6" spans="1:36" ht="16.5" thickBot="1">
      <c r="A6" s="83">
        <v>3</v>
      </c>
      <c r="B6" s="84">
        <v>5</v>
      </c>
      <c r="C6" s="45"/>
      <c r="D6" s="54"/>
      <c r="E6" s="45"/>
      <c r="F6" s="85">
        <v>3</v>
      </c>
      <c r="G6" s="91">
        <v>5</v>
      </c>
      <c r="I6" s="45"/>
      <c r="J6" s="45"/>
      <c r="K6" s="45"/>
      <c r="L6" s="45"/>
      <c r="M6" s="45"/>
      <c r="N6" s="69" t="s">
        <v>96</v>
      </c>
      <c r="O6" s="69"/>
      <c r="P6" s="69"/>
      <c r="Q6" s="103" t="str">
        <f>AI4 &amp; " скважин"</f>
        <v>233 скважин</v>
      </c>
      <c r="V6" s="81">
        <f t="shared" si="0"/>
        <v>0</v>
      </c>
      <c r="W6" s="81"/>
      <c r="X6" s="81">
        <f t="shared" si="1"/>
        <v>0</v>
      </c>
      <c r="Y6" s="81">
        <f t="shared" si="2"/>
        <v>0</v>
      </c>
      <c r="Z6" s="81">
        <f t="shared" si="3"/>
        <v>1</v>
      </c>
      <c r="AA6" s="75"/>
      <c r="AB6" s="75"/>
      <c r="AC6" t="s">
        <v>24</v>
      </c>
      <c r="AD6">
        <v>1.1614390174314683E-2</v>
      </c>
      <c r="AE6" s="77"/>
      <c r="AF6" s="77"/>
      <c r="AG6" s="77"/>
      <c r="AH6" s="77"/>
      <c r="AI6" s="75"/>
    </row>
    <row r="7" spans="1:36" ht="16.5" thickBot="1">
      <c r="A7" s="83">
        <v>4</v>
      </c>
      <c r="B7" s="84">
        <v>5</v>
      </c>
      <c r="C7" s="45"/>
      <c r="D7" s="54"/>
      <c r="E7" s="45"/>
      <c r="F7" s="85">
        <v>4</v>
      </c>
      <c r="G7" s="91">
        <v>5.3</v>
      </c>
      <c r="V7" s="81">
        <f t="shared" si="0"/>
        <v>0.29999999999999982</v>
      </c>
      <c r="W7" s="81"/>
      <c r="X7" s="81">
        <f t="shared" si="1"/>
        <v>0</v>
      </c>
      <c r="Y7" s="81">
        <f t="shared" si="2"/>
        <v>0</v>
      </c>
      <c r="Z7" s="81">
        <f t="shared" si="3"/>
        <v>1</v>
      </c>
      <c r="AA7" s="75"/>
      <c r="AB7" s="75"/>
      <c r="AC7" t="s">
        <v>25</v>
      </c>
      <c r="AD7">
        <v>0.19999999999999929</v>
      </c>
      <c r="AE7" s="77"/>
      <c r="AF7" s="77"/>
      <c r="AG7" s="77"/>
      <c r="AH7" s="77"/>
      <c r="AI7" s="75"/>
    </row>
    <row r="8" spans="1:36" ht="16.5" thickBot="1">
      <c r="A8" s="83">
        <v>5</v>
      </c>
      <c r="B8" s="84">
        <v>5</v>
      </c>
      <c r="C8" s="45"/>
      <c r="D8" s="54"/>
      <c r="E8" s="45"/>
      <c r="F8" s="85">
        <v>5</v>
      </c>
      <c r="G8" s="91">
        <v>5.0999999999999996</v>
      </c>
      <c r="V8" s="81">
        <f t="shared" si="0"/>
        <v>9.9999999999999645E-2</v>
      </c>
      <c r="W8" s="81"/>
      <c r="X8" s="81">
        <f t="shared" si="1"/>
        <v>0</v>
      </c>
      <c r="Y8" s="81">
        <f t="shared" si="2"/>
        <v>0</v>
      </c>
      <c r="Z8" s="81">
        <f t="shared" si="3"/>
        <v>1</v>
      </c>
      <c r="AA8" s="75"/>
      <c r="AB8" s="75"/>
      <c r="AC8" t="s">
        <v>26</v>
      </c>
      <c r="AD8">
        <v>0</v>
      </c>
      <c r="AE8" s="77"/>
      <c r="AF8" s="77"/>
      <c r="AG8" s="77"/>
      <c r="AH8" s="77"/>
      <c r="AI8" s="75"/>
    </row>
    <row r="9" spans="1:36" ht="16.5" thickBot="1">
      <c r="A9" s="83">
        <v>6</v>
      </c>
      <c r="B9" s="84">
        <v>5</v>
      </c>
      <c r="C9" s="45"/>
      <c r="D9" s="54"/>
      <c r="E9" s="45"/>
      <c r="F9" s="85">
        <v>6</v>
      </c>
      <c r="G9" s="91">
        <v>5.3</v>
      </c>
      <c r="V9" s="81">
        <f t="shared" si="0"/>
        <v>0.29999999999999982</v>
      </c>
      <c r="W9" s="81"/>
      <c r="X9" s="81">
        <f t="shared" si="1"/>
        <v>0</v>
      </c>
      <c r="Y9" s="81">
        <f t="shared" si="2"/>
        <v>0</v>
      </c>
      <c r="Z9" s="81">
        <f t="shared" si="3"/>
        <v>1</v>
      </c>
      <c r="AA9" s="75"/>
      <c r="AB9" s="75"/>
      <c r="AC9" t="s">
        <v>27</v>
      </c>
      <c r="AD9">
        <v>0.17880126401043292</v>
      </c>
      <c r="AE9" s="77"/>
      <c r="AF9" s="77"/>
      <c r="AG9" s="77"/>
      <c r="AH9" s="77"/>
      <c r="AI9" s="75"/>
    </row>
    <row r="10" spans="1:36" ht="16.5" thickBot="1">
      <c r="A10" s="83">
        <v>7</v>
      </c>
      <c r="B10" s="84">
        <v>5</v>
      </c>
      <c r="C10" s="45"/>
      <c r="D10" s="54"/>
      <c r="E10" s="45"/>
      <c r="F10" s="85">
        <v>7</v>
      </c>
      <c r="G10" s="91">
        <v>4.9000000000000004</v>
      </c>
      <c r="V10" s="81">
        <f t="shared" si="0"/>
        <v>-9.9999999999999645E-2</v>
      </c>
      <c r="W10" s="81"/>
      <c r="X10" s="81">
        <f t="shared" si="1"/>
        <v>0</v>
      </c>
      <c r="Y10" s="81">
        <f t="shared" si="2"/>
        <v>0</v>
      </c>
      <c r="Z10" s="81">
        <f t="shared" si="3"/>
        <v>1</v>
      </c>
      <c r="AA10" s="75"/>
      <c r="AB10" s="75"/>
      <c r="AC10" t="s">
        <v>28</v>
      </c>
      <c r="AD10">
        <v>3.1969892011728535E-2</v>
      </c>
      <c r="AE10" s="77"/>
      <c r="AF10" s="77"/>
      <c r="AG10" s="77"/>
      <c r="AH10" s="77"/>
      <c r="AI10" s="75"/>
    </row>
    <row r="11" spans="1:36" ht="16.5" thickBot="1">
      <c r="A11" s="83">
        <v>8</v>
      </c>
      <c r="B11" s="84">
        <v>5</v>
      </c>
      <c r="C11" s="45"/>
      <c r="D11" s="54"/>
      <c r="E11" s="45"/>
      <c r="F11" s="85">
        <v>8</v>
      </c>
      <c r="G11" s="91">
        <v>5</v>
      </c>
      <c r="V11" s="81">
        <f t="shared" si="0"/>
        <v>0</v>
      </c>
      <c r="W11" s="81"/>
      <c r="X11" s="81">
        <f t="shared" si="1"/>
        <v>0</v>
      </c>
      <c r="Y11" s="81">
        <f t="shared" si="2"/>
        <v>0</v>
      </c>
      <c r="Z11" s="81">
        <f t="shared" si="3"/>
        <v>1</v>
      </c>
      <c r="AA11" s="75"/>
      <c r="AB11" s="75"/>
      <c r="AC11" t="s">
        <v>29</v>
      </c>
      <c r="AD11">
        <v>29.177641053961842</v>
      </c>
      <c r="AE11" s="77"/>
      <c r="AF11" s="77"/>
      <c r="AG11" s="77"/>
      <c r="AH11" s="77"/>
      <c r="AI11" s="75"/>
    </row>
    <row r="12" spans="1:36" ht="16.5" thickBot="1">
      <c r="A12" s="83">
        <v>9</v>
      </c>
      <c r="B12" s="84">
        <v>5</v>
      </c>
      <c r="C12" s="45"/>
      <c r="D12" s="54"/>
      <c r="E12" s="45"/>
      <c r="F12" s="85">
        <v>9</v>
      </c>
      <c r="G12" s="91">
        <v>5.3</v>
      </c>
      <c r="V12" s="81">
        <f t="shared" si="0"/>
        <v>0.29999999999999982</v>
      </c>
      <c r="W12" s="81"/>
      <c r="X12" s="81">
        <f t="shared" si="1"/>
        <v>0</v>
      </c>
      <c r="Y12" s="81">
        <f t="shared" si="2"/>
        <v>0</v>
      </c>
      <c r="Z12" s="81">
        <f t="shared" si="3"/>
        <v>1</v>
      </c>
      <c r="AA12" s="75"/>
      <c r="AB12" s="75"/>
      <c r="AC12" t="s">
        <v>30</v>
      </c>
      <c r="AD12">
        <v>-3.3050678341173652</v>
      </c>
      <c r="AE12" s="77"/>
      <c r="AF12" s="77"/>
      <c r="AG12" s="77"/>
      <c r="AH12" s="77"/>
      <c r="AI12" s="75"/>
    </row>
    <row r="13" spans="1:36" ht="16.5" thickBot="1">
      <c r="A13" s="83">
        <v>10</v>
      </c>
      <c r="B13" s="84">
        <v>5</v>
      </c>
      <c r="C13" s="45"/>
      <c r="D13" s="54"/>
      <c r="E13" s="45"/>
      <c r="F13" s="85">
        <v>10</v>
      </c>
      <c r="G13" s="91">
        <v>5.2</v>
      </c>
      <c r="V13" s="81">
        <f t="shared" si="0"/>
        <v>0.20000000000000018</v>
      </c>
      <c r="W13" s="81"/>
      <c r="X13" s="81">
        <f t="shared" si="1"/>
        <v>0</v>
      </c>
      <c r="Y13" s="81">
        <f t="shared" si="2"/>
        <v>0</v>
      </c>
      <c r="Z13" s="81">
        <f t="shared" si="3"/>
        <v>1</v>
      </c>
      <c r="AA13" s="75"/>
      <c r="AB13" s="75"/>
      <c r="AC13" t="s">
        <v>31</v>
      </c>
      <c r="AD13">
        <v>2.2000000000000002</v>
      </c>
      <c r="AE13" s="77"/>
      <c r="AF13" s="77"/>
      <c r="AG13" s="77"/>
      <c r="AH13" s="77"/>
      <c r="AI13" s="75"/>
    </row>
    <row r="14" spans="1:36" ht="16.5" thickBot="1">
      <c r="A14" s="83">
        <v>11</v>
      </c>
      <c r="B14" s="84">
        <v>5</v>
      </c>
      <c r="C14" s="45"/>
      <c r="D14" s="54"/>
      <c r="E14" s="45"/>
      <c r="F14" s="85">
        <v>11</v>
      </c>
      <c r="G14" s="91">
        <v>5.3</v>
      </c>
      <c r="V14" s="81">
        <f t="shared" si="0"/>
        <v>0.29999999999999982</v>
      </c>
      <c r="W14" s="81"/>
      <c r="X14" s="81">
        <f t="shared" si="1"/>
        <v>0</v>
      </c>
      <c r="Y14" s="81">
        <f t="shared" si="2"/>
        <v>0</v>
      </c>
      <c r="Z14" s="81">
        <f t="shared" si="3"/>
        <v>1</v>
      </c>
      <c r="AA14" s="75"/>
      <c r="AB14" s="75"/>
      <c r="AC14" t="s">
        <v>32</v>
      </c>
      <c r="AD14">
        <v>-1.5</v>
      </c>
      <c r="AE14" s="77"/>
      <c r="AF14" s="77"/>
      <c r="AG14" s="77"/>
      <c r="AH14" s="77"/>
      <c r="AI14" s="75"/>
    </row>
    <row r="15" spans="1:36" ht="16.5" thickBot="1">
      <c r="A15" s="83">
        <v>12</v>
      </c>
      <c r="B15" s="84">
        <v>5</v>
      </c>
      <c r="C15" s="45"/>
      <c r="D15" s="54"/>
      <c r="E15" s="45"/>
      <c r="F15" s="85">
        <v>12</v>
      </c>
      <c r="G15" s="91">
        <v>5</v>
      </c>
      <c r="V15" s="81">
        <f t="shared" si="0"/>
        <v>0</v>
      </c>
      <c r="W15" s="81"/>
      <c r="X15" s="81">
        <f t="shared" si="1"/>
        <v>0</v>
      </c>
      <c r="Y15" s="81">
        <f t="shared" si="2"/>
        <v>0</v>
      </c>
      <c r="Z15" s="81">
        <f t="shared" si="3"/>
        <v>1</v>
      </c>
      <c r="AA15" s="75"/>
      <c r="AB15" s="75"/>
      <c r="AC15" t="s">
        <v>33</v>
      </c>
      <c r="AD15">
        <v>0.70000000000000018</v>
      </c>
      <c r="AE15" s="77"/>
      <c r="AF15" s="77"/>
      <c r="AG15" s="77"/>
      <c r="AH15" s="77"/>
      <c r="AI15" s="75"/>
    </row>
    <row r="16" spans="1:36" ht="16.5" thickBot="1">
      <c r="A16" s="83">
        <v>13</v>
      </c>
      <c r="B16" s="84">
        <v>5</v>
      </c>
      <c r="C16" s="45"/>
      <c r="D16" s="54"/>
      <c r="E16" s="45"/>
      <c r="F16" s="85">
        <v>13</v>
      </c>
      <c r="G16" s="91">
        <v>5.2</v>
      </c>
      <c r="V16" s="81">
        <f t="shared" si="0"/>
        <v>0.20000000000000018</v>
      </c>
      <c r="W16" s="81"/>
      <c r="X16" s="81">
        <f t="shared" si="1"/>
        <v>0</v>
      </c>
      <c r="Y16" s="81">
        <f t="shared" si="2"/>
        <v>0</v>
      </c>
      <c r="Z16" s="81">
        <f t="shared" si="3"/>
        <v>1</v>
      </c>
      <c r="AA16" s="75"/>
      <c r="AB16" s="75"/>
      <c r="AC16" t="s">
        <v>34</v>
      </c>
      <c r="AD16">
        <v>30.499999999999979</v>
      </c>
      <c r="AE16" s="77"/>
      <c r="AF16" s="77"/>
      <c r="AG16" s="77"/>
      <c r="AH16" s="77"/>
      <c r="AI16" s="75"/>
    </row>
    <row r="17" spans="1:35" ht="16.5" thickBot="1">
      <c r="A17" s="83">
        <v>14</v>
      </c>
      <c r="B17" s="84">
        <v>5</v>
      </c>
      <c r="C17" s="45"/>
      <c r="D17" s="54"/>
      <c r="E17" s="45"/>
      <c r="F17" s="85">
        <v>14</v>
      </c>
      <c r="G17" s="91">
        <v>5</v>
      </c>
      <c r="V17" s="81">
        <f t="shared" si="0"/>
        <v>0</v>
      </c>
      <c r="W17" s="81"/>
      <c r="X17" s="81">
        <f t="shared" si="1"/>
        <v>0</v>
      </c>
      <c r="Y17" s="81">
        <f t="shared" si="2"/>
        <v>0</v>
      </c>
      <c r="Z17" s="81">
        <f t="shared" si="3"/>
        <v>1</v>
      </c>
      <c r="AA17" s="75"/>
      <c r="AB17" s="75"/>
      <c r="AC17" s="56" t="s">
        <v>35</v>
      </c>
      <c r="AD17" s="56">
        <v>237</v>
      </c>
      <c r="AE17" s="77"/>
      <c r="AF17" s="77"/>
      <c r="AG17" s="77"/>
      <c r="AH17" s="77"/>
      <c r="AI17" s="75"/>
    </row>
    <row r="18" spans="1:35" ht="16.5" thickBot="1">
      <c r="A18" s="83">
        <v>15</v>
      </c>
      <c r="B18" s="84">
        <v>5</v>
      </c>
      <c r="C18" s="45"/>
      <c r="D18" s="54"/>
      <c r="E18" s="45"/>
      <c r="F18" s="85">
        <v>15</v>
      </c>
      <c r="G18" s="91">
        <v>5</v>
      </c>
      <c r="V18" s="81">
        <f t="shared" si="0"/>
        <v>0</v>
      </c>
      <c r="W18" s="81"/>
      <c r="X18" s="81">
        <f t="shared" si="1"/>
        <v>0</v>
      </c>
      <c r="Y18" s="81">
        <f t="shared" si="2"/>
        <v>0</v>
      </c>
      <c r="Z18" s="81">
        <f t="shared" si="3"/>
        <v>1</v>
      </c>
      <c r="AA18" s="75"/>
      <c r="AB18" s="75"/>
      <c r="AC18" s="88"/>
      <c r="AD18" s="88"/>
      <c r="AE18" s="77"/>
      <c r="AF18" s="77"/>
      <c r="AG18" s="77"/>
      <c r="AH18" s="77"/>
      <c r="AI18" s="75"/>
    </row>
    <row r="19" spans="1:35" ht="16.5" thickBot="1">
      <c r="A19" s="89">
        <v>16</v>
      </c>
      <c r="B19" s="90">
        <v>4.5</v>
      </c>
      <c r="C19" s="45"/>
      <c r="D19" s="54"/>
      <c r="E19" s="45"/>
      <c r="F19" s="91">
        <v>16</v>
      </c>
      <c r="G19" s="91">
        <v>4.7</v>
      </c>
      <c r="V19" s="81">
        <f t="shared" si="0"/>
        <v>0.20000000000000018</v>
      </c>
      <c r="W19" s="81"/>
      <c r="X19" s="81">
        <f t="shared" si="1"/>
        <v>0</v>
      </c>
      <c r="Y19" s="81">
        <f t="shared" si="2"/>
        <v>0</v>
      </c>
      <c r="Z19" s="81">
        <f t="shared" si="3"/>
        <v>1</v>
      </c>
      <c r="AA19" s="75"/>
      <c r="AB19" s="75"/>
      <c r="AC19" s="75"/>
      <c r="AD19" s="75"/>
      <c r="AE19" s="75"/>
      <c r="AF19" s="75"/>
      <c r="AG19" s="75"/>
      <c r="AH19" s="75"/>
      <c r="AI19" s="75"/>
    </row>
    <row r="20" spans="1:35" ht="17.25" thickBot="1">
      <c r="A20" s="89">
        <v>17</v>
      </c>
      <c r="B20" s="90">
        <v>5.0999999999999996</v>
      </c>
      <c r="C20" s="45"/>
      <c r="D20" s="57" t="s">
        <v>36</v>
      </c>
      <c r="E20" s="45"/>
      <c r="F20" s="91">
        <v>17</v>
      </c>
      <c r="G20" s="91">
        <v>5</v>
      </c>
      <c r="V20" s="81">
        <f t="shared" si="0"/>
        <v>-9.9999999999999645E-2</v>
      </c>
      <c r="W20" s="81"/>
      <c r="X20" s="81">
        <f t="shared" si="1"/>
        <v>0</v>
      </c>
      <c r="Y20" s="81">
        <f t="shared" si="2"/>
        <v>0</v>
      </c>
      <c r="Z20" s="81">
        <f t="shared" si="3"/>
        <v>1</v>
      </c>
      <c r="AA20" s="75"/>
      <c r="AB20" s="75"/>
      <c r="AC20" s="75"/>
      <c r="AD20" s="75"/>
      <c r="AE20" s="75"/>
      <c r="AF20" s="75"/>
      <c r="AG20" s="75"/>
      <c r="AH20" s="75"/>
      <c r="AI20" s="75"/>
    </row>
    <row r="21" spans="1:35" ht="16.5" thickBot="1">
      <c r="A21" s="89">
        <v>18</v>
      </c>
      <c r="B21" s="90">
        <v>5.0999999999999996</v>
      </c>
      <c r="C21" s="45"/>
      <c r="D21" s="58"/>
      <c r="E21" s="45"/>
      <c r="F21" s="91">
        <v>18</v>
      </c>
      <c r="G21" s="91">
        <v>5.0999999999999996</v>
      </c>
      <c r="V21" s="81">
        <f t="shared" si="0"/>
        <v>0</v>
      </c>
      <c r="W21" s="81"/>
      <c r="X21" s="81">
        <f t="shared" si="1"/>
        <v>0</v>
      </c>
      <c r="Y21" s="81">
        <f t="shared" si="2"/>
        <v>0</v>
      </c>
      <c r="Z21" s="81">
        <f t="shared" si="3"/>
        <v>1</v>
      </c>
      <c r="AA21" s="75"/>
      <c r="AB21" s="75"/>
      <c r="AC21" s="75"/>
      <c r="AD21" s="75"/>
      <c r="AE21" s="75"/>
      <c r="AF21" s="75"/>
      <c r="AG21" s="75"/>
      <c r="AH21" s="75"/>
      <c r="AI21" s="75"/>
    </row>
    <row r="22" spans="1:35" ht="16.5" thickBot="1">
      <c r="A22" s="89">
        <v>19</v>
      </c>
      <c r="B22" s="90">
        <v>6.2</v>
      </c>
      <c r="C22" s="45"/>
      <c r="D22" s="58"/>
      <c r="E22" s="45"/>
      <c r="F22" s="91">
        <v>19</v>
      </c>
      <c r="G22" s="91">
        <v>6.5</v>
      </c>
      <c r="V22" s="81">
        <f t="shared" si="0"/>
        <v>0.29999999999999982</v>
      </c>
      <c r="W22" s="81"/>
      <c r="X22" s="81">
        <f t="shared" si="1"/>
        <v>0</v>
      </c>
      <c r="Y22" s="81">
        <f t="shared" si="2"/>
        <v>0</v>
      </c>
      <c r="Z22" s="81">
        <f t="shared" si="3"/>
        <v>1</v>
      </c>
      <c r="AA22" s="75"/>
      <c r="AB22" s="75"/>
      <c r="AC22" s="75"/>
      <c r="AD22" s="75"/>
      <c r="AE22" s="75"/>
      <c r="AF22" s="75"/>
      <c r="AG22" s="75"/>
      <c r="AH22" s="75"/>
      <c r="AI22" s="75"/>
    </row>
    <row r="23" spans="1:35" ht="16.5" thickBot="1">
      <c r="A23" s="89">
        <v>20</v>
      </c>
      <c r="B23" s="90">
        <v>4.5999999999999996</v>
      </c>
      <c r="C23" s="45"/>
      <c r="D23" s="45"/>
      <c r="E23" s="45"/>
      <c r="F23" s="91">
        <v>20</v>
      </c>
      <c r="G23" s="91">
        <v>4.8</v>
      </c>
      <c r="V23" s="81">
        <f t="shared" si="0"/>
        <v>0.20000000000000018</v>
      </c>
      <c r="W23" s="81"/>
      <c r="X23" s="81">
        <f t="shared" si="1"/>
        <v>0</v>
      </c>
      <c r="Y23" s="81">
        <f t="shared" si="2"/>
        <v>0</v>
      </c>
      <c r="Z23" s="81">
        <f t="shared" si="3"/>
        <v>1</v>
      </c>
      <c r="AA23" s="75"/>
      <c r="AB23" s="75"/>
      <c r="AC23" s="75"/>
      <c r="AD23" s="75"/>
      <c r="AE23" s="75"/>
      <c r="AF23" s="75"/>
      <c r="AG23" s="75"/>
      <c r="AH23" s="75"/>
      <c r="AI23" s="75"/>
    </row>
    <row r="24" spans="1:35" ht="16.5" thickBot="1">
      <c r="A24" s="89">
        <v>21</v>
      </c>
      <c r="B24" s="90">
        <v>4.5</v>
      </c>
      <c r="C24" s="45"/>
      <c r="D24" s="45"/>
      <c r="E24" s="45"/>
      <c r="F24" s="91">
        <v>21</v>
      </c>
      <c r="G24" s="91">
        <v>4.7</v>
      </c>
      <c r="V24" s="81">
        <f t="shared" si="0"/>
        <v>0.20000000000000018</v>
      </c>
      <c r="W24" s="81"/>
      <c r="X24" s="81">
        <f t="shared" si="1"/>
        <v>0</v>
      </c>
      <c r="Y24" s="81">
        <f t="shared" si="2"/>
        <v>0</v>
      </c>
      <c r="Z24" s="81">
        <f t="shared" si="3"/>
        <v>1</v>
      </c>
      <c r="AA24" s="75"/>
      <c r="AB24" s="75"/>
      <c r="AC24" s="75"/>
      <c r="AD24" s="75"/>
      <c r="AE24" s="75"/>
      <c r="AF24" s="75"/>
      <c r="AG24" s="75"/>
      <c r="AH24" s="75"/>
      <c r="AI24" s="75"/>
    </row>
    <row r="25" spans="1:35" ht="16.5" thickBot="1">
      <c r="A25" s="89">
        <v>22</v>
      </c>
      <c r="B25" s="90">
        <v>4.5</v>
      </c>
      <c r="C25" s="45"/>
      <c r="D25" s="45"/>
      <c r="E25" s="45"/>
      <c r="F25" s="91">
        <v>22</v>
      </c>
      <c r="G25" s="91">
        <v>4.4000000000000004</v>
      </c>
      <c r="V25" s="81">
        <f t="shared" si="0"/>
        <v>-9.9999999999999645E-2</v>
      </c>
      <c r="W25" s="81"/>
      <c r="X25" s="81">
        <f t="shared" si="1"/>
        <v>0</v>
      </c>
      <c r="Y25" s="81">
        <f t="shared" si="2"/>
        <v>0</v>
      </c>
      <c r="Z25" s="81">
        <f t="shared" si="3"/>
        <v>1</v>
      </c>
      <c r="AA25" s="75"/>
      <c r="AB25" s="75"/>
      <c r="AC25" s="75"/>
      <c r="AD25" s="75"/>
      <c r="AE25" s="75"/>
      <c r="AF25" s="75"/>
      <c r="AG25" s="75"/>
      <c r="AH25" s="75"/>
      <c r="AI25" s="75"/>
    </row>
    <row r="26" spans="1:35" ht="16.5" thickBot="1">
      <c r="A26" s="89">
        <v>23</v>
      </c>
      <c r="B26" s="90">
        <v>4.5</v>
      </c>
      <c r="C26" s="45"/>
      <c r="D26" s="45"/>
      <c r="E26" s="45"/>
      <c r="F26" s="91">
        <v>23</v>
      </c>
      <c r="G26" s="91">
        <v>4.7</v>
      </c>
      <c r="V26" s="81">
        <f t="shared" si="0"/>
        <v>0.20000000000000018</v>
      </c>
      <c r="W26" s="65"/>
      <c r="X26" s="81">
        <f t="shared" si="1"/>
        <v>0</v>
      </c>
      <c r="Y26" s="81">
        <f t="shared" si="2"/>
        <v>0</v>
      </c>
      <c r="Z26" s="81">
        <f t="shared" si="3"/>
        <v>1</v>
      </c>
      <c r="AA26" s="13"/>
      <c r="AB26" s="14"/>
      <c r="AC26" s="14"/>
      <c r="AD26" s="65"/>
      <c r="AE26" s="65"/>
    </row>
    <row r="27" spans="1:35" ht="16.5" thickBot="1">
      <c r="A27" s="89">
        <v>24</v>
      </c>
      <c r="B27" s="90">
        <v>4.5</v>
      </c>
      <c r="C27" s="45"/>
      <c r="D27" s="45"/>
      <c r="E27" s="45"/>
      <c r="F27" s="91">
        <v>24</v>
      </c>
      <c r="G27" s="91">
        <v>4.5</v>
      </c>
      <c r="V27" s="81">
        <f t="shared" si="0"/>
        <v>0</v>
      </c>
      <c r="W27" s="65"/>
      <c r="X27" s="81">
        <f t="shared" si="1"/>
        <v>0</v>
      </c>
      <c r="Y27" s="81">
        <f t="shared" si="2"/>
        <v>0</v>
      </c>
      <c r="Z27" s="81">
        <f t="shared" si="3"/>
        <v>1</v>
      </c>
      <c r="AA27" s="13"/>
      <c r="AB27" s="14"/>
      <c r="AC27" s="14"/>
      <c r="AD27" s="92">
        <f>SUM(AD31:AD85)</f>
        <v>236</v>
      </c>
      <c r="AE27" s="65"/>
      <c r="AG27" s="92">
        <f>SUM(AG31:AG85)</f>
        <v>1</v>
      </c>
    </row>
    <row r="28" spans="1:35" ht="16.5" thickBot="1">
      <c r="A28" s="89">
        <v>25</v>
      </c>
      <c r="B28" s="90">
        <v>4.5</v>
      </c>
      <c r="C28" s="45"/>
      <c r="D28" s="45"/>
      <c r="E28" s="45"/>
      <c r="F28" s="91">
        <v>25</v>
      </c>
      <c r="G28" s="91">
        <v>4.4000000000000004</v>
      </c>
      <c r="V28" s="81">
        <f t="shared" si="0"/>
        <v>-9.9999999999999645E-2</v>
      </c>
      <c r="W28" s="65"/>
      <c r="X28" s="81">
        <f t="shared" si="1"/>
        <v>0</v>
      </c>
      <c r="Y28" s="81">
        <f t="shared" si="2"/>
        <v>0</v>
      </c>
      <c r="Z28" s="81">
        <f t="shared" si="3"/>
        <v>1</v>
      </c>
      <c r="AA28" s="13"/>
      <c r="AB28" s="14"/>
      <c r="AC28" s="14"/>
      <c r="AD28" s="65"/>
      <c r="AE28" s="65"/>
    </row>
    <row r="29" spans="1:35" ht="16.5" thickBot="1">
      <c r="A29" s="89">
        <v>26</v>
      </c>
      <c r="B29" s="90">
        <v>4.5</v>
      </c>
      <c r="C29" s="45"/>
      <c r="D29" s="45"/>
      <c r="E29" s="45"/>
      <c r="F29" s="91">
        <v>26</v>
      </c>
      <c r="G29" s="91">
        <v>4.4000000000000004</v>
      </c>
      <c r="V29" s="81">
        <f t="shared" si="0"/>
        <v>-9.9999999999999645E-2</v>
      </c>
      <c r="W29" s="65"/>
      <c r="X29" s="81">
        <f t="shared" si="1"/>
        <v>0</v>
      </c>
      <c r="Y29" s="81">
        <f t="shared" si="2"/>
        <v>0</v>
      </c>
      <c r="Z29" s="81">
        <f t="shared" si="3"/>
        <v>1</v>
      </c>
      <c r="AA29" s="13"/>
      <c r="AB29" s="14"/>
      <c r="AC29" s="93" t="s">
        <v>37</v>
      </c>
      <c r="AD29" s="94"/>
      <c r="AE29" s="65"/>
      <c r="AF29" s="93" t="s">
        <v>38</v>
      </c>
      <c r="AG29" s="94"/>
    </row>
    <row r="30" spans="1:35" ht="16.5" thickBot="1">
      <c r="A30" s="89">
        <v>27</v>
      </c>
      <c r="B30" s="90">
        <v>4.5</v>
      </c>
      <c r="C30" s="45"/>
      <c r="D30" s="45"/>
      <c r="E30" s="45"/>
      <c r="F30" s="91">
        <v>27</v>
      </c>
      <c r="G30" s="91">
        <v>4.5999999999999996</v>
      </c>
      <c r="V30" s="81">
        <f t="shared" si="0"/>
        <v>9.9999999999999645E-2</v>
      </c>
      <c r="W30" s="65"/>
      <c r="X30" s="81">
        <f t="shared" si="1"/>
        <v>0</v>
      </c>
      <c r="Y30" s="81">
        <f t="shared" si="2"/>
        <v>0</v>
      </c>
      <c r="Z30" s="81">
        <f t="shared" si="3"/>
        <v>1</v>
      </c>
      <c r="AA30" s="13"/>
      <c r="AB30" s="14"/>
      <c r="AC30" s="20" t="s">
        <v>39</v>
      </c>
      <c r="AD30" s="21" t="s">
        <v>40</v>
      </c>
      <c r="AE30" s="65"/>
      <c r="AF30" s="20" t="s">
        <v>39</v>
      </c>
      <c r="AG30" s="21" t="s">
        <v>40</v>
      </c>
    </row>
    <row r="31" spans="1:35" ht="16.5" thickBot="1">
      <c r="A31" s="89">
        <v>28</v>
      </c>
      <c r="B31" s="90">
        <v>4.5</v>
      </c>
      <c r="C31" s="45"/>
      <c r="D31" s="45"/>
      <c r="E31" s="45"/>
      <c r="F31" s="91">
        <v>28</v>
      </c>
      <c r="G31" s="91">
        <v>4.7</v>
      </c>
      <c r="V31" s="81">
        <f t="shared" si="0"/>
        <v>0.20000000000000018</v>
      </c>
      <c r="W31" s="65"/>
      <c r="X31" s="81">
        <f t="shared" si="1"/>
        <v>0</v>
      </c>
      <c r="Y31" s="81">
        <f t="shared" si="2"/>
        <v>0</v>
      </c>
      <c r="Z31" s="81">
        <f t="shared" si="3"/>
        <v>1</v>
      </c>
      <c r="AA31" s="13"/>
      <c r="AB31" s="14"/>
      <c r="AC31" s="22">
        <f>IF($AE31&lt;=$AA$4,$AE31,"")</f>
        <v>-3</v>
      </c>
      <c r="AD31" s="23">
        <f t="shared" ref="AD31:AD91" si="5">IF(AC31="","",COUNTIF($V$4:$V$978,"&gt;="&amp;$AE31)-COUNTIF($V$4:$V$978,"&gt;="&amp;$AE32))</f>
        <v>0</v>
      </c>
      <c r="AE31" s="26">
        <v>-3</v>
      </c>
      <c r="AF31" s="22" t="str">
        <f>IF($AE31&gt;$AA$4,$AE31,"")</f>
        <v/>
      </c>
      <c r="AG31" s="23" t="str">
        <f>IF(AF31="","",COUNTIF($V$5:$V$979,"&gt;="&amp;$AH31)-COUNTIF($V$5:$V$979,"&gt;="&amp;$AH32))</f>
        <v/>
      </c>
    </row>
    <row r="32" spans="1:35" ht="16.5" thickBot="1">
      <c r="A32" s="89">
        <v>29</v>
      </c>
      <c r="B32" s="90">
        <v>4.5</v>
      </c>
      <c r="C32" s="45"/>
      <c r="D32" s="45"/>
      <c r="E32" s="45"/>
      <c r="F32" s="91">
        <v>29</v>
      </c>
      <c r="G32" s="91">
        <v>4.7</v>
      </c>
      <c r="V32" s="81">
        <f t="shared" si="0"/>
        <v>0.20000000000000018</v>
      </c>
      <c r="W32" s="65"/>
      <c r="X32" s="81">
        <f t="shared" si="1"/>
        <v>0</v>
      </c>
      <c r="Y32" s="81">
        <f t="shared" si="2"/>
        <v>0</v>
      </c>
      <c r="Z32" s="81">
        <f t="shared" si="3"/>
        <v>1</v>
      </c>
      <c r="AA32" s="13"/>
      <c r="AB32" s="14"/>
      <c r="AC32" s="22">
        <f t="shared" ref="AC32:AC91" si="6">IF($AE32&lt;=$AA$4,$AE32,"")</f>
        <v>-2.9</v>
      </c>
      <c r="AD32" s="23">
        <f t="shared" si="5"/>
        <v>0</v>
      </c>
      <c r="AE32" s="26">
        <v>-2.9</v>
      </c>
      <c r="AF32" s="22" t="str">
        <f t="shared" ref="AF32:AF91" si="7">IF($AE32&gt;$AA$4,$AE32,"")</f>
        <v/>
      </c>
      <c r="AG32" s="23" t="str">
        <f>IF(AF32="","",COUNTIF($V$5:$V$979,"&gt;="&amp;$AH32)-COUNTIF($V$5:$V$979,"&gt;="&amp;$AH33))</f>
        <v/>
      </c>
    </row>
    <row r="33" spans="1:33" ht="16.5" thickBot="1">
      <c r="A33" s="89">
        <v>30</v>
      </c>
      <c r="B33" s="90">
        <v>4.5</v>
      </c>
      <c r="C33" s="45"/>
      <c r="D33" s="45"/>
      <c r="E33" s="45"/>
      <c r="F33" s="91">
        <v>30</v>
      </c>
      <c r="G33" s="91">
        <v>4.5999999999999996</v>
      </c>
      <c r="V33" s="81">
        <f t="shared" si="0"/>
        <v>9.9999999999999645E-2</v>
      </c>
      <c r="W33" s="65"/>
      <c r="X33" s="81">
        <f t="shared" si="1"/>
        <v>0</v>
      </c>
      <c r="Y33" s="81">
        <f t="shared" si="2"/>
        <v>0</v>
      </c>
      <c r="Z33" s="81">
        <f t="shared" si="3"/>
        <v>1</v>
      </c>
      <c r="AA33" s="13"/>
      <c r="AB33" s="14"/>
      <c r="AC33" s="22">
        <f t="shared" si="6"/>
        <v>-2.8</v>
      </c>
      <c r="AD33" s="23">
        <f t="shared" si="5"/>
        <v>0</v>
      </c>
      <c r="AE33" s="26">
        <v>-2.8</v>
      </c>
      <c r="AF33" s="22" t="str">
        <f t="shared" si="7"/>
        <v/>
      </c>
      <c r="AG33" s="23" t="str">
        <f>IF(AF33="","",COUNTIF($V$5:$V$979,"&gt;="&amp;$AH33)-COUNTIF($V$5:$V$979,"&gt;="&amp;$AH34))</f>
        <v/>
      </c>
    </row>
    <row r="34" spans="1:33" ht="16.5" thickBot="1">
      <c r="A34" s="89">
        <v>31</v>
      </c>
      <c r="B34" s="90">
        <v>4.5</v>
      </c>
      <c r="C34" s="45"/>
      <c r="D34" s="45"/>
      <c r="E34" s="45"/>
      <c r="F34" s="91">
        <v>31</v>
      </c>
      <c r="G34" s="91">
        <v>4.5</v>
      </c>
      <c r="V34" s="81">
        <f t="shared" si="0"/>
        <v>0</v>
      </c>
      <c r="W34" s="65"/>
      <c r="X34" s="81">
        <f t="shared" si="1"/>
        <v>0</v>
      </c>
      <c r="Y34" s="81">
        <f t="shared" si="2"/>
        <v>0</v>
      </c>
      <c r="Z34" s="81">
        <f t="shared" si="3"/>
        <v>1</v>
      </c>
      <c r="AA34" s="13"/>
      <c r="AB34" s="14"/>
      <c r="AC34" s="22">
        <f t="shared" si="6"/>
        <v>-2.7</v>
      </c>
      <c r="AD34" s="23">
        <f t="shared" si="5"/>
        <v>0</v>
      </c>
      <c r="AE34" s="26">
        <v>-2.7</v>
      </c>
      <c r="AF34" s="22" t="str">
        <f t="shared" si="7"/>
        <v/>
      </c>
      <c r="AG34" s="23" t="str">
        <f>IF(AF34="","",COUNTIF($V$5:$V$979,"&gt;="&amp;$AH34)-COUNTIF($V$5:$V$979,"&gt;="&amp;$AH35))</f>
        <v/>
      </c>
    </row>
    <row r="35" spans="1:33" ht="16.5" thickBot="1">
      <c r="A35" s="89">
        <v>32</v>
      </c>
      <c r="B35" s="90">
        <v>6.1</v>
      </c>
      <c r="C35" s="45"/>
      <c r="D35" s="45"/>
      <c r="E35" s="45"/>
      <c r="F35" s="91">
        <v>32</v>
      </c>
      <c r="G35" s="91">
        <v>6.1</v>
      </c>
      <c r="V35" s="81">
        <f t="shared" si="0"/>
        <v>0</v>
      </c>
      <c r="W35" s="65"/>
      <c r="X35" s="81">
        <f t="shared" si="1"/>
        <v>0</v>
      </c>
      <c r="Y35" s="81">
        <f t="shared" si="2"/>
        <v>0</v>
      </c>
      <c r="Z35" s="81">
        <f t="shared" si="3"/>
        <v>1</v>
      </c>
      <c r="AA35" s="13"/>
      <c r="AB35" s="14"/>
      <c r="AC35" s="22">
        <f t="shared" si="6"/>
        <v>-2.6</v>
      </c>
      <c r="AD35" s="23">
        <f t="shared" si="5"/>
        <v>0</v>
      </c>
      <c r="AE35" s="26">
        <v>-2.6</v>
      </c>
      <c r="AF35" s="22" t="str">
        <f t="shared" si="7"/>
        <v/>
      </c>
      <c r="AG35" s="23" t="str">
        <f>IF(AF35="","",COUNTIF($V$5:$V$979,"&gt;="&amp;$AH35)-COUNTIF($V$5:$V$979,"&gt;="&amp;$AH36))</f>
        <v/>
      </c>
    </row>
    <row r="36" spans="1:33" ht="16.5" thickBot="1">
      <c r="A36" s="89">
        <v>33</v>
      </c>
      <c r="B36" s="90">
        <v>4.5</v>
      </c>
      <c r="C36" s="45"/>
      <c r="D36" s="45"/>
      <c r="E36" s="45"/>
      <c r="F36" s="91">
        <v>33</v>
      </c>
      <c r="G36" s="91">
        <v>4.5</v>
      </c>
      <c r="V36" s="81">
        <f t="shared" si="0"/>
        <v>0</v>
      </c>
      <c r="W36" s="65"/>
      <c r="X36" s="81">
        <f t="shared" si="1"/>
        <v>0</v>
      </c>
      <c r="Y36" s="81">
        <f t="shared" si="2"/>
        <v>0</v>
      </c>
      <c r="Z36" s="81">
        <f t="shared" si="3"/>
        <v>1</v>
      </c>
      <c r="AA36" s="13"/>
      <c r="AB36" s="14"/>
      <c r="AC36" s="22">
        <f t="shared" si="6"/>
        <v>-2.5</v>
      </c>
      <c r="AD36" s="23">
        <f t="shared" si="5"/>
        <v>0</v>
      </c>
      <c r="AE36" s="26">
        <v>-2.5</v>
      </c>
      <c r="AF36" s="22" t="str">
        <f t="shared" si="7"/>
        <v/>
      </c>
      <c r="AG36" s="23" t="str">
        <f t="shared" ref="AG36:AG91" si="8">IF(AF36="","",COUNTIF($V$5:$V$979,"&gt;="&amp;$AF36)-COUNTIF($V$5:$V$979,"&gt;="&amp;$AF37))</f>
        <v/>
      </c>
    </row>
    <row r="37" spans="1:33" ht="16.5" thickBot="1">
      <c r="A37" s="89">
        <v>34</v>
      </c>
      <c r="B37" s="90">
        <v>4.5</v>
      </c>
      <c r="C37" s="45"/>
      <c r="D37" s="45"/>
      <c r="E37" s="45"/>
      <c r="F37" s="91">
        <v>34</v>
      </c>
      <c r="G37" s="91">
        <v>4.9000000000000004</v>
      </c>
      <c r="V37" s="81">
        <f t="shared" si="0"/>
        <v>0.40000000000000036</v>
      </c>
      <c r="W37" s="65"/>
      <c r="X37" s="81">
        <f t="shared" si="1"/>
        <v>0</v>
      </c>
      <c r="Y37" s="81">
        <f t="shared" si="2"/>
        <v>0</v>
      </c>
      <c r="Z37" s="81">
        <f t="shared" si="3"/>
        <v>1</v>
      </c>
      <c r="AA37" s="13"/>
      <c r="AB37" s="14"/>
      <c r="AC37" s="22">
        <f t="shared" si="6"/>
        <v>-2.4</v>
      </c>
      <c r="AD37" s="23">
        <f t="shared" si="5"/>
        <v>0</v>
      </c>
      <c r="AE37" s="26">
        <v>-2.4</v>
      </c>
      <c r="AF37" s="22" t="str">
        <f t="shared" si="7"/>
        <v/>
      </c>
      <c r="AG37" s="23" t="str">
        <f t="shared" si="8"/>
        <v/>
      </c>
    </row>
    <row r="38" spans="1:33" ht="16.5" thickBot="1">
      <c r="A38" s="89">
        <v>35</v>
      </c>
      <c r="B38" s="90">
        <v>4.5</v>
      </c>
      <c r="C38" s="45"/>
      <c r="D38" s="45"/>
      <c r="E38" s="45"/>
      <c r="F38" s="91">
        <v>35</v>
      </c>
      <c r="G38" s="91">
        <v>4.5</v>
      </c>
      <c r="V38" s="81">
        <f t="shared" si="0"/>
        <v>0</v>
      </c>
      <c r="W38" s="65"/>
      <c r="X38" s="81">
        <f t="shared" si="1"/>
        <v>0</v>
      </c>
      <c r="Y38" s="81">
        <f t="shared" si="2"/>
        <v>0</v>
      </c>
      <c r="Z38" s="81">
        <f t="shared" si="3"/>
        <v>1</v>
      </c>
      <c r="AA38" s="13"/>
      <c r="AB38" s="14"/>
      <c r="AC38" s="22">
        <f t="shared" si="6"/>
        <v>-2.2999999999999998</v>
      </c>
      <c r="AD38" s="23">
        <f t="shared" si="5"/>
        <v>0</v>
      </c>
      <c r="AE38" s="26">
        <v>-2.2999999999999998</v>
      </c>
      <c r="AF38" s="22" t="str">
        <f t="shared" si="7"/>
        <v/>
      </c>
      <c r="AG38" s="23" t="str">
        <f t="shared" si="8"/>
        <v/>
      </c>
    </row>
    <row r="39" spans="1:33" ht="16.5" thickBot="1">
      <c r="A39" s="89">
        <v>36</v>
      </c>
      <c r="B39" s="90">
        <v>4.5</v>
      </c>
      <c r="C39" s="45"/>
      <c r="D39" s="45"/>
      <c r="E39" s="45"/>
      <c r="F39" s="91">
        <v>36</v>
      </c>
      <c r="G39" s="91">
        <v>4.8</v>
      </c>
      <c r="V39" s="81">
        <f t="shared" si="0"/>
        <v>0.29999999999999982</v>
      </c>
      <c r="W39" s="65"/>
      <c r="X39" s="81">
        <f t="shared" si="1"/>
        <v>0</v>
      </c>
      <c r="Y39" s="81">
        <f t="shared" si="2"/>
        <v>0</v>
      </c>
      <c r="Z39" s="81">
        <f t="shared" si="3"/>
        <v>1</v>
      </c>
      <c r="AA39" s="13"/>
      <c r="AB39" s="14"/>
      <c r="AC39" s="22">
        <f t="shared" si="6"/>
        <v>-2.2000000000000002</v>
      </c>
      <c r="AD39" s="23">
        <f t="shared" si="5"/>
        <v>0</v>
      </c>
      <c r="AE39" s="26">
        <v>-2.2000000000000002</v>
      </c>
      <c r="AF39" s="22" t="str">
        <f t="shared" si="7"/>
        <v/>
      </c>
      <c r="AG39" s="23" t="str">
        <f t="shared" si="8"/>
        <v/>
      </c>
    </row>
    <row r="40" spans="1:33" ht="16.5" thickBot="1">
      <c r="A40" s="89">
        <v>37</v>
      </c>
      <c r="B40" s="90">
        <v>4.5</v>
      </c>
      <c r="C40" s="45"/>
      <c r="D40" s="45"/>
      <c r="E40" s="45"/>
      <c r="F40" s="91">
        <v>37</v>
      </c>
      <c r="G40" s="91">
        <v>4.7</v>
      </c>
      <c r="V40" s="81">
        <f t="shared" si="0"/>
        <v>0.20000000000000018</v>
      </c>
      <c r="W40" s="65"/>
      <c r="X40" s="81">
        <f t="shared" si="1"/>
        <v>0</v>
      </c>
      <c r="Y40" s="81">
        <f t="shared" si="2"/>
        <v>0</v>
      </c>
      <c r="Z40" s="81">
        <f t="shared" si="3"/>
        <v>1</v>
      </c>
      <c r="AA40" s="13"/>
      <c r="AB40" s="14"/>
      <c r="AC40" s="22">
        <f t="shared" si="6"/>
        <v>-2.1</v>
      </c>
      <c r="AD40" s="23">
        <f t="shared" si="5"/>
        <v>0</v>
      </c>
      <c r="AE40" s="26">
        <v>-2.1</v>
      </c>
      <c r="AF40" s="22" t="str">
        <f t="shared" si="7"/>
        <v/>
      </c>
      <c r="AG40" s="23" t="str">
        <f t="shared" si="8"/>
        <v/>
      </c>
    </row>
    <row r="41" spans="1:33" ht="16.5" thickBot="1">
      <c r="A41" s="89">
        <v>38</v>
      </c>
      <c r="B41" s="90">
        <v>4.5</v>
      </c>
      <c r="C41" s="45"/>
      <c r="D41" s="45"/>
      <c r="E41" s="45"/>
      <c r="F41" s="91">
        <v>38</v>
      </c>
      <c r="G41" s="91">
        <v>4.5</v>
      </c>
      <c r="V41" s="81">
        <f t="shared" si="0"/>
        <v>0</v>
      </c>
      <c r="W41" s="65"/>
      <c r="X41" s="81">
        <f t="shared" si="1"/>
        <v>0</v>
      </c>
      <c r="Y41" s="81">
        <f t="shared" si="2"/>
        <v>0</v>
      </c>
      <c r="Z41" s="81">
        <f t="shared" si="3"/>
        <v>1</v>
      </c>
      <c r="AA41" s="13"/>
      <c r="AB41" s="14"/>
      <c r="AC41" s="22">
        <f t="shared" si="6"/>
        <v>-2</v>
      </c>
      <c r="AD41" s="23">
        <f t="shared" si="5"/>
        <v>0</v>
      </c>
      <c r="AE41" s="26">
        <v>-2</v>
      </c>
      <c r="AF41" s="22" t="str">
        <f t="shared" si="7"/>
        <v/>
      </c>
      <c r="AG41" s="23" t="str">
        <f t="shared" si="8"/>
        <v/>
      </c>
    </row>
    <row r="42" spans="1:33" ht="16.5" thickBot="1">
      <c r="A42" s="89">
        <v>39</v>
      </c>
      <c r="B42" s="90">
        <v>4.5</v>
      </c>
      <c r="C42" s="45"/>
      <c r="D42" s="45"/>
      <c r="E42" s="45"/>
      <c r="F42" s="91">
        <v>39</v>
      </c>
      <c r="G42" s="91">
        <v>4.5</v>
      </c>
      <c r="V42" s="81">
        <f t="shared" si="0"/>
        <v>0</v>
      </c>
      <c r="W42" s="65"/>
      <c r="X42" s="81">
        <f t="shared" si="1"/>
        <v>0</v>
      </c>
      <c r="Y42" s="81">
        <f t="shared" si="2"/>
        <v>0</v>
      </c>
      <c r="Z42" s="81">
        <f t="shared" si="3"/>
        <v>1</v>
      </c>
      <c r="AA42" s="13"/>
      <c r="AB42" s="14"/>
      <c r="AC42" s="22">
        <f t="shared" si="6"/>
        <v>-1.9</v>
      </c>
      <c r="AD42" s="23">
        <f t="shared" si="5"/>
        <v>0</v>
      </c>
      <c r="AE42" s="26">
        <v>-1.9</v>
      </c>
      <c r="AF42" s="22" t="str">
        <f t="shared" si="7"/>
        <v/>
      </c>
      <c r="AG42" s="23" t="str">
        <f t="shared" si="8"/>
        <v/>
      </c>
    </row>
    <row r="43" spans="1:33" ht="16.5" thickBot="1">
      <c r="A43" s="89">
        <v>40</v>
      </c>
      <c r="B43" s="90">
        <v>4.5</v>
      </c>
      <c r="C43" s="45"/>
      <c r="D43" s="45"/>
      <c r="E43" s="45"/>
      <c r="F43" s="91">
        <v>40</v>
      </c>
      <c r="G43" s="91">
        <v>4.5</v>
      </c>
      <c r="V43" s="81">
        <f t="shared" si="0"/>
        <v>0</v>
      </c>
      <c r="W43" s="65"/>
      <c r="X43" s="81">
        <f t="shared" si="1"/>
        <v>0</v>
      </c>
      <c r="Y43" s="81">
        <f t="shared" si="2"/>
        <v>0</v>
      </c>
      <c r="Z43" s="81">
        <f t="shared" si="3"/>
        <v>1</v>
      </c>
      <c r="AA43" s="13"/>
      <c r="AB43" s="14"/>
      <c r="AC43" s="22">
        <f t="shared" si="6"/>
        <v>-1.8</v>
      </c>
      <c r="AD43" s="23">
        <f t="shared" si="5"/>
        <v>0</v>
      </c>
      <c r="AE43" s="26">
        <v>-1.8</v>
      </c>
      <c r="AF43" s="22" t="str">
        <f t="shared" si="7"/>
        <v/>
      </c>
      <c r="AG43" s="23" t="str">
        <f t="shared" si="8"/>
        <v/>
      </c>
    </row>
    <row r="44" spans="1:33" ht="16.5" thickBot="1">
      <c r="A44" s="89">
        <v>41</v>
      </c>
      <c r="B44" s="90">
        <v>4.5</v>
      </c>
      <c r="C44" s="45"/>
      <c r="D44" s="45"/>
      <c r="E44" s="45"/>
      <c r="F44" s="91">
        <v>41</v>
      </c>
      <c r="G44" s="91">
        <v>4.5999999999999996</v>
      </c>
      <c r="V44" s="81">
        <f t="shared" si="0"/>
        <v>9.9999999999999645E-2</v>
      </c>
      <c r="W44" s="65"/>
      <c r="X44" s="81">
        <f t="shared" si="1"/>
        <v>0</v>
      </c>
      <c r="Y44" s="81">
        <f t="shared" si="2"/>
        <v>0</v>
      </c>
      <c r="Z44" s="81">
        <f t="shared" si="3"/>
        <v>1</v>
      </c>
      <c r="AA44" s="13"/>
      <c r="AB44" s="14"/>
      <c r="AC44" s="22">
        <f t="shared" si="6"/>
        <v>-1.7</v>
      </c>
      <c r="AD44" s="23">
        <f t="shared" si="5"/>
        <v>0</v>
      </c>
      <c r="AE44" s="26">
        <v>-1.7</v>
      </c>
      <c r="AF44" s="22" t="str">
        <f t="shared" si="7"/>
        <v/>
      </c>
      <c r="AG44" s="23" t="str">
        <f t="shared" si="8"/>
        <v/>
      </c>
    </row>
    <row r="45" spans="1:33" ht="16.5" thickBot="1">
      <c r="A45" s="89">
        <v>42</v>
      </c>
      <c r="B45" s="90">
        <v>4.5</v>
      </c>
      <c r="C45" s="45"/>
      <c r="D45" s="45"/>
      <c r="E45" s="45"/>
      <c r="F45" s="91">
        <v>42</v>
      </c>
      <c r="G45" s="91">
        <v>4.7</v>
      </c>
      <c r="V45" s="81">
        <f t="shared" si="0"/>
        <v>0.20000000000000018</v>
      </c>
      <c r="W45" s="65"/>
      <c r="X45" s="81">
        <f t="shared" si="1"/>
        <v>0</v>
      </c>
      <c r="Y45" s="81">
        <f t="shared" si="2"/>
        <v>0</v>
      </c>
      <c r="Z45" s="81">
        <f t="shared" si="3"/>
        <v>1</v>
      </c>
      <c r="AA45" s="13"/>
      <c r="AB45" s="14"/>
      <c r="AC45" s="22">
        <f t="shared" si="6"/>
        <v>-1.6</v>
      </c>
      <c r="AD45" s="23">
        <f t="shared" si="5"/>
        <v>0</v>
      </c>
      <c r="AE45" s="26">
        <v>-1.6</v>
      </c>
      <c r="AF45" s="22" t="str">
        <f t="shared" si="7"/>
        <v/>
      </c>
      <c r="AG45" s="23" t="str">
        <f t="shared" si="8"/>
        <v/>
      </c>
    </row>
    <row r="46" spans="1:33" ht="16.5" thickBot="1">
      <c r="A46" s="89">
        <v>43</v>
      </c>
      <c r="B46" s="90">
        <v>4.5</v>
      </c>
      <c r="C46" s="45"/>
      <c r="D46" s="45"/>
      <c r="E46" s="45"/>
      <c r="F46" s="91">
        <v>43</v>
      </c>
      <c r="G46" s="91">
        <v>4.5</v>
      </c>
      <c r="V46" s="81">
        <f t="shared" si="0"/>
        <v>0</v>
      </c>
      <c r="W46" s="65"/>
      <c r="X46" s="81">
        <f t="shared" si="1"/>
        <v>0</v>
      </c>
      <c r="Y46" s="81">
        <f t="shared" si="2"/>
        <v>0</v>
      </c>
      <c r="Z46" s="81">
        <f t="shared" si="3"/>
        <v>1</v>
      </c>
      <c r="AA46" s="13"/>
      <c r="AB46" s="14"/>
      <c r="AC46" s="22">
        <f t="shared" si="6"/>
        <v>-1.5</v>
      </c>
      <c r="AD46" s="23">
        <f t="shared" si="5"/>
        <v>1</v>
      </c>
      <c r="AE46" s="26">
        <v>-1.5</v>
      </c>
      <c r="AF46" s="22" t="str">
        <f t="shared" si="7"/>
        <v/>
      </c>
      <c r="AG46" s="23" t="str">
        <f t="shared" si="8"/>
        <v/>
      </c>
    </row>
    <row r="47" spans="1:33" ht="16.5" thickBot="1">
      <c r="A47" s="89">
        <v>44</v>
      </c>
      <c r="B47" s="90">
        <v>6</v>
      </c>
      <c r="C47" s="45"/>
      <c r="D47" s="45"/>
      <c r="E47" s="45"/>
      <c r="F47" s="91">
        <v>44</v>
      </c>
      <c r="G47" s="91">
        <v>6</v>
      </c>
      <c r="V47" s="81">
        <f t="shared" si="0"/>
        <v>0</v>
      </c>
      <c r="W47" s="65"/>
      <c r="X47" s="81">
        <f t="shared" si="1"/>
        <v>0</v>
      </c>
      <c r="Y47" s="81">
        <f t="shared" si="2"/>
        <v>0</v>
      </c>
      <c r="Z47" s="81">
        <f t="shared" si="3"/>
        <v>1</v>
      </c>
      <c r="AA47" s="13"/>
      <c r="AB47" s="14"/>
      <c r="AC47" s="22">
        <f t="shared" si="6"/>
        <v>-1.4</v>
      </c>
      <c r="AD47" s="23">
        <f t="shared" si="5"/>
        <v>0</v>
      </c>
      <c r="AE47" s="26">
        <v>-1.4</v>
      </c>
      <c r="AF47" s="22" t="str">
        <f t="shared" si="7"/>
        <v/>
      </c>
      <c r="AG47" s="23" t="str">
        <f t="shared" si="8"/>
        <v/>
      </c>
    </row>
    <row r="48" spans="1:33" ht="16.5" thickBot="1">
      <c r="A48" s="89">
        <v>45</v>
      </c>
      <c r="B48" s="90">
        <v>6</v>
      </c>
      <c r="C48" s="45"/>
      <c r="D48" s="45"/>
      <c r="E48" s="45"/>
      <c r="F48" s="91">
        <v>45</v>
      </c>
      <c r="G48" s="91">
        <v>6.2</v>
      </c>
      <c r="V48" s="81">
        <f t="shared" si="0"/>
        <v>0.20000000000000018</v>
      </c>
      <c r="W48" s="65"/>
      <c r="X48" s="81">
        <f t="shared" si="1"/>
        <v>0</v>
      </c>
      <c r="Y48" s="81">
        <f t="shared" si="2"/>
        <v>0</v>
      </c>
      <c r="Z48" s="81">
        <f t="shared" si="3"/>
        <v>1</v>
      </c>
      <c r="AA48" s="13"/>
      <c r="AB48" s="14"/>
      <c r="AC48" s="22">
        <f t="shared" si="6"/>
        <v>-1.3</v>
      </c>
      <c r="AD48" s="23">
        <f t="shared" si="5"/>
        <v>0</v>
      </c>
      <c r="AE48" s="26">
        <v>-1.3</v>
      </c>
      <c r="AF48" s="22" t="str">
        <f t="shared" si="7"/>
        <v/>
      </c>
      <c r="AG48" s="23" t="str">
        <f t="shared" si="8"/>
        <v/>
      </c>
    </row>
    <row r="49" spans="1:33" ht="16.5" thickBot="1">
      <c r="A49" s="89">
        <v>46</v>
      </c>
      <c r="B49" s="90">
        <v>4.5</v>
      </c>
      <c r="C49" s="45"/>
      <c r="D49" s="45"/>
      <c r="E49" s="45"/>
      <c r="F49" s="91">
        <v>46</v>
      </c>
      <c r="G49" s="91">
        <v>4.5999999999999996</v>
      </c>
      <c r="V49" s="81">
        <f t="shared" si="0"/>
        <v>9.9999999999999645E-2</v>
      </c>
      <c r="W49" s="65"/>
      <c r="X49" s="81">
        <f t="shared" si="1"/>
        <v>0</v>
      </c>
      <c r="Y49" s="81">
        <f t="shared" si="2"/>
        <v>0</v>
      </c>
      <c r="Z49" s="81">
        <f t="shared" si="3"/>
        <v>1</v>
      </c>
      <c r="AA49" s="13"/>
      <c r="AB49" s="14"/>
      <c r="AC49" s="22">
        <f t="shared" si="6"/>
        <v>-1.2</v>
      </c>
      <c r="AD49" s="23">
        <f t="shared" si="5"/>
        <v>0</v>
      </c>
      <c r="AE49" s="26">
        <v>-1.2</v>
      </c>
      <c r="AF49" s="22" t="str">
        <f t="shared" si="7"/>
        <v/>
      </c>
      <c r="AG49" s="23" t="str">
        <f t="shared" si="8"/>
        <v/>
      </c>
    </row>
    <row r="50" spans="1:33" ht="16.5" thickBot="1">
      <c r="A50" s="89">
        <v>47</v>
      </c>
      <c r="B50" s="90">
        <v>4.5</v>
      </c>
      <c r="C50" s="45"/>
      <c r="D50" s="45"/>
      <c r="E50" s="45"/>
      <c r="F50" s="91">
        <v>47</v>
      </c>
      <c r="G50" s="91">
        <v>4.4000000000000004</v>
      </c>
      <c r="V50" s="81">
        <f t="shared" si="0"/>
        <v>-9.9999999999999645E-2</v>
      </c>
      <c r="W50" s="65"/>
      <c r="X50" s="81">
        <f t="shared" si="1"/>
        <v>0</v>
      </c>
      <c r="Y50" s="81">
        <f t="shared" si="2"/>
        <v>0</v>
      </c>
      <c r="Z50" s="81">
        <f t="shared" si="3"/>
        <v>1</v>
      </c>
      <c r="AA50" s="13"/>
      <c r="AB50" s="14"/>
      <c r="AC50" s="22">
        <f t="shared" si="6"/>
        <v>-1.1000000000000001</v>
      </c>
      <c r="AD50" s="23">
        <f t="shared" si="5"/>
        <v>0</v>
      </c>
      <c r="AE50" s="26">
        <v>-1.1000000000000001</v>
      </c>
      <c r="AF50" s="22" t="str">
        <f t="shared" si="7"/>
        <v/>
      </c>
      <c r="AG50" s="23" t="str">
        <f t="shared" si="8"/>
        <v/>
      </c>
    </row>
    <row r="51" spans="1:33" ht="16.5" thickBot="1">
      <c r="A51" s="89">
        <v>48</v>
      </c>
      <c r="B51" s="90">
        <v>4.5</v>
      </c>
      <c r="C51" s="45"/>
      <c r="D51" s="45"/>
      <c r="E51" s="45"/>
      <c r="F51" s="91">
        <v>48</v>
      </c>
      <c r="G51" s="91">
        <v>4.5999999999999996</v>
      </c>
      <c r="V51" s="81">
        <f t="shared" si="0"/>
        <v>9.9999999999999645E-2</v>
      </c>
      <c r="W51" s="65"/>
      <c r="X51" s="81">
        <f t="shared" si="1"/>
        <v>0</v>
      </c>
      <c r="Y51" s="81">
        <f t="shared" si="2"/>
        <v>0</v>
      </c>
      <c r="Z51" s="81">
        <f t="shared" si="3"/>
        <v>1</v>
      </c>
      <c r="AA51" s="13"/>
      <c r="AB51" s="14"/>
      <c r="AC51" s="22">
        <f t="shared" si="6"/>
        <v>-1</v>
      </c>
      <c r="AD51" s="23">
        <f t="shared" si="5"/>
        <v>0</v>
      </c>
      <c r="AE51" s="26">
        <v>-1</v>
      </c>
      <c r="AF51" s="22" t="str">
        <f t="shared" si="7"/>
        <v/>
      </c>
      <c r="AG51" s="23" t="str">
        <f t="shared" si="8"/>
        <v/>
      </c>
    </row>
    <row r="52" spans="1:33" ht="16.5" thickBot="1">
      <c r="A52" s="89">
        <v>49</v>
      </c>
      <c r="B52" s="90">
        <v>4.5</v>
      </c>
      <c r="C52" s="45"/>
      <c r="D52" s="45"/>
      <c r="E52" s="45"/>
      <c r="F52" s="91">
        <v>49</v>
      </c>
      <c r="G52" s="91">
        <v>4.7</v>
      </c>
      <c r="V52" s="81">
        <f t="shared" si="0"/>
        <v>0.20000000000000018</v>
      </c>
      <c r="W52" s="65"/>
      <c r="X52" s="81">
        <f t="shared" si="1"/>
        <v>0</v>
      </c>
      <c r="Y52" s="81">
        <f t="shared" si="2"/>
        <v>0</v>
      </c>
      <c r="Z52" s="81">
        <f t="shared" si="3"/>
        <v>1</v>
      </c>
      <c r="AA52" s="13"/>
      <c r="AB52" s="14"/>
      <c r="AC52" s="22">
        <f t="shared" si="6"/>
        <v>-0.9</v>
      </c>
      <c r="AD52" s="23">
        <f t="shared" si="5"/>
        <v>0</v>
      </c>
      <c r="AE52" s="26">
        <v>-0.9</v>
      </c>
      <c r="AF52" s="22" t="str">
        <f t="shared" si="7"/>
        <v/>
      </c>
      <c r="AG52" s="23" t="str">
        <f t="shared" si="8"/>
        <v/>
      </c>
    </row>
    <row r="53" spans="1:33" ht="16.5" thickBot="1">
      <c r="A53" s="89">
        <v>50</v>
      </c>
      <c r="B53" s="90">
        <v>4.5</v>
      </c>
      <c r="C53" s="45"/>
      <c r="D53" s="45"/>
      <c r="E53" s="45"/>
      <c r="F53" s="91">
        <v>50</v>
      </c>
      <c r="G53" s="91">
        <v>4.8</v>
      </c>
      <c r="V53" s="81">
        <f t="shared" si="0"/>
        <v>0.29999999999999982</v>
      </c>
      <c r="W53" s="65"/>
      <c r="X53" s="81">
        <f t="shared" si="1"/>
        <v>0</v>
      </c>
      <c r="Y53" s="81">
        <f t="shared" si="2"/>
        <v>0</v>
      </c>
      <c r="Z53" s="81">
        <f t="shared" si="3"/>
        <v>1</v>
      </c>
      <c r="AA53" s="13"/>
      <c r="AB53" s="14"/>
      <c r="AC53" s="22">
        <f t="shared" si="6"/>
        <v>-0.8</v>
      </c>
      <c r="AD53" s="23">
        <f t="shared" si="5"/>
        <v>0</v>
      </c>
      <c r="AE53" s="26">
        <v>-0.8</v>
      </c>
      <c r="AF53" s="22" t="str">
        <f t="shared" si="7"/>
        <v/>
      </c>
      <c r="AG53" s="23" t="str">
        <f t="shared" si="8"/>
        <v/>
      </c>
    </row>
    <row r="54" spans="1:33" ht="16.5" thickBot="1">
      <c r="A54" s="89">
        <v>51</v>
      </c>
      <c r="B54" s="90">
        <v>4.5</v>
      </c>
      <c r="C54" s="45"/>
      <c r="D54" s="45"/>
      <c r="E54" s="45"/>
      <c r="F54" s="91">
        <v>51</v>
      </c>
      <c r="G54" s="91">
        <v>4.7</v>
      </c>
      <c r="V54" s="81">
        <f t="shared" si="0"/>
        <v>0.20000000000000018</v>
      </c>
      <c r="W54" s="65"/>
      <c r="X54" s="81">
        <f t="shared" si="1"/>
        <v>0</v>
      </c>
      <c r="Y54" s="81">
        <f t="shared" si="2"/>
        <v>0</v>
      </c>
      <c r="Z54" s="81">
        <f t="shared" si="3"/>
        <v>1</v>
      </c>
      <c r="AA54" s="13"/>
      <c r="AB54" s="14"/>
      <c r="AC54" s="22">
        <f t="shared" si="6"/>
        <v>-0.7</v>
      </c>
      <c r="AD54" s="23">
        <f t="shared" si="5"/>
        <v>0</v>
      </c>
      <c r="AE54" s="26">
        <v>-0.7</v>
      </c>
      <c r="AF54" s="22" t="str">
        <f t="shared" si="7"/>
        <v/>
      </c>
      <c r="AG54" s="23" t="str">
        <f t="shared" si="8"/>
        <v/>
      </c>
    </row>
    <row r="55" spans="1:33" ht="16.5" thickBot="1">
      <c r="A55" s="89">
        <v>52</v>
      </c>
      <c r="B55" s="90">
        <v>4.5</v>
      </c>
      <c r="C55" s="45"/>
      <c r="D55" s="45"/>
      <c r="E55" s="45"/>
      <c r="F55" s="91">
        <v>52</v>
      </c>
      <c r="G55" s="91">
        <v>4.5999999999999996</v>
      </c>
      <c r="V55" s="81">
        <f t="shared" si="0"/>
        <v>9.9999999999999645E-2</v>
      </c>
      <c r="W55" s="65"/>
      <c r="X55" s="81">
        <f t="shared" si="1"/>
        <v>0</v>
      </c>
      <c r="Y55" s="81">
        <f t="shared" si="2"/>
        <v>0</v>
      </c>
      <c r="Z55" s="81">
        <f t="shared" si="3"/>
        <v>1</v>
      </c>
      <c r="AA55" s="13"/>
      <c r="AB55" s="14"/>
      <c r="AC55" s="22">
        <f t="shared" si="6"/>
        <v>-0.6</v>
      </c>
      <c r="AD55" s="23">
        <f t="shared" si="5"/>
        <v>1</v>
      </c>
      <c r="AE55" s="26">
        <v>-0.6</v>
      </c>
      <c r="AF55" s="22" t="str">
        <f t="shared" si="7"/>
        <v/>
      </c>
      <c r="AG55" s="23" t="str">
        <f t="shared" si="8"/>
        <v/>
      </c>
    </row>
    <row r="56" spans="1:33" ht="16.5" thickBot="1">
      <c r="A56" s="89">
        <v>53</v>
      </c>
      <c r="B56" s="90">
        <v>4.5</v>
      </c>
      <c r="C56" s="45"/>
      <c r="D56" s="45"/>
      <c r="E56" s="45"/>
      <c r="F56" s="91">
        <v>53</v>
      </c>
      <c r="G56" s="91">
        <v>4.5</v>
      </c>
      <c r="V56" s="81">
        <f t="shared" si="0"/>
        <v>0</v>
      </c>
      <c r="W56" s="65"/>
      <c r="X56" s="81">
        <f t="shared" si="1"/>
        <v>0</v>
      </c>
      <c r="Y56" s="81">
        <f t="shared" si="2"/>
        <v>0</v>
      </c>
      <c r="Z56" s="81">
        <f t="shared" si="3"/>
        <v>1</v>
      </c>
      <c r="AA56" s="13"/>
      <c r="AB56" s="14"/>
      <c r="AC56" s="22">
        <f t="shared" si="6"/>
        <v>-0.5</v>
      </c>
      <c r="AD56" s="23">
        <f t="shared" si="5"/>
        <v>0</v>
      </c>
      <c r="AE56" s="26">
        <v>-0.5</v>
      </c>
      <c r="AF56" s="22" t="str">
        <f t="shared" si="7"/>
        <v/>
      </c>
      <c r="AG56" s="23" t="str">
        <f t="shared" si="8"/>
        <v/>
      </c>
    </row>
    <row r="57" spans="1:33" ht="16.5" thickBot="1">
      <c r="A57" s="89">
        <v>54</v>
      </c>
      <c r="B57" s="90">
        <v>4.5</v>
      </c>
      <c r="C57" s="45"/>
      <c r="D57" s="45"/>
      <c r="E57" s="45"/>
      <c r="F57" s="91">
        <v>54</v>
      </c>
      <c r="G57" s="91">
        <v>4.5</v>
      </c>
      <c r="V57" s="81">
        <f t="shared" si="0"/>
        <v>0</v>
      </c>
      <c r="W57" s="65"/>
      <c r="X57" s="81">
        <f t="shared" si="1"/>
        <v>0</v>
      </c>
      <c r="Y57" s="81">
        <f t="shared" si="2"/>
        <v>0</v>
      </c>
      <c r="Z57" s="81">
        <f t="shared" si="3"/>
        <v>1</v>
      </c>
      <c r="AA57" s="13"/>
      <c r="AB57" s="14"/>
      <c r="AC57" s="22">
        <f t="shared" si="6"/>
        <v>-0.4</v>
      </c>
      <c r="AD57" s="23">
        <f t="shared" si="5"/>
        <v>0</v>
      </c>
      <c r="AE57" s="26">
        <v>-0.4</v>
      </c>
      <c r="AF57" s="22" t="str">
        <f t="shared" si="7"/>
        <v/>
      </c>
      <c r="AG57" s="23" t="str">
        <f t="shared" si="8"/>
        <v/>
      </c>
    </row>
    <row r="58" spans="1:33" ht="16.5" thickBot="1">
      <c r="A58" s="89">
        <v>55</v>
      </c>
      <c r="B58" s="90">
        <v>4.5</v>
      </c>
      <c r="C58" s="45"/>
      <c r="D58" s="45"/>
      <c r="E58" s="45"/>
      <c r="F58" s="91">
        <v>55</v>
      </c>
      <c r="G58" s="91">
        <v>4.5</v>
      </c>
      <c r="V58" s="81">
        <f t="shared" si="0"/>
        <v>0</v>
      </c>
      <c r="W58" s="65"/>
      <c r="X58" s="81">
        <f t="shared" si="1"/>
        <v>0</v>
      </c>
      <c r="Y58" s="81">
        <f t="shared" si="2"/>
        <v>0</v>
      </c>
      <c r="Z58" s="81">
        <f t="shared" si="3"/>
        <v>1</v>
      </c>
      <c r="AA58" s="13"/>
      <c r="AB58" s="14"/>
      <c r="AC58" s="22">
        <f t="shared" si="6"/>
        <v>-0.3</v>
      </c>
      <c r="AD58" s="23">
        <f t="shared" si="5"/>
        <v>0</v>
      </c>
      <c r="AE58" s="26">
        <v>-0.3</v>
      </c>
      <c r="AF58" s="22" t="str">
        <f t="shared" si="7"/>
        <v/>
      </c>
      <c r="AG58" s="23" t="str">
        <f t="shared" si="8"/>
        <v/>
      </c>
    </row>
    <row r="59" spans="1:33" ht="16.5" thickBot="1">
      <c r="A59" s="89">
        <v>56</v>
      </c>
      <c r="B59" s="90">
        <v>6</v>
      </c>
      <c r="C59" s="45"/>
      <c r="D59" s="45"/>
      <c r="E59" s="45"/>
      <c r="F59" s="91">
        <v>56</v>
      </c>
      <c r="G59" s="91">
        <v>6</v>
      </c>
      <c r="V59" s="81">
        <f t="shared" si="0"/>
        <v>0</v>
      </c>
      <c r="W59" s="65"/>
      <c r="X59" s="81">
        <f t="shared" si="1"/>
        <v>0</v>
      </c>
      <c r="Y59" s="81">
        <f t="shared" si="2"/>
        <v>0</v>
      </c>
      <c r="Z59" s="81">
        <f t="shared" si="3"/>
        <v>1</v>
      </c>
      <c r="AA59" s="13"/>
      <c r="AB59" s="14"/>
      <c r="AC59" s="22">
        <f t="shared" si="6"/>
        <v>-0.2</v>
      </c>
      <c r="AD59" s="23">
        <f t="shared" si="5"/>
        <v>2</v>
      </c>
      <c r="AE59" s="26">
        <v>-0.2</v>
      </c>
      <c r="AF59" s="22" t="str">
        <f t="shared" si="7"/>
        <v/>
      </c>
      <c r="AG59" s="23" t="str">
        <f t="shared" si="8"/>
        <v/>
      </c>
    </row>
    <row r="60" spans="1:33" ht="16.5" thickBot="1">
      <c r="A60" s="89">
        <v>57</v>
      </c>
      <c r="B60" s="90">
        <v>6</v>
      </c>
      <c r="C60" s="45"/>
      <c r="D60" s="45"/>
      <c r="E60" s="45"/>
      <c r="F60" s="91">
        <v>57</v>
      </c>
      <c r="G60" s="91">
        <v>6.2</v>
      </c>
      <c r="V60" s="81">
        <f t="shared" si="0"/>
        <v>0.20000000000000018</v>
      </c>
      <c r="W60" s="65"/>
      <c r="X60" s="81">
        <f t="shared" si="1"/>
        <v>0</v>
      </c>
      <c r="Y60" s="81">
        <f t="shared" si="2"/>
        <v>0</v>
      </c>
      <c r="Z60" s="81">
        <f t="shared" si="3"/>
        <v>1</v>
      </c>
      <c r="AA60" s="13"/>
      <c r="AB60" s="14"/>
      <c r="AC60" s="22">
        <f t="shared" si="6"/>
        <v>-0.1</v>
      </c>
      <c r="AD60" s="23">
        <f t="shared" si="5"/>
        <v>10</v>
      </c>
      <c r="AE60" s="26">
        <v>-0.1</v>
      </c>
      <c r="AF60" s="22" t="str">
        <f t="shared" si="7"/>
        <v/>
      </c>
      <c r="AG60" s="23" t="str">
        <f t="shared" si="8"/>
        <v/>
      </c>
    </row>
    <row r="61" spans="1:33" ht="16.5" thickBot="1">
      <c r="A61" s="89">
        <v>58</v>
      </c>
      <c r="B61" s="90">
        <v>4.5</v>
      </c>
      <c r="C61" s="45"/>
      <c r="D61" s="45"/>
      <c r="E61" s="45"/>
      <c r="F61" s="91">
        <v>58</v>
      </c>
      <c r="G61" s="91">
        <v>4.7</v>
      </c>
      <c r="V61" s="81">
        <f t="shared" si="0"/>
        <v>0.20000000000000018</v>
      </c>
      <c r="W61" s="65"/>
      <c r="X61" s="81">
        <f t="shared" si="1"/>
        <v>0</v>
      </c>
      <c r="Y61" s="81">
        <f t="shared" si="2"/>
        <v>0</v>
      </c>
      <c r="Z61" s="81">
        <f t="shared" si="3"/>
        <v>1</v>
      </c>
      <c r="AA61" s="13"/>
      <c r="AB61" s="14"/>
      <c r="AC61" s="22">
        <f t="shared" si="6"/>
        <v>0</v>
      </c>
      <c r="AD61" s="23">
        <f t="shared" si="5"/>
        <v>100</v>
      </c>
      <c r="AE61" s="26">
        <v>0</v>
      </c>
      <c r="AF61" s="22" t="str">
        <f t="shared" si="7"/>
        <v/>
      </c>
      <c r="AG61" s="23" t="str">
        <f t="shared" si="8"/>
        <v/>
      </c>
    </row>
    <row r="62" spans="1:33" ht="16.5" thickBot="1">
      <c r="A62" s="89">
        <v>59</v>
      </c>
      <c r="B62" s="90">
        <v>4.5</v>
      </c>
      <c r="C62" s="45"/>
      <c r="D62" s="45"/>
      <c r="E62" s="45"/>
      <c r="F62" s="91">
        <v>59</v>
      </c>
      <c r="G62" s="91">
        <v>4.7</v>
      </c>
      <c r="V62" s="81">
        <f t="shared" si="0"/>
        <v>0.20000000000000018</v>
      </c>
      <c r="W62" s="65"/>
      <c r="X62" s="81">
        <f t="shared" si="1"/>
        <v>0</v>
      </c>
      <c r="Y62" s="81">
        <f t="shared" si="2"/>
        <v>0</v>
      </c>
      <c r="Z62" s="81">
        <f t="shared" si="3"/>
        <v>1</v>
      </c>
      <c r="AA62" s="13"/>
      <c r="AB62" s="14"/>
      <c r="AC62" s="22">
        <f t="shared" si="6"/>
        <v>0.1</v>
      </c>
      <c r="AD62" s="23">
        <f t="shared" si="5"/>
        <v>7</v>
      </c>
      <c r="AE62" s="26">
        <v>0.1</v>
      </c>
      <c r="AF62" s="22" t="str">
        <f t="shared" si="7"/>
        <v/>
      </c>
      <c r="AG62" s="23" t="str">
        <f t="shared" si="8"/>
        <v/>
      </c>
    </row>
    <row r="63" spans="1:33" ht="16.5" thickBot="1">
      <c r="A63" s="89">
        <v>60</v>
      </c>
      <c r="B63" s="90">
        <v>4.5</v>
      </c>
      <c r="C63" s="45"/>
      <c r="D63" s="45"/>
      <c r="E63" s="45"/>
      <c r="F63" s="91">
        <v>60</v>
      </c>
      <c r="G63" s="91">
        <v>4.7</v>
      </c>
      <c r="V63" s="81">
        <f t="shared" si="0"/>
        <v>0.20000000000000018</v>
      </c>
      <c r="W63" s="65"/>
      <c r="X63" s="81">
        <f t="shared" si="1"/>
        <v>0</v>
      </c>
      <c r="Y63" s="81">
        <f t="shared" si="2"/>
        <v>0</v>
      </c>
      <c r="Z63" s="81">
        <f t="shared" si="3"/>
        <v>1</v>
      </c>
      <c r="AA63" s="13"/>
      <c r="AB63" s="14"/>
      <c r="AC63" s="22">
        <f t="shared" si="6"/>
        <v>0.2</v>
      </c>
      <c r="AD63" s="23">
        <f t="shared" si="5"/>
        <v>66</v>
      </c>
      <c r="AE63" s="26">
        <v>0.2</v>
      </c>
      <c r="AF63" s="22" t="str">
        <f t="shared" si="7"/>
        <v/>
      </c>
      <c r="AG63" s="23" t="str">
        <f t="shared" si="8"/>
        <v/>
      </c>
    </row>
    <row r="64" spans="1:33" ht="16.5" thickBot="1">
      <c r="A64" s="89">
        <v>61</v>
      </c>
      <c r="B64" s="90">
        <v>4.5</v>
      </c>
      <c r="C64" s="45"/>
      <c r="D64" s="45"/>
      <c r="E64" s="45"/>
      <c r="F64" s="91">
        <v>61</v>
      </c>
      <c r="G64" s="91">
        <v>4.7</v>
      </c>
      <c r="V64" s="81">
        <f t="shared" si="0"/>
        <v>0.20000000000000018</v>
      </c>
      <c r="W64" s="65"/>
      <c r="X64" s="81">
        <f t="shared" si="1"/>
        <v>0</v>
      </c>
      <c r="Y64" s="81">
        <f t="shared" si="2"/>
        <v>0</v>
      </c>
      <c r="Z64" s="81">
        <f t="shared" si="3"/>
        <v>1</v>
      </c>
      <c r="AC64" s="22">
        <f t="shared" si="6"/>
        <v>0.3</v>
      </c>
      <c r="AD64" s="23">
        <f t="shared" si="5"/>
        <v>43</v>
      </c>
      <c r="AE64" s="26">
        <v>0.3</v>
      </c>
      <c r="AF64" s="22" t="str">
        <f t="shared" si="7"/>
        <v/>
      </c>
      <c r="AG64" s="23" t="str">
        <f t="shared" si="8"/>
        <v/>
      </c>
    </row>
    <row r="65" spans="1:33" ht="16.5" thickBot="1">
      <c r="A65" s="89">
        <v>62</v>
      </c>
      <c r="B65" s="90">
        <v>4.5</v>
      </c>
      <c r="C65" s="45"/>
      <c r="D65" s="45"/>
      <c r="E65" s="45"/>
      <c r="F65" s="91">
        <v>62</v>
      </c>
      <c r="G65" s="91">
        <v>4.7</v>
      </c>
      <c r="V65" s="81">
        <f t="shared" si="0"/>
        <v>0.20000000000000018</v>
      </c>
      <c r="W65" s="65"/>
      <c r="X65" s="81">
        <f t="shared" si="1"/>
        <v>0</v>
      </c>
      <c r="Y65" s="81">
        <f t="shared" si="2"/>
        <v>0</v>
      </c>
      <c r="Z65" s="81">
        <f t="shared" si="3"/>
        <v>1</v>
      </c>
      <c r="AC65" s="22">
        <f t="shared" si="6"/>
        <v>0.4</v>
      </c>
      <c r="AD65" s="23">
        <f t="shared" si="5"/>
        <v>5</v>
      </c>
      <c r="AE65" s="26">
        <v>0.4</v>
      </c>
      <c r="AF65" s="22" t="str">
        <f t="shared" si="7"/>
        <v/>
      </c>
      <c r="AG65" s="23" t="str">
        <f t="shared" si="8"/>
        <v/>
      </c>
    </row>
    <row r="66" spans="1:33" ht="16.5" thickBot="1">
      <c r="A66" s="89">
        <v>63</v>
      </c>
      <c r="B66" s="90">
        <v>4.5</v>
      </c>
      <c r="C66" s="45"/>
      <c r="D66" s="45"/>
      <c r="E66" s="45"/>
      <c r="F66" s="91">
        <v>63</v>
      </c>
      <c r="G66" s="91">
        <v>4.5</v>
      </c>
      <c r="V66" s="81">
        <f t="shared" si="0"/>
        <v>0</v>
      </c>
      <c r="W66" s="65"/>
      <c r="X66" s="81">
        <f t="shared" si="1"/>
        <v>0</v>
      </c>
      <c r="Y66" s="81">
        <f t="shared" si="2"/>
        <v>0</v>
      </c>
      <c r="Z66" s="81">
        <f t="shared" si="3"/>
        <v>1</v>
      </c>
      <c r="AC66" s="22">
        <f t="shared" si="6"/>
        <v>0.5</v>
      </c>
      <c r="AD66" s="23">
        <f t="shared" si="5"/>
        <v>1</v>
      </c>
      <c r="AE66" s="26">
        <v>0.5</v>
      </c>
      <c r="AF66" s="22" t="str">
        <f t="shared" si="7"/>
        <v/>
      </c>
      <c r="AG66" s="23" t="str">
        <f t="shared" si="8"/>
        <v/>
      </c>
    </row>
    <row r="67" spans="1:33" ht="16.5" thickBot="1">
      <c r="A67" s="89">
        <v>64</v>
      </c>
      <c r="B67" s="90">
        <v>4.5</v>
      </c>
      <c r="C67" s="45"/>
      <c r="D67" s="45"/>
      <c r="E67" s="45"/>
      <c r="F67" s="91">
        <v>64</v>
      </c>
      <c r="G67" s="91">
        <v>4.5</v>
      </c>
      <c r="V67" s="81">
        <f t="shared" si="0"/>
        <v>0</v>
      </c>
      <c r="W67" s="65"/>
      <c r="X67" s="81">
        <f t="shared" si="1"/>
        <v>0</v>
      </c>
      <c r="Y67" s="81">
        <f t="shared" si="2"/>
        <v>0</v>
      </c>
      <c r="Z67" s="81">
        <f t="shared" si="3"/>
        <v>1</v>
      </c>
      <c r="AC67" s="22" t="str">
        <f t="shared" si="6"/>
        <v/>
      </c>
      <c r="AD67" s="23" t="str">
        <f t="shared" si="5"/>
        <v/>
      </c>
      <c r="AE67" s="26">
        <v>0.6</v>
      </c>
      <c r="AF67" s="22">
        <f t="shared" si="7"/>
        <v>0.6</v>
      </c>
      <c r="AG67" s="23">
        <f t="shared" si="8"/>
        <v>0</v>
      </c>
    </row>
    <row r="68" spans="1:33" ht="16.5" thickBot="1">
      <c r="A68" s="89">
        <v>65</v>
      </c>
      <c r="B68" s="90">
        <v>4.5</v>
      </c>
      <c r="C68" s="45"/>
      <c r="D68" s="45"/>
      <c r="E68" s="45"/>
      <c r="F68" s="91">
        <v>65</v>
      </c>
      <c r="G68" s="91">
        <v>4.5</v>
      </c>
      <c r="V68" s="81">
        <f t="shared" si="0"/>
        <v>0</v>
      </c>
      <c r="W68" s="65"/>
      <c r="X68" s="81">
        <f t="shared" si="1"/>
        <v>0</v>
      </c>
      <c r="Y68" s="81">
        <f t="shared" si="2"/>
        <v>0</v>
      </c>
      <c r="Z68" s="81">
        <f t="shared" si="3"/>
        <v>1</v>
      </c>
      <c r="AC68" s="22" t="str">
        <f t="shared" si="6"/>
        <v/>
      </c>
      <c r="AD68" s="23" t="str">
        <f t="shared" si="5"/>
        <v/>
      </c>
      <c r="AE68" s="26">
        <v>0.7</v>
      </c>
      <c r="AF68" s="22">
        <f t="shared" si="7"/>
        <v>0.7</v>
      </c>
      <c r="AG68" s="23">
        <f t="shared" si="8"/>
        <v>1</v>
      </c>
    </row>
    <row r="69" spans="1:33" ht="16.5" thickBot="1">
      <c r="A69" s="89">
        <v>66</v>
      </c>
      <c r="B69" s="90">
        <v>6</v>
      </c>
      <c r="C69" s="45"/>
      <c r="D69" s="45"/>
      <c r="E69" s="45"/>
      <c r="F69" s="91">
        <v>66</v>
      </c>
      <c r="G69" s="91">
        <v>6.1</v>
      </c>
      <c r="V69" s="81">
        <f t="shared" ref="V69:V132" si="9">G69-B69</f>
        <v>9.9999999999999645E-2</v>
      </c>
      <c r="W69" s="65"/>
      <c r="X69" s="81">
        <f t="shared" ref="X69:X132" si="10">IF($V69&lt;-$AA$4,1,0)</f>
        <v>0</v>
      </c>
      <c r="Y69" s="81">
        <f t="shared" ref="Y69:Y132" si="11">IF($V69&gt;$AA$4,1,0)</f>
        <v>0</v>
      </c>
      <c r="Z69" s="81">
        <f t="shared" ref="Z69:Z132" si="12">IF($V69&gt;=-$AA$4,IF(V69&lt;=$AA$4,1,""),"")</f>
        <v>1</v>
      </c>
      <c r="AC69" s="22" t="str">
        <f t="shared" si="6"/>
        <v/>
      </c>
      <c r="AD69" s="23" t="str">
        <f t="shared" si="5"/>
        <v/>
      </c>
      <c r="AE69" s="26">
        <v>0.8</v>
      </c>
      <c r="AF69" s="22">
        <f t="shared" si="7"/>
        <v>0.8</v>
      </c>
      <c r="AG69" s="23">
        <f t="shared" si="8"/>
        <v>0</v>
      </c>
    </row>
    <row r="70" spans="1:33" ht="16.5" thickBot="1">
      <c r="A70" s="89">
        <v>67</v>
      </c>
      <c r="B70" s="90">
        <v>4.5999999999999996</v>
      </c>
      <c r="C70" s="45"/>
      <c r="D70" s="45"/>
      <c r="E70" s="45"/>
      <c r="F70" s="91">
        <v>67</v>
      </c>
      <c r="G70" s="91">
        <v>4.4000000000000004</v>
      </c>
      <c r="V70" s="81">
        <f t="shared" si="9"/>
        <v>-0.19999999999999929</v>
      </c>
      <c r="W70" s="65"/>
      <c r="X70" s="81">
        <f t="shared" si="10"/>
        <v>0</v>
      </c>
      <c r="Y70" s="81">
        <f t="shared" si="11"/>
        <v>0</v>
      </c>
      <c r="Z70" s="81">
        <f t="shared" si="12"/>
        <v>1</v>
      </c>
      <c r="AC70" s="22" t="str">
        <f t="shared" si="6"/>
        <v/>
      </c>
      <c r="AD70" s="23" t="str">
        <f t="shared" si="5"/>
        <v/>
      </c>
      <c r="AE70" s="26">
        <v>0.9</v>
      </c>
      <c r="AF70" s="22">
        <f t="shared" si="7"/>
        <v>0.9</v>
      </c>
      <c r="AG70" s="23">
        <f t="shared" si="8"/>
        <v>0</v>
      </c>
    </row>
    <row r="71" spans="1:33" ht="16.5" thickBot="1">
      <c r="A71" s="89">
        <v>68</v>
      </c>
      <c r="B71" s="90">
        <v>4.5</v>
      </c>
      <c r="C71" s="45"/>
      <c r="D71" s="45"/>
      <c r="E71" s="45"/>
      <c r="F71" s="91">
        <v>68</v>
      </c>
      <c r="G71" s="91">
        <v>4.4000000000000004</v>
      </c>
      <c r="V71" s="81">
        <f t="shared" si="9"/>
        <v>-9.9999999999999645E-2</v>
      </c>
      <c r="W71" s="65"/>
      <c r="X71" s="81">
        <f t="shared" si="10"/>
        <v>0</v>
      </c>
      <c r="Y71" s="81">
        <f t="shared" si="11"/>
        <v>0</v>
      </c>
      <c r="Z71" s="81">
        <f t="shared" si="12"/>
        <v>1</v>
      </c>
      <c r="AC71" s="22" t="str">
        <f t="shared" si="6"/>
        <v/>
      </c>
      <c r="AD71" s="23" t="str">
        <f t="shared" si="5"/>
        <v/>
      </c>
      <c r="AE71" s="26">
        <v>1</v>
      </c>
      <c r="AF71" s="22">
        <f t="shared" si="7"/>
        <v>1</v>
      </c>
      <c r="AG71" s="23">
        <f t="shared" si="8"/>
        <v>0</v>
      </c>
    </row>
    <row r="72" spans="1:33" ht="16.5" thickBot="1">
      <c r="A72" s="89">
        <v>69</v>
      </c>
      <c r="B72" s="90">
        <v>4.5</v>
      </c>
      <c r="C72" s="45"/>
      <c r="D72" s="45"/>
      <c r="E72" s="45"/>
      <c r="F72" s="91">
        <v>69</v>
      </c>
      <c r="G72" s="91">
        <v>4.5999999999999996</v>
      </c>
      <c r="V72" s="81">
        <f t="shared" si="9"/>
        <v>9.9999999999999645E-2</v>
      </c>
      <c r="W72" s="65"/>
      <c r="X72" s="81">
        <f t="shared" si="10"/>
        <v>0</v>
      </c>
      <c r="Y72" s="81">
        <f t="shared" si="11"/>
        <v>0</v>
      </c>
      <c r="Z72" s="81">
        <f t="shared" si="12"/>
        <v>1</v>
      </c>
      <c r="AC72" s="22" t="str">
        <f t="shared" si="6"/>
        <v/>
      </c>
      <c r="AD72" s="23" t="str">
        <f t="shared" si="5"/>
        <v/>
      </c>
      <c r="AE72" s="26">
        <v>1.1000000000000001</v>
      </c>
      <c r="AF72" s="22">
        <f t="shared" si="7"/>
        <v>1.1000000000000001</v>
      </c>
      <c r="AG72" s="23">
        <f t="shared" si="8"/>
        <v>0</v>
      </c>
    </row>
    <row r="73" spans="1:33" ht="16.5" thickBot="1">
      <c r="A73" s="89">
        <v>70</v>
      </c>
      <c r="B73" s="90">
        <v>4.5</v>
      </c>
      <c r="C73" s="45"/>
      <c r="D73" s="45"/>
      <c r="E73" s="45"/>
      <c r="F73" s="91">
        <v>70</v>
      </c>
      <c r="G73" s="91">
        <v>4.7</v>
      </c>
      <c r="V73" s="81">
        <f t="shared" si="9"/>
        <v>0.20000000000000018</v>
      </c>
      <c r="W73" s="65"/>
      <c r="X73" s="81">
        <f t="shared" si="10"/>
        <v>0</v>
      </c>
      <c r="Y73" s="81">
        <f t="shared" si="11"/>
        <v>0</v>
      </c>
      <c r="Z73" s="81">
        <f t="shared" si="12"/>
        <v>1</v>
      </c>
      <c r="AC73" s="22" t="str">
        <f t="shared" si="6"/>
        <v/>
      </c>
      <c r="AD73" s="23" t="str">
        <f t="shared" si="5"/>
        <v/>
      </c>
      <c r="AE73" s="26">
        <v>1.2</v>
      </c>
      <c r="AF73" s="22">
        <f t="shared" si="7"/>
        <v>1.2</v>
      </c>
      <c r="AG73" s="23">
        <f t="shared" si="8"/>
        <v>0</v>
      </c>
    </row>
    <row r="74" spans="1:33" ht="16.5" thickBot="1">
      <c r="A74" s="89">
        <v>71</v>
      </c>
      <c r="B74" s="90">
        <v>4.5</v>
      </c>
      <c r="C74" s="45"/>
      <c r="D74" s="45"/>
      <c r="E74" s="45"/>
      <c r="F74" s="91">
        <v>71</v>
      </c>
      <c r="G74" s="91">
        <v>4.5</v>
      </c>
      <c r="V74" s="81">
        <f t="shared" si="9"/>
        <v>0</v>
      </c>
      <c r="W74" s="65"/>
      <c r="X74" s="81">
        <f t="shared" si="10"/>
        <v>0</v>
      </c>
      <c r="Y74" s="81">
        <f t="shared" si="11"/>
        <v>0</v>
      </c>
      <c r="Z74" s="81">
        <f t="shared" si="12"/>
        <v>1</v>
      </c>
      <c r="AC74" s="22" t="str">
        <f t="shared" si="6"/>
        <v/>
      </c>
      <c r="AD74" s="23" t="str">
        <f t="shared" si="5"/>
        <v/>
      </c>
      <c r="AE74" s="26">
        <v>1.3</v>
      </c>
      <c r="AF74" s="22">
        <f t="shared" si="7"/>
        <v>1.3</v>
      </c>
      <c r="AG74" s="23">
        <f t="shared" si="8"/>
        <v>0</v>
      </c>
    </row>
    <row r="75" spans="1:33" ht="16.5" thickBot="1">
      <c r="A75" s="89">
        <v>72</v>
      </c>
      <c r="B75" s="90">
        <v>4.5</v>
      </c>
      <c r="C75" s="45"/>
      <c r="D75" s="45"/>
      <c r="E75" s="45"/>
      <c r="F75" s="91">
        <v>72</v>
      </c>
      <c r="G75" s="91">
        <v>4.5</v>
      </c>
      <c r="V75" s="81">
        <f t="shared" si="9"/>
        <v>0</v>
      </c>
      <c r="W75" s="65"/>
      <c r="X75" s="81">
        <f t="shared" si="10"/>
        <v>0</v>
      </c>
      <c r="Y75" s="81">
        <f t="shared" si="11"/>
        <v>0</v>
      </c>
      <c r="Z75" s="81">
        <f t="shared" si="12"/>
        <v>1</v>
      </c>
      <c r="AC75" s="22" t="str">
        <f t="shared" si="6"/>
        <v/>
      </c>
      <c r="AD75" s="23" t="str">
        <f t="shared" si="5"/>
        <v/>
      </c>
      <c r="AE75" s="26">
        <v>1.4</v>
      </c>
      <c r="AF75" s="22">
        <f t="shared" si="7"/>
        <v>1.4</v>
      </c>
      <c r="AG75" s="23">
        <f t="shared" si="8"/>
        <v>0</v>
      </c>
    </row>
    <row r="76" spans="1:33" ht="16.5" thickBot="1">
      <c r="A76" s="89">
        <v>73</v>
      </c>
      <c r="B76" s="90">
        <v>4.5</v>
      </c>
      <c r="C76" s="45"/>
      <c r="D76" s="45"/>
      <c r="E76" s="45"/>
      <c r="F76" s="91">
        <v>73</v>
      </c>
      <c r="G76" s="91">
        <v>4.5</v>
      </c>
      <c r="V76" s="81">
        <f t="shared" si="9"/>
        <v>0</v>
      </c>
      <c r="W76" s="65"/>
      <c r="X76" s="81">
        <f t="shared" si="10"/>
        <v>0</v>
      </c>
      <c r="Y76" s="81">
        <f t="shared" si="11"/>
        <v>0</v>
      </c>
      <c r="Z76" s="81">
        <f t="shared" si="12"/>
        <v>1</v>
      </c>
      <c r="AC76" s="22" t="str">
        <f t="shared" si="6"/>
        <v/>
      </c>
      <c r="AD76" s="23" t="str">
        <f t="shared" si="5"/>
        <v/>
      </c>
      <c r="AE76" s="26">
        <v>1.5</v>
      </c>
      <c r="AF76" s="22">
        <f t="shared" si="7"/>
        <v>1.5</v>
      </c>
      <c r="AG76" s="23">
        <f t="shared" si="8"/>
        <v>0</v>
      </c>
    </row>
    <row r="77" spans="1:33" ht="16.5" thickBot="1">
      <c r="A77" s="89">
        <v>74</v>
      </c>
      <c r="B77" s="90">
        <v>4.7</v>
      </c>
      <c r="C77" s="45"/>
      <c r="D77" s="45"/>
      <c r="E77" s="45"/>
      <c r="F77" s="91">
        <v>74</v>
      </c>
      <c r="G77" s="91">
        <v>5</v>
      </c>
      <c r="V77" s="81">
        <f t="shared" si="9"/>
        <v>0.29999999999999982</v>
      </c>
      <c r="W77" s="65"/>
      <c r="X77" s="81">
        <f t="shared" si="10"/>
        <v>0</v>
      </c>
      <c r="Y77" s="81">
        <f t="shared" si="11"/>
        <v>0</v>
      </c>
      <c r="Z77" s="81">
        <f t="shared" si="12"/>
        <v>1</v>
      </c>
      <c r="AC77" s="22" t="str">
        <f t="shared" si="6"/>
        <v/>
      </c>
      <c r="AD77" s="23" t="str">
        <f t="shared" si="5"/>
        <v/>
      </c>
      <c r="AE77" s="26">
        <v>1.6</v>
      </c>
      <c r="AF77" s="22">
        <f t="shared" si="7"/>
        <v>1.6</v>
      </c>
      <c r="AG77" s="23">
        <f t="shared" si="8"/>
        <v>0</v>
      </c>
    </row>
    <row r="78" spans="1:33" ht="16.5" thickBot="1">
      <c r="A78" s="89">
        <v>75</v>
      </c>
      <c r="B78" s="90">
        <v>6.1</v>
      </c>
      <c r="C78" s="45"/>
      <c r="D78" s="45"/>
      <c r="E78" s="45"/>
      <c r="F78" s="91">
        <v>75</v>
      </c>
      <c r="G78" s="91">
        <v>6.4</v>
      </c>
      <c r="V78" s="81">
        <f t="shared" si="9"/>
        <v>0.30000000000000071</v>
      </c>
      <c r="W78" s="65"/>
      <c r="X78" s="81">
        <f t="shared" si="10"/>
        <v>0</v>
      </c>
      <c r="Y78" s="81">
        <f t="shared" si="11"/>
        <v>0</v>
      </c>
      <c r="Z78" s="81">
        <f t="shared" si="12"/>
        <v>1</v>
      </c>
      <c r="AC78" s="22" t="str">
        <f t="shared" si="6"/>
        <v/>
      </c>
      <c r="AD78" s="23" t="str">
        <f t="shared" si="5"/>
        <v/>
      </c>
      <c r="AE78" s="26">
        <v>1.7</v>
      </c>
      <c r="AF78" s="22">
        <f t="shared" si="7"/>
        <v>1.7</v>
      </c>
      <c r="AG78" s="23">
        <f t="shared" si="8"/>
        <v>0</v>
      </c>
    </row>
    <row r="79" spans="1:33" ht="16.5" thickBot="1">
      <c r="A79" s="89">
        <v>76</v>
      </c>
      <c r="B79" s="90">
        <v>6.2</v>
      </c>
      <c r="C79" s="45"/>
      <c r="D79" s="45"/>
      <c r="E79" s="45"/>
      <c r="F79" s="91">
        <v>76</v>
      </c>
      <c r="G79" s="91">
        <v>6.2</v>
      </c>
      <c r="V79" s="81">
        <f t="shared" si="9"/>
        <v>0</v>
      </c>
      <c r="W79" s="65"/>
      <c r="X79" s="81">
        <f t="shared" si="10"/>
        <v>0</v>
      </c>
      <c r="Y79" s="81">
        <f t="shared" si="11"/>
        <v>0</v>
      </c>
      <c r="Z79" s="81">
        <f t="shared" si="12"/>
        <v>1</v>
      </c>
      <c r="AC79" s="22" t="str">
        <f t="shared" si="6"/>
        <v/>
      </c>
      <c r="AD79" s="23" t="str">
        <f t="shared" si="5"/>
        <v/>
      </c>
      <c r="AE79" s="26">
        <v>1.8</v>
      </c>
      <c r="AF79" s="22">
        <f t="shared" si="7"/>
        <v>1.8</v>
      </c>
      <c r="AG79" s="23">
        <f t="shared" si="8"/>
        <v>0</v>
      </c>
    </row>
    <row r="80" spans="1:33" ht="16.5" thickBot="1">
      <c r="A80" s="89">
        <v>77</v>
      </c>
      <c r="B80" s="90">
        <v>6.2</v>
      </c>
      <c r="C80" s="45"/>
      <c r="D80" s="45"/>
      <c r="E80" s="45"/>
      <c r="F80" s="91">
        <v>77</v>
      </c>
      <c r="G80" s="91">
        <v>6.2</v>
      </c>
      <c r="V80" s="81">
        <f t="shared" si="9"/>
        <v>0</v>
      </c>
      <c r="W80" s="65"/>
      <c r="X80" s="81">
        <f t="shared" si="10"/>
        <v>0</v>
      </c>
      <c r="Y80" s="81">
        <f t="shared" si="11"/>
        <v>0</v>
      </c>
      <c r="Z80" s="81">
        <f t="shared" si="12"/>
        <v>1</v>
      </c>
      <c r="AC80" s="22" t="str">
        <f t="shared" si="6"/>
        <v/>
      </c>
      <c r="AD80" s="23" t="str">
        <f t="shared" si="5"/>
        <v/>
      </c>
      <c r="AE80" s="26">
        <v>1.9</v>
      </c>
      <c r="AF80" s="22">
        <f t="shared" si="7"/>
        <v>1.9</v>
      </c>
      <c r="AG80" s="23">
        <f t="shared" si="8"/>
        <v>0</v>
      </c>
    </row>
    <row r="81" spans="1:33" ht="16.5" thickBot="1">
      <c r="A81" s="89">
        <v>78</v>
      </c>
      <c r="B81" s="90">
        <v>4.5999999999999996</v>
      </c>
      <c r="C81" s="45"/>
      <c r="D81" s="45"/>
      <c r="E81" s="45"/>
      <c r="F81" s="91">
        <v>78</v>
      </c>
      <c r="G81" s="91">
        <v>4.5999999999999996</v>
      </c>
      <c r="V81" s="81">
        <f t="shared" si="9"/>
        <v>0</v>
      </c>
      <c r="W81" s="65"/>
      <c r="X81" s="81">
        <f t="shared" si="10"/>
        <v>0</v>
      </c>
      <c r="Y81" s="81">
        <f t="shared" si="11"/>
        <v>0</v>
      </c>
      <c r="Z81" s="81">
        <f t="shared" si="12"/>
        <v>1</v>
      </c>
      <c r="AC81" s="22" t="str">
        <f t="shared" si="6"/>
        <v/>
      </c>
      <c r="AD81" s="23" t="str">
        <f t="shared" si="5"/>
        <v/>
      </c>
      <c r="AE81" s="26">
        <v>2</v>
      </c>
      <c r="AF81" s="22">
        <f t="shared" si="7"/>
        <v>2</v>
      </c>
      <c r="AG81" s="23">
        <f t="shared" si="8"/>
        <v>0</v>
      </c>
    </row>
    <row r="82" spans="1:33" ht="16.5" thickBot="1">
      <c r="A82" s="89">
        <v>79</v>
      </c>
      <c r="B82" s="90">
        <v>4.5999999999999996</v>
      </c>
      <c r="C82" s="45"/>
      <c r="D82" s="45"/>
      <c r="E82" s="45"/>
      <c r="F82" s="91">
        <v>79</v>
      </c>
      <c r="G82" s="91">
        <v>4.5999999999999996</v>
      </c>
      <c r="V82" s="81">
        <f t="shared" si="9"/>
        <v>0</v>
      </c>
      <c r="W82" s="65"/>
      <c r="X82" s="81">
        <f t="shared" si="10"/>
        <v>0</v>
      </c>
      <c r="Y82" s="81">
        <f t="shared" si="11"/>
        <v>0</v>
      </c>
      <c r="Z82" s="81">
        <f t="shared" si="12"/>
        <v>1</v>
      </c>
      <c r="AC82" s="22" t="str">
        <f t="shared" si="6"/>
        <v/>
      </c>
      <c r="AD82" s="23" t="str">
        <f t="shared" si="5"/>
        <v/>
      </c>
      <c r="AE82" s="26">
        <v>2.1</v>
      </c>
      <c r="AF82" s="22">
        <f t="shared" si="7"/>
        <v>2.1</v>
      </c>
      <c r="AG82" s="23">
        <f t="shared" si="8"/>
        <v>0</v>
      </c>
    </row>
    <row r="83" spans="1:33" ht="16.5" thickBot="1">
      <c r="A83" s="89">
        <v>80</v>
      </c>
      <c r="B83" s="90">
        <v>4.5</v>
      </c>
      <c r="C83" s="45"/>
      <c r="D83" s="45"/>
      <c r="E83" s="45"/>
      <c r="F83" s="91">
        <v>80</v>
      </c>
      <c r="G83" s="91">
        <v>4.5</v>
      </c>
      <c r="V83" s="81">
        <f t="shared" si="9"/>
        <v>0</v>
      </c>
      <c r="W83" s="65"/>
      <c r="X83" s="81">
        <f t="shared" si="10"/>
        <v>0</v>
      </c>
      <c r="Y83" s="81">
        <f t="shared" si="11"/>
        <v>0</v>
      </c>
      <c r="Z83" s="81">
        <f t="shared" si="12"/>
        <v>1</v>
      </c>
      <c r="AC83" s="22" t="str">
        <f t="shared" si="6"/>
        <v/>
      </c>
      <c r="AD83" s="23" t="str">
        <f t="shared" si="5"/>
        <v/>
      </c>
      <c r="AE83" s="26">
        <v>2.2000000000000002</v>
      </c>
      <c r="AF83" s="22">
        <f t="shared" si="7"/>
        <v>2.2000000000000002</v>
      </c>
      <c r="AG83" s="23">
        <f t="shared" si="8"/>
        <v>0</v>
      </c>
    </row>
    <row r="84" spans="1:33" ht="16.5" thickBot="1">
      <c r="A84" s="89">
        <v>81</v>
      </c>
      <c r="B84" s="90">
        <v>4.5</v>
      </c>
      <c r="C84" s="45"/>
      <c r="D84" s="45"/>
      <c r="E84" s="45"/>
      <c r="F84" s="91">
        <v>81</v>
      </c>
      <c r="G84" s="91">
        <v>4.5</v>
      </c>
      <c r="V84" s="81">
        <f t="shared" si="9"/>
        <v>0</v>
      </c>
      <c r="W84" s="65"/>
      <c r="X84" s="81">
        <f t="shared" si="10"/>
        <v>0</v>
      </c>
      <c r="Y84" s="81">
        <f t="shared" si="11"/>
        <v>0</v>
      </c>
      <c r="Z84" s="81">
        <f t="shared" si="12"/>
        <v>1</v>
      </c>
      <c r="AC84" s="22" t="str">
        <f t="shared" si="6"/>
        <v/>
      </c>
      <c r="AD84" s="23" t="str">
        <f t="shared" si="5"/>
        <v/>
      </c>
      <c r="AE84" s="26">
        <v>2.2999999999999998</v>
      </c>
      <c r="AF84" s="22">
        <f t="shared" si="7"/>
        <v>2.2999999999999998</v>
      </c>
      <c r="AG84" s="23">
        <f t="shared" si="8"/>
        <v>0</v>
      </c>
    </row>
    <row r="85" spans="1:33" ht="16.5" thickBot="1">
      <c r="A85" s="89">
        <v>82</v>
      </c>
      <c r="B85" s="90">
        <v>4.5999999999999996</v>
      </c>
      <c r="C85" s="45"/>
      <c r="D85" s="45"/>
      <c r="E85" s="45"/>
      <c r="F85" s="91">
        <v>82</v>
      </c>
      <c r="G85" s="91">
        <v>4.5999999999999996</v>
      </c>
      <c r="V85" s="81">
        <f t="shared" si="9"/>
        <v>0</v>
      </c>
      <c r="W85" s="65"/>
      <c r="X85" s="81">
        <f t="shared" si="10"/>
        <v>0</v>
      </c>
      <c r="Y85" s="81">
        <f t="shared" si="11"/>
        <v>0</v>
      </c>
      <c r="Z85" s="81">
        <f t="shared" si="12"/>
        <v>1</v>
      </c>
      <c r="AC85" s="22" t="str">
        <f t="shared" si="6"/>
        <v/>
      </c>
      <c r="AD85" s="23" t="str">
        <f t="shared" si="5"/>
        <v/>
      </c>
      <c r="AE85" s="26">
        <v>2.4</v>
      </c>
      <c r="AF85" s="22">
        <f t="shared" si="7"/>
        <v>2.4</v>
      </c>
      <c r="AG85" s="23">
        <f t="shared" si="8"/>
        <v>0</v>
      </c>
    </row>
    <row r="86" spans="1:33" ht="16.5" thickBot="1">
      <c r="A86" s="89">
        <v>83</v>
      </c>
      <c r="B86" s="90">
        <v>6.2</v>
      </c>
      <c r="C86" s="45"/>
      <c r="D86" s="45"/>
      <c r="E86" s="45"/>
      <c r="F86" s="91">
        <v>83</v>
      </c>
      <c r="G86" s="91">
        <v>6.2</v>
      </c>
      <c r="V86" s="81">
        <f t="shared" si="9"/>
        <v>0</v>
      </c>
      <c r="W86" s="65"/>
      <c r="X86" s="81">
        <f t="shared" si="10"/>
        <v>0</v>
      </c>
      <c r="Y86" s="81">
        <f t="shared" si="11"/>
        <v>0</v>
      </c>
      <c r="Z86" s="81">
        <f t="shared" si="12"/>
        <v>1</v>
      </c>
      <c r="AC86" s="22" t="str">
        <f t="shared" si="6"/>
        <v/>
      </c>
      <c r="AD86" s="23" t="str">
        <f t="shared" si="5"/>
        <v/>
      </c>
      <c r="AE86" s="26">
        <v>2.5</v>
      </c>
      <c r="AF86" s="22">
        <f t="shared" si="7"/>
        <v>2.5</v>
      </c>
      <c r="AG86" s="23">
        <f t="shared" si="8"/>
        <v>0</v>
      </c>
    </row>
    <row r="87" spans="1:33" ht="16.5" thickBot="1">
      <c r="A87" s="89">
        <v>84</v>
      </c>
      <c r="B87" s="90">
        <v>6.2</v>
      </c>
      <c r="C87" s="45"/>
      <c r="D87" s="45"/>
      <c r="E87" s="45"/>
      <c r="F87" s="91">
        <v>84</v>
      </c>
      <c r="G87" s="91">
        <v>6.2</v>
      </c>
      <c r="V87" s="81">
        <f t="shared" si="9"/>
        <v>0</v>
      </c>
      <c r="W87" s="65"/>
      <c r="X87" s="81">
        <f t="shared" si="10"/>
        <v>0</v>
      </c>
      <c r="Y87" s="81">
        <f t="shared" si="11"/>
        <v>0</v>
      </c>
      <c r="Z87" s="81">
        <f t="shared" si="12"/>
        <v>1</v>
      </c>
      <c r="AC87" s="22" t="str">
        <f t="shared" si="6"/>
        <v/>
      </c>
      <c r="AD87" s="23" t="str">
        <f t="shared" si="5"/>
        <v/>
      </c>
      <c r="AE87" s="26">
        <v>2.6</v>
      </c>
      <c r="AF87" s="22">
        <f t="shared" si="7"/>
        <v>2.6</v>
      </c>
      <c r="AG87" s="23">
        <f t="shared" si="8"/>
        <v>0</v>
      </c>
    </row>
    <row r="88" spans="1:33" ht="16.5" thickBot="1">
      <c r="A88" s="89">
        <v>85</v>
      </c>
      <c r="B88" s="90">
        <v>6</v>
      </c>
      <c r="C88" s="45"/>
      <c r="D88" s="45"/>
      <c r="E88" s="45"/>
      <c r="F88" s="91">
        <v>85</v>
      </c>
      <c r="G88" s="91">
        <v>6</v>
      </c>
      <c r="V88" s="81">
        <f t="shared" si="9"/>
        <v>0</v>
      </c>
      <c r="W88" s="65"/>
      <c r="X88" s="81">
        <f t="shared" si="10"/>
        <v>0</v>
      </c>
      <c r="Y88" s="81">
        <f t="shared" si="11"/>
        <v>0</v>
      </c>
      <c r="Z88" s="81">
        <f t="shared" si="12"/>
        <v>1</v>
      </c>
      <c r="AC88" s="22" t="str">
        <f t="shared" si="6"/>
        <v/>
      </c>
      <c r="AD88" s="23" t="str">
        <f t="shared" si="5"/>
        <v/>
      </c>
      <c r="AE88" s="26">
        <v>2.7</v>
      </c>
      <c r="AF88" s="22">
        <f t="shared" si="7"/>
        <v>2.7</v>
      </c>
      <c r="AG88" s="23">
        <f t="shared" si="8"/>
        <v>0</v>
      </c>
    </row>
    <row r="89" spans="1:33" ht="16.5" thickBot="1">
      <c r="A89" s="89">
        <v>86</v>
      </c>
      <c r="B89" s="90">
        <v>4.5</v>
      </c>
      <c r="C89" s="45"/>
      <c r="D89" s="45"/>
      <c r="E89" s="45"/>
      <c r="F89" s="91">
        <v>86</v>
      </c>
      <c r="G89" s="91">
        <v>4.5</v>
      </c>
      <c r="V89" s="81">
        <f t="shared" si="9"/>
        <v>0</v>
      </c>
      <c r="W89" s="65"/>
      <c r="X89" s="81">
        <f t="shared" si="10"/>
        <v>0</v>
      </c>
      <c r="Y89" s="81">
        <f t="shared" si="11"/>
        <v>0</v>
      </c>
      <c r="Z89" s="81">
        <f t="shared" si="12"/>
        <v>1</v>
      </c>
      <c r="AC89" s="22" t="str">
        <f t="shared" si="6"/>
        <v/>
      </c>
      <c r="AD89" s="23" t="str">
        <f t="shared" si="5"/>
        <v/>
      </c>
      <c r="AE89" s="26">
        <v>2.8</v>
      </c>
      <c r="AF89" s="22">
        <f t="shared" si="7"/>
        <v>2.8</v>
      </c>
      <c r="AG89" s="23">
        <f t="shared" si="8"/>
        <v>0</v>
      </c>
    </row>
    <row r="90" spans="1:33" ht="16.5" thickBot="1">
      <c r="A90" s="89">
        <v>87</v>
      </c>
      <c r="B90" s="90">
        <v>4.5</v>
      </c>
      <c r="C90" s="45"/>
      <c r="D90" s="45"/>
      <c r="E90" s="45"/>
      <c r="F90" s="91">
        <v>87</v>
      </c>
      <c r="G90" s="91">
        <v>4.5</v>
      </c>
      <c r="V90" s="81">
        <f t="shared" si="9"/>
        <v>0</v>
      </c>
      <c r="W90" s="65"/>
      <c r="X90" s="81">
        <f t="shared" si="10"/>
        <v>0</v>
      </c>
      <c r="Y90" s="81">
        <f t="shared" si="11"/>
        <v>0</v>
      </c>
      <c r="Z90" s="81">
        <f t="shared" si="12"/>
        <v>1</v>
      </c>
      <c r="AC90" s="22" t="str">
        <f t="shared" si="6"/>
        <v/>
      </c>
      <c r="AD90" s="23" t="str">
        <f t="shared" si="5"/>
        <v/>
      </c>
      <c r="AE90" s="26">
        <v>2.9</v>
      </c>
      <c r="AF90" s="22">
        <f t="shared" si="7"/>
        <v>2.9</v>
      </c>
      <c r="AG90" s="23">
        <f t="shared" si="8"/>
        <v>0</v>
      </c>
    </row>
    <row r="91" spans="1:33" ht="16.5" thickBot="1">
      <c r="A91" s="89">
        <v>88</v>
      </c>
      <c r="B91" s="90">
        <v>4.7</v>
      </c>
      <c r="C91" s="45"/>
      <c r="D91" s="45"/>
      <c r="E91" s="45"/>
      <c r="F91" s="91">
        <v>88</v>
      </c>
      <c r="G91" s="91">
        <v>5</v>
      </c>
      <c r="V91" s="81">
        <f t="shared" si="9"/>
        <v>0.29999999999999982</v>
      </c>
      <c r="W91" s="65"/>
      <c r="X91" s="81">
        <f t="shared" si="10"/>
        <v>0</v>
      </c>
      <c r="Y91" s="81">
        <f t="shared" si="11"/>
        <v>0</v>
      </c>
      <c r="Z91" s="81">
        <f t="shared" si="12"/>
        <v>1</v>
      </c>
      <c r="AC91" s="22" t="str">
        <f t="shared" si="6"/>
        <v/>
      </c>
      <c r="AD91" s="23" t="str">
        <f t="shared" si="5"/>
        <v/>
      </c>
      <c r="AE91" s="26">
        <v>3</v>
      </c>
      <c r="AF91" s="22">
        <f t="shared" si="7"/>
        <v>3</v>
      </c>
      <c r="AG91" s="23">
        <f t="shared" si="8"/>
        <v>0</v>
      </c>
    </row>
    <row r="92" spans="1:33" ht="16.5" thickBot="1">
      <c r="A92" s="89">
        <v>89</v>
      </c>
      <c r="B92" s="90">
        <v>6</v>
      </c>
      <c r="C92" s="45"/>
      <c r="D92" s="45"/>
      <c r="E92" s="45"/>
      <c r="F92" s="91">
        <v>89</v>
      </c>
      <c r="G92" s="91">
        <v>6</v>
      </c>
      <c r="V92" s="81">
        <f t="shared" si="9"/>
        <v>0</v>
      </c>
      <c r="W92" s="65"/>
      <c r="X92" s="81">
        <f t="shared" si="10"/>
        <v>0</v>
      </c>
      <c r="Y92" s="81">
        <f t="shared" si="11"/>
        <v>0</v>
      </c>
      <c r="Z92" s="81">
        <f t="shared" si="12"/>
        <v>1</v>
      </c>
    </row>
    <row r="93" spans="1:33" ht="16.5" thickBot="1">
      <c r="A93" s="89">
        <v>90</v>
      </c>
      <c r="B93" s="90">
        <v>6</v>
      </c>
      <c r="C93" s="45"/>
      <c r="D93" s="45"/>
      <c r="E93" s="45"/>
      <c r="F93" s="91">
        <v>90</v>
      </c>
      <c r="G93" s="91">
        <v>6</v>
      </c>
      <c r="V93" s="81">
        <f t="shared" si="9"/>
        <v>0</v>
      </c>
      <c r="W93" s="65"/>
      <c r="X93" s="81">
        <f t="shared" si="10"/>
        <v>0</v>
      </c>
      <c r="Y93" s="81">
        <f t="shared" si="11"/>
        <v>0</v>
      </c>
      <c r="Z93" s="81">
        <f t="shared" si="12"/>
        <v>1</v>
      </c>
    </row>
    <row r="94" spans="1:33" ht="16.5" thickBot="1">
      <c r="A94" s="89">
        <v>91</v>
      </c>
      <c r="B94" s="90">
        <v>6</v>
      </c>
      <c r="C94" s="45"/>
      <c r="D94" s="45"/>
      <c r="E94" s="45"/>
      <c r="F94" s="91">
        <v>91</v>
      </c>
      <c r="G94" s="91">
        <v>6.2</v>
      </c>
      <c r="V94" s="81">
        <f t="shared" si="9"/>
        <v>0.20000000000000018</v>
      </c>
      <c r="W94" s="65"/>
      <c r="X94" s="81">
        <f t="shared" si="10"/>
        <v>0</v>
      </c>
      <c r="Y94" s="81">
        <f t="shared" si="11"/>
        <v>0</v>
      </c>
      <c r="Z94" s="81">
        <f t="shared" si="12"/>
        <v>1</v>
      </c>
    </row>
    <row r="95" spans="1:33" ht="16.5" thickBot="1">
      <c r="A95" s="89">
        <v>92</v>
      </c>
      <c r="B95" s="90">
        <v>4.5999999999999996</v>
      </c>
      <c r="C95" s="45"/>
      <c r="D95" s="45"/>
      <c r="E95" s="45"/>
      <c r="F95" s="91">
        <v>92</v>
      </c>
      <c r="G95" s="91">
        <v>4.5</v>
      </c>
      <c r="V95" s="81">
        <f t="shared" si="9"/>
        <v>-9.9999999999999645E-2</v>
      </c>
      <c r="W95" s="65"/>
      <c r="X95" s="81">
        <f t="shared" si="10"/>
        <v>0</v>
      </c>
      <c r="Y95" s="81">
        <f t="shared" si="11"/>
        <v>0</v>
      </c>
      <c r="Z95" s="81">
        <f t="shared" si="12"/>
        <v>1</v>
      </c>
    </row>
    <row r="96" spans="1:33" ht="16.5" thickBot="1">
      <c r="A96" s="89">
        <v>93</v>
      </c>
      <c r="B96" s="90">
        <v>5</v>
      </c>
      <c r="C96" s="45"/>
      <c r="D96" s="45"/>
      <c r="E96" s="45"/>
      <c r="F96" s="91">
        <v>93</v>
      </c>
      <c r="G96" s="91">
        <v>5</v>
      </c>
      <c r="V96" s="81">
        <f t="shared" si="9"/>
        <v>0</v>
      </c>
      <c r="W96" s="65"/>
      <c r="X96" s="81">
        <f t="shared" si="10"/>
        <v>0</v>
      </c>
      <c r="Y96" s="81">
        <f t="shared" si="11"/>
        <v>0</v>
      </c>
      <c r="Z96" s="81">
        <f t="shared" si="12"/>
        <v>1</v>
      </c>
    </row>
    <row r="97" spans="1:26" ht="16.5" thickBot="1">
      <c r="A97" s="89">
        <v>94</v>
      </c>
      <c r="B97" s="90">
        <v>5.4</v>
      </c>
      <c r="C97" s="45"/>
      <c r="D97" s="45"/>
      <c r="E97" s="45"/>
      <c r="F97" s="91">
        <v>94</v>
      </c>
      <c r="G97" s="91">
        <v>5.6</v>
      </c>
      <c r="V97" s="81">
        <f t="shared" si="9"/>
        <v>0.19999999999999929</v>
      </c>
      <c r="W97" s="65"/>
      <c r="X97" s="81">
        <f t="shared" si="10"/>
        <v>0</v>
      </c>
      <c r="Y97" s="81">
        <f t="shared" si="11"/>
        <v>0</v>
      </c>
      <c r="Z97" s="81">
        <f t="shared" si="12"/>
        <v>1</v>
      </c>
    </row>
    <row r="98" spans="1:26" ht="16.5" thickBot="1">
      <c r="A98" s="89">
        <v>95</v>
      </c>
      <c r="B98" s="90">
        <v>4.5</v>
      </c>
      <c r="C98" s="45"/>
      <c r="D98" s="45"/>
      <c r="E98" s="45"/>
      <c r="F98" s="91">
        <v>95</v>
      </c>
      <c r="G98" s="91">
        <v>4.5</v>
      </c>
      <c r="V98" s="81">
        <f t="shared" si="9"/>
        <v>0</v>
      </c>
      <c r="W98" s="65"/>
      <c r="X98" s="81">
        <f t="shared" si="10"/>
        <v>0</v>
      </c>
      <c r="Y98" s="81">
        <f t="shared" si="11"/>
        <v>0</v>
      </c>
      <c r="Z98" s="81">
        <f t="shared" si="12"/>
        <v>1</v>
      </c>
    </row>
    <row r="99" spans="1:26" ht="16.5" thickBot="1">
      <c r="A99" s="89">
        <v>96</v>
      </c>
      <c r="B99" s="90">
        <v>4.7</v>
      </c>
      <c r="C99" s="45"/>
      <c r="D99" s="45"/>
      <c r="E99" s="45"/>
      <c r="F99" s="91">
        <v>96</v>
      </c>
      <c r="G99" s="91">
        <v>5</v>
      </c>
      <c r="V99" s="81">
        <f t="shared" si="9"/>
        <v>0.29999999999999982</v>
      </c>
      <c r="W99" s="65"/>
      <c r="X99" s="81">
        <f t="shared" si="10"/>
        <v>0</v>
      </c>
      <c r="Y99" s="81">
        <f t="shared" si="11"/>
        <v>0</v>
      </c>
      <c r="Z99" s="81">
        <f t="shared" si="12"/>
        <v>1</v>
      </c>
    </row>
    <row r="100" spans="1:26" ht="16.5" thickBot="1">
      <c r="A100" s="89">
        <v>97</v>
      </c>
      <c r="B100" s="90">
        <v>5.2</v>
      </c>
      <c r="C100" s="45"/>
      <c r="D100" s="45"/>
      <c r="E100" s="45"/>
      <c r="F100" s="91">
        <v>97</v>
      </c>
      <c r="G100" s="91">
        <v>5.5</v>
      </c>
      <c r="V100" s="81">
        <f t="shared" si="9"/>
        <v>0.29999999999999982</v>
      </c>
      <c r="W100" s="65"/>
      <c r="X100" s="81">
        <f t="shared" si="10"/>
        <v>0</v>
      </c>
      <c r="Y100" s="81">
        <f t="shared" si="11"/>
        <v>0</v>
      </c>
      <c r="Z100" s="81">
        <f t="shared" si="12"/>
        <v>1</v>
      </c>
    </row>
    <row r="101" spans="1:26" ht="16.5" thickBot="1">
      <c r="A101" s="89">
        <v>98</v>
      </c>
      <c r="B101" s="90">
        <v>5.7</v>
      </c>
      <c r="C101" s="45"/>
      <c r="D101" s="45"/>
      <c r="E101" s="45"/>
      <c r="F101" s="91">
        <v>98</v>
      </c>
      <c r="G101" s="91">
        <v>5.7</v>
      </c>
      <c r="V101" s="81">
        <f t="shared" si="9"/>
        <v>0</v>
      </c>
      <c r="W101" s="65"/>
      <c r="X101" s="81">
        <f t="shared" si="10"/>
        <v>0</v>
      </c>
      <c r="Y101" s="81">
        <f t="shared" si="11"/>
        <v>0</v>
      </c>
      <c r="Z101" s="81">
        <f t="shared" si="12"/>
        <v>1</v>
      </c>
    </row>
    <row r="102" spans="1:26" ht="16.5" thickBot="1">
      <c r="A102" s="89">
        <v>99</v>
      </c>
      <c r="B102" s="90">
        <v>4.5999999999999996</v>
      </c>
      <c r="C102" s="45"/>
      <c r="D102" s="45"/>
      <c r="E102" s="45"/>
      <c r="F102" s="91">
        <v>99</v>
      </c>
      <c r="G102" s="91">
        <v>5</v>
      </c>
      <c r="V102" s="81">
        <f t="shared" si="9"/>
        <v>0.40000000000000036</v>
      </c>
      <c r="W102" s="65"/>
      <c r="X102" s="81">
        <f t="shared" si="10"/>
        <v>0</v>
      </c>
      <c r="Y102" s="81">
        <f t="shared" si="11"/>
        <v>0</v>
      </c>
      <c r="Z102" s="81">
        <f t="shared" si="12"/>
        <v>1</v>
      </c>
    </row>
    <row r="103" spans="1:26" ht="16.5" thickBot="1">
      <c r="A103" s="89">
        <v>100</v>
      </c>
      <c r="B103" s="90">
        <v>5</v>
      </c>
      <c r="C103" s="45"/>
      <c r="D103" s="45"/>
      <c r="E103" s="45"/>
      <c r="F103" s="91">
        <v>100</v>
      </c>
      <c r="G103" s="91">
        <v>5.0999999999999996</v>
      </c>
      <c r="V103" s="81">
        <f t="shared" si="9"/>
        <v>9.9999999999999645E-2</v>
      </c>
      <c r="W103" s="65"/>
      <c r="X103" s="81">
        <f t="shared" si="10"/>
        <v>0</v>
      </c>
      <c r="Y103" s="81">
        <f t="shared" si="11"/>
        <v>0</v>
      </c>
      <c r="Z103" s="81">
        <f t="shared" si="12"/>
        <v>1</v>
      </c>
    </row>
    <row r="104" spans="1:26" ht="16.5" thickBot="1">
      <c r="A104" s="89">
        <v>101</v>
      </c>
      <c r="B104" s="90">
        <v>5.5</v>
      </c>
      <c r="C104" s="45"/>
      <c r="D104" s="45"/>
      <c r="E104" s="45"/>
      <c r="F104" s="91">
        <v>101</v>
      </c>
      <c r="G104" s="91">
        <v>5.5</v>
      </c>
      <c r="V104" s="81">
        <f t="shared" si="9"/>
        <v>0</v>
      </c>
      <c r="W104" s="65"/>
      <c r="X104" s="81">
        <f t="shared" si="10"/>
        <v>0</v>
      </c>
      <c r="Y104" s="81">
        <f t="shared" si="11"/>
        <v>0</v>
      </c>
      <c r="Z104" s="81">
        <f t="shared" si="12"/>
        <v>1</v>
      </c>
    </row>
    <row r="105" spans="1:26" ht="16.5" thickBot="1">
      <c r="A105" s="89">
        <v>102</v>
      </c>
      <c r="B105" s="90">
        <v>6</v>
      </c>
      <c r="C105" s="45"/>
      <c r="D105" s="45"/>
      <c r="E105" s="45"/>
      <c r="F105" s="91">
        <v>102</v>
      </c>
      <c r="G105" s="91">
        <v>6.1</v>
      </c>
      <c r="V105" s="81">
        <f t="shared" si="9"/>
        <v>9.9999999999999645E-2</v>
      </c>
      <c r="W105" s="65"/>
      <c r="X105" s="81">
        <f t="shared" si="10"/>
        <v>0</v>
      </c>
      <c r="Y105" s="81">
        <f t="shared" si="11"/>
        <v>0</v>
      </c>
      <c r="Z105" s="81">
        <f t="shared" si="12"/>
        <v>1</v>
      </c>
    </row>
    <row r="106" spans="1:26" ht="16.5" thickBot="1">
      <c r="A106" s="89">
        <v>103</v>
      </c>
      <c r="B106" s="90">
        <v>4.7</v>
      </c>
      <c r="C106" s="45"/>
      <c r="D106" s="45"/>
      <c r="E106" s="45"/>
      <c r="F106" s="91">
        <v>103</v>
      </c>
      <c r="G106" s="91">
        <v>5</v>
      </c>
      <c r="V106" s="81">
        <f t="shared" si="9"/>
        <v>0.29999999999999982</v>
      </c>
      <c r="W106" s="65"/>
      <c r="X106" s="81">
        <f t="shared" si="10"/>
        <v>0</v>
      </c>
      <c r="Y106" s="81">
        <f t="shared" si="11"/>
        <v>0</v>
      </c>
      <c r="Z106" s="81">
        <f t="shared" si="12"/>
        <v>1</v>
      </c>
    </row>
    <row r="107" spans="1:26" ht="16.5" thickBot="1">
      <c r="A107" s="89">
        <v>104</v>
      </c>
      <c r="B107" s="90">
        <v>5</v>
      </c>
      <c r="C107" s="45"/>
      <c r="D107" s="45"/>
      <c r="E107" s="45"/>
      <c r="F107" s="91">
        <v>104</v>
      </c>
      <c r="G107" s="91">
        <v>5.3</v>
      </c>
      <c r="V107" s="81">
        <f t="shared" si="9"/>
        <v>0.29999999999999982</v>
      </c>
      <c r="W107" s="65"/>
      <c r="X107" s="81">
        <f t="shared" si="10"/>
        <v>0</v>
      </c>
      <c r="Y107" s="81">
        <f t="shared" si="11"/>
        <v>0</v>
      </c>
      <c r="Z107" s="81">
        <f t="shared" si="12"/>
        <v>1</v>
      </c>
    </row>
    <row r="108" spans="1:26" ht="16.5" thickBot="1">
      <c r="A108" s="89">
        <v>105</v>
      </c>
      <c r="B108" s="90">
        <v>5.4</v>
      </c>
      <c r="C108" s="45"/>
      <c r="D108" s="45"/>
      <c r="E108" s="45"/>
      <c r="F108" s="91">
        <v>105</v>
      </c>
      <c r="G108" s="91">
        <v>5.8</v>
      </c>
      <c r="V108" s="81">
        <f t="shared" si="9"/>
        <v>0.39999999999999947</v>
      </c>
      <c r="W108" s="65"/>
      <c r="X108" s="81">
        <f t="shared" si="10"/>
        <v>0</v>
      </c>
      <c r="Y108" s="81">
        <f t="shared" si="11"/>
        <v>0</v>
      </c>
      <c r="Z108" s="81">
        <f t="shared" si="12"/>
        <v>1</v>
      </c>
    </row>
    <row r="109" spans="1:26" ht="16.5" thickBot="1">
      <c r="A109" s="89">
        <v>106</v>
      </c>
      <c r="B109" s="90">
        <v>6</v>
      </c>
      <c r="C109" s="45"/>
      <c r="D109" s="45"/>
      <c r="E109" s="45"/>
      <c r="F109" s="91">
        <v>106</v>
      </c>
      <c r="G109" s="91">
        <v>6.2</v>
      </c>
      <c r="V109" s="81">
        <f t="shared" si="9"/>
        <v>0.20000000000000018</v>
      </c>
      <c r="W109" s="65"/>
      <c r="X109" s="81">
        <f t="shared" si="10"/>
        <v>0</v>
      </c>
      <c r="Y109" s="81">
        <f t="shared" si="11"/>
        <v>0</v>
      </c>
      <c r="Z109" s="81">
        <f t="shared" si="12"/>
        <v>1</v>
      </c>
    </row>
    <row r="110" spans="1:26" ht="16.5" thickBot="1">
      <c r="A110" s="89">
        <v>107</v>
      </c>
      <c r="B110" s="90">
        <v>6.5</v>
      </c>
      <c r="C110" s="45"/>
      <c r="D110" s="45"/>
      <c r="E110" s="45"/>
      <c r="F110" s="91">
        <v>107</v>
      </c>
      <c r="G110" s="91">
        <v>6.6</v>
      </c>
      <c r="V110" s="81">
        <f t="shared" si="9"/>
        <v>9.9999999999999645E-2</v>
      </c>
      <c r="W110" s="65"/>
      <c r="X110" s="81">
        <f t="shared" si="10"/>
        <v>0</v>
      </c>
      <c r="Y110" s="81">
        <f t="shared" si="11"/>
        <v>0</v>
      </c>
      <c r="Z110" s="81">
        <f t="shared" si="12"/>
        <v>1</v>
      </c>
    </row>
    <row r="111" spans="1:26" ht="16.5" thickBot="1">
      <c r="A111" s="89">
        <v>108</v>
      </c>
      <c r="B111" s="90">
        <v>4.9000000000000004</v>
      </c>
      <c r="C111" s="45"/>
      <c r="D111" s="45"/>
      <c r="E111" s="45"/>
      <c r="F111" s="91">
        <v>108</v>
      </c>
      <c r="G111" s="91">
        <v>5</v>
      </c>
      <c r="V111" s="81">
        <f t="shared" si="9"/>
        <v>9.9999999999999645E-2</v>
      </c>
      <c r="W111" s="65"/>
      <c r="X111" s="81">
        <f t="shared" si="10"/>
        <v>0</v>
      </c>
      <c r="Y111" s="81">
        <f t="shared" si="11"/>
        <v>0</v>
      </c>
      <c r="Z111" s="81">
        <f t="shared" si="12"/>
        <v>1</v>
      </c>
    </row>
    <row r="112" spans="1:26" ht="16.5" thickBot="1">
      <c r="A112" s="89">
        <v>109</v>
      </c>
      <c r="B112" s="90">
        <v>5.5</v>
      </c>
      <c r="C112" s="45"/>
      <c r="D112" s="45"/>
      <c r="E112" s="45"/>
      <c r="F112" s="91">
        <v>109</v>
      </c>
      <c r="G112" s="91">
        <v>5.7</v>
      </c>
      <c r="V112" s="81">
        <f t="shared" si="9"/>
        <v>0.20000000000000018</v>
      </c>
      <c r="W112" s="65"/>
      <c r="X112" s="81">
        <f t="shared" si="10"/>
        <v>0</v>
      </c>
      <c r="Y112" s="81">
        <f t="shared" si="11"/>
        <v>0</v>
      </c>
      <c r="Z112" s="81">
        <f t="shared" si="12"/>
        <v>1</v>
      </c>
    </row>
    <row r="113" spans="1:26" ht="16.5" thickBot="1">
      <c r="A113" s="89">
        <v>110</v>
      </c>
      <c r="B113" s="90">
        <v>6</v>
      </c>
      <c r="C113" s="45"/>
      <c r="D113" s="45"/>
      <c r="E113" s="45"/>
      <c r="F113" s="91">
        <v>110</v>
      </c>
      <c r="G113" s="91">
        <v>6</v>
      </c>
      <c r="V113" s="81">
        <f t="shared" si="9"/>
        <v>0</v>
      </c>
      <c r="W113" s="65"/>
      <c r="X113" s="81">
        <f t="shared" si="10"/>
        <v>0</v>
      </c>
      <c r="Y113" s="81">
        <f t="shared" si="11"/>
        <v>0</v>
      </c>
      <c r="Z113" s="81">
        <f t="shared" si="12"/>
        <v>1</v>
      </c>
    </row>
    <row r="114" spans="1:26" ht="16.5" thickBot="1">
      <c r="A114" s="89">
        <v>111</v>
      </c>
      <c r="B114" s="90">
        <v>6.6</v>
      </c>
      <c r="C114" s="45"/>
      <c r="D114" s="45"/>
      <c r="E114" s="45"/>
      <c r="F114" s="91">
        <v>111</v>
      </c>
      <c r="G114" s="91">
        <v>6.8</v>
      </c>
      <c r="V114" s="81">
        <f t="shared" si="9"/>
        <v>0.20000000000000018</v>
      </c>
      <c r="W114" s="65"/>
      <c r="X114" s="81">
        <f t="shared" si="10"/>
        <v>0</v>
      </c>
      <c r="Y114" s="81">
        <f t="shared" si="11"/>
        <v>0</v>
      </c>
      <c r="Z114" s="81">
        <f t="shared" si="12"/>
        <v>1</v>
      </c>
    </row>
    <row r="115" spans="1:26" ht="16.5" thickBot="1">
      <c r="A115" s="89">
        <v>112</v>
      </c>
      <c r="B115" s="90">
        <v>8.4</v>
      </c>
      <c r="C115" s="45"/>
      <c r="D115" s="45"/>
      <c r="E115" s="45"/>
      <c r="F115" s="91">
        <v>112</v>
      </c>
      <c r="G115" s="91">
        <v>8.6</v>
      </c>
      <c r="V115" s="81">
        <f t="shared" si="9"/>
        <v>0.19999999999999929</v>
      </c>
      <c r="W115" s="65"/>
      <c r="X115" s="81">
        <f t="shared" si="10"/>
        <v>0</v>
      </c>
      <c r="Y115" s="81">
        <f t="shared" si="11"/>
        <v>0</v>
      </c>
      <c r="Z115" s="81">
        <f t="shared" si="12"/>
        <v>1</v>
      </c>
    </row>
    <row r="116" spans="1:26" ht="16.5" thickBot="1">
      <c r="A116" s="89">
        <v>113</v>
      </c>
      <c r="B116" s="90">
        <v>4.8</v>
      </c>
      <c r="C116" s="45"/>
      <c r="D116" s="45"/>
      <c r="E116" s="45"/>
      <c r="F116" s="91">
        <v>113</v>
      </c>
      <c r="G116" s="91">
        <v>5</v>
      </c>
      <c r="V116" s="81">
        <f t="shared" si="9"/>
        <v>0.20000000000000018</v>
      </c>
      <c r="W116" s="65"/>
      <c r="X116" s="81">
        <f t="shared" si="10"/>
        <v>0</v>
      </c>
      <c r="Y116" s="81">
        <f t="shared" si="11"/>
        <v>0</v>
      </c>
      <c r="Z116" s="81">
        <f t="shared" si="12"/>
        <v>1</v>
      </c>
    </row>
    <row r="117" spans="1:26" ht="16.5" thickBot="1">
      <c r="A117" s="89">
        <v>114</v>
      </c>
      <c r="B117" s="90">
        <v>5.2</v>
      </c>
      <c r="C117" s="45"/>
      <c r="D117" s="45"/>
      <c r="E117" s="45"/>
      <c r="F117" s="91">
        <v>114</v>
      </c>
      <c r="G117" s="91">
        <v>5.3</v>
      </c>
      <c r="V117" s="81">
        <f t="shared" si="9"/>
        <v>9.9999999999999645E-2</v>
      </c>
      <c r="W117" s="65"/>
      <c r="X117" s="81">
        <f t="shared" si="10"/>
        <v>0</v>
      </c>
      <c r="Y117" s="81">
        <f t="shared" si="11"/>
        <v>0</v>
      </c>
      <c r="Z117" s="81">
        <f t="shared" si="12"/>
        <v>1</v>
      </c>
    </row>
    <row r="118" spans="1:26" ht="16.5" thickBot="1">
      <c r="A118" s="89">
        <v>115</v>
      </c>
      <c r="B118" s="90">
        <v>5.8</v>
      </c>
      <c r="C118" s="45"/>
      <c r="D118" s="45"/>
      <c r="E118" s="45"/>
      <c r="F118" s="91">
        <v>115</v>
      </c>
      <c r="G118" s="91">
        <v>6</v>
      </c>
      <c r="V118" s="81">
        <f t="shared" si="9"/>
        <v>0.20000000000000018</v>
      </c>
      <c r="W118" s="65"/>
      <c r="X118" s="81">
        <f t="shared" si="10"/>
        <v>0</v>
      </c>
      <c r="Y118" s="81">
        <f t="shared" si="11"/>
        <v>0</v>
      </c>
      <c r="Z118" s="81">
        <f t="shared" si="12"/>
        <v>1</v>
      </c>
    </row>
    <row r="119" spans="1:26" ht="16.5" thickBot="1">
      <c r="A119" s="89">
        <v>116</v>
      </c>
      <c r="B119" s="90">
        <v>7.9</v>
      </c>
      <c r="C119" s="45"/>
      <c r="D119" s="45"/>
      <c r="E119" s="45"/>
      <c r="F119" s="91">
        <v>116</v>
      </c>
      <c r="G119" s="91">
        <v>8</v>
      </c>
      <c r="V119" s="81">
        <f t="shared" si="9"/>
        <v>9.9999999999999645E-2</v>
      </c>
      <c r="W119" s="65"/>
      <c r="X119" s="81">
        <f t="shared" si="10"/>
        <v>0</v>
      </c>
      <c r="Y119" s="81">
        <f t="shared" si="11"/>
        <v>0</v>
      </c>
      <c r="Z119" s="81">
        <f t="shared" si="12"/>
        <v>1</v>
      </c>
    </row>
    <row r="120" spans="1:26" ht="16.5" thickBot="1">
      <c r="A120" s="89">
        <v>117</v>
      </c>
      <c r="B120" s="90">
        <v>8.4</v>
      </c>
      <c r="C120" s="45"/>
      <c r="D120" s="45"/>
      <c r="E120" s="45"/>
      <c r="F120" s="91">
        <v>117</v>
      </c>
      <c r="G120" s="91">
        <v>8.6999999999999993</v>
      </c>
      <c r="V120" s="81">
        <f t="shared" si="9"/>
        <v>0.29999999999999893</v>
      </c>
      <c r="W120" s="65"/>
      <c r="X120" s="81">
        <f t="shared" si="10"/>
        <v>0</v>
      </c>
      <c r="Y120" s="81">
        <f t="shared" si="11"/>
        <v>0</v>
      </c>
      <c r="Z120" s="81">
        <f t="shared" si="12"/>
        <v>1</v>
      </c>
    </row>
    <row r="121" spans="1:26" ht="16.5" thickBot="1">
      <c r="A121" s="89">
        <v>118</v>
      </c>
      <c r="B121" s="90">
        <v>5</v>
      </c>
      <c r="C121" s="45"/>
      <c r="D121" s="45"/>
      <c r="E121" s="45"/>
      <c r="F121" s="91">
        <v>118</v>
      </c>
      <c r="G121" s="91">
        <v>5</v>
      </c>
      <c r="V121" s="81">
        <f t="shared" si="9"/>
        <v>0</v>
      </c>
      <c r="W121" s="65"/>
      <c r="X121" s="81">
        <f t="shared" si="10"/>
        <v>0</v>
      </c>
      <c r="Y121" s="81">
        <f t="shared" si="11"/>
        <v>0</v>
      </c>
      <c r="Z121" s="81">
        <f t="shared" si="12"/>
        <v>1</v>
      </c>
    </row>
    <row r="122" spans="1:26" ht="16.5" thickBot="1">
      <c r="A122" s="89">
        <v>119</v>
      </c>
      <c r="B122" s="90">
        <v>7</v>
      </c>
      <c r="C122" s="45"/>
      <c r="D122" s="45"/>
      <c r="E122" s="45"/>
      <c r="F122" s="91">
        <v>119</v>
      </c>
      <c r="G122" s="91">
        <v>7.3</v>
      </c>
      <c r="V122" s="81">
        <f t="shared" si="9"/>
        <v>0.29999999999999982</v>
      </c>
      <c r="W122" s="65"/>
      <c r="X122" s="81">
        <f t="shared" si="10"/>
        <v>0</v>
      </c>
      <c r="Y122" s="81">
        <f t="shared" si="11"/>
        <v>0</v>
      </c>
      <c r="Z122" s="81">
        <f t="shared" si="12"/>
        <v>1</v>
      </c>
    </row>
    <row r="123" spans="1:26" ht="16.5" thickBot="1">
      <c r="A123" s="89">
        <v>120</v>
      </c>
      <c r="B123" s="90">
        <v>7.6</v>
      </c>
      <c r="C123" s="45"/>
      <c r="D123" s="45"/>
      <c r="E123" s="45"/>
      <c r="F123" s="91">
        <v>120</v>
      </c>
      <c r="G123" s="91">
        <v>7.6</v>
      </c>
      <c r="V123" s="81">
        <f t="shared" si="9"/>
        <v>0</v>
      </c>
      <c r="W123" s="65"/>
      <c r="X123" s="81">
        <f t="shared" si="10"/>
        <v>0</v>
      </c>
      <c r="Y123" s="81">
        <f t="shared" si="11"/>
        <v>0</v>
      </c>
      <c r="Z123" s="81">
        <f t="shared" si="12"/>
        <v>1</v>
      </c>
    </row>
    <row r="124" spans="1:26" ht="16.5" thickBot="1">
      <c r="A124" s="89">
        <v>121</v>
      </c>
      <c r="B124" s="90">
        <v>6.2</v>
      </c>
      <c r="C124" s="45"/>
      <c r="D124" s="45"/>
      <c r="E124" s="45"/>
      <c r="F124" s="91">
        <v>121</v>
      </c>
      <c r="G124" s="91">
        <v>6.5</v>
      </c>
      <c r="V124" s="81">
        <f t="shared" si="9"/>
        <v>0.29999999999999982</v>
      </c>
      <c r="W124" s="65"/>
      <c r="X124" s="81">
        <f t="shared" si="10"/>
        <v>0</v>
      </c>
      <c r="Y124" s="81">
        <f t="shared" si="11"/>
        <v>0</v>
      </c>
      <c r="Z124" s="81">
        <f t="shared" si="12"/>
        <v>1</v>
      </c>
    </row>
    <row r="125" spans="1:26" ht="16.5" thickBot="1">
      <c r="A125" s="89">
        <v>122</v>
      </c>
      <c r="B125" s="90">
        <v>6.7</v>
      </c>
      <c r="F125" s="91">
        <v>122</v>
      </c>
      <c r="G125" s="91">
        <v>6.8</v>
      </c>
      <c r="V125" s="81">
        <f t="shared" si="9"/>
        <v>9.9999999999999645E-2</v>
      </c>
      <c r="W125" s="65"/>
      <c r="X125" s="81">
        <f t="shared" si="10"/>
        <v>0</v>
      </c>
      <c r="Y125" s="81">
        <f t="shared" si="11"/>
        <v>0</v>
      </c>
      <c r="Z125" s="81">
        <f t="shared" si="12"/>
        <v>1</v>
      </c>
    </row>
    <row r="126" spans="1:26" ht="16.5" thickBot="1">
      <c r="A126" s="89">
        <v>123</v>
      </c>
      <c r="B126" s="90">
        <v>5.3</v>
      </c>
      <c r="F126" s="91">
        <v>123</v>
      </c>
      <c r="G126" s="91">
        <v>5.5</v>
      </c>
      <c r="V126" s="81">
        <f t="shared" si="9"/>
        <v>0.20000000000000018</v>
      </c>
      <c r="W126" s="65"/>
      <c r="X126" s="81">
        <f t="shared" si="10"/>
        <v>0</v>
      </c>
      <c r="Y126" s="81">
        <f t="shared" si="11"/>
        <v>0</v>
      </c>
      <c r="Z126" s="81">
        <f t="shared" si="12"/>
        <v>1</v>
      </c>
    </row>
    <row r="127" spans="1:26" ht="16.5" thickBot="1">
      <c r="A127" s="89">
        <v>125</v>
      </c>
      <c r="B127" s="90">
        <v>5</v>
      </c>
      <c r="F127" s="91">
        <v>125</v>
      </c>
      <c r="G127" s="91">
        <v>5.3</v>
      </c>
      <c r="V127" s="81">
        <f t="shared" si="9"/>
        <v>0.29999999999999982</v>
      </c>
      <c r="W127" s="65"/>
      <c r="X127" s="81">
        <f t="shared" si="10"/>
        <v>0</v>
      </c>
      <c r="Y127" s="81">
        <f t="shared" si="11"/>
        <v>0</v>
      </c>
      <c r="Z127" s="81">
        <f t="shared" si="12"/>
        <v>1</v>
      </c>
    </row>
    <row r="128" spans="1:26" ht="16.5" thickBot="1">
      <c r="A128" s="89">
        <v>126</v>
      </c>
      <c r="B128" s="90">
        <v>5</v>
      </c>
      <c r="F128" s="91">
        <v>126</v>
      </c>
      <c r="G128" s="91">
        <v>5</v>
      </c>
      <c r="V128" s="81">
        <f t="shared" si="9"/>
        <v>0</v>
      </c>
      <c r="W128" s="65"/>
      <c r="X128" s="81">
        <f t="shared" si="10"/>
        <v>0</v>
      </c>
      <c r="Y128" s="81">
        <f t="shared" si="11"/>
        <v>0</v>
      </c>
      <c r="Z128" s="81">
        <f t="shared" si="12"/>
        <v>1</v>
      </c>
    </row>
    <row r="129" spans="1:26" ht="16.5" thickBot="1">
      <c r="A129" s="89">
        <v>127</v>
      </c>
      <c r="B129" s="90">
        <v>5.5</v>
      </c>
      <c r="F129" s="91">
        <v>127</v>
      </c>
      <c r="G129" s="91">
        <v>5.5</v>
      </c>
      <c r="V129" s="81">
        <f t="shared" si="9"/>
        <v>0</v>
      </c>
      <c r="W129" s="65"/>
      <c r="X129" s="81">
        <f t="shared" si="10"/>
        <v>0</v>
      </c>
      <c r="Y129" s="81">
        <f t="shared" si="11"/>
        <v>0</v>
      </c>
      <c r="Z129" s="81">
        <f t="shared" si="12"/>
        <v>1</v>
      </c>
    </row>
    <row r="130" spans="1:26" ht="16.5" thickBot="1">
      <c r="A130" s="89">
        <v>128</v>
      </c>
      <c r="B130" s="90">
        <v>6</v>
      </c>
      <c r="F130" s="91">
        <v>128</v>
      </c>
      <c r="G130" s="91">
        <v>6.3</v>
      </c>
      <c r="V130" s="81">
        <f t="shared" si="9"/>
        <v>0.29999999999999982</v>
      </c>
      <c r="W130" s="65"/>
      <c r="X130" s="81">
        <f t="shared" si="10"/>
        <v>0</v>
      </c>
      <c r="Y130" s="81">
        <f t="shared" si="11"/>
        <v>0</v>
      </c>
      <c r="Z130" s="81">
        <f t="shared" si="12"/>
        <v>1</v>
      </c>
    </row>
    <row r="131" spans="1:26" ht="16.5" thickBot="1">
      <c r="A131" s="89">
        <v>129</v>
      </c>
      <c r="B131" s="90">
        <v>6</v>
      </c>
      <c r="F131" s="91">
        <v>129</v>
      </c>
      <c r="G131" s="91">
        <v>6.2</v>
      </c>
      <c r="V131" s="81">
        <f t="shared" si="9"/>
        <v>0.20000000000000018</v>
      </c>
      <c r="W131" s="65"/>
      <c r="X131" s="81">
        <f t="shared" si="10"/>
        <v>0</v>
      </c>
      <c r="Y131" s="81">
        <f t="shared" si="11"/>
        <v>0</v>
      </c>
      <c r="Z131" s="81">
        <f t="shared" si="12"/>
        <v>1</v>
      </c>
    </row>
    <row r="132" spans="1:26" ht="16.5" thickBot="1">
      <c r="A132" s="89">
        <v>130</v>
      </c>
      <c r="B132" s="90">
        <v>5.5</v>
      </c>
      <c r="F132" s="91">
        <v>130</v>
      </c>
      <c r="G132" s="91">
        <v>5.6</v>
      </c>
      <c r="V132" s="81">
        <f t="shared" si="9"/>
        <v>9.9999999999999645E-2</v>
      </c>
      <c r="W132" s="65"/>
      <c r="X132" s="81">
        <f t="shared" si="10"/>
        <v>0</v>
      </c>
      <c r="Y132" s="81">
        <f t="shared" si="11"/>
        <v>0</v>
      </c>
      <c r="Z132" s="81">
        <f t="shared" si="12"/>
        <v>1</v>
      </c>
    </row>
    <row r="133" spans="1:26" ht="16.5" thickBot="1">
      <c r="A133" s="89">
        <v>131</v>
      </c>
      <c r="B133" s="90">
        <v>5</v>
      </c>
      <c r="F133" s="91">
        <v>131</v>
      </c>
      <c r="G133" s="91">
        <v>4.9000000000000004</v>
      </c>
      <c r="V133" s="81">
        <f t="shared" ref="V133:V196" si="13">G133-B133</f>
        <v>-9.9999999999999645E-2</v>
      </c>
      <c r="W133" s="65"/>
      <c r="X133" s="81">
        <f t="shared" ref="X133:X196" si="14">IF($V133&lt;-$AA$4,1,0)</f>
        <v>0</v>
      </c>
      <c r="Y133" s="81">
        <f t="shared" ref="Y133:Y196" si="15">IF($V133&gt;$AA$4,1,0)</f>
        <v>0</v>
      </c>
      <c r="Z133" s="81">
        <f t="shared" ref="Z133:Z196" si="16">IF($V133&gt;=-$AA$4,IF(V133&lt;=$AA$4,1,""),"")</f>
        <v>1</v>
      </c>
    </row>
    <row r="134" spans="1:26" ht="16.5" thickBot="1">
      <c r="A134" s="89">
        <v>132</v>
      </c>
      <c r="B134" s="90">
        <v>5</v>
      </c>
      <c r="F134" s="91">
        <v>132</v>
      </c>
      <c r="G134" s="91">
        <v>5.2</v>
      </c>
      <c r="V134" s="81">
        <f t="shared" si="13"/>
        <v>0.20000000000000018</v>
      </c>
      <c r="W134" s="65"/>
      <c r="X134" s="81">
        <f t="shared" si="14"/>
        <v>0</v>
      </c>
      <c r="Y134" s="81">
        <f t="shared" si="15"/>
        <v>0</v>
      </c>
      <c r="Z134" s="81">
        <f t="shared" si="16"/>
        <v>1</v>
      </c>
    </row>
    <row r="135" spans="1:26" ht="16.5" thickBot="1">
      <c r="A135" s="89">
        <v>133</v>
      </c>
      <c r="B135" s="90">
        <v>5</v>
      </c>
      <c r="F135" s="91">
        <v>133</v>
      </c>
      <c r="G135" s="91">
        <v>5.3</v>
      </c>
      <c r="V135" s="81">
        <f t="shared" si="13"/>
        <v>0.29999999999999982</v>
      </c>
      <c r="W135" s="65"/>
      <c r="X135" s="81">
        <f t="shared" si="14"/>
        <v>0</v>
      </c>
      <c r="Y135" s="81">
        <f t="shared" si="15"/>
        <v>0</v>
      </c>
      <c r="Z135" s="81">
        <f t="shared" si="16"/>
        <v>1</v>
      </c>
    </row>
    <row r="136" spans="1:26" ht="16.5" thickBot="1">
      <c r="A136" s="89">
        <v>134</v>
      </c>
      <c r="B136" s="90">
        <v>5</v>
      </c>
      <c r="F136" s="91">
        <v>134</v>
      </c>
      <c r="G136" s="91">
        <v>5.3</v>
      </c>
      <c r="V136" s="81">
        <f t="shared" si="13"/>
        <v>0.29999999999999982</v>
      </c>
      <c r="W136" s="65"/>
      <c r="X136" s="81">
        <f t="shared" si="14"/>
        <v>0</v>
      </c>
      <c r="Y136" s="81">
        <f t="shared" si="15"/>
        <v>0</v>
      </c>
      <c r="Z136" s="81">
        <f t="shared" si="16"/>
        <v>1</v>
      </c>
    </row>
    <row r="137" spans="1:26" ht="16.5" thickBot="1">
      <c r="A137" s="89">
        <v>135</v>
      </c>
      <c r="B137" s="90">
        <v>5</v>
      </c>
      <c r="F137" s="91">
        <v>135</v>
      </c>
      <c r="G137" s="91">
        <v>5.2</v>
      </c>
      <c r="V137" s="81">
        <f t="shared" si="13"/>
        <v>0.20000000000000018</v>
      </c>
      <c r="W137" s="65"/>
      <c r="X137" s="81">
        <f t="shared" si="14"/>
        <v>0</v>
      </c>
      <c r="Y137" s="81">
        <f t="shared" si="15"/>
        <v>0</v>
      </c>
      <c r="Z137" s="81">
        <f t="shared" si="16"/>
        <v>1</v>
      </c>
    </row>
    <row r="138" spans="1:26" ht="16.5" thickBot="1">
      <c r="A138" s="89">
        <v>136</v>
      </c>
      <c r="B138" s="90">
        <v>5</v>
      </c>
      <c r="F138" s="91">
        <v>136</v>
      </c>
      <c r="G138" s="91">
        <v>5.4</v>
      </c>
      <c r="V138" s="81">
        <f t="shared" si="13"/>
        <v>0.40000000000000036</v>
      </c>
      <c r="W138" s="65"/>
      <c r="X138" s="81">
        <f t="shared" si="14"/>
        <v>0</v>
      </c>
      <c r="Y138" s="81">
        <f t="shared" si="15"/>
        <v>0</v>
      </c>
      <c r="Z138" s="81">
        <f t="shared" si="16"/>
        <v>1</v>
      </c>
    </row>
    <row r="139" spans="1:26" ht="16.5" thickBot="1">
      <c r="A139" s="89">
        <v>137</v>
      </c>
      <c r="B139" s="90">
        <v>5</v>
      </c>
      <c r="F139" s="91">
        <v>137</v>
      </c>
      <c r="G139" s="91">
        <v>5.2</v>
      </c>
      <c r="V139" s="81">
        <f t="shared" si="13"/>
        <v>0.20000000000000018</v>
      </c>
      <c r="W139" s="65"/>
      <c r="X139" s="81">
        <f t="shared" si="14"/>
        <v>0</v>
      </c>
      <c r="Y139" s="81">
        <f t="shared" si="15"/>
        <v>0</v>
      </c>
      <c r="Z139" s="81">
        <f t="shared" si="16"/>
        <v>1</v>
      </c>
    </row>
    <row r="140" spans="1:26" ht="16.5" thickBot="1">
      <c r="A140" s="89">
        <v>138</v>
      </c>
      <c r="B140" s="90">
        <v>5</v>
      </c>
      <c r="F140" s="91">
        <v>138</v>
      </c>
      <c r="G140" s="91">
        <v>5.3</v>
      </c>
      <c r="V140" s="81">
        <f t="shared" si="13"/>
        <v>0.29999999999999982</v>
      </c>
      <c r="W140" s="65"/>
      <c r="X140" s="81">
        <f t="shared" si="14"/>
        <v>0</v>
      </c>
      <c r="Y140" s="81">
        <f t="shared" si="15"/>
        <v>0</v>
      </c>
      <c r="Z140" s="81">
        <f t="shared" si="16"/>
        <v>1</v>
      </c>
    </row>
    <row r="141" spans="1:26" ht="16.5" thickBot="1">
      <c r="A141" s="89">
        <v>139</v>
      </c>
      <c r="B141" s="90">
        <v>5</v>
      </c>
      <c r="F141" s="91">
        <v>139</v>
      </c>
      <c r="G141" s="91">
        <v>5.3</v>
      </c>
      <c r="V141" s="81">
        <f t="shared" si="13"/>
        <v>0.29999999999999982</v>
      </c>
      <c r="W141" s="65"/>
      <c r="X141" s="81">
        <f t="shared" si="14"/>
        <v>0</v>
      </c>
      <c r="Y141" s="81">
        <f t="shared" si="15"/>
        <v>0</v>
      </c>
      <c r="Z141" s="81">
        <f t="shared" si="16"/>
        <v>1</v>
      </c>
    </row>
    <row r="142" spans="1:26" ht="16.5" thickBot="1">
      <c r="A142" s="89">
        <v>141</v>
      </c>
      <c r="B142" s="90">
        <v>5.5</v>
      </c>
      <c r="F142" s="91">
        <v>141</v>
      </c>
      <c r="G142" s="91">
        <v>5.9</v>
      </c>
      <c r="V142" s="81">
        <f t="shared" si="13"/>
        <v>0.40000000000000036</v>
      </c>
      <c r="W142" s="65"/>
      <c r="X142" s="81">
        <f t="shared" si="14"/>
        <v>0</v>
      </c>
      <c r="Y142" s="81">
        <f t="shared" si="15"/>
        <v>0</v>
      </c>
      <c r="Z142" s="81">
        <f t="shared" si="16"/>
        <v>1</v>
      </c>
    </row>
    <row r="143" spans="1:26" ht="16.5" thickBot="1">
      <c r="A143" s="89">
        <v>142</v>
      </c>
      <c r="B143" s="90">
        <v>5.5</v>
      </c>
      <c r="F143" s="91">
        <v>142</v>
      </c>
      <c r="G143" s="91">
        <v>5.8</v>
      </c>
      <c r="V143" s="81">
        <f t="shared" si="13"/>
        <v>0.29999999999999982</v>
      </c>
      <c r="W143" s="65"/>
      <c r="X143" s="81">
        <f t="shared" si="14"/>
        <v>0</v>
      </c>
      <c r="Y143" s="81">
        <f t="shared" si="15"/>
        <v>0</v>
      </c>
      <c r="Z143" s="81">
        <f t="shared" si="16"/>
        <v>1</v>
      </c>
    </row>
    <row r="144" spans="1:26" ht="16.5" thickBot="1">
      <c r="A144" s="89">
        <v>143</v>
      </c>
      <c r="B144" s="90">
        <v>5</v>
      </c>
      <c r="F144" s="91">
        <v>143</v>
      </c>
      <c r="G144" s="91">
        <v>5.3</v>
      </c>
      <c r="V144" s="81">
        <f t="shared" si="13"/>
        <v>0.29999999999999982</v>
      </c>
      <c r="W144" s="65"/>
      <c r="X144" s="81">
        <f t="shared" si="14"/>
        <v>0</v>
      </c>
      <c r="Y144" s="81">
        <f t="shared" si="15"/>
        <v>0</v>
      </c>
      <c r="Z144" s="81">
        <f t="shared" si="16"/>
        <v>1</v>
      </c>
    </row>
    <row r="145" spans="1:26" ht="16.5" thickBot="1">
      <c r="A145" s="89">
        <v>145</v>
      </c>
      <c r="B145" s="90">
        <v>5</v>
      </c>
      <c r="F145" s="91">
        <v>145</v>
      </c>
      <c r="G145" s="91">
        <v>5.2</v>
      </c>
      <c r="V145" s="81">
        <f t="shared" si="13"/>
        <v>0.20000000000000018</v>
      </c>
      <c r="W145" s="65"/>
      <c r="X145" s="81">
        <f t="shared" si="14"/>
        <v>0</v>
      </c>
      <c r="Y145" s="81">
        <f t="shared" si="15"/>
        <v>0</v>
      </c>
      <c r="Z145" s="81">
        <f t="shared" si="16"/>
        <v>1</v>
      </c>
    </row>
    <row r="146" spans="1:26" ht="16.5" thickBot="1">
      <c r="A146" s="89">
        <v>146</v>
      </c>
      <c r="B146" s="90">
        <v>5</v>
      </c>
      <c r="F146" s="91">
        <v>146</v>
      </c>
      <c r="G146" s="91">
        <v>5.3</v>
      </c>
      <c r="V146" s="81">
        <f t="shared" si="13"/>
        <v>0.29999999999999982</v>
      </c>
      <c r="W146" s="65"/>
      <c r="X146" s="81">
        <f t="shared" si="14"/>
        <v>0</v>
      </c>
      <c r="Y146" s="81">
        <f t="shared" si="15"/>
        <v>0</v>
      </c>
      <c r="Z146" s="81">
        <f t="shared" si="16"/>
        <v>1</v>
      </c>
    </row>
    <row r="147" spans="1:26" ht="16.5" thickBot="1">
      <c r="A147" s="89">
        <v>147</v>
      </c>
      <c r="B147" s="90">
        <v>4.5</v>
      </c>
      <c r="F147" s="91">
        <v>147</v>
      </c>
      <c r="G147" s="91">
        <v>4.7</v>
      </c>
      <c r="V147" s="81">
        <f t="shared" si="13"/>
        <v>0.20000000000000018</v>
      </c>
      <c r="W147" s="65"/>
      <c r="X147" s="81">
        <f t="shared" si="14"/>
        <v>0</v>
      </c>
      <c r="Y147" s="81">
        <f t="shared" si="15"/>
        <v>0</v>
      </c>
      <c r="Z147" s="81">
        <f t="shared" si="16"/>
        <v>1</v>
      </c>
    </row>
    <row r="148" spans="1:26" ht="16.5" thickBot="1">
      <c r="A148" s="89">
        <v>148</v>
      </c>
      <c r="B148" s="90">
        <v>4.5</v>
      </c>
      <c r="F148" s="91">
        <v>148</v>
      </c>
      <c r="G148" s="91">
        <v>4.7</v>
      </c>
      <c r="V148" s="81">
        <f t="shared" si="13"/>
        <v>0.20000000000000018</v>
      </c>
      <c r="W148" s="65"/>
      <c r="X148" s="81">
        <f t="shared" si="14"/>
        <v>0</v>
      </c>
      <c r="Y148" s="81">
        <f t="shared" si="15"/>
        <v>0</v>
      </c>
      <c r="Z148" s="81">
        <f t="shared" si="16"/>
        <v>1</v>
      </c>
    </row>
    <row r="149" spans="1:26" ht="16.5" thickBot="1">
      <c r="A149" s="89">
        <v>150</v>
      </c>
      <c r="B149" s="90">
        <v>4.5</v>
      </c>
      <c r="F149" s="91">
        <v>150</v>
      </c>
      <c r="G149" s="91">
        <v>4.8</v>
      </c>
      <c r="V149" s="81">
        <f t="shared" si="13"/>
        <v>0.29999999999999982</v>
      </c>
      <c r="W149" s="65"/>
      <c r="X149" s="81">
        <f t="shared" si="14"/>
        <v>0</v>
      </c>
      <c r="Y149" s="81">
        <f t="shared" si="15"/>
        <v>0</v>
      </c>
      <c r="Z149" s="81">
        <f t="shared" si="16"/>
        <v>1</v>
      </c>
    </row>
    <row r="150" spans="1:26" ht="16.5" thickBot="1">
      <c r="A150" s="89">
        <v>151</v>
      </c>
      <c r="B150" s="90">
        <v>4.5</v>
      </c>
      <c r="F150" s="91">
        <v>151</v>
      </c>
      <c r="G150" s="91">
        <v>4.8</v>
      </c>
      <c r="V150" s="81">
        <f t="shared" si="13"/>
        <v>0.29999999999999982</v>
      </c>
      <c r="W150" s="65"/>
      <c r="X150" s="81">
        <f t="shared" si="14"/>
        <v>0</v>
      </c>
      <c r="Y150" s="81">
        <f t="shared" si="15"/>
        <v>0</v>
      </c>
      <c r="Z150" s="81">
        <f t="shared" si="16"/>
        <v>1</v>
      </c>
    </row>
    <row r="151" spans="1:26" ht="16.5" thickBot="1">
      <c r="A151" s="89">
        <v>152</v>
      </c>
      <c r="B151" s="90">
        <v>4.5</v>
      </c>
      <c r="F151" s="91">
        <v>152</v>
      </c>
      <c r="G151" s="91">
        <v>4.8</v>
      </c>
      <c r="V151" s="81">
        <f t="shared" si="13"/>
        <v>0.29999999999999982</v>
      </c>
      <c r="W151" s="65"/>
      <c r="X151" s="81">
        <f t="shared" si="14"/>
        <v>0</v>
      </c>
      <c r="Y151" s="81">
        <f t="shared" si="15"/>
        <v>0</v>
      </c>
      <c r="Z151" s="81">
        <f t="shared" si="16"/>
        <v>1</v>
      </c>
    </row>
    <row r="152" spans="1:26" ht="16.5" thickBot="1">
      <c r="A152" s="89">
        <v>153</v>
      </c>
      <c r="B152" s="90">
        <v>4.5</v>
      </c>
      <c r="F152" s="91">
        <v>153</v>
      </c>
      <c r="G152" s="91">
        <v>4.9000000000000004</v>
      </c>
      <c r="V152" s="81">
        <f t="shared" si="13"/>
        <v>0.40000000000000036</v>
      </c>
      <c r="W152" s="65"/>
      <c r="X152" s="81">
        <f t="shared" si="14"/>
        <v>0</v>
      </c>
      <c r="Y152" s="81">
        <f t="shared" si="15"/>
        <v>0</v>
      </c>
      <c r="Z152" s="81">
        <f t="shared" si="16"/>
        <v>1</v>
      </c>
    </row>
    <row r="153" spans="1:26" ht="16.5" thickBot="1">
      <c r="A153" s="89">
        <v>155</v>
      </c>
      <c r="B153" s="90">
        <v>4.5</v>
      </c>
      <c r="F153" s="91">
        <v>155</v>
      </c>
      <c r="G153" s="91">
        <v>4.7</v>
      </c>
      <c r="V153" s="81">
        <f t="shared" si="13"/>
        <v>0.20000000000000018</v>
      </c>
      <c r="W153" s="65"/>
      <c r="X153" s="81">
        <f t="shared" si="14"/>
        <v>0</v>
      </c>
      <c r="Y153" s="81">
        <f t="shared" si="15"/>
        <v>0</v>
      </c>
      <c r="Z153" s="81">
        <f t="shared" si="16"/>
        <v>1</v>
      </c>
    </row>
    <row r="154" spans="1:26" ht="16.5" thickBot="1">
      <c r="A154" s="89">
        <v>156</v>
      </c>
      <c r="B154" s="90">
        <v>4.5</v>
      </c>
      <c r="F154" s="91">
        <v>156</v>
      </c>
      <c r="G154" s="91">
        <v>4.5999999999999996</v>
      </c>
      <c r="V154" s="81">
        <f t="shared" si="13"/>
        <v>9.9999999999999645E-2</v>
      </c>
      <c r="W154" s="65"/>
      <c r="X154" s="81">
        <f t="shared" si="14"/>
        <v>0</v>
      </c>
      <c r="Y154" s="81">
        <f t="shared" si="15"/>
        <v>0</v>
      </c>
      <c r="Z154" s="81">
        <f t="shared" si="16"/>
        <v>1</v>
      </c>
    </row>
    <row r="155" spans="1:26" ht="16.5" thickBot="1">
      <c r="A155" s="89">
        <v>157</v>
      </c>
      <c r="B155" s="90">
        <v>4.5</v>
      </c>
      <c r="F155" s="91">
        <v>157</v>
      </c>
      <c r="G155" s="91">
        <v>4.5</v>
      </c>
      <c r="V155" s="81">
        <f t="shared" si="13"/>
        <v>0</v>
      </c>
      <c r="W155" s="65"/>
      <c r="X155" s="81">
        <f t="shared" si="14"/>
        <v>0</v>
      </c>
      <c r="Y155" s="81">
        <f t="shared" si="15"/>
        <v>0</v>
      </c>
      <c r="Z155" s="81">
        <f t="shared" si="16"/>
        <v>1</v>
      </c>
    </row>
    <row r="156" spans="1:26" ht="16.5" thickBot="1">
      <c r="A156" s="89">
        <v>158</v>
      </c>
      <c r="B156" s="90">
        <v>4.5</v>
      </c>
      <c r="F156" s="91">
        <v>158</v>
      </c>
      <c r="G156" s="91">
        <v>4.8</v>
      </c>
      <c r="V156" s="81">
        <f t="shared" si="13"/>
        <v>0.29999999999999982</v>
      </c>
      <c r="W156" s="65"/>
      <c r="X156" s="81">
        <f t="shared" si="14"/>
        <v>0</v>
      </c>
      <c r="Y156" s="81">
        <f t="shared" si="15"/>
        <v>0</v>
      </c>
      <c r="Z156" s="81">
        <f t="shared" si="16"/>
        <v>1</v>
      </c>
    </row>
    <row r="157" spans="1:26" ht="16.5" thickBot="1">
      <c r="A157" s="89">
        <v>159</v>
      </c>
      <c r="B157" s="90">
        <v>4.5</v>
      </c>
      <c r="F157" s="91">
        <v>159</v>
      </c>
      <c r="G157" s="91">
        <v>4.5999999999999996</v>
      </c>
      <c r="V157" s="81">
        <f t="shared" si="13"/>
        <v>9.9999999999999645E-2</v>
      </c>
      <c r="W157" s="65"/>
      <c r="X157" s="81">
        <f t="shared" si="14"/>
        <v>0</v>
      </c>
      <c r="Y157" s="81">
        <f t="shared" si="15"/>
        <v>0</v>
      </c>
      <c r="Z157" s="81">
        <f t="shared" si="16"/>
        <v>1</v>
      </c>
    </row>
    <row r="158" spans="1:26" ht="16.5" thickBot="1">
      <c r="A158" s="89">
        <v>160</v>
      </c>
      <c r="B158" s="90">
        <v>4.5</v>
      </c>
      <c r="F158" s="91">
        <v>160</v>
      </c>
      <c r="G158" s="91">
        <v>4.5</v>
      </c>
      <c r="V158" s="81">
        <f t="shared" si="13"/>
        <v>0</v>
      </c>
      <c r="W158" s="65"/>
      <c r="X158" s="81">
        <f t="shared" si="14"/>
        <v>0</v>
      </c>
      <c r="Y158" s="81">
        <f t="shared" si="15"/>
        <v>0</v>
      </c>
      <c r="Z158" s="81">
        <f t="shared" si="16"/>
        <v>1</v>
      </c>
    </row>
    <row r="159" spans="1:26" ht="16.5" thickBot="1">
      <c r="A159" s="89">
        <v>161</v>
      </c>
      <c r="B159" s="90">
        <v>4.5</v>
      </c>
      <c r="F159" s="91">
        <v>161</v>
      </c>
      <c r="G159" s="91">
        <v>4.8</v>
      </c>
      <c r="V159" s="81">
        <f t="shared" si="13"/>
        <v>0.29999999999999982</v>
      </c>
      <c r="W159" s="65"/>
      <c r="X159" s="81">
        <f t="shared" si="14"/>
        <v>0</v>
      </c>
      <c r="Y159" s="81">
        <f t="shared" si="15"/>
        <v>0</v>
      </c>
      <c r="Z159" s="81">
        <f t="shared" si="16"/>
        <v>1</v>
      </c>
    </row>
    <row r="160" spans="1:26" ht="16.5" thickBot="1">
      <c r="A160" s="89">
        <v>162</v>
      </c>
      <c r="B160" s="90">
        <v>4.5</v>
      </c>
      <c r="F160" s="91">
        <v>162</v>
      </c>
      <c r="G160" s="91">
        <v>4.7</v>
      </c>
      <c r="V160" s="81">
        <f t="shared" si="13"/>
        <v>0.20000000000000018</v>
      </c>
      <c r="W160" s="65"/>
      <c r="X160" s="81">
        <f t="shared" si="14"/>
        <v>0</v>
      </c>
      <c r="Y160" s="81">
        <f t="shared" si="15"/>
        <v>0</v>
      </c>
      <c r="Z160" s="81">
        <f t="shared" si="16"/>
        <v>1</v>
      </c>
    </row>
    <row r="161" spans="1:26" ht="16.5" thickBot="1">
      <c r="A161" s="89">
        <v>163</v>
      </c>
      <c r="B161" s="90">
        <v>4.5</v>
      </c>
      <c r="F161" s="91">
        <v>163</v>
      </c>
      <c r="G161" s="91">
        <v>4.5</v>
      </c>
      <c r="V161" s="81">
        <f t="shared" si="13"/>
        <v>0</v>
      </c>
      <c r="W161" s="65"/>
      <c r="X161" s="81">
        <f t="shared" si="14"/>
        <v>0</v>
      </c>
      <c r="Y161" s="81">
        <f t="shared" si="15"/>
        <v>0</v>
      </c>
      <c r="Z161" s="81">
        <f t="shared" si="16"/>
        <v>1</v>
      </c>
    </row>
    <row r="162" spans="1:26" ht="16.5" thickBot="1">
      <c r="A162" s="89">
        <v>164</v>
      </c>
      <c r="B162" s="90">
        <v>4.5</v>
      </c>
      <c r="F162" s="91">
        <v>164</v>
      </c>
      <c r="G162" s="91">
        <v>4.7</v>
      </c>
      <c r="V162" s="81">
        <f t="shared" si="13"/>
        <v>0.20000000000000018</v>
      </c>
      <c r="W162" s="65"/>
      <c r="X162" s="81">
        <f t="shared" si="14"/>
        <v>0</v>
      </c>
      <c r="Y162" s="81">
        <f t="shared" si="15"/>
        <v>0</v>
      </c>
      <c r="Z162" s="81">
        <f t="shared" si="16"/>
        <v>1</v>
      </c>
    </row>
    <row r="163" spans="1:26" ht="16.5" thickBot="1">
      <c r="A163" s="89">
        <v>165</v>
      </c>
      <c r="B163" s="90">
        <v>4.5</v>
      </c>
      <c r="F163" s="91">
        <v>165</v>
      </c>
      <c r="G163" s="91">
        <v>4.5999999999999996</v>
      </c>
      <c r="V163" s="81">
        <f t="shared" si="13"/>
        <v>9.9999999999999645E-2</v>
      </c>
      <c r="W163" s="65"/>
      <c r="X163" s="81">
        <f t="shared" si="14"/>
        <v>0</v>
      </c>
      <c r="Y163" s="81">
        <f t="shared" si="15"/>
        <v>0</v>
      </c>
      <c r="Z163" s="81">
        <f t="shared" si="16"/>
        <v>1</v>
      </c>
    </row>
    <row r="164" spans="1:26" ht="16.5" thickBot="1">
      <c r="A164" s="89">
        <v>166</v>
      </c>
      <c r="B164" s="90">
        <v>4.5</v>
      </c>
      <c r="F164" s="91">
        <v>166</v>
      </c>
      <c r="G164" s="91">
        <v>4.4000000000000004</v>
      </c>
      <c r="V164" s="81">
        <f t="shared" si="13"/>
        <v>-9.9999999999999645E-2</v>
      </c>
      <c r="W164" s="65"/>
      <c r="X164" s="81">
        <f t="shared" si="14"/>
        <v>0</v>
      </c>
      <c r="Y164" s="81">
        <f t="shared" si="15"/>
        <v>0</v>
      </c>
      <c r="Z164" s="81">
        <f t="shared" si="16"/>
        <v>1</v>
      </c>
    </row>
    <row r="165" spans="1:26" ht="16.5" thickBot="1">
      <c r="A165" s="89">
        <v>167</v>
      </c>
      <c r="B165" s="90">
        <v>4.5</v>
      </c>
      <c r="F165" s="91">
        <v>167</v>
      </c>
      <c r="G165" s="91">
        <v>4.7</v>
      </c>
      <c r="V165" s="81">
        <f t="shared" si="13"/>
        <v>0.20000000000000018</v>
      </c>
      <c r="W165" s="65"/>
      <c r="X165" s="81">
        <f t="shared" si="14"/>
        <v>0</v>
      </c>
      <c r="Y165" s="81">
        <f t="shared" si="15"/>
        <v>0</v>
      </c>
      <c r="Z165" s="81">
        <f t="shared" si="16"/>
        <v>1</v>
      </c>
    </row>
    <row r="166" spans="1:26" ht="16.5" thickBot="1">
      <c r="A166" s="89">
        <v>168</v>
      </c>
      <c r="B166" s="90">
        <v>4.5</v>
      </c>
      <c r="F166" s="91">
        <v>168</v>
      </c>
      <c r="G166" s="91">
        <v>4.8</v>
      </c>
      <c r="V166" s="81">
        <f t="shared" si="13"/>
        <v>0.29999999999999982</v>
      </c>
      <c r="W166" s="65"/>
      <c r="X166" s="81">
        <f t="shared" si="14"/>
        <v>0</v>
      </c>
      <c r="Y166" s="81">
        <f t="shared" si="15"/>
        <v>0</v>
      </c>
      <c r="Z166" s="81">
        <f t="shared" si="16"/>
        <v>1</v>
      </c>
    </row>
    <row r="167" spans="1:26" ht="16.5" thickBot="1">
      <c r="A167" s="89">
        <v>169</v>
      </c>
      <c r="B167" s="90">
        <v>4.5</v>
      </c>
      <c r="F167" s="91">
        <v>169</v>
      </c>
      <c r="G167" s="91">
        <v>4.5</v>
      </c>
      <c r="V167" s="81">
        <f t="shared" si="13"/>
        <v>0</v>
      </c>
      <c r="W167" s="65"/>
      <c r="X167" s="81">
        <f t="shared" si="14"/>
        <v>0</v>
      </c>
      <c r="Y167" s="81">
        <f t="shared" si="15"/>
        <v>0</v>
      </c>
      <c r="Z167" s="81">
        <f t="shared" si="16"/>
        <v>1</v>
      </c>
    </row>
    <row r="168" spans="1:26" ht="16.5" thickBot="1">
      <c r="A168" s="89">
        <v>170</v>
      </c>
      <c r="B168" s="90">
        <v>4.5</v>
      </c>
      <c r="F168" s="91">
        <v>170</v>
      </c>
      <c r="G168" s="91">
        <v>4.5</v>
      </c>
      <c r="V168" s="81">
        <f t="shared" si="13"/>
        <v>0</v>
      </c>
      <c r="W168" s="65"/>
      <c r="X168" s="81">
        <f t="shared" si="14"/>
        <v>0</v>
      </c>
      <c r="Y168" s="81">
        <f t="shared" si="15"/>
        <v>0</v>
      </c>
      <c r="Z168" s="81">
        <f t="shared" si="16"/>
        <v>1</v>
      </c>
    </row>
    <row r="169" spans="1:26" ht="16.5" thickBot="1">
      <c r="A169" s="89">
        <v>171</v>
      </c>
      <c r="B169" s="90">
        <v>4.5</v>
      </c>
      <c r="F169" s="91">
        <v>171</v>
      </c>
      <c r="G169" s="91">
        <v>4.7</v>
      </c>
      <c r="V169" s="81">
        <f t="shared" si="13"/>
        <v>0.20000000000000018</v>
      </c>
      <c r="W169" s="65"/>
      <c r="X169" s="81">
        <f t="shared" si="14"/>
        <v>0</v>
      </c>
      <c r="Y169" s="81">
        <f t="shared" si="15"/>
        <v>0</v>
      </c>
      <c r="Z169" s="81">
        <f t="shared" si="16"/>
        <v>1</v>
      </c>
    </row>
    <row r="170" spans="1:26" ht="16.5" thickBot="1">
      <c r="A170" s="89">
        <v>172</v>
      </c>
      <c r="B170" s="90">
        <v>4.5</v>
      </c>
      <c r="F170" s="91">
        <v>172</v>
      </c>
      <c r="G170" s="91">
        <v>4.5999999999999996</v>
      </c>
      <c r="V170" s="81">
        <f t="shared" si="13"/>
        <v>9.9999999999999645E-2</v>
      </c>
      <c r="W170" s="65"/>
      <c r="X170" s="81">
        <f t="shared" si="14"/>
        <v>0</v>
      </c>
      <c r="Y170" s="81">
        <f t="shared" si="15"/>
        <v>0</v>
      </c>
      <c r="Z170" s="81">
        <f t="shared" si="16"/>
        <v>1</v>
      </c>
    </row>
    <row r="171" spans="1:26" ht="16.5" thickBot="1">
      <c r="A171" s="89">
        <v>173</v>
      </c>
      <c r="B171" s="90">
        <v>4.5</v>
      </c>
      <c r="F171" s="91">
        <v>173</v>
      </c>
      <c r="G171" s="91">
        <v>4.8</v>
      </c>
      <c r="V171" s="81">
        <f t="shared" si="13"/>
        <v>0.29999999999999982</v>
      </c>
      <c r="W171" s="65"/>
      <c r="X171" s="81">
        <f t="shared" si="14"/>
        <v>0</v>
      </c>
      <c r="Y171" s="81">
        <f t="shared" si="15"/>
        <v>0</v>
      </c>
      <c r="Z171" s="81">
        <f t="shared" si="16"/>
        <v>1</v>
      </c>
    </row>
    <row r="172" spans="1:26" ht="16.5" thickBot="1">
      <c r="A172" s="89">
        <v>174</v>
      </c>
      <c r="B172" s="90">
        <v>4.5</v>
      </c>
      <c r="F172" s="91">
        <v>174</v>
      </c>
      <c r="G172" s="91">
        <v>4.7</v>
      </c>
      <c r="V172" s="81">
        <f t="shared" si="13"/>
        <v>0.20000000000000018</v>
      </c>
      <c r="W172" s="65"/>
      <c r="X172" s="81">
        <f t="shared" si="14"/>
        <v>0</v>
      </c>
      <c r="Y172" s="81">
        <f t="shared" si="15"/>
        <v>0</v>
      </c>
      <c r="Z172" s="81">
        <f t="shared" si="16"/>
        <v>1</v>
      </c>
    </row>
    <row r="173" spans="1:26" ht="16.5" thickBot="1">
      <c r="A173" s="89">
        <v>175</v>
      </c>
      <c r="B173" s="90">
        <v>4.5</v>
      </c>
      <c r="F173" s="91">
        <v>175</v>
      </c>
      <c r="G173" s="91">
        <v>4.7</v>
      </c>
      <c r="V173" s="81">
        <f t="shared" si="13"/>
        <v>0.20000000000000018</v>
      </c>
      <c r="W173" s="65"/>
      <c r="X173" s="81">
        <f t="shared" si="14"/>
        <v>0</v>
      </c>
      <c r="Y173" s="81">
        <f t="shared" si="15"/>
        <v>0</v>
      </c>
      <c r="Z173" s="81">
        <f t="shared" si="16"/>
        <v>1</v>
      </c>
    </row>
    <row r="174" spans="1:26" ht="16.5" thickBot="1">
      <c r="A174" s="89">
        <v>176</v>
      </c>
      <c r="B174" s="90">
        <v>4.5</v>
      </c>
      <c r="F174" s="91">
        <v>176</v>
      </c>
      <c r="G174" s="91">
        <v>4.5</v>
      </c>
      <c r="V174" s="81">
        <f t="shared" si="13"/>
        <v>0</v>
      </c>
      <c r="W174" s="65"/>
      <c r="X174" s="81">
        <f t="shared" si="14"/>
        <v>0</v>
      </c>
      <c r="Y174" s="81">
        <f t="shared" si="15"/>
        <v>0</v>
      </c>
      <c r="Z174" s="81">
        <f t="shared" si="16"/>
        <v>1</v>
      </c>
    </row>
    <row r="175" spans="1:26" ht="16.5" thickBot="1">
      <c r="A175" s="89">
        <v>177</v>
      </c>
      <c r="B175" s="90">
        <v>4.5</v>
      </c>
      <c r="F175" s="91">
        <v>177</v>
      </c>
      <c r="G175" s="91">
        <v>4.7</v>
      </c>
      <c r="V175" s="81">
        <f t="shared" si="13"/>
        <v>0.20000000000000018</v>
      </c>
      <c r="W175" s="65"/>
      <c r="X175" s="81">
        <f t="shared" si="14"/>
        <v>0</v>
      </c>
      <c r="Y175" s="81">
        <f t="shared" si="15"/>
        <v>0</v>
      </c>
      <c r="Z175" s="81">
        <f t="shared" si="16"/>
        <v>1</v>
      </c>
    </row>
    <row r="176" spans="1:26" ht="16.5" thickBot="1">
      <c r="A176" s="89">
        <v>178</v>
      </c>
      <c r="B176" s="90">
        <v>4.5</v>
      </c>
      <c r="F176" s="91">
        <v>178</v>
      </c>
      <c r="G176" s="91">
        <v>4.5</v>
      </c>
      <c r="V176" s="81">
        <f t="shared" si="13"/>
        <v>0</v>
      </c>
      <c r="W176" s="65"/>
      <c r="X176" s="81">
        <f t="shared" si="14"/>
        <v>0</v>
      </c>
      <c r="Y176" s="81">
        <f t="shared" si="15"/>
        <v>0</v>
      </c>
      <c r="Z176" s="81">
        <f t="shared" si="16"/>
        <v>1</v>
      </c>
    </row>
    <row r="177" spans="1:26" ht="16.5" thickBot="1">
      <c r="A177" s="89">
        <v>179</v>
      </c>
      <c r="B177" s="90">
        <v>4.5</v>
      </c>
      <c r="F177" s="91">
        <v>179</v>
      </c>
      <c r="G177" s="91">
        <v>4.5</v>
      </c>
      <c r="V177" s="81">
        <f t="shared" si="13"/>
        <v>0</v>
      </c>
      <c r="W177" s="65"/>
      <c r="X177" s="81">
        <f t="shared" si="14"/>
        <v>0</v>
      </c>
      <c r="Y177" s="81">
        <f t="shared" si="15"/>
        <v>0</v>
      </c>
      <c r="Z177" s="81">
        <f t="shared" si="16"/>
        <v>1</v>
      </c>
    </row>
    <row r="178" spans="1:26" ht="16.5" thickBot="1">
      <c r="A178" s="89">
        <v>180</v>
      </c>
      <c r="B178" s="90">
        <v>4.5</v>
      </c>
      <c r="F178" s="91">
        <v>180</v>
      </c>
      <c r="G178" s="91">
        <v>4.7</v>
      </c>
      <c r="V178" s="81">
        <f t="shared" si="13"/>
        <v>0.20000000000000018</v>
      </c>
      <c r="W178" s="65"/>
      <c r="X178" s="81">
        <f t="shared" si="14"/>
        <v>0</v>
      </c>
      <c r="Y178" s="81">
        <f t="shared" si="15"/>
        <v>0</v>
      </c>
      <c r="Z178" s="81">
        <f t="shared" si="16"/>
        <v>1</v>
      </c>
    </row>
    <row r="179" spans="1:26" ht="16.5" thickBot="1">
      <c r="A179" s="89">
        <v>181</v>
      </c>
      <c r="B179" s="90">
        <v>4.5</v>
      </c>
      <c r="F179" s="91">
        <v>181</v>
      </c>
      <c r="G179" s="91">
        <v>4.7</v>
      </c>
      <c r="V179" s="81">
        <f t="shared" si="13"/>
        <v>0.20000000000000018</v>
      </c>
      <c r="W179" s="65"/>
      <c r="X179" s="81">
        <f t="shared" si="14"/>
        <v>0</v>
      </c>
      <c r="Y179" s="81">
        <f t="shared" si="15"/>
        <v>0</v>
      </c>
      <c r="Z179" s="81">
        <f t="shared" si="16"/>
        <v>1</v>
      </c>
    </row>
    <row r="180" spans="1:26" ht="16.5" thickBot="1">
      <c r="A180" s="89">
        <v>182</v>
      </c>
      <c r="B180" s="90">
        <v>4.5</v>
      </c>
      <c r="F180" s="91">
        <v>182</v>
      </c>
      <c r="G180" s="91">
        <v>4.7</v>
      </c>
      <c r="V180" s="81">
        <f t="shared" si="13"/>
        <v>0.20000000000000018</v>
      </c>
      <c r="W180" s="65"/>
      <c r="X180" s="81">
        <f t="shared" si="14"/>
        <v>0</v>
      </c>
      <c r="Y180" s="81">
        <f t="shared" si="15"/>
        <v>0</v>
      </c>
      <c r="Z180" s="81">
        <f t="shared" si="16"/>
        <v>1</v>
      </c>
    </row>
    <row r="181" spans="1:26" ht="16.5" thickBot="1">
      <c r="A181" s="89">
        <v>183</v>
      </c>
      <c r="B181" s="90">
        <v>4.5</v>
      </c>
      <c r="F181" s="91">
        <v>183</v>
      </c>
      <c r="G181" s="91">
        <v>4.5</v>
      </c>
      <c r="V181" s="81">
        <f t="shared" si="13"/>
        <v>0</v>
      </c>
      <c r="W181" s="65"/>
      <c r="X181" s="81">
        <f t="shared" si="14"/>
        <v>0</v>
      </c>
      <c r="Y181" s="81">
        <f t="shared" si="15"/>
        <v>0</v>
      </c>
      <c r="Z181" s="81">
        <f t="shared" si="16"/>
        <v>1</v>
      </c>
    </row>
    <row r="182" spans="1:26" ht="16.5" thickBot="1">
      <c r="A182" s="89">
        <v>184</v>
      </c>
      <c r="B182" s="90">
        <v>4.5</v>
      </c>
      <c r="F182" s="91">
        <v>184</v>
      </c>
      <c r="G182" s="91">
        <v>4.5</v>
      </c>
      <c r="V182" s="81">
        <f t="shared" si="13"/>
        <v>0</v>
      </c>
      <c r="W182" s="65"/>
      <c r="X182" s="81">
        <f t="shared" si="14"/>
        <v>0</v>
      </c>
      <c r="Y182" s="81">
        <f t="shared" si="15"/>
        <v>0</v>
      </c>
      <c r="Z182" s="81">
        <f t="shared" si="16"/>
        <v>1</v>
      </c>
    </row>
    <row r="183" spans="1:26" ht="16.5" thickBot="1">
      <c r="A183" s="89">
        <v>185</v>
      </c>
      <c r="B183" s="90">
        <v>4.5</v>
      </c>
      <c r="F183" s="91">
        <v>185</v>
      </c>
      <c r="G183" s="91">
        <v>4.8</v>
      </c>
      <c r="V183" s="81">
        <f t="shared" si="13"/>
        <v>0.29999999999999982</v>
      </c>
      <c r="W183" s="65"/>
      <c r="X183" s="81">
        <f t="shared" si="14"/>
        <v>0</v>
      </c>
      <c r="Y183" s="81">
        <f t="shared" si="15"/>
        <v>0</v>
      </c>
      <c r="Z183" s="81">
        <f t="shared" si="16"/>
        <v>1</v>
      </c>
    </row>
    <row r="184" spans="1:26" ht="16.5" thickBot="1">
      <c r="A184" s="89">
        <v>189</v>
      </c>
      <c r="B184" s="90">
        <v>4.5</v>
      </c>
      <c r="F184" s="91">
        <v>189</v>
      </c>
      <c r="G184" s="91">
        <v>4.7</v>
      </c>
      <c r="V184" s="81">
        <f t="shared" si="13"/>
        <v>0.20000000000000018</v>
      </c>
      <c r="W184" s="65"/>
      <c r="X184" s="81">
        <f t="shared" si="14"/>
        <v>0</v>
      </c>
      <c r="Y184" s="81">
        <f t="shared" si="15"/>
        <v>0</v>
      </c>
      <c r="Z184" s="81">
        <f t="shared" si="16"/>
        <v>1</v>
      </c>
    </row>
    <row r="185" spans="1:26" ht="16.5" thickBot="1">
      <c r="A185" s="89">
        <v>190</v>
      </c>
      <c r="B185" s="90">
        <v>4.5</v>
      </c>
      <c r="F185" s="91">
        <v>190</v>
      </c>
      <c r="G185" s="91">
        <v>4.8</v>
      </c>
      <c r="V185" s="81">
        <f t="shared" si="13"/>
        <v>0.29999999999999982</v>
      </c>
      <c r="W185" s="65"/>
      <c r="X185" s="81">
        <f t="shared" si="14"/>
        <v>0</v>
      </c>
      <c r="Y185" s="81">
        <f t="shared" si="15"/>
        <v>0</v>
      </c>
      <c r="Z185" s="81">
        <f t="shared" si="16"/>
        <v>1</v>
      </c>
    </row>
    <row r="186" spans="1:26" ht="16.5" thickBot="1">
      <c r="A186" s="89">
        <v>191</v>
      </c>
      <c r="B186" s="90">
        <v>4.5</v>
      </c>
      <c r="F186" s="91">
        <v>191</v>
      </c>
      <c r="G186" s="91">
        <v>4.5</v>
      </c>
      <c r="V186" s="81">
        <f t="shared" si="13"/>
        <v>0</v>
      </c>
      <c r="W186" s="65"/>
      <c r="X186" s="81">
        <f t="shared" si="14"/>
        <v>0</v>
      </c>
      <c r="Y186" s="81">
        <f t="shared" si="15"/>
        <v>0</v>
      </c>
      <c r="Z186" s="81">
        <f t="shared" si="16"/>
        <v>1</v>
      </c>
    </row>
    <row r="187" spans="1:26" ht="16.5" thickBot="1">
      <c r="A187" s="89">
        <v>192</v>
      </c>
      <c r="B187" s="90">
        <v>4.5</v>
      </c>
      <c r="F187" s="91">
        <v>192</v>
      </c>
      <c r="G187" s="91">
        <v>4.5</v>
      </c>
      <c r="V187" s="81">
        <f t="shared" si="13"/>
        <v>0</v>
      </c>
      <c r="W187" s="65"/>
      <c r="X187" s="81">
        <f t="shared" si="14"/>
        <v>0</v>
      </c>
      <c r="Y187" s="81">
        <f t="shared" si="15"/>
        <v>0</v>
      </c>
      <c r="Z187" s="81">
        <f t="shared" si="16"/>
        <v>1</v>
      </c>
    </row>
    <row r="188" spans="1:26" ht="16.5" thickBot="1">
      <c r="A188" s="89">
        <v>193</v>
      </c>
      <c r="B188" s="90">
        <v>4.5</v>
      </c>
      <c r="F188" s="91">
        <v>193</v>
      </c>
      <c r="G188" s="91">
        <v>4.5</v>
      </c>
      <c r="V188" s="81">
        <f t="shared" si="13"/>
        <v>0</v>
      </c>
      <c r="W188" s="65"/>
      <c r="X188" s="81">
        <f t="shared" si="14"/>
        <v>0</v>
      </c>
      <c r="Y188" s="81">
        <f t="shared" si="15"/>
        <v>0</v>
      </c>
      <c r="Z188" s="81">
        <f t="shared" si="16"/>
        <v>1</v>
      </c>
    </row>
    <row r="189" spans="1:26" ht="16.5" thickBot="1">
      <c r="A189" s="89">
        <v>194</v>
      </c>
      <c r="B189" s="90">
        <v>4.5</v>
      </c>
      <c r="F189" s="91">
        <v>194</v>
      </c>
      <c r="G189" s="91">
        <v>4.7</v>
      </c>
      <c r="V189" s="81">
        <f t="shared" si="13"/>
        <v>0.20000000000000018</v>
      </c>
      <c r="W189" s="65"/>
      <c r="X189" s="81">
        <f t="shared" si="14"/>
        <v>0</v>
      </c>
      <c r="Y189" s="81">
        <f t="shared" si="15"/>
        <v>0</v>
      </c>
      <c r="Z189" s="81">
        <f t="shared" si="16"/>
        <v>1</v>
      </c>
    </row>
    <row r="190" spans="1:26" ht="16.5" thickBot="1">
      <c r="A190" s="89">
        <v>195</v>
      </c>
      <c r="B190" s="90">
        <v>4.5</v>
      </c>
      <c r="F190" s="91">
        <v>195</v>
      </c>
      <c r="G190" s="91">
        <v>4.7</v>
      </c>
      <c r="V190" s="81">
        <f t="shared" si="13"/>
        <v>0.20000000000000018</v>
      </c>
      <c r="W190" s="65"/>
      <c r="X190" s="81">
        <f t="shared" si="14"/>
        <v>0</v>
      </c>
      <c r="Y190" s="81">
        <f t="shared" si="15"/>
        <v>0</v>
      </c>
      <c r="Z190" s="81">
        <f t="shared" si="16"/>
        <v>1</v>
      </c>
    </row>
    <row r="191" spans="1:26" ht="16.5" thickBot="1">
      <c r="A191" s="89">
        <v>196</v>
      </c>
      <c r="B191" s="90">
        <v>4.5</v>
      </c>
      <c r="F191" s="91">
        <v>196</v>
      </c>
      <c r="G191" s="91">
        <v>4.5</v>
      </c>
      <c r="V191" s="81">
        <f t="shared" si="13"/>
        <v>0</v>
      </c>
      <c r="W191" s="65"/>
      <c r="X191" s="81">
        <f t="shared" si="14"/>
        <v>0</v>
      </c>
      <c r="Y191" s="81">
        <f t="shared" si="15"/>
        <v>0</v>
      </c>
      <c r="Z191" s="81">
        <f t="shared" si="16"/>
        <v>1</v>
      </c>
    </row>
    <row r="192" spans="1:26" ht="16.5" thickBot="1">
      <c r="A192" s="89">
        <v>197</v>
      </c>
      <c r="B192" s="90">
        <v>4.5</v>
      </c>
      <c r="F192" s="91">
        <v>197</v>
      </c>
      <c r="G192" s="91">
        <v>4.5</v>
      </c>
      <c r="V192" s="81">
        <f t="shared" si="13"/>
        <v>0</v>
      </c>
      <c r="W192" s="65"/>
      <c r="X192" s="81">
        <f t="shared" si="14"/>
        <v>0</v>
      </c>
      <c r="Y192" s="81">
        <f t="shared" si="15"/>
        <v>0</v>
      </c>
      <c r="Z192" s="81">
        <f t="shared" si="16"/>
        <v>1</v>
      </c>
    </row>
    <row r="193" spans="1:26" ht="16.5" thickBot="1">
      <c r="A193" s="89">
        <v>198</v>
      </c>
      <c r="B193" s="90">
        <v>4.5</v>
      </c>
      <c r="F193" s="91">
        <v>198</v>
      </c>
      <c r="G193" s="91">
        <v>4.7</v>
      </c>
      <c r="V193" s="81">
        <f t="shared" si="13"/>
        <v>0.20000000000000018</v>
      </c>
      <c r="W193" s="65"/>
      <c r="X193" s="81">
        <f t="shared" si="14"/>
        <v>0</v>
      </c>
      <c r="Y193" s="81">
        <f t="shared" si="15"/>
        <v>0</v>
      </c>
      <c r="Z193" s="81">
        <f t="shared" si="16"/>
        <v>1</v>
      </c>
    </row>
    <row r="194" spans="1:26" ht="16.5" thickBot="1">
      <c r="A194" s="89">
        <v>203</v>
      </c>
      <c r="B194" s="90">
        <v>4.8</v>
      </c>
      <c r="F194" s="91">
        <v>203</v>
      </c>
      <c r="G194" s="91">
        <v>5</v>
      </c>
      <c r="V194" s="81">
        <f t="shared" si="13"/>
        <v>0.20000000000000018</v>
      </c>
      <c r="W194" s="65"/>
      <c r="X194" s="81">
        <f t="shared" si="14"/>
        <v>0</v>
      </c>
      <c r="Y194" s="81">
        <f t="shared" si="15"/>
        <v>0</v>
      </c>
      <c r="Z194" s="81">
        <f t="shared" si="16"/>
        <v>1</v>
      </c>
    </row>
    <row r="195" spans="1:26" ht="16.5" thickBot="1">
      <c r="A195" s="89">
        <v>204</v>
      </c>
      <c r="B195" s="90">
        <v>4.7</v>
      </c>
      <c r="F195" s="91">
        <v>204</v>
      </c>
      <c r="G195" s="91">
        <v>4.9000000000000004</v>
      </c>
      <c r="V195" s="81">
        <f t="shared" si="13"/>
        <v>0.20000000000000018</v>
      </c>
      <c r="W195" s="65"/>
      <c r="X195" s="81">
        <f t="shared" si="14"/>
        <v>0</v>
      </c>
      <c r="Y195" s="81">
        <f t="shared" si="15"/>
        <v>0</v>
      </c>
      <c r="Z195" s="81">
        <f t="shared" si="16"/>
        <v>1</v>
      </c>
    </row>
    <row r="196" spans="1:26" ht="16.5" thickBot="1">
      <c r="A196" s="89">
        <v>205</v>
      </c>
      <c r="B196" s="90">
        <v>5.5</v>
      </c>
      <c r="F196" s="91">
        <v>205</v>
      </c>
      <c r="G196" s="91">
        <v>5.8</v>
      </c>
      <c r="V196" s="81">
        <f t="shared" si="13"/>
        <v>0.29999999999999982</v>
      </c>
      <c r="W196" s="65"/>
      <c r="X196" s="81">
        <f t="shared" si="14"/>
        <v>0</v>
      </c>
      <c r="Y196" s="81">
        <f t="shared" si="15"/>
        <v>0</v>
      </c>
      <c r="Z196" s="81">
        <f t="shared" si="16"/>
        <v>1</v>
      </c>
    </row>
    <row r="197" spans="1:26" ht="16.5" thickBot="1">
      <c r="A197" s="89">
        <v>206</v>
      </c>
      <c r="B197" s="90">
        <v>6</v>
      </c>
      <c r="F197" s="91">
        <v>206</v>
      </c>
      <c r="G197" s="91">
        <v>6.2</v>
      </c>
      <c r="V197" s="81">
        <f t="shared" ref="V197:V251" si="17">G197-B197</f>
        <v>0.20000000000000018</v>
      </c>
      <c r="W197" s="65"/>
      <c r="X197" s="81">
        <f t="shared" ref="X197:X247" si="18">IF($V197&lt;-$AA$4,1,0)</f>
        <v>0</v>
      </c>
      <c r="Y197" s="81">
        <f t="shared" ref="Y197:Y247" si="19">IF($V197&gt;$AA$4,1,0)</f>
        <v>0</v>
      </c>
      <c r="Z197" s="81">
        <f t="shared" ref="Z197:Z251" si="20">IF($V197&gt;=-$AA$4,IF(V197&lt;=$AA$4,1,""),"")</f>
        <v>1</v>
      </c>
    </row>
    <row r="198" spans="1:26" ht="16.5" thickBot="1">
      <c r="A198" s="89">
        <v>207</v>
      </c>
      <c r="B198" s="90">
        <v>6.4</v>
      </c>
      <c r="F198" s="91">
        <v>207</v>
      </c>
      <c r="G198" s="91">
        <v>6.5</v>
      </c>
      <c r="V198" s="81">
        <f t="shared" si="17"/>
        <v>9.9999999999999645E-2</v>
      </c>
      <c r="W198" s="65"/>
      <c r="X198" s="81">
        <f t="shared" si="18"/>
        <v>0</v>
      </c>
      <c r="Y198" s="81">
        <f t="shared" si="19"/>
        <v>0</v>
      </c>
      <c r="Z198" s="81">
        <f t="shared" si="20"/>
        <v>1</v>
      </c>
    </row>
    <row r="199" spans="1:26" ht="16.5" thickBot="1">
      <c r="A199" s="89">
        <v>208</v>
      </c>
      <c r="B199" s="90">
        <v>6.7</v>
      </c>
      <c r="F199" s="91">
        <v>208</v>
      </c>
      <c r="G199" s="91">
        <v>6.9</v>
      </c>
      <c r="V199" s="81">
        <f t="shared" si="17"/>
        <v>0.20000000000000018</v>
      </c>
      <c r="W199" s="65"/>
      <c r="X199" s="81">
        <f t="shared" si="18"/>
        <v>0</v>
      </c>
      <c r="Y199" s="81">
        <f t="shared" si="19"/>
        <v>0</v>
      </c>
      <c r="Z199" s="81">
        <f t="shared" si="20"/>
        <v>1</v>
      </c>
    </row>
    <row r="200" spans="1:26" ht="16.5" thickBot="1">
      <c r="A200" s="89">
        <v>209</v>
      </c>
      <c r="B200" s="90">
        <v>7.3</v>
      </c>
      <c r="F200" s="91">
        <v>209</v>
      </c>
      <c r="G200" s="91">
        <v>7.5</v>
      </c>
      <c r="V200" s="81">
        <f t="shared" si="17"/>
        <v>0.20000000000000018</v>
      </c>
      <c r="W200" s="65"/>
      <c r="X200" s="81">
        <f t="shared" si="18"/>
        <v>0</v>
      </c>
      <c r="Y200" s="81">
        <f t="shared" si="19"/>
        <v>0</v>
      </c>
      <c r="Z200" s="81">
        <f t="shared" si="20"/>
        <v>1</v>
      </c>
    </row>
    <row r="201" spans="1:26" ht="16.5" thickBot="1">
      <c r="A201" s="89">
        <v>210</v>
      </c>
      <c r="B201" s="90">
        <v>7.5</v>
      </c>
      <c r="F201" s="91">
        <v>210</v>
      </c>
      <c r="G201" s="91">
        <v>7.6</v>
      </c>
      <c r="V201" s="81">
        <f t="shared" si="17"/>
        <v>9.9999999999999645E-2</v>
      </c>
      <c r="W201" s="65"/>
      <c r="X201" s="81">
        <f t="shared" si="18"/>
        <v>0</v>
      </c>
      <c r="Y201" s="81">
        <f t="shared" si="19"/>
        <v>0</v>
      </c>
      <c r="Z201" s="81">
        <f t="shared" si="20"/>
        <v>1</v>
      </c>
    </row>
    <row r="202" spans="1:26" ht="16.5" thickBot="1">
      <c r="A202" s="89">
        <v>211</v>
      </c>
      <c r="B202" s="90">
        <v>7.8</v>
      </c>
      <c r="F202" s="91">
        <v>211</v>
      </c>
      <c r="G202" s="91">
        <v>8.3000000000000007</v>
      </c>
      <c r="V202" s="81">
        <f t="shared" si="17"/>
        <v>0.50000000000000089</v>
      </c>
      <c r="W202" s="65"/>
      <c r="X202" s="81">
        <f t="shared" si="18"/>
        <v>0</v>
      </c>
      <c r="Y202" s="81">
        <f t="shared" si="19"/>
        <v>1</v>
      </c>
      <c r="Z202" s="81" t="str">
        <f t="shared" si="20"/>
        <v/>
      </c>
    </row>
    <row r="203" spans="1:26" ht="16.5" thickBot="1">
      <c r="A203" s="89">
        <v>212</v>
      </c>
      <c r="B203" s="90">
        <v>7.8</v>
      </c>
      <c r="F203" s="91">
        <v>212</v>
      </c>
      <c r="G203" s="91">
        <v>8.5</v>
      </c>
      <c r="V203" s="81">
        <f t="shared" si="17"/>
        <v>0.70000000000000018</v>
      </c>
      <c r="W203" s="65"/>
      <c r="X203" s="81">
        <f t="shared" si="18"/>
        <v>0</v>
      </c>
      <c r="Y203" s="81">
        <f t="shared" si="19"/>
        <v>1</v>
      </c>
      <c r="Z203" s="81" t="str">
        <f t="shared" si="20"/>
        <v/>
      </c>
    </row>
    <row r="204" spans="1:26" ht="16.5" thickBot="1">
      <c r="A204" s="89">
        <v>213</v>
      </c>
      <c r="B204" s="90">
        <v>4.5</v>
      </c>
      <c r="F204" s="91">
        <v>213</v>
      </c>
      <c r="G204" s="91">
        <v>4.8</v>
      </c>
      <c r="V204" s="81">
        <f t="shared" si="17"/>
        <v>0.29999999999999982</v>
      </c>
      <c r="W204" s="65"/>
      <c r="X204" s="81">
        <f t="shared" si="18"/>
        <v>0</v>
      </c>
      <c r="Y204" s="81">
        <f t="shared" si="19"/>
        <v>0</v>
      </c>
      <c r="Z204" s="81">
        <f t="shared" si="20"/>
        <v>1</v>
      </c>
    </row>
    <row r="205" spans="1:26" ht="16.5" thickBot="1">
      <c r="A205" s="89">
        <v>214</v>
      </c>
      <c r="B205" s="90">
        <v>4.5</v>
      </c>
      <c r="F205" s="91">
        <v>214</v>
      </c>
      <c r="G205" s="91">
        <v>4.7</v>
      </c>
      <c r="V205" s="81">
        <f t="shared" si="17"/>
        <v>0.20000000000000018</v>
      </c>
      <c r="W205" s="65"/>
      <c r="X205" s="81">
        <f t="shared" si="18"/>
        <v>0</v>
      </c>
      <c r="Y205" s="81">
        <f t="shared" si="19"/>
        <v>0</v>
      </c>
      <c r="Z205" s="81">
        <f t="shared" si="20"/>
        <v>1</v>
      </c>
    </row>
    <row r="206" spans="1:26" ht="16.5" thickBot="1">
      <c r="A206" s="89">
        <v>215</v>
      </c>
      <c r="B206" s="90">
        <v>4.5</v>
      </c>
      <c r="F206" s="91">
        <v>215</v>
      </c>
      <c r="G206" s="91">
        <v>4.5999999999999996</v>
      </c>
      <c r="V206" s="81">
        <f t="shared" si="17"/>
        <v>9.9999999999999645E-2</v>
      </c>
      <c r="W206" s="65"/>
      <c r="X206" s="81">
        <f t="shared" si="18"/>
        <v>0</v>
      </c>
      <c r="Y206" s="81">
        <f t="shared" si="19"/>
        <v>0</v>
      </c>
      <c r="Z206" s="81">
        <f t="shared" si="20"/>
        <v>1</v>
      </c>
    </row>
    <row r="207" spans="1:26" ht="16.5" thickBot="1">
      <c r="A207" s="89">
        <v>222</v>
      </c>
      <c r="B207" s="90">
        <v>5.2</v>
      </c>
      <c r="F207" s="91">
        <v>222</v>
      </c>
      <c r="G207" s="91">
        <v>5.4</v>
      </c>
      <c r="V207" s="81">
        <f t="shared" si="17"/>
        <v>0.20000000000000018</v>
      </c>
      <c r="W207" s="65"/>
      <c r="X207" s="81">
        <f t="shared" si="18"/>
        <v>0</v>
      </c>
      <c r="Y207" s="81">
        <f t="shared" si="19"/>
        <v>0</v>
      </c>
      <c r="Z207" s="81">
        <f t="shared" si="20"/>
        <v>1</v>
      </c>
    </row>
    <row r="208" spans="1:26" ht="16.5" thickBot="1">
      <c r="A208" s="89">
        <v>223</v>
      </c>
      <c r="B208" s="90">
        <v>5.7</v>
      </c>
      <c r="F208" s="91">
        <v>223</v>
      </c>
      <c r="G208" s="91">
        <v>5.8</v>
      </c>
      <c r="V208" s="81">
        <f t="shared" si="17"/>
        <v>9.9999999999999645E-2</v>
      </c>
      <c r="W208" s="65"/>
      <c r="X208" s="81">
        <f t="shared" si="18"/>
        <v>0</v>
      </c>
      <c r="Y208" s="81">
        <f t="shared" si="19"/>
        <v>0</v>
      </c>
      <c r="Z208" s="81">
        <f t="shared" si="20"/>
        <v>1</v>
      </c>
    </row>
    <row r="209" spans="1:26" ht="16.5" thickBot="1">
      <c r="A209" s="89">
        <v>224</v>
      </c>
      <c r="B209" s="90">
        <v>6.1</v>
      </c>
      <c r="F209" s="91">
        <v>224</v>
      </c>
      <c r="G209" s="91">
        <v>6.2</v>
      </c>
      <c r="V209" s="81">
        <f t="shared" si="17"/>
        <v>0.10000000000000053</v>
      </c>
      <c r="W209" s="65"/>
      <c r="X209" s="81">
        <f t="shared" si="18"/>
        <v>0</v>
      </c>
      <c r="Y209" s="81">
        <f t="shared" si="19"/>
        <v>0</v>
      </c>
      <c r="Z209" s="81">
        <f t="shared" si="20"/>
        <v>1</v>
      </c>
    </row>
    <row r="210" spans="1:26" ht="16.5" thickBot="1">
      <c r="A210" s="89">
        <v>225</v>
      </c>
      <c r="B210" s="90">
        <v>6.5</v>
      </c>
      <c r="F210" s="91">
        <v>225</v>
      </c>
      <c r="G210" s="91">
        <v>6.8</v>
      </c>
      <c r="V210" s="81">
        <f t="shared" si="17"/>
        <v>0.29999999999999982</v>
      </c>
      <c r="W210" s="65"/>
      <c r="X210" s="81">
        <f t="shared" si="18"/>
        <v>0</v>
      </c>
      <c r="Y210" s="81">
        <f t="shared" si="19"/>
        <v>0</v>
      </c>
      <c r="Z210" s="81">
        <f t="shared" si="20"/>
        <v>1</v>
      </c>
    </row>
    <row r="211" spans="1:26" ht="16.5" thickBot="1">
      <c r="A211" s="89">
        <v>226</v>
      </c>
      <c r="B211" s="90">
        <v>7.2</v>
      </c>
      <c r="F211" s="91">
        <v>226</v>
      </c>
      <c r="G211" s="91">
        <v>7.3</v>
      </c>
      <c r="V211" s="81">
        <f t="shared" si="17"/>
        <v>9.9999999999999645E-2</v>
      </c>
      <c r="W211" s="65"/>
      <c r="X211" s="81">
        <f t="shared" si="18"/>
        <v>0</v>
      </c>
      <c r="Y211" s="81">
        <f t="shared" si="19"/>
        <v>0</v>
      </c>
      <c r="Z211" s="81">
        <f t="shared" si="20"/>
        <v>1</v>
      </c>
    </row>
    <row r="212" spans="1:26" ht="16.5" thickBot="1">
      <c r="A212" s="89">
        <v>227</v>
      </c>
      <c r="B212" s="90">
        <v>7.6</v>
      </c>
      <c r="F212" s="91">
        <v>227</v>
      </c>
      <c r="G212" s="91">
        <v>7.9</v>
      </c>
      <c r="V212" s="81">
        <f t="shared" si="17"/>
        <v>0.30000000000000071</v>
      </c>
      <c r="W212" s="65"/>
      <c r="X212" s="81">
        <f t="shared" si="18"/>
        <v>0</v>
      </c>
      <c r="Y212" s="81">
        <f t="shared" si="19"/>
        <v>0</v>
      </c>
      <c r="Z212" s="81">
        <f t="shared" si="20"/>
        <v>1</v>
      </c>
    </row>
    <row r="213" spans="1:26" ht="16.5" thickBot="1">
      <c r="A213" s="89">
        <v>228</v>
      </c>
      <c r="B213" s="90">
        <v>8.6</v>
      </c>
      <c r="F213" s="91">
        <v>228</v>
      </c>
      <c r="G213" s="91">
        <v>8.9</v>
      </c>
      <c r="V213" s="81">
        <f t="shared" si="17"/>
        <v>0.30000000000000071</v>
      </c>
      <c r="W213" s="65"/>
      <c r="X213" s="81">
        <f t="shared" si="18"/>
        <v>0</v>
      </c>
      <c r="Y213" s="81">
        <f t="shared" si="19"/>
        <v>0</v>
      </c>
      <c r="Z213" s="81">
        <f t="shared" si="20"/>
        <v>1</v>
      </c>
    </row>
    <row r="214" spans="1:26" ht="16.5" thickBot="1">
      <c r="A214" s="89">
        <v>229</v>
      </c>
      <c r="B214" s="90">
        <v>4.5</v>
      </c>
      <c r="F214" s="91">
        <v>229</v>
      </c>
      <c r="G214" s="91">
        <v>4.7</v>
      </c>
      <c r="V214" s="81">
        <f t="shared" si="17"/>
        <v>0.20000000000000018</v>
      </c>
      <c r="W214" s="65"/>
      <c r="X214" s="81">
        <f t="shared" si="18"/>
        <v>0</v>
      </c>
      <c r="Y214" s="81">
        <f t="shared" si="19"/>
        <v>0</v>
      </c>
      <c r="Z214" s="81">
        <f t="shared" si="20"/>
        <v>1</v>
      </c>
    </row>
    <row r="215" spans="1:26" ht="16.5" thickBot="1">
      <c r="A215" s="89">
        <v>230</v>
      </c>
      <c r="B215" s="90">
        <v>4.5</v>
      </c>
      <c r="F215" s="91">
        <v>230</v>
      </c>
      <c r="G215" s="91">
        <v>4.7</v>
      </c>
      <c r="V215" s="81">
        <f t="shared" si="17"/>
        <v>0.20000000000000018</v>
      </c>
      <c r="W215" s="65"/>
      <c r="X215" s="81">
        <f t="shared" si="18"/>
        <v>0</v>
      </c>
      <c r="Y215" s="81">
        <f t="shared" si="19"/>
        <v>0</v>
      </c>
      <c r="Z215" s="81">
        <f t="shared" si="20"/>
        <v>1</v>
      </c>
    </row>
    <row r="216" spans="1:26" ht="16.5" thickBot="1">
      <c r="A216" s="89">
        <v>233</v>
      </c>
      <c r="B216" s="90">
        <v>5.9</v>
      </c>
      <c r="F216" s="91">
        <v>233</v>
      </c>
      <c r="G216" s="91">
        <v>6</v>
      </c>
      <c r="V216" s="81">
        <f t="shared" si="17"/>
        <v>9.9999999999999645E-2</v>
      </c>
      <c r="W216" s="65"/>
      <c r="X216" s="81">
        <f t="shared" si="18"/>
        <v>0</v>
      </c>
      <c r="Y216" s="81">
        <f t="shared" si="19"/>
        <v>0</v>
      </c>
      <c r="Z216" s="81">
        <f t="shared" si="20"/>
        <v>1</v>
      </c>
    </row>
    <row r="217" spans="1:26" ht="16.5" thickBot="1">
      <c r="A217" s="89">
        <v>234</v>
      </c>
      <c r="B217" s="90">
        <v>6.3</v>
      </c>
      <c r="F217" s="91">
        <v>234</v>
      </c>
      <c r="G217" s="91">
        <v>6.4</v>
      </c>
      <c r="V217" s="81">
        <f t="shared" si="17"/>
        <v>0.10000000000000053</v>
      </c>
      <c r="W217" s="65"/>
      <c r="X217" s="81">
        <f t="shared" si="18"/>
        <v>0</v>
      </c>
      <c r="Y217" s="81">
        <f t="shared" si="19"/>
        <v>0</v>
      </c>
      <c r="Z217" s="81">
        <f t="shared" si="20"/>
        <v>1</v>
      </c>
    </row>
    <row r="218" spans="1:26" ht="16.5" thickBot="1">
      <c r="A218" s="89">
        <v>235</v>
      </c>
      <c r="B218" s="90">
        <v>6.9</v>
      </c>
      <c r="F218" s="91">
        <v>235</v>
      </c>
      <c r="G218" s="91">
        <v>7</v>
      </c>
      <c r="V218" s="81">
        <f t="shared" si="17"/>
        <v>9.9999999999999645E-2</v>
      </c>
      <c r="W218" s="65"/>
      <c r="X218" s="81">
        <f t="shared" si="18"/>
        <v>0</v>
      </c>
      <c r="Y218" s="81">
        <f t="shared" si="19"/>
        <v>0</v>
      </c>
      <c r="Z218" s="81">
        <f t="shared" si="20"/>
        <v>1</v>
      </c>
    </row>
    <row r="219" spans="1:26" ht="16.5" thickBot="1">
      <c r="A219" s="89">
        <v>236</v>
      </c>
      <c r="B219" s="90">
        <v>7.5</v>
      </c>
      <c r="F219" s="91">
        <v>236</v>
      </c>
      <c r="G219" s="91">
        <v>7.7</v>
      </c>
      <c r="V219" s="81">
        <f t="shared" si="17"/>
        <v>0.20000000000000018</v>
      </c>
      <c r="W219" s="65"/>
      <c r="X219" s="81">
        <f t="shared" si="18"/>
        <v>0</v>
      </c>
      <c r="Y219" s="81">
        <f t="shared" si="19"/>
        <v>0</v>
      </c>
      <c r="Z219" s="81">
        <f t="shared" si="20"/>
        <v>1</v>
      </c>
    </row>
    <row r="220" spans="1:26" ht="16.5" thickBot="1">
      <c r="A220" s="89">
        <v>237</v>
      </c>
      <c r="B220" s="90">
        <v>7.8</v>
      </c>
      <c r="F220" s="91">
        <v>237</v>
      </c>
      <c r="G220" s="91">
        <v>8</v>
      </c>
      <c r="V220" s="81">
        <f t="shared" si="17"/>
        <v>0.20000000000000018</v>
      </c>
      <c r="W220" s="65"/>
      <c r="X220" s="81">
        <f t="shared" si="18"/>
        <v>0</v>
      </c>
      <c r="Y220" s="81">
        <f t="shared" si="19"/>
        <v>0</v>
      </c>
      <c r="Z220" s="81">
        <f t="shared" si="20"/>
        <v>1</v>
      </c>
    </row>
    <row r="221" spans="1:26" ht="16.5" thickBot="1">
      <c r="A221" s="89">
        <v>238</v>
      </c>
      <c r="B221" s="90">
        <v>7.9</v>
      </c>
      <c r="F221" s="91">
        <v>238</v>
      </c>
      <c r="G221" s="91">
        <v>7.9</v>
      </c>
      <c r="V221" s="81">
        <f t="shared" si="17"/>
        <v>0</v>
      </c>
      <c r="W221" s="65"/>
      <c r="X221" s="81">
        <f t="shared" si="18"/>
        <v>0</v>
      </c>
      <c r="Y221" s="81">
        <f t="shared" si="19"/>
        <v>0</v>
      </c>
      <c r="Z221" s="81">
        <f t="shared" si="20"/>
        <v>1</v>
      </c>
    </row>
    <row r="222" spans="1:26" ht="16.5" thickBot="1">
      <c r="A222" s="89">
        <v>239</v>
      </c>
      <c r="B222" s="90">
        <v>8.6</v>
      </c>
      <c r="F222" s="91">
        <v>239</v>
      </c>
      <c r="G222" s="91">
        <v>8</v>
      </c>
      <c r="V222" s="81">
        <f t="shared" si="17"/>
        <v>-0.59999999999999964</v>
      </c>
      <c r="W222" s="65"/>
      <c r="X222" s="81">
        <f t="shared" si="18"/>
        <v>1</v>
      </c>
      <c r="Y222" s="81">
        <f t="shared" si="19"/>
        <v>0</v>
      </c>
      <c r="Z222" s="81" t="str">
        <f t="shared" si="20"/>
        <v/>
      </c>
    </row>
    <row r="223" spans="1:26" ht="16.5" thickBot="1">
      <c r="A223" s="89">
        <v>240</v>
      </c>
      <c r="B223" s="90">
        <v>8.1999999999999993</v>
      </c>
      <c r="F223" s="91">
        <v>240</v>
      </c>
      <c r="G223" s="91">
        <v>8.5</v>
      </c>
      <c r="V223" s="81">
        <f t="shared" si="17"/>
        <v>0.30000000000000071</v>
      </c>
      <c r="W223" s="65"/>
      <c r="X223" s="81">
        <f t="shared" si="18"/>
        <v>0</v>
      </c>
      <c r="Y223" s="81">
        <f t="shared" si="19"/>
        <v>0</v>
      </c>
      <c r="Z223" s="81">
        <f t="shared" si="20"/>
        <v>1</v>
      </c>
    </row>
    <row r="224" spans="1:26" ht="16.5" thickBot="1">
      <c r="A224" s="89">
        <v>241</v>
      </c>
      <c r="B224" s="90">
        <v>6</v>
      </c>
      <c r="F224" s="91">
        <v>241</v>
      </c>
      <c r="G224" s="91">
        <v>6.2</v>
      </c>
      <c r="V224" s="81">
        <f t="shared" si="17"/>
        <v>0.20000000000000018</v>
      </c>
      <c r="W224" s="65"/>
      <c r="X224" s="81">
        <f t="shared" si="18"/>
        <v>0</v>
      </c>
      <c r="Y224" s="81">
        <f t="shared" si="19"/>
        <v>0</v>
      </c>
      <c r="Z224" s="81">
        <f t="shared" si="20"/>
        <v>1</v>
      </c>
    </row>
    <row r="225" spans="1:26" ht="16.5" thickBot="1">
      <c r="A225" s="89">
        <v>243</v>
      </c>
      <c r="B225" s="90">
        <v>6.2</v>
      </c>
      <c r="F225" s="91">
        <v>243</v>
      </c>
      <c r="G225" s="91">
        <v>6.4</v>
      </c>
      <c r="V225" s="81">
        <f t="shared" si="17"/>
        <v>0.20000000000000018</v>
      </c>
      <c r="W225" s="65"/>
      <c r="X225" s="81">
        <f t="shared" si="18"/>
        <v>0</v>
      </c>
      <c r="Y225" s="81">
        <f t="shared" si="19"/>
        <v>0</v>
      </c>
      <c r="Z225" s="81">
        <f t="shared" si="20"/>
        <v>1</v>
      </c>
    </row>
    <row r="226" spans="1:26" ht="16.5" thickBot="1">
      <c r="A226" s="89">
        <v>244</v>
      </c>
      <c r="B226" s="90">
        <v>6.7</v>
      </c>
      <c r="F226" s="91">
        <v>244</v>
      </c>
      <c r="G226" s="91">
        <v>6.8</v>
      </c>
      <c r="V226" s="81">
        <f t="shared" si="17"/>
        <v>9.9999999999999645E-2</v>
      </c>
      <c r="W226" s="65"/>
      <c r="X226" s="81">
        <f t="shared" si="18"/>
        <v>0</v>
      </c>
      <c r="Y226" s="81">
        <f t="shared" si="19"/>
        <v>0</v>
      </c>
      <c r="Z226" s="81">
        <f t="shared" si="20"/>
        <v>1</v>
      </c>
    </row>
    <row r="227" spans="1:26" ht="16.5" thickBot="1">
      <c r="A227" s="89">
        <v>245</v>
      </c>
      <c r="B227" s="90">
        <v>7.2</v>
      </c>
      <c r="F227" s="91">
        <v>245</v>
      </c>
      <c r="G227" s="91">
        <v>7.5</v>
      </c>
      <c r="V227" s="81">
        <f t="shared" si="17"/>
        <v>0.29999999999999982</v>
      </c>
      <c r="W227" s="65"/>
      <c r="X227" s="81">
        <f t="shared" si="18"/>
        <v>0</v>
      </c>
      <c r="Y227" s="81">
        <f t="shared" si="19"/>
        <v>0</v>
      </c>
      <c r="Z227" s="81">
        <f t="shared" si="20"/>
        <v>1</v>
      </c>
    </row>
    <row r="228" spans="1:26" ht="16.5" thickBot="1">
      <c r="A228" s="89">
        <v>246</v>
      </c>
      <c r="B228" s="90">
        <v>7.7</v>
      </c>
      <c r="F228" s="91">
        <v>246</v>
      </c>
      <c r="G228" s="91">
        <v>7.7</v>
      </c>
      <c r="V228" s="81">
        <f t="shared" si="17"/>
        <v>0</v>
      </c>
      <c r="W228" s="65"/>
      <c r="X228" s="81">
        <f t="shared" si="18"/>
        <v>0</v>
      </c>
      <c r="Y228" s="81">
        <f t="shared" si="19"/>
        <v>0</v>
      </c>
      <c r="Z228" s="81">
        <f t="shared" si="20"/>
        <v>1</v>
      </c>
    </row>
    <row r="229" spans="1:26" ht="16.5" thickBot="1">
      <c r="A229" s="89">
        <v>247</v>
      </c>
      <c r="B229" s="90">
        <v>8.1</v>
      </c>
      <c r="F229" s="91">
        <v>247</v>
      </c>
      <c r="G229" s="91">
        <v>8.1</v>
      </c>
      <c r="V229" s="81">
        <f t="shared" si="17"/>
        <v>0</v>
      </c>
      <c r="W229" s="65"/>
      <c r="X229" s="81">
        <f t="shared" si="18"/>
        <v>0</v>
      </c>
      <c r="Y229" s="81">
        <f t="shared" si="19"/>
        <v>0</v>
      </c>
      <c r="Z229" s="81">
        <f t="shared" si="20"/>
        <v>1</v>
      </c>
    </row>
    <row r="230" spans="1:26" ht="16.5" thickBot="1">
      <c r="A230" s="89">
        <v>248</v>
      </c>
      <c r="B230" s="90">
        <v>10.5</v>
      </c>
      <c r="F230" s="91">
        <v>248</v>
      </c>
      <c r="G230" s="91">
        <v>9</v>
      </c>
      <c r="V230" s="81">
        <f t="shared" si="17"/>
        <v>-1.5</v>
      </c>
      <c r="W230" s="65"/>
      <c r="X230" s="81">
        <f t="shared" si="18"/>
        <v>1</v>
      </c>
      <c r="Y230" s="81">
        <f t="shared" si="19"/>
        <v>0</v>
      </c>
      <c r="Z230" s="81" t="str">
        <f t="shared" si="20"/>
        <v/>
      </c>
    </row>
    <row r="231" spans="1:26" ht="16.5" thickBot="1">
      <c r="A231" s="89">
        <v>249</v>
      </c>
      <c r="B231" s="90">
        <v>9</v>
      </c>
      <c r="F231" s="91">
        <v>249</v>
      </c>
      <c r="G231" s="91">
        <v>9.1999999999999993</v>
      </c>
      <c r="V231" s="81">
        <f t="shared" si="17"/>
        <v>0.19999999999999929</v>
      </c>
      <c r="W231" s="65"/>
      <c r="X231" s="81">
        <f t="shared" si="18"/>
        <v>0</v>
      </c>
      <c r="Y231" s="81">
        <f t="shared" si="19"/>
        <v>0</v>
      </c>
      <c r="Z231" s="81">
        <f t="shared" si="20"/>
        <v>1</v>
      </c>
    </row>
    <row r="232" spans="1:26" ht="16.5" thickBot="1">
      <c r="A232" s="89">
        <v>250</v>
      </c>
      <c r="B232" s="90">
        <v>6.5</v>
      </c>
      <c r="F232" s="91">
        <v>250</v>
      </c>
      <c r="G232" s="91">
        <v>6.7</v>
      </c>
      <c r="V232" s="81">
        <f t="shared" si="17"/>
        <v>0.20000000000000018</v>
      </c>
      <c r="W232" s="65"/>
      <c r="X232" s="81">
        <f t="shared" si="18"/>
        <v>0</v>
      </c>
      <c r="Y232" s="81">
        <f t="shared" si="19"/>
        <v>0</v>
      </c>
      <c r="Z232" s="81">
        <f t="shared" si="20"/>
        <v>1</v>
      </c>
    </row>
    <row r="233" spans="1:26" ht="16.5" thickBot="1">
      <c r="A233" s="89">
        <v>251</v>
      </c>
      <c r="B233" s="90">
        <v>7</v>
      </c>
      <c r="F233" s="91">
        <v>251</v>
      </c>
      <c r="G233" s="91">
        <v>7</v>
      </c>
      <c r="V233" s="81">
        <f t="shared" si="17"/>
        <v>0</v>
      </c>
      <c r="W233" s="65"/>
      <c r="X233" s="81">
        <f t="shared" si="18"/>
        <v>0</v>
      </c>
      <c r="Y233" s="81">
        <f t="shared" si="19"/>
        <v>0</v>
      </c>
      <c r="Z233" s="81">
        <f t="shared" si="20"/>
        <v>1</v>
      </c>
    </row>
    <row r="234" spans="1:26" ht="16.5" thickBot="1">
      <c r="A234" s="89">
        <v>252</v>
      </c>
      <c r="B234" s="90">
        <v>7.5</v>
      </c>
      <c r="F234" s="91">
        <v>252</v>
      </c>
      <c r="G234" s="91">
        <v>7.7</v>
      </c>
      <c r="V234" s="81">
        <f t="shared" si="17"/>
        <v>0.20000000000000018</v>
      </c>
      <c r="W234" s="65"/>
      <c r="X234" s="81">
        <f t="shared" si="18"/>
        <v>0</v>
      </c>
      <c r="Y234" s="81">
        <f t="shared" si="19"/>
        <v>0</v>
      </c>
      <c r="Z234" s="81">
        <f t="shared" si="20"/>
        <v>1</v>
      </c>
    </row>
    <row r="235" spans="1:26" ht="16.5" thickBot="1">
      <c r="A235" s="89">
        <v>253</v>
      </c>
      <c r="B235" s="90">
        <v>9</v>
      </c>
      <c r="F235" s="91">
        <v>253</v>
      </c>
      <c r="G235" s="91">
        <v>9.1</v>
      </c>
      <c r="V235" s="81">
        <f t="shared" si="17"/>
        <v>9.9999999999999645E-2</v>
      </c>
      <c r="W235" s="65"/>
      <c r="X235" s="81">
        <f t="shared" si="18"/>
        <v>0</v>
      </c>
      <c r="Y235" s="81">
        <f t="shared" si="19"/>
        <v>0</v>
      </c>
      <c r="Z235" s="81">
        <f t="shared" si="20"/>
        <v>1</v>
      </c>
    </row>
    <row r="236" spans="1:26" ht="16.5" thickBot="1">
      <c r="A236" s="89">
        <v>254</v>
      </c>
      <c r="B236" s="90">
        <v>9</v>
      </c>
      <c r="F236" s="91">
        <v>254</v>
      </c>
      <c r="G236" s="91">
        <v>9.1999999999999993</v>
      </c>
      <c r="V236" s="81">
        <f t="shared" si="17"/>
        <v>0.19999999999999929</v>
      </c>
      <c r="W236" s="65"/>
      <c r="X236" s="81">
        <f t="shared" si="18"/>
        <v>0</v>
      </c>
      <c r="Y236" s="81">
        <f t="shared" si="19"/>
        <v>0</v>
      </c>
      <c r="Z236" s="81">
        <f t="shared" si="20"/>
        <v>1</v>
      </c>
    </row>
    <row r="237" spans="1:26" ht="16.5" thickBot="1">
      <c r="A237" s="89">
        <v>255</v>
      </c>
      <c r="B237" s="90">
        <v>6.9</v>
      </c>
      <c r="F237" s="91">
        <v>255</v>
      </c>
      <c r="G237" s="91">
        <v>7</v>
      </c>
      <c r="V237" s="81">
        <f t="shared" si="17"/>
        <v>9.9999999999999645E-2</v>
      </c>
      <c r="W237" s="65"/>
      <c r="X237" s="81">
        <f t="shared" si="18"/>
        <v>0</v>
      </c>
      <c r="Y237" s="81">
        <f t="shared" si="19"/>
        <v>0</v>
      </c>
      <c r="Z237" s="81">
        <f t="shared" si="20"/>
        <v>1</v>
      </c>
    </row>
    <row r="238" spans="1:26" ht="16.5" thickBot="1">
      <c r="A238" s="89">
        <v>256</v>
      </c>
      <c r="B238" s="90">
        <v>8.6999999999999993</v>
      </c>
      <c r="F238" s="91">
        <v>256</v>
      </c>
      <c r="G238" s="91">
        <v>8.9</v>
      </c>
      <c r="V238" s="81">
        <f t="shared" si="17"/>
        <v>0.20000000000000107</v>
      </c>
      <c r="W238" s="65"/>
      <c r="X238" s="81">
        <f t="shared" si="18"/>
        <v>0</v>
      </c>
      <c r="Y238" s="81">
        <f t="shared" si="19"/>
        <v>0</v>
      </c>
      <c r="Z238" s="81">
        <f t="shared" si="20"/>
        <v>1</v>
      </c>
    </row>
    <row r="239" spans="1:26" ht="16.5" thickBot="1">
      <c r="A239" s="89">
        <v>257</v>
      </c>
      <c r="B239" s="90">
        <v>9</v>
      </c>
      <c r="F239" s="91">
        <v>257</v>
      </c>
      <c r="G239" s="91">
        <v>9.1999999999999993</v>
      </c>
      <c r="V239" s="81">
        <f t="shared" si="17"/>
        <v>0.19999999999999929</v>
      </c>
      <c r="W239" s="65"/>
      <c r="X239" s="81">
        <f t="shared" si="18"/>
        <v>0</v>
      </c>
      <c r="Y239" s="81">
        <f t="shared" si="19"/>
        <v>0</v>
      </c>
      <c r="Z239" s="81">
        <f t="shared" si="20"/>
        <v>1</v>
      </c>
    </row>
    <row r="240" spans="1:26" ht="16.5" thickBot="1">
      <c r="A240" s="89">
        <v>258</v>
      </c>
      <c r="B240" s="90">
        <v>8.6</v>
      </c>
      <c r="F240" s="91">
        <v>258</v>
      </c>
      <c r="G240" s="91">
        <v>8.9</v>
      </c>
      <c r="V240" s="81">
        <f t="shared" si="17"/>
        <v>0.30000000000000071</v>
      </c>
      <c r="W240" s="65"/>
      <c r="X240" s="81">
        <f t="shared" si="18"/>
        <v>0</v>
      </c>
      <c r="Y240" s="81">
        <f t="shared" si="19"/>
        <v>0</v>
      </c>
      <c r="Z240" s="81">
        <f t="shared" si="20"/>
        <v>1</v>
      </c>
    </row>
    <row r="241" spans="22:26">
      <c r="V241" s="81"/>
      <c r="W241" s="65"/>
      <c r="X241" s="81"/>
      <c r="Y241" s="81"/>
      <c r="Z241" s="81"/>
    </row>
    <row r="242" spans="22:26">
      <c r="V242" s="81"/>
      <c r="W242" s="65"/>
      <c r="X242" s="81"/>
      <c r="Y242" s="81"/>
      <c r="Z242" s="81"/>
    </row>
    <row r="243" spans="22:26">
      <c r="V243" s="81"/>
      <c r="W243" s="65"/>
      <c r="X243" s="81"/>
      <c r="Y243" s="81"/>
      <c r="Z243" s="81"/>
    </row>
  </sheetData>
  <mergeCells count="14">
    <mergeCell ref="N6:P6"/>
    <mergeCell ref="D21:D22"/>
    <mergeCell ref="AC29:AD29"/>
    <mergeCell ref="AF29:AG29"/>
    <mergeCell ref="A2:B2"/>
    <mergeCell ref="F2:G2"/>
    <mergeCell ref="I2:Q2"/>
    <mergeCell ref="I3:K3"/>
    <mergeCell ref="N3:P3"/>
    <mergeCell ref="D4:D19"/>
    <mergeCell ref="I4:K4"/>
    <mergeCell ref="N4:P4"/>
    <mergeCell ref="I5:K5"/>
    <mergeCell ref="N5:P5"/>
  </mergeCells>
  <conditionalFormatting sqref="A2">
    <cfRule type="containsErrors" dxfId="10" priority="11">
      <formula>ISERROR(A2)</formula>
    </cfRule>
  </conditionalFormatting>
  <conditionalFormatting sqref="A3:B3">
    <cfRule type="containsErrors" dxfId="9" priority="5">
      <formula>ISERROR(A3)</formula>
    </cfRule>
  </conditionalFormatting>
  <conditionalFormatting sqref="F2:F3">
    <cfRule type="containsErrors" dxfId="8" priority="10">
      <formula>ISERROR(F2)</formula>
    </cfRule>
  </conditionalFormatting>
  <conditionalFormatting sqref="G3">
    <cfRule type="containsErrors" dxfId="7" priority="8">
      <formula>ISERROR(G3)</formula>
    </cfRule>
  </conditionalFormatting>
  <conditionalFormatting sqref="I2">
    <cfRule type="containsErrors" dxfId="6" priority="9">
      <formula>ISERROR(I2)</formula>
    </cfRule>
  </conditionalFormatting>
  <conditionalFormatting sqref="AA25:AA63">
    <cfRule type="containsErrors" dxfId="5" priority="7">
      <formula>ISERROR(AA25)</formula>
    </cfRule>
  </conditionalFormatting>
  <conditionalFormatting sqref="AB25:AC26 AB27:AB63">
    <cfRule type="containsErrors" dxfId="4" priority="6">
      <formula>ISERROR(AB25)</formula>
    </cfRule>
  </conditionalFormatting>
  <conditionalFormatting sqref="AC27:AC28">
    <cfRule type="containsErrors" dxfId="3" priority="4">
      <formula>ISERROR(AC27)</formula>
    </cfRule>
  </conditionalFormatting>
  <conditionalFormatting sqref="AC29:AD91">
    <cfRule type="containsErrors" dxfId="2" priority="3">
      <formula>ISERROR(AC29)</formula>
    </cfRule>
  </conditionalFormatting>
  <conditionalFormatting sqref="AE31:AE91">
    <cfRule type="containsErrors" dxfId="1" priority="2">
      <formula>ISERROR(AE31)</formula>
    </cfRule>
  </conditionalFormatting>
  <conditionalFormatting sqref="AF29:AG91">
    <cfRule type="containsErrors" dxfId="0" priority="1">
      <formula>ISERROR(AF29)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4D123-0967-480B-B084-54461D81F5F2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0281-5D3A-4259-8AD4-52346668664E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5BF4-1DED-47E5-A367-5B13613C61A6}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227B-1638-46A6-B526-5CD329D64F87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Лист1</vt:lpstr>
      <vt:lpstr>Лист2</vt:lpstr>
      <vt:lpstr>Лист3</vt:lpstr>
      <vt:lpstr>Лист4</vt:lpstr>
      <vt:lpstr>Лист5</vt:lpstr>
      <vt:lpstr>Лист6</vt:lpstr>
      <vt:lpstr>Лист7</vt:lpstr>
      <vt:lpstr>Лист8</vt:lpstr>
      <vt:lpstr>Лист9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</dc:creator>
  <cp:lastModifiedBy>Adil</cp:lastModifiedBy>
  <dcterms:created xsi:type="dcterms:W3CDTF">2026-06-03T06:19:43Z</dcterms:created>
  <dcterms:modified xsi:type="dcterms:W3CDTF">2026-06-03T06:21:10Z</dcterms:modified>
</cp:coreProperties>
</file>